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P:\Bao Cao Doanh So\2026\THANG 1\"/>
    </mc:Choice>
  </mc:AlternateContent>
  <xr:revisionPtr revIDLastSave="0" documentId="13_ncr:1_{FE86D410-800A-48ED-9CF5-995CE9F9E664}" xr6:coauthVersionLast="47" xr6:coauthVersionMax="47" xr10:uidLastSave="{00000000-0000-0000-0000-000000000000}"/>
  <bookViews>
    <workbookView xWindow="-120" yWindow="-120" windowWidth="21840" windowHeight="13020" tabRatio="757" activeTab="6" xr2:uid="{00000000-000D-0000-FFFF-FFFF00000000}"/>
  </bookViews>
  <sheets>
    <sheet name="DATA" sheetId="1" r:id="rId1"/>
    <sheet name="SALES BY SYSTEM" sheetId="2" r:id="rId2"/>
    <sheet name="CUSTOMER" sheetId="3" r:id="rId3"/>
    <sheet name="Sheet5" sheetId="4" state="hidden" r:id="rId4"/>
    <sheet name="Sheet6" sheetId="5" state="hidden" r:id="rId5"/>
    <sheet name="SALE BY STORE" sheetId="6" r:id="rId6"/>
    <sheet name="SALE" sheetId="7" r:id="rId7"/>
    <sheet name="KA" sheetId="8" r:id="rId8"/>
    <sheet name="DOANH SO NAM" sheetId="9" r:id="rId9"/>
    <sheet name="Sheet1" sheetId="10" state="hidden" r:id="rId10"/>
  </sheets>
  <definedNames>
    <definedName name="_xlnm._FilterDatabase" localSheetId="2" hidden="1">CUSTOMER!$A$1:$J$1192</definedName>
    <definedName name="_xlnm._FilterDatabase" localSheetId="0" hidden="1">DATA!$A$1:$O$1217</definedName>
    <definedName name="_xlnm._FilterDatabase" localSheetId="6" hidden="1">SALE!$B$7:$S$16</definedName>
    <definedName name="_xlnm._FilterDatabase" localSheetId="5" hidden="1">'SALE BY STORE'!$A$2:$V$980</definedName>
    <definedName name="_xlnm._FilterDatabase" localSheetId="1" hidden="1">'SALES BY SYSTEM'!$A$3:$M$50</definedName>
    <definedName name="_xlnm._FilterDatabase" localSheetId="3" hidden="1">Sheet5!$A$1:$C$1098</definedName>
    <definedName name="_xlnm._FilterDatabase" localSheetId="4" hidden="1">Sheet6!$A$1:$C$1043</definedName>
    <definedName name="_xlnm.Print_Area" localSheetId="8">'DOANH SO NAM'!$I$2:$P$19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9" l="1"/>
  <c r="D33" i="9"/>
  <c r="Z21" i="9"/>
  <c r="X21" i="9"/>
  <c r="W21" i="9"/>
  <c r="V21" i="9"/>
  <c r="U21" i="9"/>
  <c r="T21" i="9"/>
  <c r="S21" i="9"/>
  <c r="R21" i="9"/>
  <c r="Q21" i="9"/>
  <c r="P21" i="9"/>
  <c r="O21" i="9"/>
  <c r="X20" i="9"/>
  <c r="V20" i="9"/>
  <c r="T20" i="9"/>
  <c r="S20" i="9"/>
  <c r="R20" i="9"/>
  <c r="P20" i="9"/>
  <c r="Z19" i="9"/>
  <c r="U19" i="9"/>
  <c r="Z16" i="9"/>
  <c r="Z20" i="9" s="1"/>
  <c r="Y16" i="9"/>
  <c r="X16" i="9"/>
  <c r="X19" i="9" s="1"/>
  <c r="W16" i="9"/>
  <c r="W19" i="9" s="1"/>
  <c r="V16" i="9"/>
  <c r="V19" i="9" s="1"/>
  <c r="U16" i="9"/>
  <c r="U20" i="9" s="1"/>
  <c r="T16" i="9"/>
  <c r="T19" i="9" s="1"/>
  <c r="S16" i="9"/>
  <c r="S19" i="9" s="1"/>
  <c r="R16" i="9"/>
  <c r="R19" i="9" s="1"/>
  <c r="Q16" i="9"/>
  <c r="Q19" i="9" s="1"/>
  <c r="P16" i="9"/>
  <c r="P19" i="9" s="1"/>
  <c r="O16" i="9"/>
  <c r="O19" i="9" s="1"/>
  <c r="N16" i="9"/>
  <c r="M16" i="9"/>
  <c r="L16" i="9"/>
  <c r="K16" i="9"/>
  <c r="J16" i="9"/>
  <c r="I16" i="9"/>
  <c r="F16" i="9"/>
  <c r="E16" i="9"/>
  <c r="D16" i="9"/>
  <c r="C16" i="9"/>
  <c r="B16" i="9"/>
  <c r="H15" i="9"/>
  <c r="G15" i="9"/>
  <c r="H14" i="9"/>
  <c r="G14" i="9"/>
  <c r="H13" i="9"/>
  <c r="G13" i="9"/>
  <c r="G12" i="9"/>
  <c r="H12" i="9" s="1"/>
  <c r="H11" i="9"/>
  <c r="G11" i="9"/>
  <c r="H10" i="9"/>
  <c r="G10" i="9"/>
  <c r="H9" i="9"/>
  <c r="G9" i="9"/>
  <c r="H8" i="9"/>
  <c r="G8" i="9"/>
  <c r="H7" i="9"/>
  <c r="G7" i="9"/>
  <c r="G6" i="9"/>
  <c r="H6" i="9" s="1"/>
  <c r="H5" i="9"/>
  <c r="G5" i="9"/>
  <c r="H4" i="9"/>
  <c r="G4" i="9"/>
  <c r="G16" i="9" s="1"/>
  <c r="H16" i="9" s="1"/>
  <c r="Q13" i="8"/>
  <c r="P13" i="8"/>
  <c r="O13" i="8"/>
  <c r="A5" i="8"/>
  <c r="A4" i="8"/>
  <c r="A18" i="7"/>
  <c r="P16" i="7"/>
  <c r="A5" i="7"/>
  <c r="A4" i="7"/>
  <c r="T981" i="6"/>
  <c r="Q981" i="6"/>
  <c r="N981" i="6"/>
  <c r="H980" i="6"/>
  <c r="F980" i="6"/>
  <c r="E980" i="6"/>
  <c r="C980" i="6"/>
  <c r="H979" i="6"/>
  <c r="F979" i="6"/>
  <c r="E979" i="6"/>
  <c r="C979" i="6"/>
  <c r="H978" i="6"/>
  <c r="F978" i="6"/>
  <c r="E978" i="6"/>
  <c r="C978" i="6"/>
  <c r="H977" i="6"/>
  <c r="F977" i="6"/>
  <c r="E977" i="6"/>
  <c r="C977" i="6"/>
  <c r="H976" i="6"/>
  <c r="F976" i="6"/>
  <c r="E976" i="6"/>
  <c r="C976" i="6"/>
  <c r="H975" i="6"/>
  <c r="F975" i="6"/>
  <c r="E975" i="6"/>
  <c r="C975" i="6"/>
  <c r="H974" i="6"/>
  <c r="F974" i="6"/>
  <c r="E974" i="6"/>
  <c r="C974" i="6"/>
  <c r="H973" i="6"/>
  <c r="F973" i="6"/>
  <c r="E973" i="6"/>
  <c r="C973" i="6"/>
  <c r="H972" i="6"/>
  <c r="F972" i="6"/>
  <c r="E972" i="6"/>
  <c r="C972" i="6"/>
  <c r="H971" i="6"/>
  <c r="F971" i="6"/>
  <c r="E971" i="6"/>
  <c r="C971" i="6"/>
  <c r="H970" i="6"/>
  <c r="F970" i="6"/>
  <c r="E970" i="6"/>
  <c r="C970" i="6"/>
  <c r="H969" i="6"/>
  <c r="F969" i="6"/>
  <c r="E969" i="6"/>
  <c r="C969" i="6"/>
  <c r="H968" i="6"/>
  <c r="F968" i="6"/>
  <c r="E968" i="6"/>
  <c r="C968" i="6"/>
  <c r="H967" i="6"/>
  <c r="F967" i="6"/>
  <c r="E967" i="6"/>
  <c r="C967" i="6"/>
  <c r="H966" i="6"/>
  <c r="F966" i="6"/>
  <c r="E966" i="6"/>
  <c r="C966" i="6"/>
  <c r="H965" i="6"/>
  <c r="F965" i="6"/>
  <c r="E965" i="6"/>
  <c r="C965" i="6"/>
  <c r="H964" i="6"/>
  <c r="F964" i="6"/>
  <c r="E964" i="6"/>
  <c r="C964" i="6"/>
  <c r="H963" i="6"/>
  <c r="F963" i="6"/>
  <c r="E963" i="6"/>
  <c r="C963" i="6"/>
  <c r="H962" i="6"/>
  <c r="F962" i="6"/>
  <c r="E962" i="6"/>
  <c r="C962" i="6"/>
  <c r="H961" i="6"/>
  <c r="F961" i="6"/>
  <c r="E961" i="6"/>
  <c r="C961" i="6"/>
  <c r="H960" i="6"/>
  <c r="F960" i="6"/>
  <c r="E960" i="6"/>
  <c r="C960" i="6"/>
  <c r="H959" i="6"/>
  <c r="F959" i="6"/>
  <c r="E959" i="6"/>
  <c r="C959" i="6"/>
  <c r="H958" i="6"/>
  <c r="F958" i="6"/>
  <c r="E958" i="6"/>
  <c r="C958" i="6"/>
  <c r="H957" i="6"/>
  <c r="F957" i="6"/>
  <c r="E957" i="6"/>
  <c r="C957" i="6"/>
  <c r="H956" i="6"/>
  <c r="F956" i="6"/>
  <c r="E956" i="6"/>
  <c r="C956" i="6"/>
  <c r="H955" i="6"/>
  <c r="F955" i="6"/>
  <c r="E955" i="6"/>
  <c r="C955" i="6"/>
  <c r="H954" i="6"/>
  <c r="F954" i="6"/>
  <c r="E954" i="6"/>
  <c r="C954" i="6"/>
  <c r="H953" i="6"/>
  <c r="F953" i="6"/>
  <c r="E953" i="6"/>
  <c r="C953" i="6"/>
  <c r="H952" i="6"/>
  <c r="F952" i="6"/>
  <c r="E952" i="6"/>
  <c r="C952" i="6"/>
  <c r="H951" i="6"/>
  <c r="F951" i="6"/>
  <c r="E951" i="6"/>
  <c r="C951" i="6"/>
  <c r="H950" i="6"/>
  <c r="F950" i="6"/>
  <c r="E950" i="6"/>
  <c r="C950" i="6"/>
  <c r="H949" i="6"/>
  <c r="C949" i="6"/>
  <c r="H948" i="6"/>
  <c r="C948" i="6"/>
  <c r="V947" i="6"/>
  <c r="U943" i="6" s="1"/>
  <c r="U947" i="6"/>
  <c r="S947" i="6"/>
  <c r="R943" i="6" s="1"/>
  <c r="R947" i="6"/>
  <c r="P947" i="6"/>
  <c r="O943" i="6" s="1"/>
  <c r="O947" i="6"/>
  <c r="M947" i="6"/>
  <c r="L947" i="6"/>
  <c r="H947" i="6"/>
  <c r="C947" i="6"/>
  <c r="V946" i="6"/>
  <c r="U942" i="6" s="1"/>
  <c r="U946" i="6"/>
  <c r="S946" i="6"/>
  <c r="R942" i="6" s="1"/>
  <c r="R946" i="6"/>
  <c r="P946" i="6"/>
  <c r="O942" i="6" s="1"/>
  <c r="O946" i="6"/>
  <c r="M946" i="6"/>
  <c r="L942" i="6" s="1"/>
  <c r="L946" i="6"/>
  <c r="H946" i="6"/>
  <c r="C47" i="2" s="1"/>
  <c r="C946" i="6"/>
  <c r="V945" i="6"/>
  <c r="U941" i="6" s="1"/>
  <c r="U945" i="6"/>
  <c r="S945" i="6"/>
  <c r="R941" i="6" s="1"/>
  <c r="R945" i="6"/>
  <c r="P945" i="6"/>
  <c r="O941" i="6" s="1"/>
  <c r="O945" i="6"/>
  <c r="M945" i="6"/>
  <c r="L941" i="6" s="1"/>
  <c r="L945" i="6"/>
  <c r="H945" i="6"/>
  <c r="F945" i="6"/>
  <c r="E945" i="6"/>
  <c r="C945" i="6"/>
  <c r="V944" i="6"/>
  <c r="U940" i="6" s="1"/>
  <c r="U944" i="6"/>
  <c r="S944" i="6"/>
  <c r="R940" i="6" s="1"/>
  <c r="R944" i="6"/>
  <c r="P944" i="6"/>
  <c r="O940" i="6" s="1"/>
  <c r="O944" i="6"/>
  <c r="M944" i="6"/>
  <c r="L944" i="6"/>
  <c r="H944" i="6"/>
  <c r="F944" i="6"/>
  <c r="E944" i="6"/>
  <c r="C944" i="6"/>
  <c r="H943" i="6"/>
  <c r="F943" i="6"/>
  <c r="E943" i="6"/>
  <c r="C943" i="6"/>
  <c r="V942" i="6"/>
  <c r="U938" i="6" s="1"/>
  <c r="S942" i="6"/>
  <c r="P942" i="6"/>
  <c r="O938" i="6" s="1"/>
  <c r="M942" i="6"/>
  <c r="L938" i="6" s="1"/>
  <c r="H942" i="6"/>
  <c r="F942" i="6"/>
  <c r="E942" i="6"/>
  <c r="C942" i="6"/>
  <c r="V941" i="6"/>
  <c r="U937" i="6" s="1"/>
  <c r="S941" i="6"/>
  <c r="R937" i="6" s="1"/>
  <c r="P941" i="6"/>
  <c r="O937" i="6" s="1"/>
  <c r="M941" i="6"/>
  <c r="H941" i="6"/>
  <c r="F941" i="6"/>
  <c r="E941" i="6"/>
  <c r="C941" i="6"/>
  <c r="V940" i="6"/>
  <c r="U936" i="6" s="1"/>
  <c r="S940" i="6"/>
  <c r="R936" i="6" s="1"/>
  <c r="P940" i="6"/>
  <c r="O936" i="6" s="1"/>
  <c r="M940" i="6"/>
  <c r="L936" i="6" s="1"/>
  <c r="H940" i="6"/>
  <c r="F940" i="6"/>
  <c r="E940" i="6"/>
  <c r="C940" i="6"/>
  <c r="V939" i="6"/>
  <c r="U935" i="6" s="1"/>
  <c r="S939" i="6"/>
  <c r="R935" i="6" s="1"/>
  <c r="P939" i="6"/>
  <c r="O935" i="6" s="1"/>
  <c r="M939" i="6"/>
  <c r="L935" i="6" s="1"/>
  <c r="H939" i="6"/>
  <c r="F939" i="6"/>
  <c r="E939" i="6"/>
  <c r="C939" i="6"/>
  <c r="V938" i="6"/>
  <c r="U934" i="6" s="1"/>
  <c r="S938" i="6"/>
  <c r="R934" i="6" s="1"/>
  <c r="P938" i="6"/>
  <c r="O934" i="6" s="1"/>
  <c r="M938" i="6"/>
  <c r="H938" i="6"/>
  <c r="F938" i="6"/>
  <c r="E938" i="6"/>
  <c r="C938" i="6"/>
  <c r="V937" i="6"/>
  <c r="U933" i="6" s="1"/>
  <c r="S937" i="6"/>
  <c r="R933" i="6" s="1"/>
  <c r="P937" i="6"/>
  <c r="M937" i="6"/>
  <c r="L933" i="6" s="1"/>
  <c r="H937" i="6"/>
  <c r="F937" i="6"/>
  <c r="E937" i="6"/>
  <c r="C937" i="6"/>
  <c r="V936" i="6"/>
  <c r="U932" i="6" s="1"/>
  <c r="S936" i="6"/>
  <c r="R932" i="6" s="1"/>
  <c r="P936" i="6"/>
  <c r="O932" i="6" s="1"/>
  <c r="M936" i="6"/>
  <c r="L932" i="6" s="1"/>
  <c r="H936" i="6"/>
  <c r="F936" i="6"/>
  <c r="E936" i="6"/>
  <c r="C936" i="6"/>
  <c r="V935" i="6"/>
  <c r="U931" i="6" s="1"/>
  <c r="S935" i="6"/>
  <c r="R931" i="6" s="1"/>
  <c r="P935" i="6"/>
  <c r="O931" i="6" s="1"/>
  <c r="M935" i="6"/>
  <c r="H935" i="6"/>
  <c r="F935" i="6"/>
  <c r="E935" i="6"/>
  <c r="C935" i="6"/>
  <c r="V934" i="6"/>
  <c r="U930" i="6" s="1"/>
  <c r="S934" i="6"/>
  <c r="R930" i="6" s="1"/>
  <c r="P934" i="6"/>
  <c r="O930" i="6" s="1"/>
  <c r="M934" i="6"/>
  <c r="L930" i="6" s="1"/>
  <c r="H934" i="6"/>
  <c r="F934" i="6"/>
  <c r="E934" i="6"/>
  <c r="C934" i="6"/>
  <c r="V933" i="6"/>
  <c r="U929" i="6" s="1"/>
  <c r="S933" i="6"/>
  <c r="R929" i="6" s="1"/>
  <c r="P933" i="6"/>
  <c r="O929" i="6" s="1"/>
  <c r="M933" i="6"/>
  <c r="H933" i="6"/>
  <c r="F933" i="6"/>
  <c r="E933" i="6"/>
  <c r="C933" i="6"/>
  <c r="V932" i="6"/>
  <c r="U928" i="6" s="1"/>
  <c r="S932" i="6"/>
  <c r="R928" i="6" s="1"/>
  <c r="P932" i="6"/>
  <c r="O928" i="6" s="1"/>
  <c r="M932" i="6"/>
  <c r="H932" i="6"/>
  <c r="F932" i="6"/>
  <c r="E932" i="6"/>
  <c r="C932" i="6"/>
  <c r="V931" i="6"/>
  <c r="U927" i="6" s="1"/>
  <c r="S931" i="6"/>
  <c r="R927" i="6" s="1"/>
  <c r="P931" i="6"/>
  <c r="M931" i="6"/>
  <c r="L927" i="6" s="1"/>
  <c r="H931" i="6"/>
  <c r="F931" i="6"/>
  <c r="E931" i="6"/>
  <c r="C931" i="6"/>
  <c r="V930" i="6"/>
  <c r="U926" i="6" s="1"/>
  <c r="S930" i="6"/>
  <c r="R926" i="6" s="1"/>
  <c r="P930" i="6"/>
  <c r="O926" i="6" s="1"/>
  <c r="M930" i="6"/>
  <c r="L926" i="6" s="1"/>
  <c r="H930" i="6"/>
  <c r="F930" i="6"/>
  <c r="E930" i="6"/>
  <c r="C930" i="6"/>
  <c r="V929" i="6"/>
  <c r="U925" i="6" s="1"/>
  <c r="S929" i="6"/>
  <c r="R925" i="6" s="1"/>
  <c r="P929" i="6"/>
  <c r="O925" i="6" s="1"/>
  <c r="M929" i="6"/>
  <c r="H929" i="6"/>
  <c r="F929" i="6"/>
  <c r="E929" i="6"/>
  <c r="C929" i="6"/>
  <c r="V928" i="6"/>
  <c r="U924" i="6" s="1"/>
  <c r="S928" i="6"/>
  <c r="R924" i="6" s="1"/>
  <c r="P928" i="6"/>
  <c r="M928" i="6"/>
  <c r="L924" i="6" s="1"/>
  <c r="H928" i="6"/>
  <c r="F928" i="6"/>
  <c r="E928" i="6"/>
  <c r="C928" i="6"/>
  <c r="V927" i="6"/>
  <c r="U923" i="6" s="1"/>
  <c r="S927" i="6"/>
  <c r="R923" i="6" s="1"/>
  <c r="P927" i="6"/>
  <c r="O923" i="6" s="1"/>
  <c r="M927" i="6"/>
  <c r="L923" i="6" s="1"/>
  <c r="H927" i="6"/>
  <c r="F927" i="6"/>
  <c r="E927" i="6"/>
  <c r="C927" i="6"/>
  <c r="V926" i="6"/>
  <c r="U922" i="6" s="1"/>
  <c r="S926" i="6"/>
  <c r="R922" i="6" s="1"/>
  <c r="P926" i="6"/>
  <c r="O922" i="6" s="1"/>
  <c r="M926" i="6"/>
  <c r="L922" i="6" s="1"/>
  <c r="H926" i="6"/>
  <c r="F926" i="6"/>
  <c r="E926" i="6"/>
  <c r="C926" i="6"/>
  <c r="V925" i="6"/>
  <c r="U921" i="6" s="1"/>
  <c r="S925" i="6"/>
  <c r="R921" i="6" s="1"/>
  <c r="P925" i="6"/>
  <c r="O921" i="6" s="1"/>
  <c r="M925" i="6"/>
  <c r="L921" i="6" s="1"/>
  <c r="H925" i="6"/>
  <c r="F925" i="6"/>
  <c r="E925" i="6"/>
  <c r="C925" i="6"/>
  <c r="V924" i="6"/>
  <c r="U920" i="6" s="1"/>
  <c r="S924" i="6"/>
  <c r="R920" i="6" s="1"/>
  <c r="P924" i="6"/>
  <c r="O920" i="6" s="1"/>
  <c r="M924" i="6"/>
  <c r="L920" i="6" s="1"/>
  <c r="H924" i="6"/>
  <c r="F924" i="6"/>
  <c r="E924" i="6"/>
  <c r="C924" i="6"/>
  <c r="V923" i="6"/>
  <c r="U919" i="6" s="1"/>
  <c r="S923" i="6"/>
  <c r="R919" i="6" s="1"/>
  <c r="P923" i="6"/>
  <c r="O919" i="6" s="1"/>
  <c r="M923" i="6"/>
  <c r="H923" i="6"/>
  <c r="G923" i="6"/>
  <c r="F923" i="6"/>
  <c r="E923" i="6"/>
  <c r="C923" i="6"/>
  <c r="V922" i="6"/>
  <c r="U918" i="6" s="1"/>
  <c r="S922" i="6"/>
  <c r="R918" i="6" s="1"/>
  <c r="P922" i="6"/>
  <c r="O918" i="6" s="1"/>
  <c r="M922" i="6"/>
  <c r="L918" i="6" s="1"/>
  <c r="H922" i="6"/>
  <c r="F922" i="6"/>
  <c r="E922" i="6"/>
  <c r="C922" i="6"/>
  <c r="V921" i="6"/>
  <c r="U917" i="6" s="1"/>
  <c r="S921" i="6"/>
  <c r="P921" i="6"/>
  <c r="O917" i="6" s="1"/>
  <c r="M921" i="6"/>
  <c r="L917" i="6" s="1"/>
  <c r="H921" i="6"/>
  <c r="F921" i="6"/>
  <c r="E921" i="6"/>
  <c r="C921" i="6"/>
  <c r="V920" i="6"/>
  <c r="U916" i="6" s="1"/>
  <c r="S920" i="6"/>
  <c r="R916" i="6" s="1"/>
  <c r="P920" i="6"/>
  <c r="O916" i="6" s="1"/>
  <c r="M920" i="6"/>
  <c r="L916" i="6" s="1"/>
  <c r="H920" i="6"/>
  <c r="F920" i="6"/>
  <c r="E920" i="6"/>
  <c r="C920" i="6"/>
  <c r="V919" i="6"/>
  <c r="U915" i="6" s="1"/>
  <c r="S919" i="6"/>
  <c r="R915" i="6" s="1"/>
  <c r="P919" i="6"/>
  <c r="O915" i="6" s="1"/>
  <c r="M919" i="6"/>
  <c r="L915" i="6" s="1"/>
  <c r="H919" i="6"/>
  <c r="F919" i="6"/>
  <c r="E919" i="6"/>
  <c r="C919" i="6"/>
  <c r="V918" i="6"/>
  <c r="U914" i="6" s="1"/>
  <c r="S918" i="6"/>
  <c r="P918" i="6"/>
  <c r="O914" i="6" s="1"/>
  <c r="M918" i="6"/>
  <c r="L914" i="6" s="1"/>
  <c r="H918" i="6"/>
  <c r="F918" i="6"/>
  <c r="E918" i="6"/>
  <c r="C918" i="6"/>
  <c r="V917" i="6"/>
  <c r="U913" i="6" s="1"/>
  <c r="S917" i="6"/>
  <c r="R913" i="6" s="1"/>
  <c r="P917" i="6"/>
  <c r="O913" i="6" s="1"/>
  <c r="M917" i="6"/>
  <c r="L913" i="6" s="1"/>
  <c r="H917" i="6"/>
  <c r="F917" i="6"/>
  <c r="E917" i="6"/>
  <c r="C917" i="6"/>
  <c r="V916" i="6"/>
  <c r="U912" i="6" s="1"/>
  <c r="S916" i="6"/>
  <c r="R912" i="6" s="1"/>
  <c r="P916" i="6"/>
  <c r="O912" i="6" s="1"/>
  <c r="M916" i="6"/>
  <c r="L912" i="6" s="1"/>
  <c r="H916" i="6"/>
  <c r="F916" i="6"/>
  <c r="E916" i="6"/>
  <c r="C916" i="6"/>
  <c r="V915" i="6"/>
  <c r="U911" i="6" s="1"/>
  <c r="S915" i="6"/>
  <c r="R911" i="6" s="1"/>
  <c r="P915" i="6"/>
  <c r="O911" i="6" s="1"/>
  <c r="M915" i="6"/>
  <c r="L911" i="6" s="1"/>
  <c r="H915" i="6"/>
  <c r="F915" i="6"/>
  <c r="E915" i="6"/>
  <c r="C915" i="6"/>
  <c r="V914" i="6"/>
  <c r="U910" i="6" s="1"/>
  <c r="S914" i="6"/>
  <c r="R910" i="6" s="1"/>
  <c r="P914" i="6"/>
  <c r="O910" i="6" s="1"/>
  <c r="M914" i="6"/>
  <c r="L910" i="6" s="1"/>
  <c r="H914" i="6"/>
  <c r="F914" i="6"/>
  <c r="E914" i="6"/>
  <c r="C914" i="6"/>
  <c r="V913" i="6"/>
  <c r="U909" i="6" s="1"/>
  <c r="S913" i="6"/>
  <c r="R909" i="6" s="1"/>
  <c r="P913" i="6"/>
  <c r="O909" i="6" s="1"/>
  <c r="M913" i="6"/>
  <c r="L909" i="6" s="1"/>
  <c r="H913" i="6"/>
  <c r="F913" i="6"/>
  <c r="E913" i="6"/>
  <c r="C913" i="6"/>
  <c r="V912" i="6"/>
  <c r="U908" i="6" s="1"/>
  <c r="S912" i="6"/>
  <c r="R908" i="6" s="1"/>
  <c r="P912" i="6"/>
  <c r="M912" i="6"/>
  <c r="H912" i="6"/>
  <c r="F912" i="6"/>
  <c r="E912" i="6"/>
  <c r="C912" i="6"/>
  <c r="V911" i="6"/>
  <c r="U907" i="6" s="1"/>
  <c r="S911" i="6"/>
  <c r="R907" i="6" s="1"/>
  <c r="P911" i="6"/>
  <c r="O907" i="6" s="1"/>
  <c r="M911" i="6"/>
  <c r="L907" i="6" s="1"/>
  <c r="H911" i="6"/>
  <c r="F911" i="6"/>
  <c r="E911" i="6"/>
  <c r="C911" i="6"/>
  <c r="V910" i="6"/>
  <c r="U906" i="6" s="1"/>
  <c r="S910" i="6"/>
  <c r="R906" i="6" s="1"/>
  <c r="P910" i="6"/>
  <c r="O906" i="6" s="1"/>
  <c r="M910" i="6"/>
  <c r="L906" i="6" s="1"/>
  <c r="H910" i="6"/>
  <c r="F910" i="6"/>
  <c r="E910" i="6"/>
  <c r="C910" i="6"/>
  <c r="V909" i="6"/>
  <c r="U905" i="6" s="1"/>
  <c r="S909" i="6"/>
  <c r="R905" i="6" s="1"/>
  <c r="P909" i="6"/>
  <c r="O905" i="6" s="1"/>
  <c r="M909" i="6"/>
  <c r="L905" i="6" s="1"/>
  <c r="H909" i="6"/>
  <c r="F909" i="6"/>
  <c r="E909" i="6"/>
  <c r="C909" i="6"/>
  <c r="V908" i="6"/>
  <c r="U904" i="6" s="1"/>
  <c r="S908" i="6"/>
  <c r="R904" i="6" s="1"/>
  <c r="P908" i="6"/>
  <c r="O904" i="6" s="1"/>
  <c r="O908" i="6"/>
  <c r="M908" i="6"/>
  <c r="L904" i="6" s="1"/>
  <c r="H908" i="6"/>
  <c r="F908" i="6"/>
  <c r="E908" i="6"/>
  <c r="C908" i="6"/>
  <c r="V907" i="6"/>
  <c r="U903" i="6" s="1"/>
  <c r="S907" i="6"/>
  <c r="R903" i="6" s="1"/>
  <c r="P907" i="6"/>
  <c r="O903" i="6" s="1"/>
  <c r="M907" i="6"/>
  <c r="H907" i="6"/>
  <c r="F907" i="6"/>
  <c r="E907" i="6"/>
  <c r="C907" i="6"/>
  <c r="V906" i="6"/>
  <c r="U902" i="6" s="1"/>
  <c r="S906" i="6"/>
  <c r="R902" i="6" s="1"/>
  <c r="P906" i="6"/>
  <c r="O902" i="6" s="1"/>
  <c r="M906" i="6"/>
  <c r="H906" i="6"/>
  <c r="F906" i="6"/>
  <c r="E906" i="6"/>
  <c r="C906" i="6"/>
  <c r="V905" i="6"/>
  <c r="U901" i="6" s="1"/>
  <c r="S905" i="6"/>
  <c r="R901" i="6" s="1"/>
  <c r="P905" i="6"/>
  <c r="O901" i="6" s="1"/>
  <c r="M905" i="6"/>
  <c r="L901" i="6" s="1"/>
  <c r="H905" i="6"/>
  <c r="F905" i="6"/>
  <c r="E905" i="6"/>
  <c r="C905" i="6"/>
  <c r="V904" i="6"/>
  <c r="U900" i="6" s="1"/>
  <c r="S904" i="6"/>
  <c r="R900" i="6" s="1"/>
  <c r="P904" i="6"/>
  <c r="M904" i="6"/>
  <c r="L900" i="6" s="1"/>
  <c r="H904" i="6"/>
  <c r="F904" i="6"/>
  <c r="E904" i="6"/>
  <c r="C904" i="6"/>
  <c r="V903" i="6"/>
  <c r="U899" i="6" s="1"/>
  <c r="S903" i="6"/>
  <c r="R899" i="6" s="1"/>
  <c r="P903" i="6"/>
  <c r="O899" i="6" s="1"/>
  <c r="M903" i="6"/>
  <c r="L899" i="6" s="1"/>
  <c r="H903" i="6"/>
  <c r="G903" i="6"/>
  <c r="F903" i="6"/>
  <c r="E903" i="6"/>
  <c r="C903" i="6"/>
  <c r="V902" i="6"/>
  <c r="U898" i="6" s="1"/>
  <c r="S902" i="6"/>
  <c r="R898" i="6" s="1"/>
  <c r="P902" i="6"/>
  <c r="M902" i="6"/>
  <c r="L898" i="6" s="1"/>
  <c r="H902" i="6"/>
  <c r="G902" i="6"/>
  <c r="F902" i="6"/>
  <c r="E902" i="6"/>
  <c r="C902" i="6"/>
  <c r="V901" i="6"/>
  <c r="U897" i="6" s="1"/>
  <c r="S901" i="6"/>
  <c r="R897" i="6" s="1"/>
  <c r="P901" i="6"/>
  <c r="M901" i="6"/>
  <c r="L897" i="6" s="1"/>
  <c r="H901" i="6"/>
  <c r="F901" i="6"/>
  <c r="E901" i="6"/>
  <c r="C901" i="6"/>
  <c r="V900" i="6"/>
  <c r="U896" i="6" s="1"/>
  <c r="S900" i="6"/>
  <c r="R896" i="6" s="1"/>
  <c r="P900" i="6"/>
  <c r="O896" i="6" s="1"/>
  <c r="M900" i="6"/>
  <c r="L896" i="6" s="1"/>
  <c r="H900" i="6"/>
  <c r="F900" i="6"/>
  <c r="E900" i="6"/>
  <c r="C900" i="6"/>
  <c r="V899" i="6"/>
  <c r="U895" i="6" s="1"/>
  <c r="S899" i="6"/>
  <c r="R895" i="6" s="1"/>
  <c r="P899" i="6"/>
  <c r="O895" i="6" s="1"/>
  <c r="M899" i="6"/>
  <c r="L895" i="6" s="1"/>
  <c r="H899" i="6"/>
  <c r="C23" i="2" s="1"/>
  <c r="F899" i="6"/>
  <c r="E899" i="6"/>
  <c r="C899" i="6"/>
  <c r="V898" i="6"/>
  <c r="U894" i="6" s="1"/>
  <c r="S898" i="6"/>
  <c r="R894" i="6" s="1"/>
  <c r="P898" i="6"/>
  <c r="O894" i="6" s="1"/>
  <c r="M898" i="6"/>
  <c r="L894" i="6" s="1"/>
  <c r="H898" i="6"/>
  <c r="C31" i="2" s="1"/>
  <c r="F898" i="6"/>
  <c r="E898" i="6"/>
  <c r="C898" i="6"/>
  <c r="V897" i="6"/>
  <c r="U893" i="6" s="1"/>
  <c r="S897" i="6"/>
  <c r="R893" i="6" s="1"/>
  <c r="P897" i="6"/>
  <c r="O893" i="6" s="1"/>
  <c r="M897" i="6"/>
  <c r="L893" i="6" s="1"/>
  <c r="H897" i="6"/>
  <c r="F897" i="6"/>
  <c r="E897" i="6"/>
  <c r="C897" i="6"/>
  <c r="V896" i="6"/>
  <c r="U892" i="6" s="1"/>
  <c r="S896" i="6"/>
  <c r="R892" i="6" s="1"/>
  <c r="P896" i="6"/>
  <c r="O892" i="6" s="1"/>
  <c r="M896" i="6"/>
  <c r="L892" i="6" s="1"/>
  <c r="H896" i="6"/>
  <c r="F896" i="6"/>
  <c r="E896" i="6"/>
  <c r="C896" i="6"/>
  <c r="V895" i="6"/>
  <c r="U891" i="6" s="1"/>
  <c r="S895" i="6"/>
  <c r="R891" i="6" s="1"/>
  <c r="P895" i="6"/>
  <c r="O891" i="6" s="1"/>
  <c r="M895" i="6"/>
  <c r="H895" i="6"/>
  <c r="F895" i="6"/>
  <c r="E895" i="6"/>
  <c r="C895" i="6"/>
  <c r="V894" i="6"/>
  <c r="U890" i="6" s="1"/>
  <c r="S894" i="6"/>
  <c r="R890" i="6" s="1"/>
  <c r="P894" i="6"/>
  <c r="O890" i="6" s="1"/>
  <c r="M894" i="6"/>
  <c r="L890" i="6" s="1"/>
  <c r="H894" i="6"/>
  <c r="F894" i="6"/>
  <c r="E894" i="6"/>
  <c r="C894" i="6"/>
  <c r="V893" i="6"/>
  <c r="U889" i="6" s="1"/>
  <c r="S893" i="6"/>
  <c r="R889" i="6" s="1"/>
  <c r="P893" i="6"/>
  <c r="O889" i="6" s="1"/>
  <c r="M893" i="6"/>
  <c r="L889" i="6" s="1"/>
  <c r="H893" i="6"/>
  <c r="F893" i="6"/>
  <c r="E893" i="6"/>
  <c r="C893" i="6"/>
  <c r="V892" i="6"/>
  <c r="U888" i="6" s="1"/>
  <c r="S892" i="6"/>
  <c r="P892" i="6"/>
  <c r="O888" i="6" s="1"/>
  <c r="M892" i="6"/>
  <c r="L888" i="6" s="1"/>
  <c r="H892" i="6"/>
  <c r="F892" i="6"/>
  <c r="E892" i="6"/>
  <c r="C892" i="6"/>
  <c r="V891" i="6"/>
  <c r="U887" i="6" s="1"/>
  <c r="S891" i="6"/>
  <c r="R887" i="6" s="1"/>
  <c r="P891" i="6"/>
  <c r="O887" i="6" s="1"/>
  <c r="M891" i="6"/>
  <c r="L887" i="6" s="1"/>
  <c r="H891" i="6"/>
  <c r="F891" i="6"/>
  <c r="E891" i="6"/>
  <c r="C891" i="6"/>
  <c r="V890" i="6"/>
  <c r="U886" i="6" s="1"/>
  <c r="S890" i="6"/>
  <c r="R886" i="6" s="1"/>
  <c r="P890" i="6"/>
  <c r="O886" i="6" s="1"/>
  <c r="M890" i="6"/>
  <c r="L886" i="6" s="1"/>
  <c r="H890" i="6"/>
  <c r="F890" i="6"/>
  <c r="E890" i="6"/>
  <c r="C890" i="6"/>
  <c r="V889" i="6"/>
  <c r="U885" i="6" s="1"/>
  <c r="S889" i="6"/>
  <c r="P889" i="6"/>
  <c r="O885" i="6" s="1"/>
  <c r="M889" i="6"/>
  <c r="L885" i="6" s="1"/>
  <c r="H889" i="6"/>
  <c r="F889" i="6"/>
  <c r="E889" i="6"/>
  <c r="C889" i="6"/>
  <c r="V888" i="6"/>
  <c r="S888" i="6"/>
  <c r="R884" i="6" s="1"/>
  <c r="P888" i="6"/>
  <c r="O884" i="6" s="1"/>
  <c r="M888" i="6"/>
  <c r="L884" i="6" s="1"/>
  <c r="H888" i="6"/>
  <c r="F888" i="6"/>
  <c r="E888" i="6"/>
  <c r="C888" i="6"/>
  <c r="V887" i="6"/>
  <c r="U883" i="6" s="1"/>
  <c r="S887" i="6"/>
  <c r="R883" i="6" s="1"/>
  <c r="P887" i="6"/>
  <c r="O883" i="6" s="1"/>
  <c r="M887" i="6"/>
  <c r="H887" i="6"/>
  <c r="F887" i="6"/>
  <c r="E887" i="6"/>
  <c r="C887" i="6"/>
  <c r="V886" i="6"/>
  <c r="U882" i="6" s="1"/>
  <c r="S886" i="6"/>
  <c r="R882" i="6" s="1"/>
  <c r="P886" i="6"/>
  <c r="M886" i="6"/>
  <c r="L882" i="6" s="1"/>
  <c r="H886" i="6"/>
  <c r="F886" i="6"/>
  <c r="E886" i="6"/>
  <c r="C886" i="6"/>
  <c r="V885" i="6"/>
  <c r="U881" i="6" s="1"/>
  <c r="S885" i="6"/>
  <c r="P885" i="6"/>
  <c r="O881" i="6" s="1"/>
  <c r="M885" i="6"/>
  <c r="L881" i="6" s="1"/>
  <c r="H885" i="6"/>
  <c r="F885" i="6"/>
  <c r="E885" i="6"/>
  <c r="C885" i="6"/>
  <c r="V884" i="6"/>
  <c r="U880" i="6" s="1"/>
  <c r="S884" i="6"/>
  <c r="R880" i="6" s="1"/>
  <c r="P884" i="6"/>
  <c r="O880" i="6" s="1"/>
  <c r="M884" i="6"/>
  <c r="L880" i="6" s="1"/>
  <c r="H884" i="6"/>
  <c r="F884" i="6"/>
  <c r="E884" i="6"/>
  <c r="C884" i="6"/>
  <c r="V883" i="6"/>
  <c r="U879" i="6" s="1"/>
  <c r="S883" i="6"/>
  <c r="R879" i="6" s="1"/>
  <c r="P883" i="6"/>
  <c r="O879" i="6" s="1"/>
  <c r="M883" i="6"/>
  <c r="H883" i="6"/>
  <c r="F883" i="6"/>
  <c r="E883" i="6"/>
  <c r="C883" i="6"/>
  <c r="V882" i="6"/>
  <c r="U878" i="6" s="1"/>
  <c r="S882" i="6"/>
  <c r="R878" i="6" s="1"/>
  <c r="P882" i="6"/>
  <c r="O878" i="6" s="1"/>
  <c r="M882" i="6"/>
  <c r="H882" i="6"/>
  <c r="F882" i="6"/>
  <c r="E882" i="6"/>
  <c r="C882" i="6"/>
  <c r="V881" i="6"/>
  <c r="U877" i="6" s="1"/>
  <c r="S881" i="6"/>
  <c r="R877" i="6" s="1"/>
  <c r="P881" i="6"/>
  <c r="O877" i="6" s="1"/>
  <c r="M881" i="6"/>
  <c r="H881" i="6"/>
  <c r="F881" i="6"/>
  <c r="E881" i="6"/>
  <c r="C881" i="6"/>
  <c r="V880" i="6"/>
  <c r="U876" i="6" s="1"/>
  <c r="S880" i="6"/>
  <c r="R876" i="6" s="1"/>
  <c r="P880" i="6"/>
  <c r="O876" i="6" s="1"/>
  <c r="M880" i="6"/>
  <c r="L876" i="6" s="1"/>
  <c r="H880" i="6"/>
  <c r="F880" i="6"/>
  <c r="E880" i="6"/>
  <c r="C880" i="6"/>
  <c r="V879" i="6"/>
  <c r="U875" i="6" s="1"/>
  <c r="S879" i="6"/>
  <c r="R875" i="6" s="1"/>
  <c r="P879" i="6"/>
  <c r="O875" i="6" s="1"/>
  <c r="M879" i="6"/>
  <c r="L875" i="6" s="1"/>
  <c r="H879" i="6"/>
  <c r="F879" i="6"/>
  <c r="E879" i="6"/>
  <c r="C879" i="6"/>
  <c r="V878" i="6"/>
  <c r="U874" i="6" s="1"/>
  <c r="S878" i="6"/>
  <c r="R874" i="6" s="1"/>
  <c r="P878" i="6"/>
  <c r="O874" i="6" s="1"/>
  <c r="M878" i="6"/>
  <c r="L874" i="6" s="1"/>
  <c r="H878" i="6"/>
  <c r="F878" i="6"/>
  <c r="E878" i="6"/>
  <c r="C878" i="6"/>
  <c r="V877" i="6"/>
  <c r="U873" i="6" s="1"/>
  <c r="S877" i="6"/>
  <c r="R873" i="6" s="1"/>
  <c r="P877" i="6"/>
  <c r="O873" i="6" s="1"/>
  <c r="M877" i="6"/>
  <c r="H877" i="6"/>
  <c r="F877" i="6"/>
  <c r="E877" i="6"/>
  <c r="C877" i="6"/>
  <c r="V876" i="6"/>
  <c r="U872" i="6" s="1"/>
  <c r="S876" i="6"/>
  <c r="R872" i="6" s="1"/>
  <c r="P876" i="6"/>
  <c r="M876" i="6"/>
  <c r="L872" i="6" s="1"/>
  <c r="H876" i="6"/>
  <c r="F876" i="6"/>
  <c r="E876" i="6"/>
  <c r="C876" i="6"/>
  <c r="V875" i="6"/>
  <c r="U871" i="6" s="1"/>
  <c r="S875" i="6"/>
  <c r="R871" i="6" s="1"/>
  <c r="P875" i="6"/>
  <c r="O871" i="6" s="1"/>
  <c r="M875" i="6"/>
  <c r="L871" i="6" s="1"/>
  <c r="H875" i="6"/>
  <c r="F875" i="6"/>
  <c r="E875" i="6"/>
  <c r="C875" i="6"/>
  <c r="V874" i="6"/>
  <c r="S874" i="6"/>
  <c r="R870" i="6" s="1"/>
  <c r="P874" i="6"/>
  <c r="O870" i="6" s="1"/>
  <c r="M874" i="6"/>
  <c r="L870" i="6" s="1"/>
  <c r="H874" i="6"/>
  <c r="F874" i="6"/>
  <c r="E874" i="6"/>
  <c r="C874" i="6"/>
  <c r="V873" i="6"/>
  <c r="U869" i="6" s="1"/>
  <c r="S873" i="6"/>
  <c r="R869" i="6" s="1"/>
  <c r="P873" i="6"/>
  <c r="O869" i="6" s="1"/>
  <c r="M873" i="6"/>
  <c r="L869" i="6" s="1"/>
  <c r="H873" i="6"/>
  <c r="F873" i="6"/>
  <c r="E873" i="6"/>
  <c r="C873" i="6"/>
  <c r="V872" i="6"/>
  <c r="U868" i="6" s="1"/>
  <c r="S872" i="6"/>
  <c r="R868" i="6" s="1"/>
  <c r="P872" i="6"/>
  <c r="M872" i="6"/>
  <c r="L868" i="6" s="1"/>
  <c r="H872" i="6"/>
  <c r="F872" i="6"/>
  <c r="E872" i="6"/>
  <c r="C872" i="6"/>
  <c r="V871" i="6"/>
  <c r="U867" i="6" s="1"/>
  <c r="S871" i="6"/>
  <c r="R867" i="6" s="1"/>
  <c r="P871" i="6"/>
  <c r="O867" i="6" s="1"/>
  <c r="M871" i="6"/>
  <c r="H871" i="6"/>
  <c r="F871" i="6"/>
  <c r="E871" i="6"/>
  <c r="C871" i="6"/>
  <c r="V870" i="6"/>
  <c r="U866" i="6" s="1"/>
  <c r="S870" i="6"/>
  <c r="R866" i="6" s="1"/>
  <c r="P870" i="6"/>
  <c r="O866" i="6" s="1"/>
  <c r="M870" i="6"/>
  <c r="L866" i="6" s="1"/>
  <c r="H870" i="6"/>
  <c r="F870" i="6"/>
  <c r="E870" i="6"/>
  <c r="C870" i="6"/>
  <c r="V869" i="6"/>
  <c r="U865" i="6" s="1"/>
  <c r="S869" i="6"/>
  <c r="R865" i="6" s="1"/>
  <c r="P869" i="6"/>
  <c r="O865" i="6" s="1"/>
  <c r="M869" i="6"/>
  <c r="L865" i="6" s="1"/>
  <c r="H869" i="6"/>
  <c r="F869" i="6"/>
  <c r="E869" i="6"/>
  <c r="C869" i="6"/>
  <c r="V868" i="6"/>
  <c r="U864" i="6" s="1"/>
  <c r="S868" i="6"/>
  <c r="P868" i="6"/>
  <c r="O864" i="6" s="1"/>
  <c r="M868" i="6"/>
  <c r="L864" i="6" s="1"/>
  <c r="H868" i="6"/>
  <c r="F868" i="6"/>
  <c r="E868" i="6"/>
  <c r="C868" i="6"/>
  <c r="V867" i="6"/>
  <c r="U863" i="6" s="1"/>
  <c r="S867" i="6"/>
  <c r="R863" i="6" s="1"/>
  <c r="P867" i="6"/>
  <c r="O863" i="6" s="1"/>
  <c r="M867" i="6"/>
  <c r="L863" i="6" s="1"/>
  <c r="H867" i="6"/>
  <c r="F867" i="6"/>
  <c r="E867" i="6"/>
  <c r="C867" i="6"/>
  <c r="V866" i="6"/>
  <c r="U862" i="6" s="1"/>
  <c r="S866" i="6"/>
  <c r="R862" i="6" s="1"/>
  <c r="P866" i="6"/>
  <c r="O862" i="6" s="1"/>
  <c r="M866" i="6"/>
  <c r="L862" i="6" s="1"/>
  <c r="H866" i="6"/>
  <c r="F866" i="6"/>
  <c r="E866" i="6"/>
  <c r="C866" i="6"/>
  <c r="V865" i="6"/>
  <c r="U861" i="6" s="1"/>
  <c r="S865" i="6"/>
  <c r="R861" i="6" s="1"/>
  <c r="P865" i="6"/>
  <c r="O861" i="6" s="1"/>
  <c r="M865" i="6"/>
  <c r="L861" i="6" s="1"/>
  <c r="H865" i="6"/>
  <c r="F865" i="6"/>
  <c r="E865" i="6"/>
  <c r="C865" i="6"/>
  <c r="V864" i="6"/>
  <c r="U860" i="6" s="1"/>
  <c r="S864" i="6"/>
  <c r="R860" i="6" s="1"/>
  <c r="P864" i="6"/>
  <c r="O860" i="6" s="1"/>
  <c r="M864" i="6"/>
  <c r="H864" i="6"/>
  <c r="F864" i="6"/>
  <c r="E864" i="6"/>
  <c r="C864" i="6"/>
  <c r="V863" i="6"/>
  <c r="U859" i="6" s="1"/>
  <c r="S863" i="6"/>
  <c r="R859" i="6" s="1"/>
  <c r="P863" i="6"/>
  <c r="O859" i="6" s="1"/>
  <c r="M863" i="6"/>
  <c r="L859" i="6" s="1"/>
  <c r="H863" i="6"/>
  <c r="F863" i="6"/>
  <c r="E863" i="6"/>
  <c r="C863" i="6"/>
  <c r="V862" i="6"/>
  <c r="U858" i="6" s="1"/>
  <c r="S862" i="6"/>
  <c r="P862" i="6"/>
  <c r="O858" i="6" s="1"/>
  <c r="M862" i="6"/>
  <c r="L858" i="6" s="1"/>
  <c r="H862" i="6"/>
  <c r="F862" i="6"/>
  <c r="E862" i="6"/>
  <c r="C862" i="6"/>
  <c r="V861" i="6"/>
  <c r="U857" i="6" s="1"/>
  <c r="S861" i="6"/>
  <c r="R857" i="6" s="1"/>
  <c r="P861" i="6"/>
  <c r="O857" i="6" s="1"/>
  <c r="M861" i="6"/>
  <c r="L857" i="6" s="1"/>
  <c r="H861" i="6"/>
  <c r="F861" i="6"/>
  <c r="E861" i="6"/>
  <c r="C861" i="6"/>
  <c r="V860" i="6"/>
  <c r="U856" i="6" s="1"/>
  <c r="S860" i="6"/>
  <c r="R856" i="6" s="1"/>
  <c r="P860" i="6"/>
  <c r="O856" i="6" s="1"/>
  <c r="M860" i="6"/>
  <c r="L856" i="6" s="1"/>
  <c r="H860" i="6"/>
  <c r="F860" i="6"/>
  <c r="E860" i="6"/>
  <c r="C860" i="6"/>
  <c r="V859" i="6"/>
  <c r="U855" i="6" s="1"/>
  <c r="S859" i="6"/>
  <c r="R855" i="6" s="1"/>
  <c r="P859" i="6"/>
  <c r="O855" i="6" s="1"/>
  <c r="M859" i="6"/>
  <c r="H859" i="6"/>
  <c r="F859" i="6"/>
  <c r="E859" i="6"/>
  <c r="C859" i="6"/>
  <c r="V858" i="6"/>
  <c r="U854" i="6" s="1"/>
  <c r="S858" i="6"/>
  <c r="R854" i="6" s="1"/>
  <c r="P858" i="6"/>
  <c r="O854" i="6" s="1"/>
  <c r="M858" i="6"/>
  <c r="H858" i="6"/>
  <c r="F858" i="6"/>
  <c r="E858" i="6"/>
  <c r="C858" i="6"/>
  <c r="V857" i="6"/>
  <c r="U853" i="6" s="1"/>
  <c r="S857" i="6"/>
  <c r="R853" i="6" s="1"/>
  <c r="P857" i="6"/>
  <c r="O853" i="6" s="1"/>
  <c r="M857" i="6"/>
  <c r="L853" i="6" s="1"/>
  <c r="H857" i="6"/>
  <c r="F857" i="6"/>
  <c r="E857" i="6"/>
  <c r="C857" i="6"/>
  <c r="V856" i="6"/>
  <c r="U852" i="6" s="1"/>
  <c r="S856" i="6"/>
  <c r="R852" i="6" s="1"/>
  <c r="P856" i="6"/>
  <c r="M856" i="6"/>
  <c r="H856" i="6"/>
  <c r="F856" i="6"/>
  <c r="E856" i="6"/>
  <c r="C856" i="6"/>
  <c r="V855" i="6"/>
  <c r="U851" i="6" s="1"/>
  <c r="S855" i="6"/>
  <c r="R851" i="6" s="1"/>
  <c r="P855" i="6"/>
  <c r="M855" i="6"/>
  <c r="L851" i="6" s="1"/>
  <c r="H855" i="6"/>
  <c r="F855" i="6"/>
  <c r="E855" i="6"/>
  <c r="C855" i="6"/>
  <c r="V854" i="6"/>
  <c r="U850" i="6" s="1"/>
  <c r="S854" i="6"/>
  <c r="R850" i="6" s="1"/>
  <c r="P854" i="6"/>
  <c r="O850" i="6" s="1"/>
  <c r="M854" i="6"/>
  <c r="H854" i="6"/>
  <c r="F854" i="6"/>
  <c r="E854" i="6"/>
  <c r="C854" i="6"/>
  <c r="V853" i="6"/>
  <c r="U849" i="6" s="1"/>
  <c r="S853" i="6"/>
  <c r="R849" i="6" s="1"/>
  <c r="P853" i="6"/>
  <c r="M853" i="6"/>
  <c r="L849" i="6" s="1"/>
  <c r="H853" i="6"/>
  <c r="F853" i="6"/>
  <c r="E853" i="6"/>
  <c r="C853" i="6"/>
  <c r="V852" i="6"/>
  <c r="U848" i="6" s="1"/>
  <c r="S852" i="6"/>
  <c r="P852" i="6"/>
  <c r="O848" i="6" s="1"/>
  <c r="M852" i="6"/>
  <c r="L848" i="6" s="1"/>
  <c r="L852" i="6"/>
  <c r="H852" i="6"/>
  <c r="F852" i="6"/>
  <c r="E852" i="6"/>
  <c r="C852" i="6"/>
  <c r="V851" i="6"/>
  <c r="U847" i="6" s="1"/>
  <c r="S851" i="6"/>
  <c r="R847" i="6" s="1"/>
  <c r="P851" i="6"/>
  <c r="O847" i="6" s="1"/>
  <c r="M851" i="6"/>
  <c r="H851" i="6"/>
  <c r="F851" i="6"/>
  <c r="E851" i="6"/>
  <c r="C851" i="6"/>
  <c r="V850" i="6"/>
  <c r="U846" i="6" s="1"/>
  <c r="S850" i="6"/>
  <c r="R846" i="6" s="1"/>
  <c r="P850" i="6"/>
  <c r="M850" i="6"/>
  <c r="L846" i="6" s="1"/>
  <c r="H850" i="6"/>
  <c r="F850" i="6"/>
  <c r="E850" i="6"/>
  <c r="C850" i="6"/>
  <c r="V849" i="6"/>
  <c r="U845" i="6" s="1"/>
  <c r="S849" i="6"/>
  <c r="P849" i="6"/>
  <c r="O845" i="6" s="1"/>
  <c r="M849" i="6"/>
  <c r="L845" i="6" s="1"/>
  <c r="H849" i="6"/>
  <c r="F849" i="6"/>
  <c r="E849" i="6"/>
  <c r="C849" i="6"/>
  <c r="V848" i="6"/>
  <c r="U844" i="6" s="1"/>
  <c r="S848" i="6"/>
  <c r="R844" i="6" s="1"/>
  <c r="P848" i="6"/>
  <c r="O844" i="6" s="1"/>
  <c r="M848" i="6"/>
  <c r="L844" i="6" s="1"/>
  <c r="H848" i="6"/>
  <c r="F848" i="6"/>
  <c r="E848" i="6"/>
  <c r="C848" i="6"/>
  <c r="V847" i="6"/>
  <c r="U843" i="6" s="1"/>
  <c r="S847" i="6"/>
  <c r="R843" i="6" s="1"/>
  <c r="P847" i="6"/>
  <c r="O843" i="6" s="1"/>
  <c r="M847" i="6"/>
  <c r="L843" i="6" s="1"/>
  <c r="H847" i="6"/>
  <c r="F847" i="6"/>
  <c r="E847" i="6"/>
  <c r="C847" i="6"/>
  <c r="V846" i="6"/>
  <c r="U842" i="6" s="1"/>
  <c r="S846" i="6"/>
  <c r="R842" i="6" s="1"/>
  <c r="P846" i="6"/>
  <c r="O842" i="6" s="1"/>
  <c r="M846" i="6"/>
  <c r="L842" i="6" s="1"/>
  <c r="H846" i="6"/>
  <c r="F846" i="6"/>
  <c r="E846" i="6"/>
  <c r="C846" i="6"/>
  <c r="V845" i="6"/>
  <c r="U841" i="6" s="1"/>
  <c r="S845" i="6"/>
  <c r="R841" i="6" s="1"/>
  <c r="P845" i="6"/>
  <c r="O841" i="6" s="1"/>
  <c r="M845" i="6"/>
  <c r="H845" i="6"/>
  <c r="F845" i="6"/>
  <c r="E845" i="6"/>
  <c r="C845" i="6"/>
  <c r="V844" i="6"/>
  <c r="U840" i="6" s="1"/>
  <c r="S844" i="6"/>
  <c r="R840" i="6" s="1"/>
  <c r="P844" i="6"/>
  <c r="O840" i="6" s="1"/>
  <c r="M844" i="6"/>
  <c r="L840" i="6" s="1"/>
  <c r="H844" i="6"/>
  <c r="F844" i="6"/>
  <c r="E844" i="6"/>
  <c r="C844" i="6"/>
  <c r="V843" i="6"/>
  <c r="U839" i="6" s="1"/>
  <c r="S843" i="6"/>
  <c r="R839" i="6" s="1"/>
  <c r="P843" i="6"/>
  <c r="O839" i="6" s="1"/>
  <c r="M843" i="6"/>
  <c r="L839" i="6" s="1"/>
  <c r="H843" i="6"/>
  <c r="F843" i="6"/>
  <c r="E843" i="6"/>
  <c r="C843" i="6"/>
  <c r="V842" i="6"/>
  <c r="U838" i="6" s="1"/>
  <c r="S842" i="6"/>
  <c r="P842" i="6"/>
  <c r="O838" i="6" s="1"/>
  <c r="M842" i="6"/>
  <c r="L838" i="6" s="1"/>
  <c r="H842" i="6"/>
  <c r="F842" i="6"/>
  <c r="E842" i="6"/>
  <c r="C842" i="6"/>
  <c r="V841" i="6"/>
  <c r="U837" i="6" s="1"/>
  <c r="S841" i="6"/>
  <c r="R837" i="6" s="1"/>
  <c r="P841" i="6"/>
  <c r="O837" i="6" s="1"/>
  <c r="M841" i="6"/>
  <c r="L837" i="6" s="1"/>
  <c r="H841" i="6"/>
  <c r="F841" i="6"/>
  <c r="E841" i="6"/>
  <c r="C841" i="6"/>
  <c r="V840" i="6"/>
  <c r="U836" i="6" s="1"/>
  <c r="S840" i="6"/>
  <c r="R836" i="6" s="1"/>
  <c r="P840" i="6"/>
  <c r="O836" i="6" s="1"/>
  <c r="M840" i="6"/>
  <c r="L836" i="6" s="1"/>
  <c r="H840" i="6"/>
  <c r="F840" i="6"/>
  <c r="E840" i="6"/>
  <c r="C840" i="6"/>
  <c r="V839" i="6"/>
  <c r="U835" i="6" s="1"/>
  <c r="S839" i="6"/>
  <c r="R835" i="6" s="1"/>
  <c r="P839" i="6"/>
  <c r="O835" i="6" s="1"/>
  <c r="M839" i="6"/>
  <c r="H839" i="6"/>
  <c r="F839" i="6"/>
  <c r="E839" i="6"/>
  <c r="C839" i="6"/>
  <c r="V838" i="6"/>
  <c r="U834" i="6" s="1"/>
  <c r="S838" i="6"/>
  <c r="R834" i="6" s="1"/>
  <c r="P838" i="6"/>
  <c r="M838" i="6"/>
  <c r="L834" i="6" s="1"/>
  <c r="H838" i="6"/>
  <c r="F838" i="6"/>
  <c r="E838" i="6"/>
  <c r="C838" i="6"/>
  <c r="V837" i="6"/>
  <c r="U833" i="6" s="1"/>
  <c r="S837" i="6"/>
  <c r="R833" i="6" s="1"/>
  <c r="P837" i="6"/>
  <c r="O833" i="6" s="1"/>
  <c r="M837" i="6"/>
  <c r="L833" i="6" s="1"/>
  <c r="H837" i="6"/>
  <c r="F837" i="6"/>
  <c r="E837" i="6"/>
  <c r="C837" i="6"/>
  <c r="V836" i="6"/>
  <c r="U832" i="6" s="1"/>
  <c r="S836" i="6"/>
  <c r="R832" i="6" s="1"/>
  <c r="P836" i="6"/>
  <c r="O832" i="6" s="1"/>
  <c r="M836" i="6"/>
  <c r="H836" i="6"/>
  <c r="F836" i="6"/>
  <c r="E836" i="6"/>
  <c r="C836" i="6"/>
  <c r="V835" i="6"/>
  <c r="U831" i="6" s="1"/>
  <c r="S835" i="6"/>
  <c r="R831" i="6" s="1"/>
  <c r="P835" i="6"/>
  <c r="O831" i="6" s="1"/>
  <c r="M835" i="6"/>
  <c r="L831" i="6" s="1"/>
  <c r="H835" i="6"/>
  <c r="F835" i="6"/>
  <c r="E835" i="6"/>
  <c r="C835" i="6"/>
  <c r="V834" i="6"/>
  <c r="U830" i="6" s="1"/>
  <c r="S834" i="6"/>
  <c r="R830" i="6" s="1"/>
  <c r="P834" i="6"/>
  <c r="O830" i="6" s="1"/>
  <c r="M834" i="6"/>
  <c r="L830" i="6" s="1"/>
  <c r="H834" i="6"/>
  <c r="F834" i="6"/>
  <c r="E834" i="6"/>
  <c r="C834" i="6"/>
  <c r="V833" i="6"/>
  <c r="U829" i="6" s="1"/>
  <c r="S833" i="6"/>
  <c r="R829" i="6" s="1"/>
  <c r="P833" i="6"/>
  <c r="O829" i="6" s="1"/>
  <c r="M833" i="6"/>
  <c r="L829" i="6" s="1"/>
  <c r="H833" i="6"/>
  <c r="F833" i="6"/>
  <c r="E833" i="6"/>
  <c r="C833" i="6"/>
  <c r="V832" i="6"/>
  <c r="U828" i="6" s="1"/>
  <c r="S832" i="6"/>
  <c r="R828" i="6" s="1"/>
  <c r="P832" i="6"/>
  <c r="O828" i="6" s="1"/>
  <c r="M832" i="6"/>
  <c r="L828" i="6" s="1"/>
  <c r="H832" i="6"/>
  <c r="F832" i="6"/>
  <c r="E832" i="6"/>
  <c r="C832" i="6"/>
  <c r="V831" i="6"/>
  <c r="S831" i="6"/>
  <c r="R827" i="6" s="1"/>
  <c r="P831" i="6"/>
  <c r="O827" i="6" s="1"/>
  <c r="M831" i="6"/>
  <c r="L827" i="6" s="1"/>
  <c r="H831" i="6"/>
  <c r="F831" i="6"/>
  <c r="E831" i="6"/>
  <c r="C831" i="6"/>
  <c r="V830" i="6"/>
  <c r="U826" i="6" s="1"/>
  <c r="S830" i="6"/>
  <c r="R826" i="6" s="1"/>
  <c r="P830" i="6"/>
  <c r="O826" i="6" s="1"/>
  <c r="M830" i="6"/>
  <c r="L826" i="6" s="1"/>
  <c r="H830" i="6"/>
  <c r="F830" i="6"/>
  <c r="E830" i="6"/>
  <c r="C830" i="6"/>
  <c r="V829" i="6"/>
  <c r="U825" i="6" s="1"/>
  <c r="S829" i="6"/>
  <c r="R825" i="6" s="1"/>
  <c r="P829" i="6"/>
  <c r="M829" i="6"/>
  <c r="L825" i="6" s="1"/>
  <c r="H829" i="6"/>
  <c r="F829" i="6"/>
  <c r="E829" i="6"/>
  <c r="C829" i="6"/>
  <c r="V828" i="6"/>
  <c r="U824" i="6" s="1"/>
  <c r="S828" i="6"/>
  <c r="R824" i="6" s="1"/>
  <c r="P828" i="6"/>
  <c r="O824" i="6" s="1"/>
  <c r="M828" i="6"/>
  <c r="H828" i="6"/>
  <c r="F828" i="6"/>
  <c r="E828" i="6"/>
  <c r="C828" i="6"/>
  <c r="V827" i="6"/>
  <c r="U823" i="6" s="1"/>
  <c r="S827" i="6"/>
  <c r="R823" i="6" s="1"/>
  <c r="P827" i="6"/>
  <c r="O823" i="6" s="1"/>
  <c r="M827" i="6"/>
  <c r="H827" i="6"/>
  <c r="F827" i="6"/>
  <c r="E827" i="6"/>
  <c r="C827" i="6"/>
  <c r="V826" i="6"/>
  <c r="U822" i="6" s="1"/>
  <c r="S826" i="6"/>
  <c r="P826" i="6"/>
  <c r="O822" i="6" s="1"/>
  <c r="M826" i="6"/>
  <c r="L822" i="6" s="1"/>
  <c r="H826" i="6"/>
  <c r="G826" i="6"/>
  <c r="F826" i="6"/>
  <c r="E826" i="6"/>
  <c r="C826" i="6"/>
  <c r="V825" i="6"/>
  <c r="U821" i="6" s="1"/>
  <c r="S825" i="6"/>
  <c r="R821" i="6" s="1"/>
  <c r="P825" i="6"/>
  <c r="O821" i="6" s="1"/>
  <c r="M825" i="6"/>
  <c r="H825" i="6"/>
  <c r="F825" i="6"/>
  <c r="E825" i="6"/>
  <c r="C825" i="6"/>
  <c r="V824" i="6"/>
  <c r="U820" i="6" s="1"/>
  <c r="S824" i="6"/>
  <c r="R820" i="6" s="1"/>
  <c r="P824" i="6"/>
  <c r="O820" i="6" s="1"/>
  <c r="M824" i="6"/>
  <c r="L820" i="6" s="1"/>
  <c r="H824" i="6"/>
  <c r="G824" i="6"/>
  <c r="F824" i="6"/>
  <c r="E824" i="6"/>
  <c r="C824" i="6"/>
  <c r="V823" i="6"/>
  <c r="U819" i="6" s="1"/>
  <c r="S823" i="6"/>
  <c r="R819" i="6" s="1"/>
  <c r="P823" i="6"/>
  <c r="O819" i="6" s="1"/>
  <c r="M823" i="6"/>
  <c r="H823" i="6"/>
  <c r="G823" i="6"/>
  <c r="F823" i="6"/>
  <c r="E823" i="6"/>
  <c r="C823" i="6"/>
  <c r="V822" i="6"/>
  <c r="U818" i="6" s="1"/>
  <c r="S822" i="6"/>
  <c r="R818" i="6" s="1"/>
  <c r="R822" i="6"/>
  <c r="P822" i="6"/>
  <c r="O818" i="6" s="1"/>
  <c r="M822" i="6"/>
  <c r="L818" i="6" s="1"/>
  <c r="H822" i="6"/>
  <c r="G822" i="6"/>
  <c r="F822" i="6"/>
  <c r="E822" i="6"/>
  <c r="C822" i="6"/>
  <c r="H821" i="6"/>
  <c r="F821" i="6"/>
  <c r="E821" i="6"/>
  <c r="C821" i="6"/>
  <c r="V820" i="6"/>
  <c r="U816" i="6" s="1"/>
  <c r="S820" i="6"/>
  <c r="R816" i="6" s="1"/>
  <c r="P820" i="6"/>
  <c r="O816" i="6" s="1"/>
  <c r="M820" i="6"/>
  <c r="H820" i="6"/>
  <c r="F820" i="6"/>
  <c r="E820" i="6"/>
  <c r="C820" i="6"/>
  <c r="H819" i="6"/>
  <c r="C25" i="2" s="1"/>
  <c r="F819" i="6"/>
  <c r="E819" i="6"/>
  <c r="C819" i="6"/>
  <c r="V818" i="6"/>
  <c r="U814" i="6" s="1"/>
  <c r="S818" i="6"/>
  <c r="R814" i="6" s="1"/>
  <c r="P818" i="6"/>
  <c r="O814" i="6" s="1"/>
  <c r="M818" i="6"/>
  <c r="L814" i="6" s="1"/>
  <c r="H818" i="6"/>
  <c r="F818" i="6"/>
  <c r="E818" i="6"/>
  <c r="C818" i="6"/>
  <c r="V817" i="6"/>
  <c r="U813" i="6" s="1"/>
  <c r="S817" i="6"/>
  <c r="R813" i="6" s="1"/>
  <c r="P817" i="6"/>
  <c r="O813" i="6" s="1"/>
  <c r="M817" i="6"/>
  <c r="L813" i="6" s="1"/>
  <c r="H817" i="6"/>
  <c r="F817" i="6"/>
  <c r="E817" i="6"/>
  <c r="C817" i="6"/>
  <c r="V816" i="6"/>
  <c r="U812" i="6" s="1"/>
  <c r="S816" i="6"/>
  <c r="R812" i="6" s="1"/>
  <c r="P816" i="6"/>
  <c r="M816" i="6"/>
  <c r="L812" i="6" s="1"/>
  <c r="H816" i="6"/>
  <c r="F816" i="6"/>
  <c r="E816" i="6"/>
  <c r="C816" i="6"/>
  <c r="V815" i="6"/>
  <c r="U811" i="6" s="1"/>
  <c r="S815" i="6"/>
  <c r="R811" i="6" s="1"/>
  <c r="P815" i="6"/>
  <c r="O811" i="6" s="1"/>
  <c r="M815" i="6"/>
  <c r="H815" i="6"/>
  <c r="F815" i="6"/>
  <c r="E815" i="6"/>
  <c r="C815" i="6"/>
  <c r="V814" i="6"/>
  <c r="U810" i="6" s="1"/>
  <c r="S814" i="6"/>
  <c r="R810" i="6" s="1"/>
  <c r="P814" i="6"/>
  <c r="O810" i="6" s="1"/>
  <c r="M814" i="6"/>
  <c r="H814" i="6"/>
  <c r="F814" i="6"/>
  <c r="E814" i="6"/>
  <c r="C814" i="6"/>
  <c r="H813" i="6"/>
  <c r="F813" i="6"/>
  <c r="E813" i="6"/>
  <c r="C813" i="6"/>
  <c r="H812" i="6"/>
  <c r="F812" i="6"/>
  <c r="E812" i="6"/>
  <c r="C812" i="6"/>
  <c r="V811" i="6"/>
  <c r="U807" i="6" s="1"/>
  <c r="S811" i="6"/>
  <c r="R807" i="6" s="1"/>
  <c r="P811" i="6"/>
  <c r="O807" i="6" s="1"/>
  <c r="M811" i="6"/>
  <c r="L807" i="6" s="1"/>
  <c r="H811" i="6"/>
  <c r="F811" i="6"/>
  <c r="E811" i="6"/>
  <c r="C811" i="6"/>
  <c r="V810" i="6"/>
  <c r="U806" i="6" s="1"/>
  <c r="S810" i="6"/>
  <c r="R806" i="6" s="1"/>
  <c r="P810" i="6"/>
  <c r="O806" i="6" s="1"/>
  <c r="M810" i="6"/>
  <c r="L806" i="6" s="1"/>
  <c r="H810" i="6"/>
  <c r="F810" i="6"/>
  <c r="E810" i="6"/>
  <c r="C810" i="6"/>
  <c r="V809" i="6"/>
  <c r="U805" i="6" s="1"/>
  <c r="S809" i="6"/>
  <c r="R805" i="6" s="1"/>
  <c r="P809" i="6"/>
  <c r="M809" i="6"/>
  <c r="L805" i="6" s="1"/>
  <c r="H809" i="6"/>
  <c r="F809" i="6"/>
  <c r="E809" i="6"/>
  <c r="C809" i="6"/>
  <c r="V808" i="6"/>
  <c r="U804" i="6" s="1"/>
  <c r="S808" i="6"/>
  <c r="R804" i="6" s="1"/>
  <c r="P808" i="6"/>
  <c r="O804" i="6" s="1"/>
  <c r="M808" i="6"/>
  <c r="L804" i="6" s="1"/>
  <c r="H808" i="6"/>
  <c r="F808" i="6"/>
  <c r="E808" i="6"/>
  <c r="C808" i="6"/>
  <c r="V807" i="6"/>
  <c r="U803" i="6" s="1"/>
  <c r="S807" i="6"/>
  <c r="R803" i="6" s="1"/>
  <c r="P807" i="6"/>
  <c r="O803" i="6" s="1"/>
  <c r="M807" i="6"/>
  <c r="L803" i="6" s="1"/>
  <c r="H807" i="6"/>
  <c r="F807" i="6"/>
  <c r="E807" i="6"/>
  <c r="C807" i="6"/>
  <c r="V806" i="6"/>
  <c r="U802" i="6" s="1"/>
  <c r="S806" i="6"/>
  <c r="R802" i="6" s="1"/>
  <c r="P806" i="6"/>
  <c r="O802" i="6" s="1"/>
  <c r="M806" i="6"/>
  <c r="H806" i="6"/>
  <c r="F806" i="6"/>
  <c r="E806" i="6"/>
  <c r="C806" i="6"/>
  <c r="V805" i="6"/>
  <c r="U801" i="6" s="1"/>
  <c r="S805" i="6"/>
  <c r="R801" i="6" s="1"/>
  <c r="P805" i="6"/>
  <c r="O801" i="6" s="1"/>
  <c r="M805" i="6"/>
  <c r="L801" i="6" s="1"/>
  <c r="H805" i="6"/>
  <c r="F805" i="6"/>
  <c r="E805" i="6"/>
  <c r="C805" i="6"/>
  <c r="V804" i="6"/>
  <c r="U800" i="6" s="1"/>
  <c r="S804" i="6"/>
  <c r="R800" i="6" s="1"/>
  <c r="P804" i="6"/>
  <c r="O800" i="6" s="1"/>
  <c r="M804" i="6"/>
  <c r="L800" i="6" s="1"/>
  <c r="H804" i="6"/>
  <c r="F804" i="6"/>
  <c r="E804" i="6"/>
  <c r="C804" i="6"/>
  <c r="V803" i="6"/>
  <c r="U799" i="6" s="1"/>
  <c r="S803" i="6"/>
  <c r="R799" i="6" s="1"/>
  <c r="P803" i="6"/>
  <c r="M803" i="6"/>
  <c r="L799" i="6" s="1"/>
  <c r="H803" i="6"/>
  <c r="F803" i="6"/>
  <c r="E803" i="6"/>
  <c r="C803" i="6"/>
  <c r="V802" i="6"/>
  <c r="U798" i="6" s="1"/>
  <c r="S802" i="6"/>
  <c r="P802" i="6"/>
  <c r="O798" i="6" s="1"/>
  <c r="M802" i="6"/>
  <c r="L798" i="6" s="1"/>
  <c r="H802" i="6"/>
  <c r="F802" i="6"/>
  <c r="E802" i="6"/>
  <c r="C802" i="6"/>
  <c r="V801" i="6"/>
  <c r="U797" i="6" s="1"/>
  <c r="S801" i="6"/>
  <c r="R797" i="6" s="1"/>
  <c r="P801" i="6"/>
  <c r="O797" i="6" s="1"/>
  <c r="M801" i="6"/>
  <c r="H801" i="6"/>
  <c r="F801" i="6"/>
  <c r="E801" i="6"/>
  <c r="C801" i="6"/>
  <c r="V800" i="6"/>
  <c r="U796" i="6" s="1"/>
  <c r="S800" i="6"/>
  <c r="R796" i="6" s="1"/>
  <c r="P800" i="6"/>
  <c r="O796" i="6" s="1"/>
  <c r="M800" i="6"/>
  <c r="H800" i="6"/>
  <c r="F800" i="6"/>
  <c r="E800" i="6"/>
  <c r="C800" i="6"/>
  <c r="V799" i="6"/>
  <c r="U795" i="6" s="1"/>
  <c r="S799" i="6"/>
  <c r="R795" i="6" s="1"/>
  <c r="P799" i="6"/>
  <c r="O795" i="6" s="1"/>
  <c r="M799" i="6"/>
  <c r="L795" i="6" s="1"/>
  <c r="H799" i="6"/>
  <c r="F799" i="6"/>
  <c r="E799" i="6"/>
  <c r="C799" i="6"/>
  <c r="V798" i="6"/>
  <c r="U794" i="6" s="1"/>
  <c r="S798" i="6"/>
  <c r="R794" i="6" s="1"/>
  <c r="P798" i="6"/>
  <c r="O794" i="6" s="1"/>
  <c r="M798" i="6"/>
  <c r="L794" i="6" s="1"/>
  <c r="H798" i="6"/>
  <c r="F798" i="6"/>
  <c r="E798" i="6"/>
  <c r="C798" i="6"/>
  <c r="V797" i="6"/>
  <c r="U793" i="6" s="1"/>
  <c r="S797" i="6"/>
  <c r="R793" i="6" s="1"/>
  <c r="P797" i="6"/>
  <c r="M797" i="6"/>
  <c r="L793" i="6" s="1"/>
  <c r="H797" i="6"/>
  <c r="F797" i="6"/>
  <c r="E797" i="6"/>
  <c r="C797" i="6"/>
  <c r="V796" i="6"/>
  <c r="U792" i="6" s="1"/>
  <c r="S796" i="6"/>
  <c r="R792" i="6" s="1"/>
  <c r="P796" i="6"/>
  <c r="O792" i="6" s="1"/>
  <c r="M796" i="6"/>
  <c r="L792" i="6" s="1"/>
  <c r="H796" i="6"/>
  <c r="F796" i="6"/>
  <c r="E796" i="6"/>
  <c r="C796" i="6"/>
  <c r="V795" i="6"/>
  <c r="S795" i="6"/>
  <c r="P795" i="6"/>
  <c r="M795" i="6"/>
  <c r="H795" i="6"/>
  <c r="F795" i="6"/>
  <c r="E795" i="6"/>
  <c r="C795" i="6"/>
  <c r="V794" i="6"/>
  <c r="U791" i="6" s="1"/>
  <c r="S794" i="6"/>
  <c r="R791" i="6" s="1"/>
  <c r="P794" i="6"/>
  <c r="O791" i="6" s="1"/>
  <c r="M794" i="6"/>
  <c r="H794" i="6"/>
  <c r="F794" i="6"/>
  <c r="E794" i="6"/>
  <c r="C794" i="6"/>
  <c r="V793" i="6"/>
  <c r="U790" i="6" s="1"/>
  <c r="S793" i="6"/>
  <c r="R790" i="6" s="1"/>
  <c r="P793" i="6"/>
  <c r="M793" i="6"/>
  <c r="L790" i="6" s="1"/>
  <c r="H793" i="6"/>
  <c r="F793" i="6"/>
  <c r="E793" i="6"/>
  <c r="C793" i="6"/>
  <c r="V792" i="6"/>
  <c r="S792" i="6"/>
  <c r="R789" i="6" s="1"/>
  <c r="P792" i="6"/>
  <c r="O789" i="6" s="1"/>
  <c r="M792" i="6"/>
  <c r="H792" i="6"/>
  <c r="F792" i="6"/>
  <c r="E792" i="6"/>
  <c r="C792" i="6"/>
  <c r="V791" i="6"/>
  <c r="S791" i="6"/>
  <c r="P791" i="6"/>
  <c r="M791" i="6"/>
  <c r="H791" i="6"/>
  <c r="F791" i="6"/>
  <c r="E791" i="6"/>
  <c r="C791" i="6"/>
  <c r="V790" i="6"/>
  <c r="U787" i="6" s="1"/>
  <c r="S790" i="6"/>
  <c r="R787" i="6" s="1"/>
  <c r="P790" i="6"/>
  <c r="O787" i="6" s="1"/>
  <c r="M790" i="6"/>
  <c r="H790" i="6"/>
  <c r="F790" i="6"/>
  <c r="E790" i="6"/>
  <c r="C790" i="6"/>
  <c r="U789" i="6"/>
  <c r="H789" i="6"/>
  <c r="F789" i="6"/>
  <c r="E789" i="6"/>
  <c r="C789" i="6"/>
  <c r="H788" i="6"/>
  <c r="F788" i="6"/>
  <c r="E788" i="6"/>
  <c r="C788" i="6"/>
  <c r="V787" i="6"/>
  <c r="U784" i="6" s="1"/>
  <c r="S787" i="6"/>
  <c r="R784" i="6" s="1"/>
  <c r="P787" i="6"/>
  <c r="O784" i="6" s="1"/>
  <c r="M787" i="6"/>
  <c r="H787" i="6"/>
  <c r="F787" i="6"/>
  <c r="E787" i="6"/>
  <c r="C787" i="6"/>
  <c r="V786" i="6"/>
  <c r="U783" i="6" s="1"/>
  <c r="S786" i="6"/>
  <c r="R783" i="6" s="1"/>
  <c r="P786" i="6"/>
  <c r="O783" i="6" s="1"/>
  <c r="M786" i="6"/>
  <c r="L783" i="6" s="1"/>
  <c r="H786" i="6"/>
  <c r="F786" i="6"/>
  <c r="E786" i="6"/>
  <c r="C786" i="6"/>
  <c r="H785" i="6"/>
  <c r="F785" i="6"/>
  <c r="E785" i="6"/>
  <c r="C785" i="6"/>
  <c r="V784" i="6"/>
  <c r="U781" i="6" s="1"/>
  <c r="S784" i="6"/>
  <c r="R781" i="6" s="1"/>
  <c r="P784" i="6"/>
  <c r="O781" i="6" s="1"/>
  <c r="M784" i="6"/>
  <c r="L781" i="6" s="1"/>
  <c r="H784" i="6"/>
  <c r="F784" i="6"/>
  <c r="E784" i="6"/>
  <c r="C784" i="6"/>
  <c r="H783" i="6"/>
  <c r="F783" i="6"/>
  <c r="E783" i="6"/>
  <c r="C783" i="6"/>
  <c r="V782" i="6"/>
  <c r="U779" i="6" s="1"/>
  <c r="S782" i="6"/>
  <c r="R779" i="6" s="1"/>
  <c r="P782" i="6"/>
  <c r="O779" i="6" s="1"/>
  <c r="M782" i="6"/>
  <c r="H782" i="6"/>
  <c r="F782" i="6"/>
  <c r="E782" i="6"/>
  <c r="C782" i="6"/>
  <c r="V781" i="6"/>
  <c r="U778" i="6" s="1"/>
  <c r="S781" i="6"/>
  <c r="R778" i="6" s="1"/>
  <c r="P781" i="6"/>
  <c r="O778" i="6" s="1"/>
  <c r="M781" i="6"/>
  <c r="L778" i="6" s="1"/>
  <c r="H781" i="6"/>
  <c r="F781" i="6"/>
  <c r="E781" i="6"/>
  <c r="C781" i="6"/>
  <c r="V780" i="6"/>
  <c r="U777" i="6" s="1"/>
  <c r="S780" i="6"/>
  <c r="R777" i="6" s="1"/>
  <c r="P780" i="6"/>
  <c r="O777" i="6" s="1"/>
  <c r="M780" i="6"/>
  <c r="H780" i="6"/>
  <c r="F780" i="6"/>
  <c r="E780" i="6"/>
  <c r="C780" i="6"/>
  <c r="V779" i="6"/>
  <c r="U776" i="6" s="1"/>
  <c r="S779" i="6"/>
  <c r="R776" i="6" s="1"/>
  <c r="P779" i="6"/>
  <c r="M779" i="6"/>
  <c r="L776" i="6" s="1"/>
  <c r="H779" i="6"/>
  <c r="F779" i="6"/>
  <c r="E779" i="6"/>
  <c r="C779" i="6"/>
  <c r="V778" i="6"/>
  <c r="U775" i="6" s="1"/>
  <c r="S778" i="6"/>
  <c r="R775" i="6" s="1"/>
  <c r="P778" i="6"/>
  <c r="O775" i="6" s="1"/>
  <c r="M778" i="6"/>
  <c r="H778" i="6"/>
  <c r="F778" i="6"/>
  <c r="E778" i="6"/>
  <c r="C778" i="6"/>
  <c r="V777" i="6"/>
  <c r="U774" i="6" s="1"/>
  <c r="S777" i="6"/>
  <c r="R774" i="6" s="1"/>
  <c r="P777" i="6"/>
  <c r="O774" i="6" s="1"/>
  <c r="M777" i="6"/>
  <c r="L774" i="6" s="1"/>
  <c r="H777" i="6"/>
  <c r="F777" i="6"/>
  <c r="E777" i="6"/>
  <c r="C777" i="6"/>
  <c r="V776" i="6"/>
  <c r="U773" i="6" s="1"/>
  <c r="S776" i="6"/>
  <c r="R773" i="6" s="1"/>
  <c r="P776" i="6"/>
  <c r="O773" i="6" s="1"/>
  <c r="M776" i="6"/>
  <c r="H776" i="6"/>
  <c r="F776" i="6"/>
  <c r="E776" i="6"/>
  <c r="C776" i="6"/>
  <c r="V775" i="6"/>
  <c r="U772" i="6" s="1"/>
  <c r="S775" i="6"/>
  <c r="R772" i="6" s="1"/>
  <c r="P775" i="6"/>
  <c r="O772" i="6" s="1"/>
  <c r="M775" i="6"/>
  <c r="H775" i="6"/>
  <c r="F775" i="6"/>
  <c r="E775" i="6"/>
  <c r="C775" i="6"/>
  <c r="V774" i="6"/>
  <c r="U771" i="6" s="1"/>
  <c r="S774" i="6"/>
  <c r="R771" i="6" s="1"/>
  <c r="P774" i="6"/>
  <c r="O771" i="6" s="1"/>
  <c r="M774" i="6"/>
  <c r="L771" i="6" s="1"/>
  <c r="H774" i="6"/>
  <c r="F774" i="6"/>
  <c r="E774" i="6"/>
  <c r="C774" i="6"/>
  <c r="H773" i="6"/>
  <c r="F773" i="6"/>
  <c r="E773" i="6"/>
  <c r="C773" i="6"/>
  <c r="V772" i="6"/>
  <c r="U769" i="6" s="1"/>
  <c r="S772" i="6"/>
  <c r="R769" i="6" s="1"/>
  <c r="P772" i="6"/>
  <c r="O769" i="6" s="1"/>
  <c r="M772" i="6"/>
  <c r="H772" i="6"/>
  <c r="F772" i="6"/>
  <c r="E772" i="6"/>
  <c r="C772" i="6"/>
  <c r="V771" i="6"/>
  <c r="U768" i="6" s="1"/>
  <c r="S771" i="6"/>
  <c r="R768" i="6" s="1"/>
  <c r="P771" i="6"/>
  <c r="O768" i="6" s="1"/>
  <c r="M771" i="6"/>
  <c r="H771" i="6"/>
  <c r="F771" i="6"/>
  <c r="E771" i="6"/>
  <c r="C771" i="6"/>
  <c r="V770" i="6"/>
  <c r="U767" i="6" s="1"/>
  <c r="S770" i="6"/>
  <c r="R767" i="6" s="1"/>
  <c r="P770" i="6"/>
  <c r="O767" i="6" s="1"/>
  <c r="M770" i="6"/>
  <c r="H770" i="6"/>
  <c r="F770" i="6"/>
  <c r="E770" i="6"/>
  <c r="C770" i="6"/>
  <c r="H769" i="6"/>
  <c r="F769" i="6"/>
  <c r="E769" i="6"/>
  <c r="C769" i="6"/>
  <c r="V768" i="6"/>
  <c r="U765" i="6" s="1"/>
  <c r="S768" i="6"/>
  <c r="R765" i="6" s="1"/>
  <c r="P768" i="6"/>
  <c r="O765" i="6" s="1"/>
  <c r="M768" i="6"/>
  <c r="L765" i="6" s="1"/>
  <c r="H768" i="6"/>
  <c r="F768" i="6"/>
  <c r="E768" i="6"/>
  <c r="C768" i="6"/>
  <c r="V767" i="6"/>
  <c r="U764" i="6" s="1"/>
  <c r="S767" i="6"/>
  <c r="P767" i="6"/>
  <c r="O764" i="6" s="1"/>
  <c r="M767" i="6"/>
  <c r="L764" i="6" s="1"/>
  <c r="H767" i="6"/>
  <c r="F767" i="6"/>
  <c r="E767" i="6"/>
  <c r="C767" i="6"/>
  <c r="V766" i="6"/>
  <c r="U763" i="6" s="1"/>
  <c r="S766" i="6"/>
  <c r="R763" i="6" s="1"/>
  <c r="P766" i="6"/>
  <c r="O763" i="6" s="1"/>
  <c r="M766" i="6"/>
  <c r="L763" i="6" s="1"/>
  <c r="H766" i="6"/>
  <c r="F766" i="6"/>
  <c r="E766" i="6"/>
  <c r="C766" i="6"/>
  <c r="V765" i="6"/>
  <c r="U762" i="6" s="1"/>
  <c r="S765" i="6"/>
  <c r="R762" i="6" s="1"/>
  <c r="P765" i="6"/>
  <c r="O762" i="6" s="1"/>
  <c r="M765" i="6"/>
  <c r="L762" i="6" s="1"/>
  <c r="H765" i="6"/>
  <c r="F765" i="6"/>
  <c r="E765" i="6"/>
  <c r="C765" i="6"/>
  <c r="V764" i="6"/>
  <c r="U761" i="6" s="1"/>
  <c r="S764" i="6"/>
  <c r="P764" i="6"/>
  <c r="O761" i="6" s="1"/>
  <c r="M764" i="6"/>
  <c r="L761" i="6" s="1"/>
  <c r="H764" i="6"/>
  <c r="F764" i="6"/>
  <c r="E764" i="6"/>
  <c r="C764" i="6"/>
  <c r="V763" i="6"/>
  <c r="S763" i="6"/>
  <c r="R760" i="6" s="1"/>
  <c r="P763" i="6"/>
  <c r="O760" i="6" s="1"/>
  <c r="M763" i="6"/>
  <c r="L760" i="6" s="1"/>
  <c r="H763" i="6"/>
  <c r="F763" i="6"/>
  <c r="E763" i="6"/>
  <c r="C763" i="6"/>
  <c r="V762" i="6"/>
  <c r="U759" i="6" s="1"/>
  <c r="S762" i="6"/>
  <c r="R759" i="6" s="1"/>
  <c r="P762" i="6"/>
  <c r="O759" i="6" s="1"/>
  <c r="M762" i="6"/>
  <c r="L759" i="6" s="1"/>
  <c r="H762" i="6"/>
  <c r="F762" i="6"/>
  <c r="E762" i="6"/>
  <c r="C762" i="6"/>
  <c r="V761" i="6"/>
  <c r="U758" i="6" s="1"/>
  <c r="S761" i="6"/>
  <c r="R758" i="6" s="1"/>
  <c r="P761" i="6"/>
  <c r="M761" i="6"/>
  <c r="L758" i="6" s="1"/>
  <c r="H761" i="6"/>
  <c r="F761" i="6"/>
  <c r="E761" i="6"/>
  <c r="C761" i="6"/>
  <c r="V760" i="6"/>
  <c r="U757" i="6" s="1"/>
  <c r="S760" i="6"/>
  <c r="R757" i="6" s="1"/>
  <c r="P760" i="6"/>
  <c r="O757" i="6" s="1"/>
  <c r="M760" i="6"/>
  <c r="L757" i="6" s="1"/>
  <c r="H760" i="6"/>
  <c r="F760" i="6"/>
  <c r="E760" i="6"/>
  <c r="C760" i="6"/>
  <c r="V759" i="6"/>
  <c r="U756" i="6" s="1"/>
  <c r="S759" i="6"/>
  <c r="R756" i="6" s="1"/>
  <c r="P759" i="6"/>
  <c r="O756" i="6" s="1"/>
  <c r="M759" i="6"/>
  <c r="L756" i="6" s="1"/>
  <c r="H759" i="6"/>
  <c r="F759" i="6"/>
  <c r="E759" i="6"/>
  <c r="C759" i="6"/>
  <c r="V758" i="6"/>
  <c r="U755" i="6" s="1"/>
  <c r="S758" i="6"/>
  <c r="R755" i="6" s="1"/>
  <c r="P758" i="6"/>
  <c r="O755" i="6" s="1"/>
  <c r="M758" i="6"/>
  <c r="H758" i="6"/>
  <c r="F758" i="6"/>
  <c r="E758" i="6"/>
  <c r="C758" i="6"/>
  <c r="V757" i="6"/>
  <c r="U754" i="6" s="1"/>
  <c r="S757" i="6"/>
  <c r="R754" i="6" s="1"/>
  <c r="P757" i="6"/>
  <c r="O754" i="6" s="1"/>
  <c r="M757" i="6"/>
  <c r="L754" i="6" s="1"/>
  <c r="H757" i="6"/>
  <c r="F757" i="6"/>
  <c r="E757" i="6"/>
  <c r="C757" i="6"/>
  <c r="V756" i="6"/>
  <c r="U753" i="6" s="1"/>
  <c r="S756" i="6"/>
  <c r="R753" i="6" s="1"/>
  <c r="P756" i="6"/>
  <c r="O753" i="6" s="1"/>
  <c r="M756" i="6"/>
  <c r="H756" i="6"/>
  <c r="F756" i="6"/>
  <c r="E756" i="6"/>
  <c r="C756" i="6"/>
  <c r="V755" i="6"/>
  <c r="U752" i="6" s="1"/>
  <c r="S755" i="6"/>
  <c r="R752" i="6" s="1"/>
  <c r="P755" i="6"/>
  <c r="M755" i="6"/>
  <c r="L752" i="6" s="1"/>
  <c r="H755" i="6"/>
  <c r="F755" i="6"/>
  <c r="E755" i="6"/>
  <c r="C755" i="6"/>
  <c r="V754" i="6"/>
  <c r="U751" i="6" s="1"/>
  <c r="S754" i="6"/>
  <c r="R751" i="6" s="1"/>
  <c r="P754" i="6"/>
  <c r="O751" i="6" s="1"/>
  <c r="M754" i="6"/>
  <c r="L751" i="6" s="1"/>
  <c r="H754" i="6"/>
  <c r="F754" i="6"/>
  <c r="E754" i="6"/>
  <c r="C754" i="6"/>
  <c r="V753" i="6"/>
  <c r="U750" i="6" s="1"/>
  <c r="S753" i="6"/>
  <c r="R750" i="6" s="1"/>
  <c r="P753" i="6"/>
  <c r="O750" i="6" s="1"/>
  <c r="M753" i="6"/>
  <c r="H753" i="6"/>
  <c r="F753" i="6"/>
  <c r="E753" i="6"/>
  <c r="C753" i="6"/>
  <c r="V752" i="6"/>
  <c r="U749" i="6" s="1"/>
  <c r="S752" i="6"/>
  <c r="R749" i="6" s="1"/>
  <c r="P752" i="6"/>
  <c r="O749" i="6" s="1"/>
  <c r="M752" i="6"/>
  <c r="H752" i="6"/>
  <c r="F752" i="6"/>
  <c r="E752" i="6"/>
  <c r="C752" i="6"/>
  <c r="V751" i="6"/>
  <c r="U748" i="6" s="1"/>
  <c r="S751" i="6"/>
  <c r="R748" i="6" s="1"/>
  <c r="P751" i="6"/>
  <c r="O748" i="6" s="1"/>
  <c r="M751" i="6"/>
  <c r="L748" i="6" s="1"/>
  <c r="H751" i="6"/>
  <c r="F751" i="6"/>
  <c r="E751" i="6"/>
  <c r="C751" i="6"/>
  <c r="V750" i="6"/>
  <c r="U747" i="6" s="1"/>
  <c r="S750" i="6"/>
  <c r="R747" i="6" s="1"/>
  <c r="P750" i="6"/>
  <c r="O747" i="6" s="1"/>
  <c r="M750" i="6"/>
  <c r="H750" i="6"/>
  <c r="F750" i="6"/>
  <c r="E750" i="6"/>
  <c r="C750" i="6"/>
  <c r="V749" i="6"/>
  <c r="U746" i="6" s="1"/>
  <c r="S749" i="6"/>
  <c r="P749" i="6"/>
  <c r="O746" i="6" s="1"/>
  <c r="M749" i="6"/>
  <c r="L746" i="6" s="1"/>
  <c r="H749" i="6"/>
  <c r="F749" i="6"/>
  <c r="E749" i="6"/>
  <c r="C749" i="6"/>
  <c r="V748" i="6"/>
  <c r="U745" i="6" s="1"/>
  <c r="S748" i="6"/>
  <c r="R745" i="6" s="1"/>
  <c r="P748" i="6"/>
  <c r="O745" i="6" s="1"/>
  <c r="M748" i="6"/>
  <c r="H748" i="6"/>
  <c r="F748" i="6"/>
  <c r="E748" i="6"/>
  <c r="C748" i="6"/>
  <c r="V747" i="6"/>
  <c r="U744" i="6" s="1"/>
  <c r="S747" i="6"/>
  <c r="R744" i="6" s="1"/>
  <c r="P747" i="6"/>
  <c r="O744" i="6" s="1"/>
  <c r="M747" i="6"/>
  <c r="L744" i="6" s="1"/>
  <c r="H747" i="6"/>
  <c r="F747" i="6"/>
  <c r="E747" i="6"/>
  <c r="C747" i="6"/>
  <c r="V746" i="6"/>
  <c r="U743" i="6" s="1"/>
  <c r="S746" i="6"/>
  <c r="R743" i="6" s="1"/>
  <c r="P746" i="6"/>
  <c r="O743" i="6" s="1"/>
  <c r="M746" i="6"/>
  <c r="L743" i="6" s="1"/>
  <c r="H746" i="6"/>
  <c r="F746" i="6"/>
  <c r="E746" i="6"/>
  <c r="C746" i="6"/>
  <c r="V745" i="6"/>
  <c r="U742" i="6" s="1"/>
  <c r="S745" i="6"/>
  <c r="R742" i="6" s="1"/>
  <c r="P745" i="6"/>
  <c r="O742" i="6" s="1"/>
  <c r="M745" i="6"/>
  <c r="H745" i="6"/>
  <c r="F745" i="6"/>
  <c r="E745" i="6"/>
  <c r="C745" i="6"/>
  <c r="V744" i="6"/>
  <c r="U741" i="6" s="1"/>
  <c r="S744" i="6"/>
  <c r="R741" i="6" s="1"/>
  <c r="P744" i="6"/>
  <c r="O741" i="6" s="1"/>
  <c r="M744" i="6"/>
  <c r="L741" i="6" s="1"/>
  <c r="H744" i="6"/>
  <c r="F744" i="6"/>
  <c r="E744" i="6"/>
  <c r="C744" i="6"/>
  <c r="V743" i="6"/>
  <c r="S743" i="6"/>
  <c r="R740" i="6" s="1"/>
  <c r="P743" i="6"/>
  <c r="O740" i="6" s="1"/>
  <c r="M743" i="6"/>
  <c r="L740" i="6" s="1"/>
  <c r="H743" i="6"/>
  <c r="F743" i="6"/>
  <c r="E743" i="6"/>
  <c r="C743" i="6"/>
  <c r="V742" i="6"/>
  <c r="U739" i="6" s="1"/>
  <c r="S742" i="6"/>
  <c r="R739" i="6" s="1"/>
  <c r="P742" i="6"/>
  <c r="O739" i="6" s="1"/>
  <c r="M742" i="6"/>
  <c r="H742" i="6"/>
  <c r="F742" i="6"/>
  <c r="E742" i="6"/>
  <c r="C742" i="6"/>
  <c r="V741" i="6"/>
  <c r="U738" i="6" s="1"/>
  <c r="S741" i="6"/>
  <c r="R738" i="6" s="1"/>
  <c r="P741" i="6"/>
  <c r="O738" i="6" s="1"/>
  <c r="M741" i="6"/>
  <c r="L738" i="6" s="1"/>
  <c r="H741" i="6"/>
  <c r="F741" i="6"/>
  <c r="E741" i="6"/>
  <c r="C741" i="6"/>
  <c r="V740" i="6"/>
  <c r="U737" i="6" s="1"/>
  <c r="S740" i="6"/>
  <c r="R737" i="6" s="1"/>
  <c r="P740" i="6"/>
  <c r="O737" i="6" s="1"/>
  <c r="M740" i="6"/>
  <c r="H740" i="6"/>
  <c r="F740" i="6"/>
  <c r="E740" i="6"/>
  <c r="C740" i="6"/>
  <c r="V739" i="6"/>
  <c r="U736" i="6" s="1"/>
  <c r="S739" i="6"/>
  <c r="R736" i="6" s="1"/>
  <c r="P739" i="6"/>
  <c r="O736" i="6" s="1"/>
  <c r="M739" i="6"/>
  <c r="L736" i="6" s="1"/>
  <c r="H739" i="6"/>
  <c r="F739" i="6"/>
  <c r="E739" i="6"/>
  <c r="C739" i="6"/>
  <c r="V738" i="6"/>
  <c r="U735" i="6" s="1"/>
  <c r="S738" i="6"/>
  <c r="R735" i="6" s="1"/>
  <c r="P738" i="6"/>
  <c r="O735" i="6" s="1"/>
  <c r="M738" i="6"/>
  <c r="H738" i="6"/>
  <c r="F738" i="6"/>
  <c r="E738" i="6"/>
  <c r="C738" i="6"/>
  <c r="V737" i="6"/>
  <c r="S737" i="6"/>
  <c r="R734" i="6" s="1"/>
  <c r="P737" i="6"/>
  <c r="O734" i="6" s="1"/>
  <c r="M737" i="6"/>
  <c r="L734" i="6" s="1"/>
  <c r="H737" i="6"/>
  <c r="F737" i="6"/>
  <c r="E737" i="6"/>
  <c r="C737" i="6"/>
  <c r="V736" i="6"/>
  <c r="U733" i="6" s="1"/>
  <c r="S736" i="6"/>
  <c r="R733" i="6" s="1"/>
  <c r="P736" i="6"/>
  <c r="O733" i="6" s="1"/>
  <c r="M736" i="6"/>
  <c r="H736" i="6"/>
  <c r="F736" i="6"/>
  <c r="E736" i="6"/>
  <c r="C736" i="6"/>
  <c r="V735" i="6"/>
  <c r="U732" i="6" s="1"/>
  <c r="S735" i="6"/>
  <c r="R732" i="6" s="1"/>
  <c r="P735" i="6"/>
  <c r="O732" i="6" s="1"/>
  <c r="M735" i="6"/>
  <c r="H735" i="6"/>
  <c r="F735" i="6"/>
  <c r="E735" i="6"/>
  <c r="C735" i="6"/>
  <c r="V734" i="6"/>
  <c r="U731" i="6" s="1"/>
  <c r="S734" i="6"/>
  <c r="R731" i="6" s="1"/>
  <c r="P734" i="6"/>
  <c r="O731" i="6" s="1"/>
  <c r="M734" i="6"/>
  <c r="H734" i="6"/>
  <c r="F734" i="6"/>
  <c r="E734" i="6"/>
  <c r="C734" i="6"/>
  <c r="V733" i="6"/>
  <c r="U730" i="6" s="1"/>
  <c r="S733" i="6"/>
  <c r="R730" i="6" s="1"/>
  <c r="P733" i="6"/>
  <c r="O730" i="6" s="1"/>
  <c r="M733" i="6"/>
  <c r="H733" i="6"/>
  <c r="F733" i="6"/>
  <c r="E733" i="6"/>
  <c r="C733" i="6"/>
  <c r="V732" i="6"/>
  <c r="U729" i="6" s="1"/>
  <c r="S732" i="6"/>
  <c r="R729" i="6" s="1"/>
  <c r="P732" i="6"/>
  <c r="O729" i="6" s="1"/>
  <c r="M732" i="6"/>
  <c r="L729" i="6" s="1"/>
  <c r="H732" i="6"/>
  <c r="F732" i="6"/>
  <c r="E732" i="6"/>
  <c r="C732" i="6"/>
  <c r="V731" i="6"/>
  <c r="U728" i="6" s="1"/>
  <c r="S731" i="6"/>
  <c r="R728" i="6" s="1"/>
  <c r="P731" i="6"/>
  <c r="O728" i="6" s="1"/>
  <c r="M731" i="6"/>
  <c r="L728" i="6" s="1"/>
  <c r="H731" i="6"/>
  <c r="F731" i="6"/>
  <c r="E731" i="6"/>
  <c r="C731" i="6"/>
  <c r="V730" i="6"/>
  <c r="U727" i="6" s="1"/>
  <c r="S730" i="6"/>
  <c r="R727" i="6" s="1"/>
  <c r="P730" i="6"/>
  <c r="O727" i="6" s="1"/>
  <c r="M730" i="6"/>
  <c r="H730" i="6"/>
  <c r="F730" i="6"/>
  <c r="E730" i="6"/>
  <c r="C730" i="6"/>
  <c r="V729" i="6"/>
  <c r="U726" i="6" s="1"/>
  <c r="S729" i="6"/>
  <c r="R726" i="6" s="1"/>
  <c r="P729" i="6"/>
  <c r="O726" i="6" s="1"/>
  <c r="M729" i="6"/>
  <c r="L726" i="6" s="1"/>
  <c r="H729" i="6"/>
  <c r="F729" i="6"/>
  <c r="E729" i="6"/>
  <c r="C729" i="6"/>
  <c r="V728" i="6"/>
  <c r="U725" i="6" s="1"/>
  <c r="S728" i="6"/>
  <c r="P728" i="6"/>
  <c r="O725" i="6" s="1"/>
  <c r="M728" i="6"/>
  <c r="L725" i="6" s="1"/>
  <c r="H728" i="6"/>
  <c r="F728" i="6"/>
  <c r="E728" i="6"/>
  <c r="C728" i="6"/>
  <c r="V727" i="6"/>
  <c r="U724" i="6" s="1"/>
  <c r="S727" i="6"/>
  <c r="R724" i="6" s="1"/>
  <c r="P727" i="6"/>
  <c r="O724" i="6" s="1"/>
  <c r="M727" i="6"/>
  <c r="L724" i="6" s="1"/>
  <c r="H727" i="6"/>
  <c r="F727" i="6"/>
  <c r="E727" i="6"/>
  <c r="C727" i="6"/>
  <c r="V726" i="6"/>
  <c r="U723" i="6" s="1"/>
  <c r="S726" i="6"/>
  <c r="R723" i="6" s="1"/>
  <c r="P726" i="6"/>
  <c r="O723" i="6" s="1"/>
  <c r="M726" i="6"/>
  <c r="H726" i="6"/>
  <c r="F726" i="6"/>
  <c r="E726" i="6"/>
  <c r="C726" i="6"/>
  <c r="V725" i="6"/>
  <c r="U722" i="6" s="1"/>
  <c r="S725" i="6"/>
  <c r="R722" i="6" s="1"/>
  <c r="P725" i="6"/>
  <c r="O722" i="6" s="1"/>
  <c r="M725" i="6"/>
  <c r="L722" i="6" s="1"/>
  <c r="H725" i="6"/>
  <c r="F725" i="6"/>
  <c r="E725" i="6"/>
  <c r="C725" i="6"/>
  <c r="V724" i="6"/>
  <c r="U721" i="6" s="1"/>
  <c r="S724" i="6"/>
  <c r="R721" i="6" s="1"/>
  <c r="P724" i="6"/>
  <c r="O721" i="6" s="1"/>
  <c r="M724" i="6"/>
  <c r="L721" i="6" s="1"/>
  <c r="H724" i="6"/>
  <c r="F724" i="6"/>
  <c r="E724" i="6"/>
  <c r="C724" i="6"/>
  <c r="V723" i="6"/>
  <c r="S723" i="6"/>
  <c r="R720" i="6" s="1"/>
  <c r="P723" i="6"/>
  <c r="O720" i="6" s="1"/>
  <c r="M723" i="6"/>
  <c r="L720" i="6" s="1"/>
  <c r="H723" i="6"/>
  <c r="F723" i="6"/>
  <c r="E723" i="6"/>
  <c r="C723" i="6"/>
  <c r="V722" i="6"/>
  <c r="U719" i="6" s="1"/>
  <c r="S722" i="6"/>
  <c r="R719" i="6" s="1"/>
  <c r="P722" i="6"/>
  <c r="O719" i="6" s="1"/>
  <c r="M722" i="6"/>
  <c r="H722" i="6"/>
  <c r="F722" i="6"/>
  <c r="E722" i="6"/>
  <c r="C722" i="6"/>
  <c r="V721" i="6"/>
  <c r="U718" i="6" s="1"/>
  <c r="S721" i="6"/>
  <c r="R718" i="6" s="1"/>
  <c r="P721" i="6"/>
  <c r="O718" i="6" s="1"/>
  <c r="M721" i="6"/>
  <c r="L718" i="6" s="1"/>
  <c r="H721" i="6"/>
  <c r="F721" i="6"/>
  <c r="E721" i="6"/>
  <c r="C721" i="6"/>
  <c r="V720" i="6"/>
  <c r="U717" i="6" s="1"/>
  <c r="S720" i="6"/>
  <c r="R717" i="6" s="1"/>
  <c r="P720" i="6"/>
  <c r="O717" i="6" s="1"/>
  <c r="M720" i="6"/>
  <c r="H720" i="6"/>
  <c r="F720" i="6"/>
  <c r="E720" i="6"/>
  <c r="C720" i="6"/>
  <c r="V719" i="6"/>
  <c r="U716" i="6" s="1"/>
  <c r="S719" i="6"/>
  <c r="R716" i="6" s="1"/>
  <c r="P719" i="6"/>
  <c r="M719" i="6"/>
  <c r="L716" i="6" s="1"/>
  <c r="H719" i="6"/>
  <c r="F719" i="6"/>
  <c r="E719" i="6"/>
  <c r="C719" i="6"/>
  <c r="V718" i="6"/>
  <c r="U715" i="6" s="1"/>
  <c r="S718" i="6"/>
  <c r="R715" i="6" s="1"/>
  <c r="P718" i="6"/>
  <c r="O715" i="6" s="1"/>
  <c r="M718" i="6"/>
  <c r="L715" i="6" s="1"/>
  <c r="H718" i="6"/>
  <c r="F718" i="6"/>
  <c r="E718" i="6"/>
  <c r="C718" i="6"/>
  <c r="V717" i="6"/>
  <c r="U714" i="6" s="1"/>
  <c r="S717" i="6"/>
  <c r="R714" i="6" s="1"/>
  <c r="P717" i="6"/>
  <c r="O714" i="6" s="1"/>
  <c r="M717" i="6"/>
  <c r="L714" i="6" s="1"/>
  <c r="H717" i="6"/>
  <c r="F717" i="6"/>
  <c r="E717" i="6"/>
  <c r="C717" i="6"/>
  <c r="V716" i="6"/>
  <c r="U713" i="6" s="1"/>
  <c r="S716" i="6"/>
  <c r="R713" i="6" s="1"/>
  <c r="P716" i="6"/>
  <c r="O713" i="6" s="1"/>
  <c r="M716" i="6"/>
  <c r="H716" i="6"/>
  <c r="F716" i="6"/>
  <c r="E716" i="6"/>
  <c r="C716" i="6"/>
  <c r="V715" i="6"/>
  <c r="U712" i="6" s="1"/>
  <c r="S715" i="6"/>
  <c r="R712" i="6" s="1"/>
  <c r="P715" i="6"/>
  <c r="O712" i="6" s="1"/>
  <c r="M715" i="6"/>
  <c r="L712" i="6" s="1"/>
  <c r="H715" i="6"/>
  <c r="F715" i="6"/>
  <c r="E715" i="6"/>
  <c r="C715" i="6"/>
  <c r="V714" i="6"/>
  <c r="U711" i="6" s="1"/>
  <c r="S714" i="6"/>
  <c r="R711" i="6" s="1"/>
  <c r="P714" i="6"/>
  <c r="O711" i="6" s="1"/>
  <c r="M714" i="6"/>
  <c r="H714" i="6"/>
  <c r="F714" i="6"/>
  <c r="E714" i="6"/>
  <c r="C714" i="6"/>
  <c r="V713" i="6"/>
  <c r="U710" i="6" s="1"/>
  <c r="S713" i="6"/>
  <c r="R710" i="6" s="1"/>
  <c r="P713" i="6"/>
  <c r="O710" i="6" s="1"/>
  <c r="M713" i="6"/>
  <c r="L710" i="6" s="1"/>
  <c r="H713" i="6"/>
  <c r="F713" i="6"/>
  <c r="E713" i="6"/>
  <c r="C713" i="6"/>
  <c r="V712" i="6"/>
  <c r="U709" i="6" s="1"/>
  <c r="S712" i="6"/>
  <c r="R709" i="6" s="1"/>
  <c r="P712" i="6"/>
  <c r="O709" i="6" s="1"/>
  <c r="M712" i="6"/>
  <c r="L709" i="6" s="1"/>
  <c r="H712" i="6"/>
  <c r="F712" i="6"/>
  <c r="E712" i="6"/>
  <c r="C712" i="6"/>
  <c r="V711" i="6"/>
  <c r="U708" i="6" s="1"/>
  <c r="S711" i="6"/>
  <c r="R708" i="6" s="1"/>
  <c r="P711" i="6"/>
  <c r="M711" i="6"/>
  <c r="L708" i="6" s="1"/>
  <c r="H711" i="6"/>
  <c r="F711" i="6"/>
  <c r="E711" i="6"/>
  <c r="C711" i="6"/>
  <c r="V710" i="6"/>
  <c r="U707" i="6" s="1"/>
  <c r="S710" i="6"/>
  <c r="R707" i="6" s="1"/>
  <c r="P710" i="6"/>
  <c r="O707" i="6" s="1"/>
  <c r="M710" i="6"/>
  <c r="L707" i="6" s="1"/>
  <c r="H710" i="6"/>
  <c r="F710" i="6"/>
  <c r="E710" i="6"/>
  <c r="C710" i="6"/>
  <c r="V709" i="6"/>
  <c r="U706" i="6" s="1"/>
  <c r="S709" i="6"/>
  <c r="R706" i="6" s="1"/>
  <c r="P709" i="6"/>
  <c r="O706" i="6" s="1"/>
  <c r="M709" i="6"/>
  <c r="L706" i="6" s="1"/>
  <c r="H709" i="6"/>
  <c r="F709" i="6"/>
  <c r="E709" i="6"/>
  <c r="C709" i="6"/>
  <c r="V708" i="6"/>
  <c r="U705" i="6" s="1"/>
  <c r="S708" i="6"/>
  <c r="R705" i="6" s="1"/>
  <c r="P708" i="6"/>
  <c r="O705" i="6" s="1"/>
  <c r="M708" i="6"/>
  <c r="L705" i="6" s="1"/>
  <c r="H708" i="6"/>
  <c r="F708" i="6"/>
  <c r="E708" i="6"/>
  <c r="C708" i="6"/>
  <c r="V707" i="6"/>
  <c r="U704" i="6" s="1"/>
  <c r="S707" i="6"/>
  <c r="R704" i="6" s="1"/>
  <c r="P707" i="6"/>
  <c r="M707" i="6"/>
  <c r="L704" i="6" s="1"/>
  <c r="H707" i="6"/>
  <c r="F707" i="6"/>
  <c r="E707" i="6"/>
  <c r="C707" i="6"/>
  <c r="V706" i="6"/>
  <c r="U703" i="6" s="1"/>
  <c r="S706" i="6"/>
  <c r="R703" i="6" s="1"/>
  <c r="P706" i="6"/>
  <c r="O703" i="6" s="1"/>
  <c r="M706" i="6"/>
  <c r="H706" i="6"/>
  <c r="F706" i="6"/>
  <c r="E706" i="6"/>
  <c r="C706" i="6"/>
  <c r="V705" i="6"/>
  <c r="U702" i="6" s="1"/>
  <c r="S705" i="6"/>
  <c r="R702" i="6" s="1"/>
  <c r="P705" i="6"/>
  <c r="O702" i="6" s="1"/>
  <c r="M705" i="6"/>
  <c r="L702" i="6" s="1"/>
  <c r="H705" i="6"/>
  <c r="F705" i="6"/>
  <c r="E705" i="6"/>
  <c r="C705" i="6"/>
  <c r="V704" i="6"/>
  <c r="U701" i="6" s="1"/>
  <c r="S704" i="6"/>
  <c r="R701" i="6" s="1"/>
  <c r="P704" i="6"/>
  <c r="O701" i="6" s="1"/>
  <c r="M704" i="6"/>
  <c r="H704" i="6"/>
  <c r="F704" i="6"/>
  <c r="E704" i="6"/>
  <c r="C704" i="6"/>
  <c r="V703" i="6"/>
  <c r="U700" i="6" s="1"/>
  <c r="S703" i="6"/>
  <c r="R700" i="6" s="1"/>
  <c r="P703" i="6"/>
  <c r="O700" i="6" s="1"/>
  <c r="M703" i="6"/>
  <c r="L700" i="6" s="1"/>
  <c r="H703" i="6"/>
  <c r="F703" i="6"/>
  <c r="E703" i="6"/>
  <c r="C703" i="6"/>
  <c r="V702" i="6"/>
  <c r="U699" i="6" s="1"/>
  <c r="S702" i="6"/>
  <c r="R699" i="6" s="1"/>
  <c r="P702" i="6"/>
  <c r="O699" i="6" s="1"/>
  <c r="M702" i="6"/>
  <c r="H702" i="6"/>
  <c r="F702" i="6"/>
  <c r="E702" i="6"/>
  <c r="C702" i="6"/>
  <c r="V701" i="6"/>
  <c r="S701" i="6"/>
  <c r="R698" i="6" s="1"/>
  <c r="P701" i="6"/>
  <c r="O698" i="6" s="1"/>
  <c r="M701" i="6"/>
  <c r="L698" i="6" s="1"/>
  <c r="H701" i="6"/>
  <c r="F701" i="6"/>
  <c r="E701" i="6"/>
  <c r="C701" i="6"/>
  <c r="V700" i="6"/>
  <c r="U697" i="6" s="1"/>
  <c r="S700" i="6"/>
  <c r="R697" i="6" s="1"/>
  <c r="P700" i="6"/>
  <c r="O697" i="6" s="1"/>
  <c r="M700" i="6"/>
  <c r="H700" i="6"/>
  <c r="F700" i="6"/>
  <c r="E700" i="6"/>
  <c r="C700" i="6"/>
  <c r="V699" i="6"/>
  <c r="U696" i="6" s="1"/>
  <c r="S699" i="6"/>
  <c r="R696" i="6" s="1"/>
  <c r="P699" i="6"/>
  <c r="O696" i="6" s="1"/>
  <c r="M699" i="6"/>
  <c r="L696" i="6" s="1"/>
  <c r="H699" i="6"/>
  <c r="F699" i="6"/>
  <c r="E699" i="6"/>
  <c r="C699" i="6"/>
  <c r="V698" i="6"/>
  <c r="U695" i="6" s="1"/>
  <c r="S698" i="6"/>
  <c r="R695" i="6" s="1"/>
  <c r="P698" i="6"/>
  <c r="O695" i="6" s="1"/>
  <c r="M698" i="6"/>
  <c r="L695" i="6" s="1"/>
  <c r="H698" i="6"/>
  <c r="F698" i="6"/>
  <c r="E698" i="6"/>
  <c r="C698" i="6"/>
  <c r="V697" i="6"/>
  <c r="U694" i="6" s="1"/>
  <c r="S697" i="6"/>
  <c r="R694" i="6" s="1"/>
  <c r="P697" i="6"/>
  <c r="O694" i="6" s="1"/>
  <c r="M697" i="6"/>
  <c r="L694" i="6" s="1"/>
  <c r="H697" i="6"/>
  <c r="F697" i="6"/>
  <c r="E697" i="6"/>
  <c r="C697" i="6"/>
  <c r="V696" i="6"/>
  <c r="U693" i="6" s="1"/>
  <c r="S696" i="6"/>
  <c r="R693" i="6" s="1"/>
  <c r="P696" i="6"/>
  <c r="O693" i="6" s="1"/>
  <c r="M696" i="6"/>
  <c r="L693" i="6" s="1"/>
  <c r="H696" i="6"/>
  <c r="F696" i="6"/>
  <c r="E696" i="6"/>
  <c r="C696" i="6"/>
  <c r="V695" i="6"/>
  <c r="U692" i="6" s="1"/>
  <c r="S695" i="6"/>
  <c r="R692" i="6" s="1"/>
  <c r="P695" i="6"/>
  <c r="O692" i="6" s="1"/>
  <c r="M695" i="6"/>
  <c r="L692" i="6" s="1"/>
  <c r="H695" i="6"/>
  <c r="F695" i="6"/>
  <c r="E695" i="6"/>
  <c r="C695" i="6"/>
  <c r="V694" i="6"/>
  <c r="U691" i="6" s="1"/>
  <c r="S694" i="6"/>
  <c r="R691" i="6" s="1"/>
  <c r="P694" i="6"/>
  <c r="O691" i="6" s="1"/>
  <c r="M694" i="6"/>
  <c r="L691" i="6" s="1"/>
  <c r="H694" i="6"/>
  <c r="F694" i="6"/>
  <c r="E694" i="6"/>
  <c r="C694" i="6"/>
  <c r="V693" i="6"/>
  <c r="U690" i="6" s="1"/>
  <c r="S693" i="6"/>
  <c r="R690" i="6" s="1"/>
  <c r="P693" i="6"/>
  <c r="O690" i="6" s="1"/>
  <c r="M693" i="6"/>
  <c r="L690" i="6" s="1"/>
  <c r="H693" i="6"/>
  <c r="F693" i="6"/>
  <c r="E693" i="6"/>
  <c r="C693" i="6"/>
  <c r="V692" i="6"/>
  <c r="U689" i="6" s="1"/>
  <c r="S692" i="6"/>
  <c r="R689" i="6" s="1"/>
  <c r="P692" i="6"/>
  <c r="O689" i="6" s="1"/>
  <c r="M692" i="6"/>
  <c r="H692" i="6"/>
  <c r="F692" i="6"/>
  <c r="E692" i="6"/>
  <c r="C692" i="6"/>
  <c r="V691" i="6"/>
  <c r="U688" i="6" s="1"/>
  <c r="S691" i="6"/>
  <c r="R688" i="6" s="1"/>
  <c r="P691" i="6"/>
  <c r="O688" i="6" s="1"/>
  <c r="M691" i="6"/>
  <c r="H691" i="6"/>
  <c r="F691" i="6"/>
  <c r="E691" i="6"/>
  <c r="C691" i="6"/>
  <c r="V690" i="6"/>
  <c r="U687" i="6" s="1"/>
  <c r="S690" i="6"/>
  <c r="R687" i="6" s="1"/>
  <c r="P690" i="6"/>
  <c r="O687" i="6" s="1"/>
  <c r="M690" i="6"/>
  <c r="L687" i="6" s="1"/>
  <c r="H690" i="6"/>
  <c r="F690" i="6"/>
  <c r="E690" i="6"/>
  <c r="C690" i="6"/>
  <c r="V689" i="6"/>
  <c r="U686" i="6" s="1"/>
  <c r="S689" i="6"/>
  <c r="R686" i="6" s="1"/>
  <c r="P689" i="6"/>
  <c r="O686" i="6" s="1"/>
  <c r="M689" i="6"/>
  <c r="L686" i="6" s="1"/>
  <c r="H689" i="6"/>
  <c r="F689" i="6"/>
  <c r="E689" i="6"/>
  <c r="C689" i="6"/>
  <c r="V688" i="6"/>
  <c r="U685" i="6" s="1"/>
  <c r="S688" i="6"/>
  <c r="R685" i="6" s="1"/>
  <c r="P688" i="6"/>
  <c r="O685" i="6" s="1"/>
  <c r="M688" i="6"/>
  <c r="L685" i="6" s="1"/>
  <c r="H688" i="6"/>
  <c r="F688" i="6"/>
  <c r="E688" i="6"/>
  <c r="C688" i="6"/>
  <c r="V687" i="6"/>
  <c r="U684" i="6" s="1"/>
  <c r="S687" i="6"/>
  <c r="R684" i="6" s="1"/>
  <c r="P687" i="6"/>
  <c r="M687" i="6"/>
  <c r="L684" i="6" s="1"/>
  <c r="H687" i="6"/>
  <c r="F687" i="6"/>
  <c r="E687" i="6"/>
  <c r="C687" i="6"/>
  <c r="V686" i="6"/>
  <c r="U683" i="6" s="1"/>
  <c r="S686" i="6"/>
  <c r="R683" i="6" s="1"/>
  <c r="P686" i="6"/>
  <c r="M686" i="6"/>
  <c r="L683" i="6" s="1"/>
  <c r="H686" i="6"/>
  <c r="F686" i="6"/>
  <c r="E686" i="6"/>
  <c r="C686" i="6"/>
  <c r="V685" i="6"/>
  <c r="U682" i="6" s="1"/>
  <c r="S685" i="6"/>
  <c r="R682" i="6" s="1"/>
  <c r="P685" i="6"/>
  <c r="O682" i="6" s="1"/>
  <c r="M685" i="6"/>
  <c r="H685" i="6"/>
  <c r="F685" i="6"/>
  <c r="E685" i="6"/>
  <c r="C685" i="6"/>
  <c r="V684" i="6"/>
  <c r="U681" i="6" s="1"/>
  <c r="S684" i="6"/>
  <c r="R681" i="6" s="1"/>
  <c r="P684" i="6"/>
  <c r="O681" i="6" s="1"/>
  <c r="M684" i="6"/>
  <c r="L681" i="6" s="1"/>
  <c r="H684" i="6"/>
  <c r="F684" i="6"/>
  <c r="E684" i="6"/>
  <c r="C684" i="6"/>
  <c r="V683" i="6"/>
  <c r="U680" i="6" s="1"/>
  <c r="S683" i="6"/>
  <c r="R680" i="6" s="1"/>
  <c r="P683" i="6"/>
  <c r="O680" i="6" s="1"/>
  <c r="M683" i="6"/>
  <c r="L680" i="6" s="1"/>
  <c r="H683" i="6"/>
  <c r="F683" i="6"/>
  <c r="E683" i="6"/>
  <c r="C683" i="6"/>
  <c r="V682" i="6"/>
  <c r="U679" i="6" s="1"/>
  <c r="S682" i="6"/>
  <c r="R679" i="6" s="1"/>
  <c r="P682" i="6"/>
  <c r="O679" i="6" s="1"/>
  <c r="M682" i="6"/>
  <c r="H682" i="6"/>
  <c r="F682" i="6"/>
  <c r="E682" i="6"/>
  <c r="C682" i="6"/>
  <c r="V681" i="6"/>
  <c r="U678" i="6" s="1"/>
  <c r="S681" i="6"/>
  <c r="R678" i="6" s="1"/>
  <c r="P681" i="6"/>
  <c r="O678" i="6" s="1"/>
  <c r="M681" i="6"/>
  <c r="H681" i="6"/>
  <c r="F681" i="6"/>
  <c r="E681" i="6"/>
  <c r="C681" i="6"/>
  <c r="V680" i="6"/>
  <c r="U677" i="6" s="1"/>
  <c r="S680" i="6"/>
  <c r="R677" i="6" s="1"/>
  <c r="P680" i="6"/>
  <c r="O677" i="6" s="1"/>
  <c r="M680" i="6"/>
  <c r="L677" i="6" s="1"/>
  <c r="H680" i="6"/>
  <c r="F680" i="6"/>
  <c r="E680" i="6"/>
  <c r="C680" i="6"/>
  <c r="V679" i="6"/>
  <c r="U676" i="6" s="1"/>
  <c r="S679" i="6"/>
  <c r="R676" i="6" s="1"/>
  <c r="P679" i="6"/>
  <c r="O676" i="6" s="1"/>
  <c r="M679" i="6"/>
  <c r="L676" i="6" s="1"/>
  <c r="L679" i="6"/>
  <c r="H679" i="6"/>
  <c r="F679" i="6"/>
  <c r="E679" i="6"/>
  <c r="C679" i="6"/>
  <c r="V678" i="6"/>
  <c r="U675" i="6" s="1"/>
  <c r="S678" i="6"/>
  <c r="R675" i="6" s="1"/>
  <c r="P678" i="6"/>
  <c r="O675" i="6" s="1"/>
  <c r="M678" i="6"/>
  <c r="H678" i="6"/>
  <c r="F678" i="6"/>
  <c r="E678" i="6"/>
  <c r="C678" i="6"/>
  <c r="V677" i="6"/>
  <c r="U674" i="6" s="1"/>
  <c r="S677" i="6"/>
  <c r="R674" i="6" s="1"/>
  <c r="P677" i="6"/>
  <c r="M677" i="6"/>
  <c r="L674" i="6" s="1"/>
  <c r="H677" i="6"/>
  <c r="F677" i="6"/>
  <c r="E677" i="6"/>
  <c r="C677" i="6"/>
  <c r="V676" i="6"/>
  <c r="U673" i="6" s="1"/>
  <c r="S676" i="6"/>
  <c r="R673" i="6" s="1"/>
  <c r="P676" i="6"/>
  <c r="O673" i="6" s="1"/>
  <c r="M676" i="6"/>
  <c r="L673" i="6" s="1"/>
  <c r="H676" i="6"/>
  <c r="F676" i="6"/>
  <c r="E676" i="6"/>
  <c r="C676" i="6"/>
  <c r="V675" i="6"/>
  <c r="U672" i="6" s="1"/>
  <c r="S675" i="6"/>
  <c r="R672" i="6" s="1"/>
  <c r="P675" i="6"/>
  <c r="M675" i="6"/>
  <c r="L672" i="6" s="1"/>
  <c r="H675" i="6"/>
  <c r="F675" i="6"/>
  <c r="E675" i="6"/>
  <c r="C675" i="6"/>
  <c r="V674" i="6"/>
  <c r="U671" i="6" s="1"/>
  <c r="S674" i="6"/>
  <c r="R671" i="6" s="1"/>
  <c r="P674" i="6"/>
  <c r="O671" i="6" s="1"/>
  <c r="M674" i="6"/>
  <c r="L671" i="6" s="1"/>
  <c r="H674" i="6"/>
  <c r="F674" i="6"/>
  <c r="E674" i="6"/>
  <c r="C674" i="6"/>
  <c r="V673" i="6"/>
  <c r="U670" i="6" s="1"/>
  <c r="S673" i="6"/>
  <c r="R670" i="6" s="1"/>
  <c r="P673" i="6"/>
  <c r="O670" i="6" s="1"/>
  <c r="M673" i="6"/>
  <c r="H673" i="6"/>
  <c r="F673" i="6"/>
  <c r="E673" i="6"/>
  <c r="C673" i="6"/>
  <c r="V672" i="6"/>
  <c r="U669" i="6" s="1"/>
  <c r="S672" i="6"/>
  <c r="R669" i="6" s="1"/>
  <c r="P672" i="6"/>
  <c r="O669" i="6" s="1"/>
  <c r="M672" i="6"/>
  <c r="L669" i="6" s="1"/>
  <c r="H672" i="6"/>
  <c r="F672" i="6"/>
  <c r="E672" i="6"/>
  <c r="C672" i="6"/>
  <c r="V671" i="6"/>
  <c r="U668" i="6" s="1"/>
  <c r="S671" i="6"/>
  <c r="R668" i="6" s="1"/>
  <c r="P671" i="6"/>
  <c r="M671" i="6"/>
  <c r="L668" i="6" s="1"/>
  <c r="H671" i="6"/>
  <c r="F671" i="6"/>
  <c r="E671" i="6"/>
  <c r="C671" i="6"/>
  <c r="V670" i="6"/>
  <c r="U667" i="6" s="1"/>
  <c r="S670" i="6"/>
  <c r="R667" i="6" s="1"/>
  <c r="P670" i="6"/>
  <c r="O667" i="6" s="1"/>
  <c r="M670" i="6"/>
  <c r="L667" i="6" s="1"/>
  <c r="H670" i="6"/>
  <c r="F670" i="6"/>
  <c r="E670" i="6"/>
  <c r="C670" i="6"/>
  <c r="V669" i="6"/>
  <c r="U666" i="6" s="1"/>
  <c r="S669" i="6"/>
  <c r="R666" i="6" s="1"/>
  <c r="P669" i="6"/>
  <c r="O666" i="6" s="1"/>
  <c r="M669" i="6"/>
  <c r="L666" i="6" s="1"/>
  <c r="H669" i="6"/>
  <c r="F669" i="6"/>
  <c r="E669" i="6"/>
  <c r="C669" i="6"/>
  <c r="V668" i="6"/>
  <c r="U665" i="6" s="1"/>
  <c r="S668" i="6"/>
  <c r="R665" i="6" s="1"/>
  <c r="P668" i="6"/>
  <c r="O665" i="6" s="1"/>
  <c r="M668" i="6"/>
  <c r="L665" i="6" s="1"/>
  <c r="H668" i="6"/>
  <c r="F668" i="6"/>
  <c r="E668" i="6"/>
  <c r="C668" i="6"/>
  <c r="V667" i="6"/>
  <c r="U664" i="6" s="1"/>
  <c r="S667" i="6"/>
  <c r="R664" i="6" s="1"/>
  <c r="P667" i="6"/>
  <c r="O664" i="6" s="1"/>
  <c r="M667" i="6"/>
  <c r="L664" i="6" s="1"/>
  <c r="H667" i="6"/>
  <c r="F667" i="6"/>
  <c r="E667" i="6"/>
  <c r="C667" i="6"/>
  <c r="V666" i="6"/>
  <c r="U663" i="6" s="1"/>
  <c r="S666" i="6"/>
  <c r="R663" i="6" s="1"/>
  <c r="P666" i="6"/>
  <c r="O663" i="6" s="1"/>
  <c r="M666" i="6"/>
  <c r="L663" i="6" s="1"/>
  <c r="H666" i="6"/>
  <c r="F666" i="6"/>
  <c r="E666" i="6"/>
  <c r="C666" i="6"/>
  <c r="V665" i="6"/>
  <c r="U662" i="6" s="1"/>
  <c r="S665" i="6"/>
  <c r="R662" i="6" s="1"/>
  <c r="P665" i="6"/>
  <c r="M665" i="6"/>
  <c r="L662" i="6" s="1"/>
  <c r="H665" i="6"/>
  <c r="F665" i="6"/>
  <c r="E665" i="6"/>
  <c r="C665" i="6"/>
  <c r="V664" i="6"/>
  <c r="U661" i="6" s="1"/>
  <c r="S664" i="6"/>
  <c r="R661" i="6" s="1"/>
  <c r="P664" i="6"/>
  <c r="O661" i="6" s="1"/>
  <c r="M664" i="6"/>
  <c r="H664" i="6"/>
  <c r="F664" i="6"/>
  <c r="E664" i="6"/>
  <c r="C664" i="6"/>
  <c r="V663" i="6"/>
  <c r="U660" i="6" s="1"/>
  <c r="S663" i="6"/>
  <c r="P663" i="6"/>
  <c r="O660" i="6" s="1"/>
  <c r="M663" i="6"/>
  <c r="L660" i="6" s="1"/>
  <c r="H663" i="6"/>
  <c r="F663" i="6"/>
  <c r="E663" i="6"/>
  <c r="C663" i="6"/>
  <c r="V662" i="6"/>
  <c r="U659" i="6" s="1"/>
  <c r="S662" i="6"/>
  <c r="R659" i="6" s="1"/>
  <c r="P662" i="6"/>
  <c r="O659" i="6" s="1"/>
  <c r="M662" i="6"/>
  <c r="L659" i="6" s="1"/>
  <c r="H662" i="6"/>
  <c r="F662" i="6"/>
  <c r="E662" i="6"/>
  <c r="C662" i="6"/>
  <c r="V661" i="6"/>
  <c r="U658" i="6" s="1"/>
  <c r="S661" i="6"/>
  <c r="P661" i="6"/>
  <c r="O658" i="6" s="1"/>
  <c r="M661" i="6"/>
  <c r="L658" i="6" s="1"/>
  <c r="H661" i="6"/>
  <c r="F661" i="6"/>
  <c r="E661" i="6"/>
  <c r="C661" i="6"/>
  <c r="V660" i="6"/>
  <c r="S660" i="6"/>
  <c r="R657" i="6" s="1"/>
  <c r="R660" i="6"/>
  <c r="P660" i="6"/>
  <c r="O657" i="6" s="1"/>
  <c r="M660" i="6"/>
  <c r="L657" i="6" s="1"/>
  <c r="H660" i="6"/>
  <c r="F660" i="6"/>
  <c r="E660" i="6"/>
  <c r="C660" i="6"/>
  <c r="V659" i="6"/>
  <c r="U656" i="6" s="1"/>
  <c r="S659" i="6"/>
  <c r="P659" i="6"/>
  <c r="O656" i="6" s="1"/>
  <c r="M659" i="6"/>
  <c r="L656" i="6" s="1"/>
  <c r="H659" i="6"/>
  <c r="F659" i="6"/>
  <c r="E659" i="6"/>
  <c r="C659" i="6"/>
  <c r="V658" i="6"/>
  <c r="U655" i="6" s="1"/>
  <c r="S658" i="6"/>
  <c r="R655" i="6" s="1"/>
  <c r="P658" i="6"/>
  <c r="O655" i="6" s="1"/>
  <c r="M658" i="6"/>
  <c r="L655" i="6" s="1"/>
  <c r="H658" i="6"/>
  <c r="F658" i="6"/>
  <c r="E658" i="6"/>
  <c r="C658" i="6"/>
  <c r="V657" i="6"/>
  <c r="U654" i="6" s="1"/>
  <c r="U657" i="6"/>
  <c r="S657" i="6"/>
  <c r="R654" i="6" s="1"/>
  <c r="P657" i="6"/>
  <c r="M657" i="6"/>
  <c r="L654" i="6" s="1"/>
  <c r="H657" i="6"/>
  <c r="F657" i="6"/>
  <c r="E657" i="6"/>
  <c r="C657" i="6"/>
  <c r="V656" i="6"/>
  <c r="U653" i="6" s="1"/>
  <c r="S656" i="6"/>
  <c r="R653" i="6" s="1"/>
  <c r="P656" i="6"/>
  <c r="O653" i="6" s="1"/>
  <c r="M656" i="6"/>
  <c r="H656" i="6"/>
  <c r="F656" i="6"/>
  <c r="E656" i="6"/>
  <c r="C656" i="6"/>
  <c r="V655" i="6"/>
  <c r="U652" i="6" s="1"/>
  <c r="S655" i="6"/>
  <c r="R652" i="6" s="1"/>
  <c r="P655" i="6"/>
  <c r="O652" i="6" s="1"/>
  <c r="M655" i="6"/>
  <c r="L652" i="6" s="1"/>
  <c r="H655" i="6"/>
  <c r="F655" i="6"/>
  <c r="E655" i="6"/>
  <c r="C655" i="6"/>
  <c r="V654" i="6"/>
  <c r="U651" i="6" s="1"/>
  <c r="S654" i="6"/>
  <c r="R651" i="6" s="1"/>
  <c r="P654" i="6"/>
  <c r="O651" i="6" s="1"/>
  <c r="M654" i="6"/>
  <c r="L651" i="6" s="1"/>
  <c r="H654" i="6"/>
  <c r="F654" i="6"/>
  <c r="E654" i="6"/>
  <c r="C654" i="6"/>
  <c r="V653" i="6"/>
  <c r="U650" i="6" s="1"/>
  <c r="S653" i="6"/>
  <c r="R650" i="6" s="1"/>
  <c r="P653" i="6"/>
  <c r="M653" i="6"/>
  <c r="L650" i="6" s="1"/>
  <c r="H653" i="6"/>
  <c r="F653" i="6"/>
  <c r="E653" i="6"/>
  <c r="C653" i="6"/>
  <c r="V652" i="6"/>
  <c r="U649" i="6" s="1"/>
  <c r="S652" i="6"/>
  <c r="R649" i="6" s="1"/>
  <c r="P652" i="6"/>
  <c r="O649" i="6" s="1"/>
  <c r="M652" i="6"/>
  <c r="L649" i="6" s="1"/>
  <c r="H652" i="6"/>
  <c r="F652" i="6"/>
  <c r="E652" i="6"/>
  <c r="C652" i="6"/>
  <c r="V651" i="6"/>
  <c r="U648" i="6" s="1"/>
  <c r="S651" i="6"/>
  <c r="P651" i="6"/>
  <c r="O648" i="6" s="1"/>
  <c r="M651" i="6"/>
  <c r="H651" i="6"/>
  <c r="F651" i="6"/>
  <c r="E651" i="6"/>
  <c r="C651" i="6"/>
  <c r="V650" i="6"/>
  <c r="U647" i="6" s="1"/>
  <c r="S650" i="6"/>
  <c r="R647" i="6" s="1"/>
  <c r="P650" i="6"/>
  <c r="O647" i="6" s="1"/>
  <c r="M650" i="6"/>
  <c r="H650" i="6"/>
  <c r="F650" i="6"/>
  <c r="E650" i="6"/>
  <c r="C650" i="6"/>
  <c r="V649" i="6"/>
  <c r="U646" i="6" s="1"/>
  <c r="S649" i="6"/>
  <c r="R646" i="6" s="1"/>
  <c r="P649" i="6"/>
  <c r="O646" i="6" s="1"/>
  <c r="M649" i="6"/>
  <c r="H649" i="6"/>
  <c r="F649" i="6"/>
  <c r="E649" i="6"/>
  <c r="C649" i="6"/>
  <c r="V648" i="6"/>
  <c r="U645" i="6" s="1"/>
  <c r="S648" i="6"/>
  <c r="R645" i="6" s="1"/>
  <c r="P648" i="6"/>
  <c r="O645" i="6" s="1"/>
  <c r="M648" i="6"/>
  <c r="L645" i="6" s="1"/>
  <c r="L648" i="6"/>
  <c r="H648" i="6"/>
  <c r="F648" i="6"/>
  <c r="E648" i="6"/>
  <c r="C648" i="6"/>
  <c r="V647" i="6"/>
  <c r="U644" i="6" s="1"/>
  <c r="S647" i="6"/>
  <c r="R644" i="6" s="1"/>
  <c r="P647" i="6"/>
  <c r="M647" i="6"/>
  <c r="L644" i="6" s="1"/>
  <c r="H647" i="6"/>
  <c r="F647" i="6"/>
  <c r="E647" i="6"/>
  <c r="C647" i="6"/>
  <c r="V646" i="6"/>
  <c r="U643" i="6" s="1"/>
  <c r="S646" i="6"/>
  <c r="R643" i="6" s="1"/>
  <c r="P646" i="6"/>
  <c r="O643" i="6" s="1"/>
  <c r="M646" i="6"/>
  <c r="L643" i="6" s="1"/>
  <c r="H646" i="6"/>
  <c r="F646" i="6"/>
  <c r="E646" i="6"/>
  <c r="C646" i="6"/>
  <c r="V645" i="6"/>
  <c r="U642" i="6" s="1"/>
  <c r="S645" i="6"/>
  <c r="R642" i="6" s="1"/>
  <c r="P645" i="6"/>
  <c r="O642" i="6" s="1"/>
  <c r="M645" i="6"/>
  <c r="L642" i="6" s="1"/>
  <c r="H645" i="6"/>
  <c r="F645" i="6"/>
  <c r="E645" i="6"/>
  <c r="C645" i="6"/>
  <c r="V644" i="6"/>
  <c r="U641" i="6" s="1"/>
  <c r="S644" i="6"/>
  <c r="R641" i="6" s="1"/>
  <c r="P644" i="6"/>
  <c r="O641" i="6" s="1"/>
  <c r="M644" i="6"/>
  <c r="L641" i="6" s="1"/>
  <c r="H644" i="6"/>
  <c r="F644" i="6"/>
  <c r="E644" i="6"/>
  <c r="C644" i="6"/>
  <c r="V643" i="6"/>
  <c r="U640" i="6" s="1"/>
  <c r="S643" i="6"/>
  <c r="R640" i="6" s="1"/>
  <c r="P643" i="6"/>
  <c r="O640" i="6" s="1"/>
  <c r="M643" i="6"/>
  <c r="H643" i="6"/>
  <c r="F643" i="6"/>
  <c r="E643" i="6"/>
  <c r="C643" i="6"/>
  <c r="V642" i="6"/>
  <c r="U639" i="6" s="1"/>
  <c r="S642" i="6"/>
  <c r="R639" i="6" s="1"/>
  <c r="P642" i="6"/>
  <c r="O639" i="6" s="1"/>
  <c r="M642" i="6"/>
  <c r="L639" i="6" s="1"/>
  <c r="H642" i="6"/>
  <c r="F642" i="6"/>
  <c r="E642" i="6"/>
  <c r="C642" i="6"/>
  <c r="V641" i="6"/>
  <c r="U638" i="6" s="1"/>
  <c r="S641" i="6"/>
  <c r="R638" i="6" s="1"/>
  <c r="P641" i="6"/>
  <c r="M641" i="6"/>
  <c r="L638" i="6" s="1"/>
  <c r="H641" i="6"/>
  <c r="F641" i="6"/>
  <c r="E641" i="6"/>
  <c r="C641" i="6"/>
  <c r="V640" i="6"/>
  <c r="U637" i="6" s="1"/>
  <c r="S640" i="6"/>
  <c r="R637" i="6" s="1"/>
  <c r="P640" i="6"/>
  <c r="O637" i="6" s="1"/>
  <c r="M640" i="6"/>
  <c r="H640" i="6"/>
  <c r="F640" i="6"/>
  <c r="E640" i="6"/>
  <c r="C640" i="6"/>
  <c r="V639" i="6"/>
  <c r="U636" i="6" s="1"/>
  <c r="S639" i="6"/>
  <c r="R636" i="6" s="1"/>
  <c r="P639" i="6"/>
  <c r="M639" i="6"/>
  <c r="L636" i="6" s="1"/>
  <c r="H639" i="6"/>
  <c r="F639" i="6"/>
  <c r="E639" i="6"/>
  <c r="C639" i="6"/>
  <c r="V638" i="6"/>
  <c r="U635" i="6" s="1"/>
  <c r="S638" i="6"/>
  <c r="R635" i="6" s="1"/>
  <c r="P638" i="6"/>
  <c r="O635" i="6" s="1"/>
  <c r="M638" i="6"/>
  <c r="H638" i="6"/>
  <c r="F638" i="6"/>
  <c r="E638" i="6"/>
  <c r="C638" i="6"/>
  <c r="V637" i="6"/>
  <c r="U634" i="6" s="1"/>
  <c r="S637" i="6"/>
  <c r="R634" i="6" s="1"/>
  <c r="P637" i="6"/>
  <c r="O634" i="6" s="1"/>
  <c r="M637" i="6"/>
  <c r="H637" i="6"/>
  <c r="F637" i="6"/>
  <c r="E637" i="6"/>
  <c r="C637" i="6"/>
  <c r="V636" i="6"/>
  <c r="U633" i="6" s="1"/>
  <c r="S636" i="6"/>
  <c r="R633" i="6" s="1"/>
  <c r="P636" i="6"/>
  <c r="O633" i="6" s="1"/>
  <c r="M636" i="6"/>
  <c r="H636" i="6"/>
  <c r="F636" i="6"/>
  <c r="E636" i="6"/>
  <c r="C636" i="6"/>
  <c r="V635" i="6"/>
  <c r="U632" i="6" s="1"/>
  <c r="S635" i="6"/>
  <c r="R632" i="6" s="1"/>
  <c r="P635" i="6"/>
  <c r="O632" i="6" s="1"/>
  <c r="M635" i="6"/>
  <c r="L632" i="6" s="1"/>
  <c r="H635" i="6"/>
  <c r="F635" i="6"/>
  <c r="E635" i="6"/>
  <c r="C635" i="6"/>
  <c r="V634" i="6"/>
  <c r="U631" i="6" s="1"/>
  <c r="S634" i="6"/>
  <c r="R631" i="6" s="1"/>
  <c r="P634" i="6"/>
  <c r="O631" i="6" s="1"/>
  <c r="M634" i="6"/>
  <c r="H634" i="6"/>
  <c r="F634" i="6"/>
  <c r="E634" i="6"/>
  <c r="C634" i="6"/>
  <c r="V633" i="6"/>
  <c r="U630" i="6" s="1"/>
  <c r="S633" i="6"/>
  <c r="R630" i="6" s="1"/>
  <c r="P633" i="6"/>
  <c r="M633" i="6"/>
  <c r="L630" i="6" s="1"/>
  <c r="H633" i="6"/>
  <c r="F633" i="6"/>
  <c r="E633" i="6"/>
  <c r="C633" i="6"/>
  <c r="V632" i="6"/>
  <c r="U629" i="6" s="1"/>
  <c r="S632" i="6"/>
  <c r="R629" i="6" s="1"/>
  <c r="P632" i="6"/>
  <c r="O629" i="6" s="1"/>
  <c r="M632" i="6"/>
  <c r="H632" i="6"/>
  <c r="F632" i="6"/>
  <c r="E632" i="6"/>
  <c r="C632" i="6"/>
  <c r="V631" i="6"/>
  <c r="U628" i="6" s="1"/>
  <c r="S631" i="6"/>
  <c r="R628" i="6" s="1"/>
  <c r="P631" i="6"/>
  <c r="O628" i="6" s="1"/>
  <c r="M631" i="6"/>
  <c r="L628" i="6" s="1"/>
  <c r="H631" i="6"/>
  <c r="F631" i="6"/>
  <c r="E631" i="6"/>
  <c r="C631" i="6"/>
  <c r="V630" i="6"/>
  <c r="U627" i="6" s="1"/>
  <c r="S630" i="6"/>
  <c r="R627" i="6" s="1"/>
  <c r="P630" i="6"/>
  <c r="O627" i="6" s="1"/>
  <c r="M630" i="6"/>
  <c r="H630" i="6"/>
  <c r="F630" i="6"/>
  <c r="E630" i="6"/>
  <c r="C630" i="6"/>
  <c r="V629" i="6"/>
  <c r="U626" i="6" s="1"/>
  <c r="S629" i="6"/>
  <c r="P629" i="6"/>
  <c r="O626" i="6" s="1"/>
  <c r="M629" i="6"/>
  <c r="L626" i="6" s="1"/>
  <c r="H629" i="6"/>
  <c r="F629" i="6"/>
  <c r="E629" i="6"/>
  <c r="C629" i="6"/>
  <c r="V628" i="6"/>
  <c r="U625" i="6" s="1"/>
  <c r="S628" i="6"/>
  <c r="R625" i="6" s="1"/>
  <c r="P628" i="6"/>
  <c r="O625" i="6" s="1"/>
  <c r="M628" i="6"/>
  <c r="H628" i="6"/>
  <c r="F628" i="6"/>
  <c r="E628" i="6"/>
  <c r="C628" i="6"/>
  <c r="V627" i="6"/>
  <c r="U624" i="6" s="1"/>
  <c r="S627" i="6"/>
  <c r="R624" i="6" s="1"/>
  <c r="P627" i="6"/>
  <c r="M627" i="6"/>
  <c r="L624" i="6" s="1"/>
  <c r="H627" i="6"/>
  <c r="F627" i="6"/>
  <c r="E627" i="6"/>
  <c r="C627" i="6"/>
  <c r="V626" i="6"/>
  <c r="U623" i="6" s="1"/>
  <c r="S626" i="6"/>
  <c r="R623" i="6" s="1"/>
  <c r="R626" i="6"/>
  <c r="P626" i="6"/>
  <c r="O623" i="6" s="1"/>
  <c r="M626" i="6"/>
  <c r="L623" i="6" s="1"/>
  <c r="H626" i="6"/>
  <c r="F626" i="6"/>
  <c r="E626" i="6"/>
  <c r="C626" i="6"/>
  <c r="V625" i="6"/>
  <c r="U622" i="6" s="1"/>
  <c r="S625" i="6"/>
  <c r="R622" i="6" s="1"/>
  <c r="P625" i="6"/>
  <c r="O622" i="6" s="1"/>
  <c r="M625" i="6"/>
  <c r="L622" i="6" s="1"/>
  <c r="H625" i="6"/>
  <c r="F625" i="6"/>
  <c r="E625" i="6"/>
  <c r="C625" i="6"/>
  <c r="V624" i="6"/>
  <c r="U621" i="6" s="1"/>
  <c r="S624" i="6"/>
  <c r="R621" i="6" s="1"/>
  <c r="P624" i="6"/>
  <c r="O621" i="6" s="1"/>
  <c r="M624" i="6"/>
  <c r="L621" i="6" s="1"/>
  <c r="H624" i="6"/>
  <c r="F624" i="6"/>
  <c r="E624" i="6"/>
  <c r="C624" i="6"/>
  <c r="V623" i="6"/>
  <c r="U620" i="6" s="1"/>
  <c r="S623" i="6"/>
  <c r="P623" i="6"/>
  <c r="O620" i="6" s="1"/>
  <c r="M623" i="6"/>
  <c r="L620" i="6" s="1"/>
  <c r="H623" i="6"/>
  <c r="F623" i="6"/>
  <c r="E623" i="6"/>
  <c r="C623" i="6"/>
  <c r="V622" i="6"/>
  <c r="U619" i="6" s="1"/>
  <c r="S622" i="6"/>
  <c r="R619" i="6" s="1"/>
  <c r="P622" i="6"/>
  <c r="O619" i="6" s="1"/>
  <c r="M622" i="6"/>
  <c r="L619" i="6" s="1"/>
  <c r="H622" i="6"/>
  <c r="F622" i="6"/>
  <c r="E622" i="6"/>
  <c r="C622" i="6"/>
  <c r="V621" i="6"/>
  <c r="U618" i="6" s="1"/>
  <c r="S621" i="6"/>
  <c r="R618" i="6" s="1"/>
  <c r="P621" i="6"/>
  <c r="M621" i="6"/>
  <c r="L618" i="6" s="1"/>
  <c r="H621" i="6"/>
  <c r="F621" i="6"/>
  <c r="E621" i="6"/>
  <c r="C621" i="6"/>
  <c r="V620" i="6"/>
  <c r="U617" i="6" s="1"/>
  <c r="S620" i="6"/>
  <c r="P620" i="6"/>
  <c r="O617" i="6" s="1"/>
  <c r="M620" i="6"/>
  <c r="L617" i="6" s="1"/>
  <c r="H620" i="6"/>
  <c r="F620" i="6"/>
  <c r="E620" i="6"/>
  <c r="C620" i="6"/>
  <c r="V619" i="6"/>
  <c r="U616" i="6" s="1"/>
  <c r="S619" i="6"/>
  <c r="R616" i="6" s="1"/>
  <c r="P619" i="6"/>
  <c r="O616" i="6" s="1"/>
  <c r="M619" i="6"/>
  <c r="L616" i="6" s="1"/>
  <c r="H619" i="6"/>
  <c r="F619" i="6"/>
  <c r="E619" i="6"/>
  <c r="C619" i="6"/>
  <c r="V618" i="6"/>
  <c r="U615" i="6" s="1"/>
  <c r="S618" i="6"/>
  <c r="R615" i="6" s="1"/>
  <c r="P618" i="6"/>
  <c r="O615" i="6" s="1"/>
  <c r="M618" i="6"/>
  <c r="L615" i="6" s="1"/>
  <c r="H618" i="6"/>
  <c r="F618" i="6"/>
  <c r="E618" i="6"/>
  <c r="C618" i="6"/>
  <c r="V617" i="6"/>
  <c r="U614" i="6" s="1"/>
  <c r="S617" i="6"/>
  <c r="R614" i="6" s="1"/>
  <c r="P617" i="6"/>
  <c r="M617" i="6"/>
  <c r="L614" i="6" s="1"/>
  <c r="H617" i="6"/>
  <c r="F617" i="6"/>
  <c r="E617" i="6"/>
  <c r="C617" i="6"/>
  <c r="V616" i="6"/>
  <c r="U613" i="6" s="1"/>
  <c r="S616" i="6"/>
  <c r="R613" i="6" s="1"/>
  <c r="P616" i="6"/>
  <c r="O613" i="6" s="1"/>
  <c r="M616" i="6"/>
  <c r="L613" i="6" s="1"/>
  <c r="H616" i="6"/>
  <c r="F616" i="6"/>
  <c r="E616" i="6"/>
  <c r="C616" i="6"/>
  <c r="V615" i="6"/>
  <c r="U612" i="6" s="1"/>
  <c r="S615" i="6"/>
  <c r="R612" i="6" s="1"/>
  <c r="P615" i="6"/>
  <c r="O612" i="6" s="1"/>
  <c r="M615" i="6"/>
  <c r="L612" i="6" s="1"/>
  <c r="H615" i="6"/>
  <c r="F615" i="6"/>
  <c r="E615" i="6"/>
  <c r="C615" i="6"/>
  <c r="V614" i="6"/>
  <c r="U611" i="6" s="1"/>
  <c r="S614" i="6"/>
  <c r="R611" i="6" s="1"/>
  <c r="P614" i="6"/>
  <c r="O611" i="6" s="1"/>
  <c r="M614" i="6"/>
  <c r="H614" i="6"/>
  <c r="F614" i="6"/>
  <c r="E614" i="6"/>
  <c r="C614" i="6"/>
  <c r="V613" i="6"/>
  <c r="U610" i="6" s="1"/>
  <c r="S613" i="6"/>
  <c r="R610" i="6" s="1"/>
  <c r="P613" i="6"/>
  <c r="O610" i="6" s="1"/>
  <c r="M613" i="6"/>
  <c r="H613" i="6"/>
  <c r="F613" i="6"/>
  <c r="E613" i="6"/>
  <c r="C613" i="6"/>
  <c r="V612" i="6"/>
  <c r="U609" i="6" s="1"/>
  <c r="S612" i="6"/>
  <c r="R609" i="6" s="1"/>
  <c r="P612" i="6"/>
  <c r="O609" i="6" s="1"/>
  <c r="M612" i="6"/>
  <c r="L609" i="6" s="1"/>
  <c r="H612" i="6"/>
  <c r="F612" i="6"/>
  <c r="E612" i="6"/>
  <c r="C612" i="6"/>
  <c r="V611" i="6"/>
  <c r="U608" i="6" s="1"/>
  <c r="S611" i="6"/>
  <c r="R608" i="6" s="1"/>
  <c r="P611" i="6"/>
  <c r="M611" i="6"/>
  <c r="L608" i="6" s="1"/>
  <c r="H611" i="6"/>
  <c r="F611" i="6"/>
  <c r="E611" i="6"/>
  <c r="C611" i="6"/>
  <c r="V610" i="6"/>
  <c r="U607" i="6" s="1"/>
  <c r="S610" i="6"/>
  <c r="R607" i="6" s="1"/>
  <c r="P610" i="6"/>
  <c r="O607" i="6" s="1"/>
  <c r="M610" i="6"/>
  <c r="L607" i="6" s="1"/>
  <c r="H610" i="6"/>
  <c r="F610" i="6"/>
  <c r="E610" i="6"/>
  <c r="C610" i="6"/>
  <c r="V609" i="6"/>
  <c r="U606" i="6" s="1"/>
  <c r="S609" i="6"/>
  <c r="R606" i="6" s="1"/>
  <c r="P609" i="6"/>
  <c r="O606" i="6" s="1"/>
  <c r="M609" i="6"/>
  <c r="L606" i="6" s="1"/>
  <c r="H609" i="6"/>
  <c r="F609" i="6"/>
  <c r="E609" i="6"/>
  <c r="C609" i="6"/>
  <c r="V608" i="6"/>
  <c r="U605" i="6" s="1"/>
  <c r="S608" i="6"/>
  <c r="R605" i="6" s="1"/>
  <c r="P608" i="6"/>
  <c r="O605" i="6" s="1"/>
  <c r="M608" i="6"/>
  <c r="L605" i="6" s="1"/>
  <c r="H608" i="6"/>
  <c r="F608" i="6"/>
  <c r="E608" i="6"/>
  <c r="C608" i="6"/>
  <c r="V607" i="6"/>
  <c r="U604" i="6" s="1"/>
  <c r="S607" i="6"/>
  <c r="R604" i="6" s="1"/>
  <c r="P607" i="6"/>
  <c r="O604" i="6" s="1"/>
  <c r="M607" i="6"/>
  <c r="H607" i="6"/>
  <c r="F607" i="6"/>
  <c r="E607" i="6"/>
  <c r="C607" i="6"/>
  <c r="V606" i="6"/>
  <c r="U603" i="6" s="1"/>
  <c r="S606" i="6"/>
  <c r="R603" i="6" s="1"/>
  <c r="P606" i="6"/>
  <c r="O603" i="6" s="1"/>
  <c r="M606" i="6"/>
  <c r="L603" i="6" s="1"/>
  <c r="H606" i="6"/>
  <c r="F606" i="6"/>
  <c r="E606" i="6"/>
  <c r="C606" i="6"/>
  <c r="V605" i="6"/>
  <c r="U602" i="6" s="1"/>
  <c r="S605" i="6"/>
  <c r="R602" i="6" s="1"/>
  <c r="P605" i="6"/>
  <c r="O602" i="6" s="1"/>
  <c r="M605" i="6"/>
  <c r="L602" i="6" s="1"/>
  <c r="H605" i="6"/>
  <c r="F605" i="6"/>
  <c r="E605" i="6"/>
  <c r="C605" i="6"/>
  <c r="V604" i="6"/>
  <c r="U601" i="6" s="1"/>
  <c r="S604" i="6"/>
  <c r="R601" i="6" s="1"/>
  <c r="P604" i="6"/>
  <c r="O601" i="6" s="1"/>
  <c r="M604" i="6"/>
  <c r="H604" i="6"/>
  <c r="F604" i="6"/>
  <c r="E604" i="6"/>
  <c r="C604" i="6"/>
  <c r="V603" i="6"/>
  <c r="U600" i="6" s="1"/>
  <c r="S603" i="6"/>
  <c r="R600" i="6" s="1"/>
  <c r="P603" i="6"/>
  <c r="M603" i="6"/>
  <c r="L600" i="6" s="1"/>
  <c r="H603" i="6"/>
  <c r="F603" i="6"/>
  <c r="E603" i="6"/>
  <c r="C603" i="6"/>
  <c r="V602" i="6"/>
  <c r="U599" i="6" s="1"/>
  <c r="S602" i="6"/>
  <c r="P602" i="6"/>
  <c r="O599" i="6" s="1"/>
  <c r="M602" i="6"/>
  <c r="L599" i="6" s="1"/>
  <c r="H602" i="6"/>
  <c r="F602" i="6"/>
  <c r="E602" i="6"/>
  <c r="C602" i="6"/>
  <c r="V601" i="6"/>
  <c r="U598" i="6" s="1"/>
  <c r="S601" i="6"/>
  <c r="R598" i="6" s="1"/>
  <c r="P601" i="6"/>
  <c r="O598" i="6" s="1"/>
  <c r="M601" i="6"/>
  <c r="L598" i="6" s="1"/>
  <c r="H601" i="6"/>
  <c r="F601" i="6"/>
  <c r="E601" i="6"/>
  <c r="C601" i="6"/>
  <c r="V600" i="6"/>
  <c r="U597" i="6" s="1"/>
  <c r="S600" i="6"/>
  <c r="R597" i="6" s="1"/>
  <c r="P600" i="6"/>
  <c r="O597" i="6" s="1"/>
  <c r="M600" i="6"/>
  <c r="H600" i="6"/>
  <c r="F600" i="6"/>
  <c r="E600" i="6"/>
  <c r="C600" i="6"/>
  <c r="V599" i="6"/>
  <c r="U596" i="6" s="1"/>
  <c r="S599" i="6"/>
  <c r="R596" i="6" s="1"/>
  <c r="P599" i="6"/>
  <c r="O596" i="6" s="1"/>
  <c r="M599" i="6"/>
  <c r="L596" i="6" s="1"/>
  <c r="H599" i="6"/>
  <c r="F599" i="6"/>
  <c r="E599" i="6"/>
  <c r="C599" i="6"/>
  <c r="V598" i="6"/>
  <c r="U595" i="6" s="1"/>
  <c r="S598" i="6"/>
  <c r="R595" i="6" s="1"/>
  <c r="P598" i="6"/>
  <c r="O595" i="6" s="1"/>
  <c r="M598" i="6"/>
  <c r="H598" i="6"/>
  <c r="F598" i="6"/>
  <c r="E598" i="6"/>
  <c r="C598" i="6"/>
  <c r="V597" i="6"/>
  <c r="U594" i="6" s="1"/>
  <c r="S597" i="6"/>
  <c r="R594" i="6" s="1"/>
  <c r="P597" i="6"/>
  <c r="M597" i="6"/>
  <c r="L594" i="6" s="1"/>
  <c r="H597" i="6"/>
  <c r="F597" i="6"/>
  <c r="E597" i="6"/>
  <c r="C597" i="6"/>
  <c r="V596" i="6"/>
  <c r="U593" i="6" s="1"/>
  <c r="S596" i="6"/>
  <c r="R593" i="6" s="1"/>
  <c r="P596" i="6"/>
  <c r="O593" i="6" s="1"/>
  <c r="M596" i="6"/>
  <c r="L593" i="6" s="1"/>
  <c r="H596" i="6"/>
  <c r="F596" i="6"/>
  <c r="E596" i="6"/>
  <c r="C596" i="6"/>
  <c r="V595" i="6"/>
  <c r="U592" i="6" s="1"/>
  <c r="S595" i="6"/>
  <c r="R592" i="6" s="1"/>
  <c r="P595" i="6"/>
  <c r="O592" i="6" s="1"/>
  <c r="M595" i="6"/>
  <c r="L592" i="6" s="1"/>
  <c r="H595" i="6"/>
  <c r="F595" i="6"/>
  <c r="E595" i="6"/>
  <c r="C595" i="6"/>
  <c r="V594" i="6"/>
  <c r="U591" i="6" s="1"/>
  <c r="S594" i="6"/>
  <c r="R591" i="6" s="1"/>
  <c r="P594" i="6"/>
  <c r="O591" i="6" s="1"/>
  <c r="M594" i="6"/>
  <c r="H594" i="6"/>
  <c r="F594" i="6"/>
  <c r="E594" i="6"/>
  <c r="C594" i="6"/>
  <c r="V593" i="6"/>
  <c r="U590" i="6" s="1"/>
  <c r="S593" i="6"/>
  <c r="R590" i="6" s="1"/>
  <c r="P593" i="6"/>
  <c r="O590" i="6" s="1"/>
  <c r="M593" i="6"/>
  <c r="L590" i="6" s="1"/>
  <c r="H593" i="6"/>
  <c r="F593" i="6"/>
  <c r="E593" i="6"/>
  <c r="C593" i="6"/>
  <c r="V592" i="6"/>
  <c r="U589" i="6" s="1"/>
  <c r="S592" i="6"/>
  <c r="R589" i="6" s="1"/>
  <c r="P592" i="6"/>
  <c r="O589" i="6" s="1"/>
  <c r="M592" i="6"/>
  <c r="H592" i="6"/>
  <c r="F592" i="6"/>
  <c r="E592" i="6"/>
  <c r="C592" i="6"/>
  <c r="V591" i="6"/>
  <c r="U588" i="6" s="1"/>
  <c r="S591" i="6"/>
  <c r="R588" i="6" s="1"/>
  <c r="P591" i="6"/>
  <c r="M591" i="6"/>
  <c r="L588" i="6" s="1"/>
  <c r="H591" i="6"/>
  <c r="F591" i="6"/>
  <c r="E591" i="6"/>
  <c r="C591" i="6"/>
  <c r="V590" i="6"/>
  <c r="U587" i="6" s="1"/>
  <c r="S590" i="6"/>
  <c r="R587" i="6" s="1"/>
  <c r="P590" i="6"/>
  <c r="O587" i="6" s="1"/>
  <c r="M590" i="6"/>
  <c r="L587" i="6" s="1"/>
  <c r="H590" i="6"/>
  <c r="F590" i="6"/>
  <c r="E590" i="6"/>
  <c r="C590" i="6"/>
  <c r="V589" i="6"/>
  <c r="U586" i="6" s="1"/>
  <c r="S589" i="6"/>
  <c r="R586" i="6" s="1"/>
  <c r="P589" i="6"/>
  <c r="O586" i="6" s="1"/>
  <c r="M589" i="6"/>
  <c r="L586" i="6" s="1"/>
  <c r="H589" i="6"/>
  <c r="F589" i="6"/>
  <c r="E589" i="6"/>
  <c r="C589" i="6"/>
  <c r="V588" i="6"/>
  <c r="U585" i="6" s="1"/>
  <c r="S588" i="6"/>
  <c r="R585" i="6" s="1"/>
  <c r="P588" i="6"/>
  <c r="O585" i="6" s="1"/>
  <c r="M588" i="6"/>
  <c r="L585" i="6" s="1"/>
  <c r="H588" i="6"/>
  <c r="F588" i="6"/>
  <c r="E588" i="6"/>
  <c r="C588" i="6"/>
  <c r="V587" i="6"/>
  <c r="U584" i="6" s="1"/>
  <c r="S587" i="6"/>
  <c r="P587" i="6"/>
  <c r="O584" i="6" s="1"/>
  <c r="M587" i="6"/>
  <c r="L584" i="6" s="1"/>
  <c r="H587" i="6"/>
  <c r="F587" i="6"/>
  <c r="E587" i="6"/>
  <c r="C587" i="6"/>
  <c r="V586" i="6"/>
  <c r="U583" i="6" s="1"/>
  <c r="S586" i="6"/>
  <c r="R583" i="6" s="1"/>
  <c r="P586" i="6"/>
  <c r="O583" i="6" s="1"/>
  <c r="M586" i="6"/>
  <c r="L583" i="6" s="1"/>
  <c r="H586" i="6"/>
  <c r="F586" i="6"/>
  <c r="E586" i="6"/>
  <c r="C586" i="6"/>
  <c r="V585" i="6"/>
  <c r="U582" i="6" s="1"/>
  <c r="S585" i="6"/>
  <c r="R582" i="6" s="1"/>
  <c r="P585" i="6"/>
  <c r="M585" i="6"/>
  <c r="L582" i="6" s="1"/>
  <c r="H585" i="6"/>
  <c r="F585" i="6"/>
  <c r="E585" i="6"/>
  <c r="C585" i="6"/>
  <c r="V584" i="6"/>
  <c r="U581" i="6" s="1"/>
  <c r="S584" i="6"/>
  <c r="R581" i="6" s="1"/>
  <c r="P584" i="6"/>
  <c r="O581" i="6" s="1"/>
  <c r="M584" i="6"/>
  <c r="H584" i="6"/>
  <c r="F584" i="6"/>
  <c r="E584" i="6"/>
  <c r="C584" i="6"/>
  <c r="V583" i="6"/>
  <c r="U580" i="6" s="1"/>
  <c r="S583" i="6"/>
  <c r="R580" i="6" s="1"/>
  <c r="P583" i="6"/>
  <c r="O580" i="6" s="1"/>
  <c r="M583" i="6"/>
  <c r="H583" i="6"/>
  <c r="F583" i="6"/>
  <c r="E583" i="6"/>
  <c r="C583" i="6"/>
  <c r="V582" i="6"/>
  <c r="U579" i="6" s="1"/>
  <c r="S582" i="6"/>
  <c r="R579" i="6" s="1"/>
  <c r="P582" i="6"/>
  <c r="O579" i="6" s="1"/>
  <c r="M582" i="6"/>
  <c r="L579" i="6" s="1"/>
  <c r="H582" i="6"/>
  <c r="F582" i="6"/>
  <c r="E582" i="6"/>
  <c r="C582" i="6"/>
  <c r="V581" i="6"/>
  <c r="U578" i="6" s="1"/>
  <c r="S581" i="6"/>
  <c r="P581" i="6"/>
  <c r="O578" i="6" s="1"/>
  <c r="M581" i="6"/>
  <c r="L578" i="6" s="1"/>
  <c r="H581" i="6"/>
  <c r="F581" i="6"/>
  <c r="E581" i="6"/>
  <c r="C581" i="6"/>
  <c r="V580" i="6"/>
  <c r="U577" i="6" s="1"/>
  <c r="S580" i="6"/>
  <c r="R577" i="6" s="1"/>
  <c r="P580" i="6"/>
  <c r="O577" i="6" s="1"/>
  <c r="M580" i="6"/>
  <c r="H580" i="6"/>
  <c r="F580" i="6"/>
  <c r="E580" i="6"/>
  <c r="C580" i="6"/>
  <c r="V579" i="6"/>
  <c r="U576" i="6" s="1"/>
  <c r="S579" i="6"/>
  <c r="R576" i="6" s="1"/>
  <c r="P579" i="6"/>
  <c r="O576" i="6" s="1"/>
  <c r="M579" i="6"/>
  <c r="L576" i="6" s="1"/>
  <c r="H579" i="6"/>
  <c r="F579" i="6"/>
  <c r="E579" i="6"/>
  <c r="C579" i="6"/>
  <c r="V578" i="6"/>
  <c r="U575" i="6" s="1"/>
  <c r="S578" i="6"/>
  <c r="R575" i="6" s="1"/>
  <c r="P578" i="6"/>
  <c r="O575" i="6" s="1"/>
  <c r="M578" i="6"/>
  <c r="L575" i="6" s="1"/>
  <c r="H578" i="6"/>
  <c r="F578" i="6"/>
  <c r="E578" i="6"/>
  <c r="C578" i="6"/>
  <c r="V577" i="6"/>
  <c r="U574" i="6" s="1"/>
  <c r="S577" i="6"/>
  <c r="R574" i="6" s="1"/>
  <c r="P577" i="6"/>
  <c r="O574" i="6" s="1"/>
  <c r="M577" i="6"/>
  <c r="H577" i="6"/>
  <c r="F577" i="6"/>
  <c r="E577" i="6"/>
  <c r="C577" i="6"/>
  <c r="V576" i="6"/>
  <c r="U573" i="6" s="1"/>
  <c r="S576" i="6"/>
  <c r="R573" i="6" s="1"/>
  <c r="P576" i="6"/>
  <c r="O573" i="6" s="1"/>
  <c r="M576" i="6"/>
  <c r="H576" i="6"/>
  <c r="F576" i="6"/>
  <c r="E576" i="6"/>
  <c r="C576" i="6"/>
  <c r="V575" i="6"/>
  <c r="U572" i="6" s="1"/>
  <c r="S575" i="6"/>
  <c r="R572" i="6" s="1"/>
  <c r="P575" i="6"/>
  <c r="M575" i="6"/>
  <c r="L572" i="6" s="1"/>
  <c r="H575" i="6"/>
  <c r="F575" i="6"/>
  <c r="E575" i="6"/>
  <c r="C575" i="6"/>
  <c r="V574" i="6"/>
  <c r="U571" i="6" s="1"/>
  <c r="S574" i="6"/>
  <c r="R571" i="6" s="1"/>
  <c r="P574" i="6"/>
  <c r="O571" i="6" s="1"/>
  <c r="M574" i="6"/>
  <c r="L571" i="6" s="1"/>
  <c r="H574" i="6"/>
  <c r="F574" i="6"/>
  <c r="E574" i="6"/>
  <c r="C574" i="6"/>
  <c r="V573" i="6"/>
  <c r="U570" i="6" s="1"/>
  <c r="S573" i="6"/>
  <c r="R570" i="6" s="1"/>
  <c r="P573" i="6"/>
  <c r="O570" i="6" s="1"/>
  <c r="M573" i="6"/>
  <c r="L570" i="6" s="1"/>
  <c r="H573" i="6"/>
  <c r="F573" i="6"/>
  <c r="E573" i="6"/>
  <c r="C573" i="6"/>
  <c r="V572" i="6"/>
  <c r="U569" i="6" s="1"/>
  <c r="S572" i="6"/>
  <c r="R569" i="6" s="1"/>
  <c r="P572" i="6"/>
  <c r="O569" i="6" s="1"/>
  <c r="M572" i="6"/>
  <c r="H572" i="6"/>
  <c r="F572" i="6"/>
  <c r="E572" i="6"/>
  <c r="C572" i="6"/>
  <c r="V571" i="6"/>
  <c r="U568" i="6" s="1"/>
  <c r="S571" i="6"/>
  <c r="R568" i="6" s="1"/>
  <c r="P571" i="6"/>
  <c r="M571" i="6"/>
  <c r="L568" i="6" s="1"/>
  <c r="H571" i="6"/>
  <c r="F571" i="6"/>
  <c r="E571" i="6"/>
  <c r="C571" i="6"/>
  <c r="V570" i="6"/>
  <c r="U567" i="6" s="1"/>
  <c r="S570" i="6"/>
  <c r="R567" i="6" s="1"/>
  <c r="P570" i="6"/>
  <c r="O567" i="6" s="1"/>
  <c r="M570" i="6"/>
  <c r="H570" i="6"/>
  <c r="F570" i="6"/>
  <c r="E570" i="6"/>
  <c r="C570" i="6"/>
  <c r="V569" i="6"/>
  <c r="U566" i="6" s="1"/>
  <c r="S569" i="6"/>
  <c r="R566" i="6" s="1"/>
  <c r="P569" i="6"/>
  <c r="O566" i="6" s="1"/>
  <c r="M569" i="6"/>
  <c r="L566" i="6" s="1"/>
  <c r="H569" i="6"/>
  <c r="F569" i="6"/>
  <c r="E569" i="6"/>
  <c r="C569" i="6"/>
  <c r="V568" i="6"/>
  <c r="U565" i="6" s="1"/>
  <c r="S568" i="6"/>
  <c r="R565" i="6" s="1"/>
  <c r="P568" i="6"/>
  <c r="O565" i="6" s="1"/>
  <c r="M568" i="6"/>
  <c r="L565" i="6" s="1"/>
  <c r="H568" i="6"/>
  <c r="F568" i="6"/>
  <c r="E568" i="6"/>
  <c r="C568" i="6"/>
  <c r="V567" i="6"/>
  <c r="U564" i="6" s="1"/>
  <c r="S567" i="6"/>
  <c r="R564" i="6" s="1"/>
  <c r="P567" i="6"/>
  <c r="M567" i="6"/>
  <c r="L564" i="6" s="1"/>
  <c r="H567" i="6"/>
  <c r="F567" i="6"/>
  <c r="E567" i="6"/>
  <c r="C567" i="6"/>
  <c r="V566" i="6"/>
  <c r="U563" i="6" s="1"/>
  <c r="S566" i="6"/>
  <c r="R563" i="6" s="1"/>
  <c r="P566" i="6"/>
  <c r="O563" i="6" s="1"/>
  <c r="M566" i="6"/>
  <c r="L563" i="6" s="1"/>
  <c r="H566" i="6"/>
  <c r="F566" i="6"/>
  <c r="E566" i="6"/>
  <c r="C566" i="6"/>
  <c r="V565" i="6"/>
  <c r="U562" i="6" s="1"/>
  <c r="S565" i="6"/>
  <c r="R562" i="6" s="1"/>
  <c r="P565" i="6"/>
  <c r="O562" i="6" s="1"/>
  <c r="M565" i="6"/>
  <c r="L562" i="6" s="1"/>
  <c r="H565" i="6"/>
  <c r="F565" i="6"/>
  <c r="E565" i="6"/>
  <c r="C565" i="6"/>
  <c r="V564" i="6"/>
  <c r="U561" i="6" s="1"/>
  <c r="S564" i="6"/>
  <c r="R561" i="6" s="1"/>
  <c r="P564" i="6"/>
  <c r="O561" i="6" s="1"/>
  <c r="M564" i="6"/>
  <c r="H564" i="6"/>
  <c r="F564" i="6"/>
  <c r="E564" i="6"/>
  <c r="C564" i="6"/>
  <c r="V563" i="6"/>
  <c r="U560" i="6" s="1"/>
  <c r="S563" i="6"/>
  <c r="R560" i="6" s="1"/>
  <c r="P563" i="6"/>
  <c r="O560" i="6" s="1"/>
  <c r="M563" i="6"/>
  <c r="H563" i="6"/>
  <c r="F563" i="6"/>
  <c r="E563" i="6"/>
  <c r="C563" i="6"/>
  <c r="V562" i="6"/>
  <c r="U559" i="6" s="1"/>
  <c r="S562" i="6"/>
  <c r="R559" i="6" s="1"/>
  <c r="P562" i="6"/>
  <c r="O559" i="6" s="1"/>
  <c r="M562" i="6"/>
  <c r="L559" i="6" s="1"/>
  <c r="H562" i="6"/>
  <c r="F562" i="6"/>
  <c r="E562" i="6"/>
  <c r="C562" i="6"/>
  <c r="V561" i="6"/>
  <c r="U558" i="6" s="1"/>
  <c r="S561" i="6"/>
  <c r="R558" i="6" s="1"/>
  <c r="P561" i="6"/>
  <c r="O558" i="6" s="1"/>
  <c r="M561" i="6"/>
  <c r="H561" i="6"/>
  <c r="F561" i="6"/>
  <c r="E561" i="6"/>
  <c r="C561" i="6"/>
  <c r="V560" i="6"/>
  <c r="U557" i="6" s="1"/>
  <c r="S560" i="6"/>
  <c r="R557" i="6" s="1"/>
  <c r="P560" i="6"/>
  <c r="O557" i="6" s="1"/>
  <c r="M560" i="6"/>
  <c r="L557" i="6" s="1"/>
  <c r="H560" i="6"/>
  <c r="F560" i="6"/>
  <c r="E560" i="6"/>
  <c r="C560" i="6"/>
  <c r="V559" i="6"/>
  <c r="U556" i="6" s="1"/>
  <c r="S559" i="6"/>
  <c r="R556" i="6" s="1"/>
  <c r="P559" i="6"/>
  <c r="O556" i="6" s="1"/>
  <c r="M559" i="6"/>
  <c r="H559" i="6"/>
  <c r="F559" i="6"/>
  <c r="E559" i="6"/>
  <c r="C559" i="6"/>
  <c r="V558" i="6"/>
  <c r="U555" i="6" s="1"/>
  <c r="S558" i="6"/>
  <c r="R555" i="6" s="1"/>
  <c r="P558" i="6"/>
  <c r="M558" i="6"/>
  <c r="H558" i="6"/>
  <c r="F558" i="6"/>
  <c r="E558" i="6"/>
  <c r="C558" i="6"/>
  <c r="V557" i="6"/>
  <c r="U554" i="6" s="1"/>
  <c r="S557" i="6"/>
  <c r="R554" i="6" s="1"/>
  <c r="P557" i="6"/>
  <c r="O554" i="6" s="1"/>
  <c r="M557" i="6"/>
  <c r="H557" i="6"/>
  <c r="F557" i="6"/>
  <c r="E557" i="6"/>
  <c r="C557" i="6"/>
  <c r="V556" i="6"/>
  <c r="U553" i="6" s="1"/>
  <c r="S556" i="6"/>
  <c r="R553" i="6" s="1"/>
  <c r="P556" i="6"/>
  <c r="O553" i="6" s="1"/>
  <c r="M556" i="6"/>
  <c r="L553" i="6" s="1"/>
  <c r="H556" i="6"/>
  <c r="G556" i="6"/>
  <c r="F556" i="6"/>
  <c r="E556" i="6"/>
  <c r="C556" i="6"/>
  <c r="V555" i="6"/>
  <c r="U552" i="6" s="1"/>
  <c r="S555" i="6"/>
  <c r="R552" i="6" s="1"/>
  <c r="P555" i="6"/>
  <c r="M555" i="6"/>
  <c r="L552" i="6" s="1"/>
  <c r="H555" i="6"/>
  <c r="F555" i="6"/>
  <c r="E555" i="6"/>
  <c r="C555" i="6"/>
  <c r="V554" i="6"/>
  <c r="U551" i="6" s="1"/>
  <c r="S554" i="6"/>
  <c r="R551" i="6" s="1"/>
  <c r="P554" i="6"/>
  <c r="O551" i="6" s="1"/>
  <c r="M554" i="6"/>
  <c r="L551" i="6" s="1"/>
  <c r="H554" i="6"/>
  <c r="F554" i="6"/>
  <c r="E554" i="6"/>
  <c r="C554" i="6"/>
  <c r="V553" i="6"/>
  <c r="S553" i="6"/>
  <c r="P553" i="6"/>
  <c r="M553" i="6"/>
  <c r="H553" i="6"/>
  <c r="F553" i="6"/>
  <c r="E553" i="6"/>
  <c r="C553" i="6"/>
  <c r="V552" i="6"/>
  <c r="U549" i="6" s="1"/>
  <c r="S552" i="6"/>
  <c r="R549" i="6" s="1"/>
  <c r="P552" i="6"/>
  <c r="O549" i="6" s="1"/>
  <c r="M552" i="6"/>
  <c r="H552" i="6"/>
  <c r="G552" i="6"/>
  <c r="F552" i="6"/>
  <c r="E552" i="6"/>
  <c r="C552" i="6"/>
  <c r="H551" i="6"/>
  <c r="F551" i="6"/>
  <c r="E551" i="6"/>
  <c r="C551" i="6"/>
  <c r="V550" i="6"/>
  <c r="U547" i="6" s="1"/>
  <c r="S550" i="6"/>
  <c r="R547" i="6" s="1"/>
  <c r="P550" i="6"/>
  <c r="M550" i="6"/>
  <c r="L547" i="6" s="1"/>
  <c r="H550" i="6"/>
  <c r="F550" i="6"/>
  <c r="E550" i="6"/>
  <c r="C550" i="6"/>
  <c r="H549" i="6"/>
  <c r="G549" i="6"/>
  <c r="F549" i="6"/>
  <c r="E549" i="6"/>
  <c r="C549" i="6"/>
  <c r="V548" i="6"/>
  <c r="U545" i="6" s="1"/>
  <c r="S548" i="6"/>
  <c r="R545" i="6" s="1"/>
  <c r="P548" i="6"/>
  <c r="M548" i="6"/>
  <c r="L545" i="6" s="1"/>
  <c r="H548" i="6"/>
  <c r="F548" i="6"/>
  <c r="E548" i="6"/>
  <c r="C548" i="6"/>
  <c r="V547" i="6"/>
  <c r="U544" i="6" s="1"/>
  <c r="S547" i="6"/>
  <c r="R544" i="6" s="1"/>
  <c r="P547" i="6"/>
  <c r="O544" i="6" s="1"/>
  <c r="M547" i="6"/>
  <c r="H547" i="6"/>
  <c r="G547" i="6"/>
  <c r="F547" i="6"/>
  <c r="E547" i="6"/>
  <c r="C547" i="6"/>
  <c r="V546" i="6"/>
  <c r="S546" i="6"/>
  <c r="P546" i="6"/>
  <c r="M546" i="6"/>
  <c r="H546" i="6"/>
  <c r="F546" i="6"/>
  <c r="E546" i="6"/>
  <c r="C546" i="6"/>
  <c r="V545" i="6"/>
  <c r="U542" i="6" s="1"/>
  <c r="S545" i="6"/>
  <c r="R542" i="6" s="1"/>
  <c r="P545" i="6"/>
  <c r="O542" i="6" s="1"/>
  <c r="M545" i="6"/>
  <c r="L542" i="6" s="1"/>
  <c r="H545" i="6"/>
  <c r="G545" i="6"/>
  <c r="F545" i="6"/>
  <c r="E545" i="6"/>
  <c r="C545" i="6"/>
  <c r="H544" i="6"/>
  <c r="G544" i="6"/>
  <c r="F544" i="6"/>
  <c r="E544" i="6"/>
  <c r="C544" i="6"/>
  <c r="V543" i="6"/>
  <c r="U540" i="6" s="1"/>
  <c r="S543" i="6"/>
  <c r="R540" i="6" s="1"/>
  <c r="P543" i="6"/>
  <c r="O540" i="6" s="1"/>
  <c r="M543" i="6"/>
  <c r="H543" i="6"/>
  <c r="F543" i="6"/>
  <c r="E543" i="6"/>
  <c r="C543" i="6"/>
  <c r="V542" i="6"/>
  <c r="U539" i="6" s="1"/>
  <c r="S542" i="6"/>
  <c r="R539" i="6" s="1"/>
  <c r="P542" i="6"/>
  <c r="O539" i="6" s="1"/>
  <c r="M542" i="6"/>
  <c r="L539" i="6" s="1"/>
  <c r="H542" i="6"/>
  <c r="G542" i="6"/>
  <c r="F542" i="6"/>
  <c r="E542" i="6"/>
  <c r="C542" i="6"/>
  <c r="V541" i="6"/>
  <c r="U538" i="6" s="1"/>
  <c r="S541" i="6"/>
  <c r="R538" i="6" s="1"/>
  <c r="P541" i="6"/>
  <c r="O538" i="6" s="1"/>
  <c r="M541" i="6"/>
  <c r="L538" i="6" s="1"/>
  <c r="H541" i="6"/>
  <c r="F541" i="6"/>
  <c r="E541" i="6"/>
  <c r="C541" i="6"/>
  <c r="V540" i="6"/>
  <c r="U537" i="6" s="1"/>
  <c r="S540" i="6"/>
  <c r="R537" i="6" s="1"/>
  <c r="P540" i="6"/>
  <c r="O537" i="6" s="1"/>
  <c r="M540" i="6"/>
  <c r="H540" i="6"/>
  <c r="F540" i="6"/>
  <c r="E540" i="6"/>
  <c r="C540" i="6"/>
  <c r="V539" i="6"/>
  <c r="U536" i="6" s="1"/>
  <c r="S539" i="6"/>
  <c r="R536" i="6" s="1"/>
  <c r="P539" i="6"/>
  <c r="M539" i="6"/>
  <c r="L536" i="6" s="1"/>
  <c r="H539" i="6"/>
  <c r="F539" i="6"/>
  <c r="E539" i="6"/>
  <c r="C539" i="6"/>
  <c r="H538" i="6"/>
  <c r="G538" i="6"/>
  <c r="F538" i="6"/>
  <c r="E538" i="6"/>
  <c r="C538" i="6"/>
  <c r="H537" i="6"/>
  <c r="F537" i="6"/>
  <c r="E537" i="6"/>
  <c r="C537" i="6"/>
  <c r="V536" i="6"/>
  <c r="U533" i="6" s="1"/>
  <c r="S536" i="6"/>
  <c r="R533" i="6" s="1"/>
  <c r="P536" i="6"/>
  <c r="O533" i="6" s="1"/>
  <c r="M536" i="6"/>
  <c r="L533" i="6" s="1"/>
  <c r="H536" i="6"/>
  <c r="F536" i="6"/>
  <c r="E536" i="6"/>
  <c r="C536" i="6"/>
  <c r="H535" i="6"/>
  <c r="G535" i="6"/>
  <c r="F535" i="6"/>
  <c r="E535" i="6"/>
  <c r="C535" i="6"/>
  <c r="V534" i="6"/>
  <c r="U531" i="6" s="1"/>
  <c r="S534" i="6"/>
  <c r="R531" i="6" s="1"/>
  <c r="P534" i="6"/>
  <c r="M534" i="6"/>
  <c r="H534" i="6"/>
  <c r="F534" i="6"/>
  <c r="E534" i="6"/>
  <c r="C534" i="6"/>
  <c r="V533" i="6"/>
  <c r="U530" i="6" s="1"/>
  <c r="S533" i="6"/>
  <c r="R530" i="6" s="1"/>
  <c r="P533" i="6"/>
  <c r="O530" i="6" s="1"/>
  <c r="M533" i="6"/>
  <c r="H533" i="6"/>
  <c r="G533" i="6"/>
  <c r="F533" i="6"/>
  <c r="E533" i="6"/>
  <c r="C533" i="6"/>
  <c r="V532" i="6"/>
  <c r="U529" i="6" s="1"/>
  <c r="S532" i="6"/>
  <c r="R529" i="6" s="1"/>
  <c r="P532" i="6"/>
  <c r="O529" i="6" s="1"/>
  <c r="M532" i="6"/>
  <c r="L529" i="6" s="1"/>
  <c r="H532" i="6"/>
  <c r="G532" i="6"/>
  <c r="F532" i="6"/>
  <c r="E532" i="6"/>
  <c r="C532" i="6"/>
  <c r="V531" i="6"/>
  <c r="S531" i="6"/>
  <c r="R528" i="6" s="1"/>
  <c r="P531" i="6"/>
  <c r="O528" i="6" s="1"/>
  <c r="O531" i="6"/>
  <c r="M531" i="6"/>
  <c r="H531" i="6"/>
  <c r="G531" i="6"/>
  <c r="F531" i="6"/>
  <c r="E531" i="6"/>
  <c r="C531" i="6"/>
  <c r="V530" i="6"/>
  <c r="U527" i="6" s="1"/>
  <c r="S530" i="6"/>
  <c r="R527" i="6" s="1"/>
  <c r="P530" i="6"/>
  <c r="O527" i="6" s="1"/>
  <c r="M530" i="6"/>
  <c r="H530" i="6"/>
  <c r="F530" i="6"/>
  <c r="E530" i="6"/>
  <c r="C530" i="6"/>
  <c r="H529" i="6"/>
  <c r="G529" i="6"/>
  <c r="F529" i="6"/>
  <c r="E529" i="6"/>
  <c r="C529" i="6"/>
  <c r="V528" i="6"/>
  <c r="U525" i="6" s="1"/>
  <c r="U528" i="6"/>
  <c r="S528" i="6"/>
  <c r="R525" i="6" s="1"/>
  <c r="P528" i="6"/>
  <c r="O525" i="6" s="1"/>
  <c r="M528" i="6"/>
  <c r="L525" i="6" s="1"/>
  <c r="H528" i="6"/>
  <c r="G528" i="6"/>
  <c r="F528" i="6"/>
  <c r="E528" i="6"/>
  <c r="C528" i="6"/>
  <c r="H527" i="6"/>
  <c r="G527" i="6"/>
  <c r="F527" i="6"/>
  <c r="E527" i="6"/>
  <c r="C527" i="6"/>
  <c r="V526" i="6"/>
  <c r="U523" i="6" s="1"/>
  <c r="S526" i="6"/>
  <c r="R523" i="6" s="1"/>
  <c r="P526" i="6"/>
  <c r="O523" i="6" s="1"/>
  <c r="M526" i="6"/>
  <c r="H526" i="6"/>
  <c r="G526" i="6"/>
  <c r="F526" i="6"/>
  <c r="E526" i="6"/>
  <c r="C526" i="6"/>
  <c r="V525" i="6"/>
  <c r="U522" i="6" s="1"/>
  <c r="S525" i="6"/>
  <c r="R522" i="6" s="1"/>
  <c r="P525" i="6"/>
  <c r="O522" i="6" s="1"/>
  <c r="M525" i="6"/>
  <c r="H525" i="6"/>
  <c r="F525" i="6"/>
  <c r="E525" i="6"/>
  <c r="C525" i="6"/>
  <c r="H524" i="6"/>
  <c r="F524" i="6"/>
  <c r="E524" i="6"/>
  <c r="C524" i="6"/>
  <c r="V523" i="6"/>
  <c r="U520" i="6" s="1"/>
  <c r="S523" i="6"/>
  <c r="R520" i="6" s="1"/>
  <c r="P523" i="6"/>
  <c r="O520" i="6" s="1"/>
  <c r="M523" i="6"/>
  <c r="H523" i="6"/>
  <c r="G523" i="6"/>
  <c r="F523" i="6"/>
  <c r="E523" i="6"/>
  <c r="C523" i="6"/>
  <c r="V522" i="6"/>
  <c r="S522" i="6"/>
  <c r="R519" i="6" s="1"/>
  <c r="P522" i="6"/>
  <c r="O519" i="6" s="1"/>
  <c r="M522" i="6"/>
  <c r="L519" i="6" s="1"/>
  <c r="H522" i="6"/>
  <c r="F522" i="6"/>
  <c r="E522" i="6"/>
  <c r="C522" i="6"/>
  <c r="V521" i="6"/>
  <c r="U518" i="6" s="1"/>
  <c r="S521" i="6"/>
  <c r="R518" i="6" s="1"/>
  <c r="P521" i="6"/>
  <c r="O518" i="6" s="1"/>
  <c r="M521" i="6"/>
  <c r="L518" i="6" s="1"/>
  <c r="H521" i="6"/>
  <c r="G521" i="6"/>
  <c r="F521" i="6"/>
  <c r="E521" i="6"/>
  <c r="C521" i="6"/>
  <c r="V520" i="6"/>
  <c r="S520" i="6"/>
  <c r="P520" i="6"/>
  <c r="M520" i="6"/>
  <c r="H520" i="6"/>
  <c r="F520" i="6"/>
  <c r="E520" i="6"/>
  <c r="C520" i="6"/>
  <c r="V519" i="6"/>
  <c r="U516" i="6" s="1"/>
  <c r="S519" i="6"/>
  <c r="R516" i="6" s="1"/>
  <c r="P519" i="6"/>
  <c r="O516" i="6" s="1"/>
  <c r="M519" i="6"/>
  <c r="H519" i="6"/>
  <c r="G519" i="6"/>
  <c r="F519" i="6"/>
  <c r="E519" i="6"/>
  <c r="C519" i="6"/>
  <c r="V518" i="6"/>
  <c r="U515" i="6" s="1"/>
  <c r="S518" i="6"/>
  <c r="R515" i="6" s="1"/>
  <c r="P518" i="6"/>
  <c r="O515" i="6" s="1"/>
  <c r="M518" i="6"/>
  <c r="L515" i="6" s="1"/>
  <c r="H518" i="6"/>
  <c r="F518" i="6"/>
  <c r="E518" i="6"/>
  <c r="C518" i="6"/>
  <c r="V517" i="6"/>
  <c r="U514" i="6" s="1"/>
  <c r="S517" i="6"/>
  <c r="R514" i="6" s="1"/>
  <c r="P517" i="6"/>
  <c r="O514" i="6" s="1"/>
  <c r="M517" i="6"/>
  <c r="L514" i="6" s="1"/>
  <c r="H517" i="6"/>
  <c r="F517" i="6"/>
  <c r="E517" i="6"/>
  <c r="C517" i="6"/>
  <c r="V516" i="6"/>
  <c r="S516" i="6"/>
  <c r="P516" i="6"/>
  <c r="M516" i="6"/>
  <c r="H516" i="6"/>
  <c r="F516" i="6"/>
  <c r="E516" i="6"/>
  <c r="C516" i="6"/>
  <c r="V515" i="6"/>
  <c r="U512" i="6" s="1"/>
  <c r="S515" i="6"/>
  <c r="R512" i="6" s="1"/>
  <c r="P515" i="6"/>
  <c r="M515" i="6"/>
  <c r="L512" i="6" s="1"/>
  <c r="H515" i="6"/>
  <c r="G515" i="6"/>
  <c r="F515" i="6"/>
  <c r="E515" i="6"/>
  <c r="C515" i="6"/>
  <c r="H514" i="6"/>
  <c r="F514" i="6"/>
  <c r="E514" i="6"/>
  <c r="C514" i="6"/>
  <c r="H513" i="6"/>
  <c r="F513" i="6"/>
  <c r="E513" i="6"/>
  <c r="C513" i="6"/>
  <c r="V512" i="6"/>
  <c r="U509" i="6" s="1"/>
  <c r="S512" i="6"/>
  <c r="R509" i="6" s="1"/>
  <c r="P512" i="6"/>
  <c r="O509" i="6" s="1"/>
  <c r="M512" i="6"/>
  <c r="L509" i="6" s="1"/>
  <c r="H512" i="6"/>
  <c r="G512" i="6"/>
  <c r="F512" i="6"/>
  <c r="E512" i="6"/>
  <c r="C512" i="6"/>
  <c r="V511" i="6"/>
  <c r="U508" i="6" s="1"/>
  <c r="S511" i="6"/>
  <c r="R508" i="6" s="1"/>
  <c r="P511" i="6"/>
  <c r="O508" i="6" s="1"/>
  <c r="M511" i="6"/>
  <c r="L508" i="6" s="1"/>
  <c r="H511" i="6"/>
  <c r="F511" i="6"/>
  <c r="E511" i="6"/>
  <c r="C511" i="6"/>
  <c r="V510" i="6"/>
  <c r="U507" i="6" s="1"/>
  <c r="S510" i="6"/>
  <c r="R507" i="6" s="1"/>
  <c r="P510" i="6"/>
  <c r="O507" i="6" s="1"/>
  <c r="M510" i="6"/>
  <c r="L507" i="6" s="1"/>
  <c r="H510" i="6"/>
  <c r="G510" i="6"/>
  <c r="F510" i="6"/>
  <c r="E510" i="6"/>
  <c r="C510" i="6"/>
  <c r="H509" i="6"/>
  <c r="G509" i="6"/>
  <c r="F509" i="6"/>
  <c r="E509" i="6"/>
  <c r="C509" i="6"/>
  <c r="V508" i="6"/>
  <c r="U505" i="6" s="1"/>
  <c r="S508" i="6"/>
  <c r="R505" i="6" s="1"/>
  <c r="P508" i="6"/>
  <c r="O505" i="6" s="1"/>
  <c r="M508" i="6"/>
  <c r="H508" i="6"/>
  <c r="F508" i="6"/>
  <c r="E508" i="6"/>
  <c r="C508" i="6"/>
  <c r="V507" i="6"/>
  <c r="U504" i="6" s="1"/>
  <c r="S507" i="6"/>
  <c r="R504" i="6" s="1"/>
  <c r="P507" i="6"/>
  <c r="M507" i="6"/>
  <c r="L504" i="6" s="1"/>
  <c r="H507" i="6"/>
  <c r="G507" i="6"/>
  <c r="F507" i="6"/>
  <c r="E507" i="6"/>
  <c r="C507" i="6"/>
  <c r="V506" i="6"/>
  <c r="U503" i="6" s="1"/>
  <c r="S506" i="6"/>
  <c r="R503" i="6" s="1"/>
  <c r="P506" i="6"/>
  <c r="O503" i="6" s="1"/>
  <c r="M506" i="6"/>
  <c r="L503" i="6" s="1"/>
  <c r="H506" i="6"/>
  <c r="G506" i="6"/>
  <c r="F506" i="6"/>
  <c r="E506" i="6"/>
  <c r="C506" i="6"/>
  <c r="V505" i="6"/>
  <c r="U502" i="6" s="1"/>
  <c r="S505" i="6"/>
  <c r="R502" i="6" s="1"/>
  <c r="P505" i="6"/>
  <c r="O502" i="6" s="1"/>
  <c r="M505" i="6"/>
  <c r="H505" i="6"/>
  <c r="F505" i="6"/>
  <c r="E505" i="6"/>
  <c r="C505" i="6"/>
  <c r="V504" i="6"/>
  <c r="U501" i="6" s="1"/>
  <c r="S504" i="6"/>
  <c r="R501" i="6" s="1"/>
  <c r="P504" i="6"/>
  <c r="M504" i="6"/>
  <c r="L501" i="6" s="1"/>
  <c r="H504" i="6"/>
  <c r="G504" i="6"/>
  <c r="F504" i="6"/>
  <c r="E504" i="6"/>
  <c r="C504" i="6"/>
  <c r="V503" i="6"/>
  <c r="U500" i="6" s="1"/>
  <c r="S503" i="6"/>
  <c r="R500" i="6" s="1"/>
  <c r="P503" i="6"/>
  <c r="O500" i="6" s="1"/>
  <c r="M503" i="6"/>
  <c r="L500" i="6" s="1"/>
  <c r="H503" i="6"/>
  <c r="G503" i="6"/>
  <c r="F503" i="6"/>
  <c r="E503" i="6"/>
  <c r="C503" i="6"/>
  <c r="V502" i="6"/>
  <c r="U499" i="6" s="1"/>
  <c r="S502" i="6"/>
  <c r="R499" i="6" s="1"/>
  <c r="P502" i="6"/>
  <c r="O499" i="6" s="1"/>
  <c r="M502" i="6"/>
  <c r="L499" i="6" s="1"/>
  <c r="H502" i="6"/>
  <c r="F502" i="6"/>
  <c r="E502" i="6"/>
  <c r="C502" i="6"/>
  <c r="V501" i="6"/>
  <c r="U498" i="6" s="1"/>
  <c r="S501" i="6"/>
  <c r="R498" i="6" s="1"/>
  <c r="P501" i="6"/>
  <c r="O498" i="6" s="1"/>
  <c r="M501" i="6"/>
  <c r="L498" i="6" s="1"/>
  <c r="H501" i="6"/>
  <c r="G501" i="6"/>
  <c r="F501" i="6"/>
  <c r="E501" i="6"/>
  <c r="C501" i="6"/>
  <c r="H500" i="6"/>
  <c r="G500" i="6"/>
  <c r="F500" i="6"/>
  <c r="E500" i="6"/>
  <c r="C500" i="6"/>
  <c r="V499" i="6"/>
  <c r="U496" i="6" s="1"/>
  <c r="S499" i="6"/>
  <c r="R496" i="6" s="1"/>
  <c r="P499" i="6"/>
  <c r="O496" i="6" s="1"/>
  <c r="M499" i="6"/>
  <c r="L496" i="6" s="1"/>
  <c r="H499" i="6"/>
  <c r="F499" i="6"/>
  <c r="E499" i="6"/>
  <c r="C499" i="6"/>
  <c r="V498" i="6"/>
  <c r="U495" i="6" s="1"/>
  <c r="S498" i="6"/>
  <c r="R495" i="6" s="1"/>
  <c r="P498" i="6"/>
  <c r="M498" i="6"/>
  <c r="L495" i="6" s="1"/>
  <c r="H498" i="6"/>
  <c r="G498" i="6"/>
  <c r="F498" i="6"/>
  <c r="E498" i="6"/>
  <c r="C498" i="6"/>
  <c r="V497" i="6"/>
  <c r="U494" i="6" s="1"/>
  <c r="S497" i="6"/>
  <c r="R494" i="6" s="1"/>
  <c r="P497" i="6"/>
  <c r="O494" i="6" s="1"/>
  <c r="M497" i="6"/>
  <c r="L494" i="6" s="1"/>
  <c r="H497" i="6"/>
  <c r="F497" i="6"/>
  <c r="E497" i="6"/>
  <c r="C497" i="6"/>
  <c r="V496" i="6"/>
  <c r="U493" i="6" s="1"/>
  <c r="S496" i="6"/>
  <c r="R493" i="6" s="1"/>
  <c r="P496" i="6"/>
  <c r="O493" i="6" s="1"/>
  <c r="M496" i="6"/>
  <c r="L493" i="6" s="1"/>
  <c r="H496" i="6"/>
  <c r="G496" i="6"/>
  <c r="F496" i="6"/>
  <c r="E496" i="6"/>
  <c r="C496" i="6"/>
  <c r="V495" i="6"/>
  <c r="U492" i="6" s="1"/>
  <c r="S495" i="6"/>
  <c r="R492" i="6" s="1"/>
  <c r="P495" i="6"/>
  <c r="M495" i="6"/>
  <c r="L492" i="6" s="1"/>
  <c r="H495" i="6"/>
  <c r="F495" i="6"/>
  <c r="E495" i="6"/>
  <c r="C495" i="6"/>
  <c r="V494" i="6"/>
  <c r="U491" i="6" s="1"/>
  <c r="S494" i="6"/>
  <c r="R491" i="6" s="1"/>
  <c r="P494" i="6"/>
  <c r="O491" i="6" s="1"/>
  <c r="M494" i="6"/>
  <c r="H494" i="6"/>
  <c r="G494" i="6"/>
  <c r="F494" i="6"/>
  <c r="E494" i="6"/>
  <c r="C494" i="6"/>
  <c r="V493" i="6"/>
  <c r="U490" i="6" s="1"/>
  <c r="S493" i="6"/>
  <c r="R490" i="6" s="1"/>
  <c r="P493" i="6"/>
  <c r="O490" i="6" s="1"/>
  <c r="M493" i="6"/>
  <c r="L490" i="6" s="1"/>
  <c r="H493" i="6"/>
  <c r="G493" i="6"/>
  <c r="F493" i="6"/>
  <c r="E493" i="6"/>
  <c r="C493" i="6"/>
  <c r="V492" i="6"/>
  <c r="U489" i="6" s="1"/>
  <c r="S492" i="6"/>
  <c r="R489" i="6" s="1"/>
  <c r="P492" i="6"/>
  <c r="O489" i="6" s="1"/>
  <c r="M492" i="6"/>
  <c r="L489" i="6" s="1"/>
  <c r="H492" i="6"/>
  <c r="F492" i="6"/>
  <c r="E492" i="6"/>
  <c r="C492" i="6"/>
  <c r="V491" i="6"/>
  <c r="U488" i="6" s="1"/>
  <c r="S491" i="6"/>
  <c r="R488" i="6" s="1"/>
  <c r="P491" i="6"/>
  <c r="O488" i="6" s="1"/>
  <c r="M491" i="6"/>
  <c r="H491" i="6"/>
  <c r="F491" i="6"/>
  <c r="E491" i="6"/>
  <c r="C491" i="6"/>
  <c r="V490" i="6"/>
  <c r="S490" i="6"/>
  <c r="P490" i="6"/>
  <c r="M490" i="6"/>
  <c r="H490" i="6"/>
  <c r="G490" i="6"/>
  <c r="F490" i="6"/>
  <c r="E490" i="6"/>
  <c r="C490" i="6"/>
  <c r="V489" i="6"/>
  <c r="U486" i="6" s="1"/>
  <c r="S489" i="6"/>
  <c r="R486" i="6" s="1"/>
  <c r="P489" i="6"/>
  <c r="O486" i="6" s="1"/>
  <c r="M489" i="6"/>
  <c r="H489" i="6"/>
  <c r="G489" i="6"/>
  <c r="F489" i="6"/>
  <c r="E489" i="6"/>
  <c r="C489" i="6"/>
  <c r="H488" i="6"/>
  <c r="F488" i="6"/>
  <c r="E488" i="6"/>
  <c r="C488" i="6"/>
  <c r="V487" i="6"/>
  <c r="S487" i="6"/>
  <c r="R484" i="6" s="1"/>
  <c r="P487" i="6"/>
  <c r="O484" i="6" s="1"/>
  <c r="M487" i="6"/>
  <c r="L484" i="6" s="1"/>
  <c r="H487" i="6"/>
  <c r="G487" i="6"/>
  <c r="F487" i="6"/>
  <c r="E487" i="6"/>
  <c r="C487" i="6"/>
  <c r="V486" i="6"/>
  <c r="U483" i="6" s="1"/>
  <c r="S486" i="6"/>
  <c r="R483" i="6" s="1"/>
  <c r="P486" i="6"/>
  <c r="O483" i="6" s="1"/>
  <c r="M486" i="6"/>
  <c r="H486" i="6"/>
  <c r="F486" i="6"/>
  <c r="E486" i="6"/>
  <c r="C486" i="6"/>
  <c r="H485" i="6"/>
  <c r="F485" i="6"/>
  <c r="E485" i="6"/>
  <c r="C485" i="6"/>
  <c r="V484" i="6"/>
  <c r="U481" i="6" s="1"/>
  <c r="S484" i="6"/>
  <c r="P484" i="6"/>
  <c r="O481" i="6" s="1"/>
  <c r="M484" i="6"/>
  <c r="L481" i="6" s="1"/>
  <c r="H484" i="6"/>
  <c r="G484" i="6"/>
  <c r="F484" i="6"/>
  <c r="E484" i="6"/>
  <c r="C484" i="6"/>
  <c r="V483" i="6"/>
  <c r="U480" i="6" s="1"/>
  <c r="S483" i="6"/>
  <c r="R480" i="6" s="1"/>
  <c r="P483" i="6"/>
  <c r="O480" i="6" s="1"/>
  <c r="M483" i="6"/>
  <c r="H483" i="6"/>
  <c r="G483" i="6"/>
  <c r="F483" i="6"/>
  <c r="E483" i="6"/>
  <c r="C483" i="6"/>
  <c r="V482" i="6"/>
  <c r="U479" i="6" s="1"/>
  <c r="S482" i="6"/>
  <c r="R479" i="6" s="1"/>
  <c r="P482" i="6"/>
  <c r="M482" i="6"/>
  <c r="L479" i="6" s="1"/>
  <c r="H482" i="6"/>
  <c r="G482" i="6"/>
  <c r="F482" i="6"/>
  <c r="E482" i="6"/>
  <c r="C482" i="6"/>
  <c r="V481" i="6"/>
  <c r="U478" i="6" s="1"/>
  <c r="S481" i="6"/>
  <c r="R478" i="6" s="1"/>
  <c r="P481" i="6"/>
  <c r="O478" i="6" s="1"/>
  <c r="M481" i="6"/>
  <c r="L478" i="6" s="1"/>
  <c r="H481" i="6"/>
  <c r="F481" i="6"/>
  <c r="E481" i="6"/>
  <c r="C481" i="6"/>
  <c r="H480" i="6"/>
  <c r="F480" i="6"/>
  <c r="E480" i="6"/>
  <c r="C480" i="6"/>
  <c r="V479" i="6"/>
  <c r="U476" i="6" s="1"/>
  <c r="S479" i="6"/>
  <c r="R476" i="6" s="1"/>
  <c r="P479" i="6"/>
  <c r="M479" i="6"/>
  <c r="L476" i="6" s="1"/>
  <c r="H479" i="6"/>
  <c r="G479" i="6"/>
  <c r="F479" i="6"/>
  <c r="E479" i="6"/>
  <c r="C479" i="6"/>
  <c r="V478" i="6"/>
  <c r="U475" i="6" s="1"/>
  <c r="S478" i="6"/>
  <c r="R475" i="6" s="1"/>
  <c r="P478" i="6"/>
  <c r="O475" i="6" s="1"/>
  <c r="M478" i="6"/>
  <c r="H478" i="6"/>
  <c r="F478" i="6"/>
  <c r="E478" i="6"/>
  <c r="C478" i="6"/>
  <c r="H477" i="6"/>
  <c r="F477" i="6"/>
  <c r="E477" i="6"/>
  <c r="C477" i="6"/>
  <c r="V476" i="6"/>
  <c r="S476" i="6"/>
  <c r="P476" i="6"/>
  <c r="M476" i="6"/>
  <c r="H476" i="6"/>
  <c r="G476" i="6"/>
  <c r="F476" i="6"/>
  <c r="E476" i="6"/>
  <c r="C476" i="6"/>
  <c r="V475" i="6"/>
  <c r="U472" i="6" s="1"/>
  <c r="S475" i="6"/>
  <c r="R472" i="6" s="1"/>
  <c r="P475" i="6"/>
  <c r="O472" i="6" s="1"/>
  <c r="M475" i="6"/>
  <c r="L472" i="6" s="1"/>
  <c r="H475" i="6"/>
  <c r="G475" i="6"/>
  <c r="F475" i="6"/>
  <c r="E475" i="6"/>
  <c r="C475" i="6"/>
  <c r="V474" i="6"/>
  <c r="U471" i="6" s="1"/>
  <c r="S474" i="6"/>
  <c r="R471" i="6" s="1"/>
  <c r="P474" i="6"/>
  <c r="O471" i="6" s="1"/>
  <c r="M474" i="6"/>
  <c r="L471" i="6" s="1"/>
  <c r="H474" i="6"/>
  <c r="F474" i="6"/>
  <c r="E474" i="6"/>
  <c r="C474" i="6"/>
  <c r="H473" i="6"/>
  <c r="F473" i="6"/>
  <c r="E473" i="6"/>
  <c r="C473" i="6"/>
  <c r="H472" i="6"/>
  <c r="F472" i="6"/>
  <c r="E472" i="6"/>
  <c r="C472" i="6"/>
  <c r="V471" i="6"/>
  <c r="U468" i="6" s="1"/>
  <c r="S471" i="6"/>
  <c r="R468" i="6" s="1"/>
  <c r="P471" i="6"/>
  <c r="O468" i="6" s="1"/>
  <c r="M471" i="6"/>
  <c r="H471" i="6"/>
  <c r="G471" i="6"/>
  <c r="F471" i="6"/>
  <c r="E471" i="6"/>
  <c r="C471" i="6"/>
  <c r="H470" i="6"/>
  <c r="F470" i="6"/>
  <c r="E470" i="6"/>
  <c r="C470" i="6"/>
  <c r="V469" i="6"/>
  <c r="U466" i="6" s="1"/>
  <c r="S469" i="6"/>
  <c r="R466" i="6" s="1"/>
  <c r="P469" i="6"/>
  <c r="O466" i="6" s="1"/>
  <c r="M469" i="6"/>
  <c r="H469" i="6"/>
  <c r="G469" i="6"/>
  <c r="F469" i="6"/>
  <c r="E469" i="6"/>
  <c r="C469" i="6"/>
  <c r="V468" i="6"/>
  <c r="U465" i="6" s="1"/>
  <c r="S468" i="6"/>
  <c r="R465" i="6" s="1"/>
  <c r="P468" i="6"/>
  <c r="O465" i="6" s="1"/>
  <c r="M468" i="6"/>
  <c r="L465" i="6" s="1"/>
  <c r="H468" i="6"/>
  <c r="F468" i="6"/>
  <c r="E468" i="6"/>
  <c r="C468" i="6"/>
  <c r="V467" i="6"/>
  <c r="U464" i="6" s="1"/>
  <c r="S467" i="6"/>
  <c r="R464" i="6" s="1"/>
  <c r="P467" i="6"/>
  <c r="O464" i="6" s="1"/>
  <c r="M467" i="6"/>
  <c r="L464" i="6" s="1"/>
  <c r="H467" i="6"/>
  <c r="F467" i="6"/>
  <c r="E467" i="6"/>
  <c r="C467" i="6"/>
  <c r="V466" i="6"/>
  <c r="S466" i="6"/>
  <c r="P466" i="6"/>
  <c r="M466" i="6"/>
  <c r="H466" i="6"/>
  <c r="F466" i="6"/>
  <c r="E466" i="6"/>
  <c r="C466" i="6"/>
  <c r="V465" i="6"/>
  <c r="U462" i="6" s="1"/>
  <c r="S465" i="6"/>
  <c r="R462" i="6" s="1"/>
  <c r="P465" i="6"/>
  <c r="M465" i="6"/>
  <c r="L462" i="6" s="1"/>
  <c r="H465" i="6"/>
  <c r="F465" i="6"/>
  <c r="E465" i="6"/>
  <c r="C465" i="6"/>
  <c r="V464" i="6"/>
  <c r="U461" i="6" s="1"/>
  <c r="S464" i="6"/>
  <c r="R461" i="6" s="1"/>
  <c r="P464" i="6"/>
  <c r="O461" i="6" s="1"/>
  <c r="M464" i="6"/>
  <c r="L461" i="6" s="1"/>
  <c r="H464" i="6"/>
  <c r="F464" i="6"/>
  <c r="E464" i="6"/>
  <c r="C464" i="6"/>
  <c r="V463" i="6"/>
  <c r="S463" i="6"/>
  <c r="R460" i="6" s="1"/>
  <c r="P463" i="6"/>
  <c r="O460" i="6" s="1"/>
  <c r="M463" i="6"/>
  <c r="L460" i="6" s="1"/>
  <c r="H463" i="6"/>
  <c r="F463" i="6"/>
  <c r="E463" i="6"/>
  <c r="C463" i="6"/>
  <c r="V462" i="6"/>
  <c r="S462" i="6"/>
  <c r="P462" i="6"/>
  <c r="M462" i="6"/>
  <c r="H462" i="6"/>
  <c r="G462" i="6"/>
  <c r="F462" i="6"/>
  <c r="E462" i="6"/>
  <c r="C462" i="6"/>
  <c r="V461" i="6"/>
  <c r="U458" i="6" s="1"/>
  <c r="S461" i="6"/>
  <c r="R458" i="6" s="1"/>
  <c r="P461" i="6"/>
  <c r="M461" i="6"/>
  <c r="H461" i="6"/>
  <c r="G461" i="6"/>
  <c r="F461" i="6"/>
  <c r="E461" i="6"/>
  <c r="C461" i="6"/>
  <c r="V460" i="6"/>
  <c r="U457" i="6" s="1"/>
  <c r="S460" i="6"/>
  <c r="R457" i="6" s="1"/>
  <c r="P460" i="6"/>
  <c r="O457" i="6" s="1"/>
  <c r="M460" i="6"/>
  <c r="L457" i="6" s="1"/>
  <c r="H460" i="6"/>
  <c r="F460" i="6"/>
  <c r="E460" i="6"/>
  <c r="C460" i="6"/>
  <c r="H459" i="6"/>
  <c r="F459" i="6"/>
  <c r="E459" i="6"/>
  <c r="C459" i="6"/>
  <c r="H458" i="6"/>
  <c r="F458" i="6"/>
  <c r="E458" i="6"/>
  <c r="C458" i="6"/>
  <c r="V457" i="6"/>
  <c r="U454" i="6" s="1"/>
  <c r="S457" i="6"/>
  <c r="R454" i="6" s="1"/>
  <c r="P457" i="6"/>
  <c r="O454" i="6" s="1"/>
  <c r="M457" i="6"/>
  <c r="L454" i="6" s="1"/>
  <c r="H457" i="6"/>
  <c r="F457" i="6"/>
  <c r="E457" i="6"/>
  <c r="C457" i="6"/>
  <c r="V456" i="6"/>
  <c r="U453" i="6" s="1"/>
  <c r="S456" i="6"/>
  <c r="R453" i="6" s="1"/>
  <c r="P456" i="6"/>
  <c r="O453" i="6" s="1"/>
  <c r="M456" i="6"/>
  <c r="L453" i="6" s="1"/>
  <c r="H456" i="6"/>
  <c r="F456" i="6"/>
  <c r="E456" i="6"/>
  <c r="C456" i="6"/>
  <c r="V455" i="6"/>
  <c r="U452" i="6" s="1"/>
  <c r="S455" i="6"/>
  <c r="R452" i="6" s="1"/>
  <c r="P455" i="6"/>
  <c r="O452" i="6" s="1"/>
  <c r="M455" i="6"/>
  <c r="H455" i="6"/>
  <c r="F455" i="6"/>
  <c r="E455" i="6"/>
  <c r="C455" i="6"/>
  <c r="V454" i="6"/>
  <c r="U451" i="6" s="1"/>
  <c r="S454" i="6"/>
  <c r="R451" i="6" s="1"/>
  <c r="P454" i="6"/>
  <c r="O451" i="6" s="1"/>
  <c r="M454" i="6"/>
  <c r="L451" i="6" s="1"/>
  <c r="H454" i="6"/>
  <c r="G454" i="6"/>
  <c r="C454" i="6"/>
  <c r="V453" i="6"/>
  <c r="U450" i="6" s="1"/>
  <c r="S453" i="6"/>
  <c r="R450" i="6" s="1"/>
  <c r="P453" i="6"/>
  <c r="O450" i="6" s="1"/>
  <c r="M453" i="6"/>
  <c r="L450" i="6" s="1"/>
  <c r="H453" i="6"/>
  <c r="G453" i="6"/>
  <c r="F453" i="6"/>
  <c r="E453" i="6"/>
  <c r="C453" i="6"/>
  <c r="V452" i="6"/>
  <c r="U449" i="6" s="1"/>
  <c r="S452" i="6"/>
  <c r="R449" i="6" s="1"/>
  <c r="P452" i="6"/>
  <c r="O449" i="6" s="1"/>
  <c r="M452" i="6"/>
  <c r="L449" i="6" s="1"/>
  <c r="H452" i="6"/>
  <c r="G452" i="6"/>
  <c r="F452" i="6"/>
  <c r="E452" i="6"/>
  <c r="C452" i="6"/>
  <c r="H451" i="6"/>
  <c r="F451" i="6"/>
  <c r="E451" i="6"/>
  <c r="C451" i="6"/>
  <c r="V450" i="6"/>
  <c r="U447" i="6" s="1"/>
  <c r="S450" i="6"/>
  <c r="R447" i="6" s="1"/>
  <c r="P450" i="6"/>
  <c r="O447" i="6" s="1"/>
  <c r="M450" i="6"/>
  <c r="L447" i="6" s="1"/>
  <c r="H450" i="6"/>
  <c r="G450" i="6"/>
  <c r="F450" i="6"/>
  <c r="E450" i="6"/>
  <c r="C450" i="6"/>
  <c r="V449" i="6"/>
  <c r="U446" i="6" s="1"/>
  <c r="S449" i="6"/>
  <c r="R446" i="6" s="1"/>
  <c r="P449" i="6"/>
  <c r="O446" i="6" s="1"/>
  <c r="M449" i="6"/>
  <c r="H449" i="6"/>
  <c r="G449" i="6"/>
  <c r="F449" i="6"/>
  <c r="E449" i="6"/>
  <c r="C449" i="6"/>
  <c r="V448" i="6"/>
  <c r="U445" i="6" s="1"/>
  <c r="S448" i="6"/>
  <c r="R445" i="6" s="1"/>
  <c r="P448" i="6"/>
  <c r="M448" i="6"/>
  <c r="L445" i="6" s="1"/>
  <c r="H448" i="6"/>
  <c r="F448" i="6"/>
  <c r="E448" i="6"/>
  <c r="C448" i="6"/>
  <c r="V447" i="6"/>
  <c r="U444" i="6" s="1"/>
  <c r="S447" i="6"/>
  <c r="R444" i="6" s="1"/>
  <c r="P447" i="6"/>
  <c r="O444" i="6" s="1"/>
  <c r="M447" i="6"/>
  <c r="H447" i="6"/>
  <c r="G447" i="6"/>
  <c r="F447" i="6"/>
  <c r="E447" i="6"/>
  <c r="C447" i="6"/>
  <c r="V446" i="6"/>
  <c r="U443" i="6" s="1"/>
  <c r="S446" i="6"/>
  <c r="R443" i="6" s="1"/>
  <c r="P446" i="6"/>
  <c r="O443" i="6" s="1"/>
  <c r="M446" i="6"/>
  <c r="H446" i="6"/>
  <c r="F446" i="6"/>
  <c r="E446" i="6"/>
  <c r="C446" i="6"/>
  <c r="V445" i="6"/>
  <c r="U442" i="6" s="1"/>
  <c r="S445" i="6"/>
  <c r="R442" i="6" s="1"/>
  <c r="P445" i="6"/>
  <c r="M445" i="6"/>
  <c r="L442" i="6" s="1"/>
  <c r="H445" i="6"/>
  <c r="G445" i="6"/>
  <c r="F445" i="6"/>
  <c r="E445" i="6"/>
  <c r="C445" i="6"/>
  <c r="V444" i="6"/>
  <c r="U441" i="6" s="1"/>
  <c r="S444" i="6"/>
  <c r="R441" i="6" s="1"/>
  <c r="P444" i="6"/>
  <c r="O441" i="6" s="1"/>
  <c r="M444" i="6"/>
  <c r="H444" i="6"/>
  <c r="F444" i="6"/>
  <c r="E444" i="6"/>
  <c r="C444" i="6"/>
  <c r="H443" i="6"/>
  <c r="F443" i="6"/>
  <c r="E443" i="6"/>
  <c r="C443" i="6"/>
  <c r="H442" i="6"/>
  <c r="F442" i="6"/>
  <c r="E442" i="6"/>
  <c r="C442" i="6"/>
  <c r="V441" i="6"/>
  <c r="U438" i="6" s="1"/>
  <c r="S441" i="6"/>
  <c r="R438" i="6" s="1"/>
  <c r="P441" i="6"/>
  <c r="O438" i="6" s="1"/>
  <c r="M441" i="6"/>
  <c r="L438" i="6" s="1"/>
  <c r="H441" i="6"/>
  <c r="F441" i="6"/>
  <c r="E441" i="6"/>
  <c r="C441" i="6"/>
  <c r="H440" i="6"/>
  <c r="G440" i="6"/>
  <c r="F440" i="6"/>
  <c r="E440" i="6"/>
  <c r="C440" i="6"/>
  <c r="H439" i="6"/>
  <c r="F439" i="6"/>
  <c r="E439" i="6"/>
  <c r="C439" i="6"/>
  <c r="V438" i="6"/>
  <c r="U436" i="6" s="1"/>
  <c r="S438" i="6"/>
  <c r="R436" i="6" s="1"/>
  <c r="P438" i="6"/>
  <c r="M438" i="6"/>
  <c r="L436" i="6" s="1"/>
  <c r="H438" i="6"/>
  <c r="F438" i="6"/>
  <c r="E438" i="6"/>
  <c r="C438" i="6"/>
  <c r="V437" i="6"/>
  <c r="U435" i="6" s="1"/>
  <c r="S437" i="6"/>
  <c r="R435" i="6" s="1"/>
  <c r="P437" i="6"/>
  <c r="O435" i="6" s="1"/>
  <c r="M437" i="6"/>
  <c r="L435" i="6" s="1"/>
  <c r="H437" i="6"/>
  <c r="G437" i="6"/>
  <c r="F437" i="6"/>
  <c r="E437" i="6"/>
  <c r="C437" i="6"/>
  <c r="V436" i="6"/>
  <c r="U434" i="6" s="1"/>
  <c r="S436" i="6"/>
  <c r="R434" i="6" s="1"/>
  <c r="P436" i="6"/>
  <c r="O434" i="6" s="1"/>
  <c r="M436" i="6"/>
  <c r="L434" i="6" s="1"/>
  <c r="H436" i="6"/>
  <c r="G436" i="6"/>
  <c r="F436" i="6"/>
  <c r="E436" i="6"/>
  <c r="C436" i="6"/>
  <c r="V435" i="6"/>
  <c r="U433" i="6" s="1"/>
  <c r="S435" i="6"/>
  <c r="R433" i="6" s="1"/>
  <c r="P435" i="6"/>
  <c r="O433" i="6" s="1"/>
  <c r="M435" i="6"/>
  <c r="L433" i="6" s="1"/>
  <c r="H435" i="6"/>
  <c r="F435" i="6"/>
  <c r="E435" i="6"/>
  <c r="C435" i="6"/>
  <c r="H434" i="6"/>
  <c r="F434" i="6"/>
  <c r="E434" i="6"/>
  <c r="C434" i="6"/>
  <c r="V433" i="6"/>
  <c r="U431" i="6" s="1"/>
  <c r="S433" i="6"/>
  <c r="R431" i="6" s="1"/>
  <c r="P433" i="6"/>
  <c r="M433" i="6"/>
  <c r="L431" i="6" s="1"/>
  <c r="H433" i="6"/>
  <c r="G433" i="6"/>
  <c r="F433" i="6"/>
  <c r="E433" i="6"/>
  <c r="C433" i="6"/>
  <c r="V432" i="6"/>
  <c r="U430" i="6" s="1"/>
  <c r="S432" i="6"/>
  <c r="R430" i="6" s="1"/>
  <c r="P432" i="6"/>
  <c r="O430" i="6" s="1"/>
  <c r="M432" i="6"/>
  <c r="L430" i="6" s="1"/>
  <c r="H432" i="6"/>
  <c r="F432" i="6"/>
  <c r="E432" i="6"/>
  <c r="C432" i="6"/>
  <c r="V431" i="6"/>
  <c r="U429" i="6" s="1"/>
  <c r="S431" i="6"/>
  <c r="R429" i="6" s="1"/>
  <c r="P431" i="6"/>
  <c r="O429" i="6" s="1"/>
  <c r="M431" i="6"/>
  <c r="H431" i="6"/>
  <c r="G431" i="6"/>
  <c r="F431" i="6"/>
  <c r="E431" i="6"/>
  <c r="C431" i="6"/>
  <c r="V430" i="6"/>
  <c r="U428" i="6" s="1"/>
  <c r="S430" i="6"/>
  <c r="R428" i="6" s="1"/>
  <c r="P430" i="6"/>
  <c r="O428" i="6" s="1"/>
  <c r="M430" i="6"/>
  <c r="L428" i="6" s="1"/>
  <c r="H430" i="6"/>
  <c r="F430" i="6"/>
  <c r="E430" i="6"/>
  <c r="C430" i="6"/>
  <c r="V429" i="6"/>
  <c r="U427" i="6" s="1"/>
  <c r="S429" i="6"/>
  <c r="R427" i="6" s="1"/>
  <c r="P429" i="6"/>
  <c r="O427" i="6" s="1"/>
  <c r="M429" i="6"/>
  <c r="L427" i="6" s="1"/>
  <c r="H429" i="6"/>
  <c r="F429" i="6"/>
  <c r="E429" i="6"/>
  <c r="C429" i="6"/>
  <c r="V428" i="6"/>
  <c r="U426" i="6" s="1"/>
  <c r="S428" i="6"/>
  <c r="R426" i="6" s="1"/>
  <c r="P428" i="6"/>
  <c r="O426" i="6" s="1"/>
  <c r="M428" i="6"/>
  <c r="L426" i="6" s="1"/>
  <c r="H428" i="6"/>
  <c r="G428" i="6"/>
  <c r="F428" i="6"/>
  <c r="E428" i="6"/>
  <c r="C428" i="6"/>
  <c r="V427" i="6"/>
  <c r="U425" i="6" s="1"/>
  <c r="S427" i="6"/>
  <c r="R425" i="6" s="1"/>
  <c r="P427" i="6"/>
  <c r="O425" i="6" s="1"/>
  <c r="M427" i="6"/>
  <c r="L425" i="6" s="1"/>
  <c r="H427" i="6"/>
  <c r="G427" i="6"/>
  <c r="F427" i="6"/>
  <c r="E427" i="6"/>
  <c r="C427" i="6"/>
  <c r="V426" i="6"/>
  <c r="U424" i="6" s="1"/>
  <c r="S426" i="6"/>
  <c r="R424" i="6" s="1"/>
  <c r="P426" i="6"/>
  <c r="O424" i="6" s="1"/>
  <c r="M426" i="6"/>
  <c r="L424" i="6" s="1"/>
  <c r="H426" i="6"/>
  <c r="G426" i="6"/>
  <c r="F426" i="6"/>
  <c r="E426" i="6"/>
  <c r="C426" i="6"/>
  <c r="V425" i="6"/>
  <c r="U423" i="6" s="1"/>
  <c r="S425" i="6"/>
  <c r="R423" i="6" s="1"/>
  <c r="P425" i="6"/>
  <c r="O423" i="6" s="1"/>
  <c r="M425" i="6"/>
  <c r="L423" i="6" s="1"/>
  <c r="H425" i="6"/>
  <c r="F425" i="6"/>
  <c r="E425" i="6"/>
  <c r="C425" i="6"/>
  <c r="V424" i="6"/>
  <c r="U422" i="6" s="1"/>
  <c r="S424" i="6"/>
  <c r="R422" i="6" s="1"/>
  <c r="P424" i="6"/>
  <c r="O422" i="6" s="1"/>
  <c r="M424" i="6"/>
  <c r="H424" i="6"/>
  <c r="G424" i="6"/>
  <c r="F424" i="6"/>
  <c r="E424" i="6"/>
  <c r="C424" i="6"/>
  <c r="V423" i="6"/>
  <c r="U421" i="6" s="1"/>
  <c r="S423" i="6"/>
  <c r="R421" i="6" s="1"/>
  <c r="P423" i="6"/>
  <c r="O421" i="6" s="1"/>
  <c r="M423" i="6"/>
  <c r="L421" i="6" s="1"/>
  <c r="H423" i="6"/>
  <c r="G423" i="6"/>
  <c r="F423" i="6"/>
  <c r="E423" i="6"/>
  <c r="C423" i="6"/>
  <c r="H422" i="6"/>
  <c r="F422" i="6"/>
  <c r="E422" i="6"/>
  <c r="C422" i="6"/>
  <c r="H421" i="6"/>
  <c r="G421" i="6"/>
  <c r="F421" i="6"/>
  <c r="E421" i="6"/>
  <c r="C421" i="6"/>
  <c r="H420" i="6"/>
  <c r="G420" i="6"/>
  <c r="F420" i="6"/>
  <c r="E420" i="6"/>
  <c r="C420" i="6"/>
  <c r="V419" i="6"/>
  <c r="U417" i="6" s="1"/>
  <c r="S419" i="6"/>
  <c r="R417" i="6" s="1"/>
  <c r="P419" i="6"/>
  <c r="O417" i="6" s="1"/>
  <c r="M419" i="6"/>
  <c r="H419" i="6"/>
  <c r="F419" i="6"/>
  <c r="E419" i="6"/>
  <c r="C419" i="6"/>
  <c r="V418" i="6"/>
  <c r="U416" i="6" s="1"/>
  <c r="S418" i="6"/>
  <c r="R416" i="6" s="1"/>
  <c r="P418" i="6"/>
  <c r="O416" i="6" s="1"/>
  <c r="M418" i="6"/>
  <c r="H418" i="6"/>
  <c r="F418" i="6"/>
  <c r="E418" i="6"/>
  <c r="C418" i="6"/>
  <c r="H417" i="6"/>
  <c r="F417" i="6"/>
  <c r="E417" i="6"/>
  <c r="C417" i="6"/>
  <c r="V416" i="6"/>
  <c r="U414" i="6" s="1"/>
  <c r="S416" i="6"/>
  <c r="R414" i="6" s="1"/>
  <c r="P416" i="6"/>
  <c r="O414" i="6" s="1"/>
  <c r="M416" i="6"/>
  <c r="H416" i="6"/>
  <c r="F416" i="6"/>
  <c r="E416" i="6"/>
  <c r="C416" i="6"/>
  <c r="V415" i="6"/>
  <c r="U413" i="6" s="1"/>
  <c r="S415" i="6"/>
  <c r="R413" i="6" s="1"/>
  <c r="P415" i="6"/>
  <c r="M415" i="6"/>
  <c r="L413" i="6" s="1"/>
  <c r="H415" i="6"/>
  <c r="F415" i="6"/>
  <c r="E415" i="6"/>
  <c r="C415" i="6"/>
  <c r="V414" i="6"/>
  <c r="S414" i="6"/>
  <c r="P414" i="6"/>
  <c r="M414" i="6"/>
  <c r="H414" i="6"/>
  <c r="F414" i="6"/>
  <c r="E414" i="6"/>
  <c r="C414" i="6"/>
  <c r="V413" i="6"/>
  <c r="U412" i="6" s="1"/>
  <c r="S413" i="6"/>
  <c r="R412" i="6" s="1"/>
  <c r="P413" i="6"/>
  <c r="O412" i="6" s="1"/>
  <c r="M413" i="6"/>
  <c r="H413" i="6"/>
  <c r="G413" i="6"/>
  <c r="F413" i="6"/>
  <c r="E413" i="6"/>
  <c r="C413" i="6"/>
  <c r="V412" i="6"/>
  <c r="U411" i="6" s="1"/>
  <c r="S412" i="6"/>
  <c r="R411" i="6" s="1"/>
  <c r="P412" i="6"/>
  <c r="O411" i="6" s="1"/>
  <c r="M412" i="6"/>
  <c r="L411" i="6" s="1"/>
  <c r="H412" i="6"/>
  <c r="F412" i="6"/>
  <c r="E412" i="6"/>
  <c r="C412" i="6"/>
  <c r="V411" i="6"/>
  <c r="U410" i="6" s="1"/>
  <c r="S411" i="6"/>
  <c r="R410" i="6" s="1"/>
  <c r="P411" i="6"/>
  <c r="O410" i="6" s="1"/>
  <c r="M411" i="6"/>
  <c r="L410" i="6" s="1"/>
  <c r="H411" i="6"/>
  <c r="F411" i="6"/>
  <c r="E411" i="6"/>
  <c r="C411" i="6"/>
  <c r="V410" i="6"/>
  <c r="U409" i="6" s="1"/>
  <c r="S410" i="6"/>
  <c r="R409" i="6" s="1"/>
  <c r="P410" i="6"/>
  <c r="O409" i="6" s="1"/>
  <c r="M410" i="6"/>
  <c r="H410" i="6"/>
  <c r="F410" i="6"/>
  <c r="E410" i="6"/>
  <c r="C410" i="6"/>
  <c r="V409" i="6"/>
  <c r="U408" i="6" s="1"/>
  <c r="S409" i="6"/>
  <c r="R408" i="6" s="1"/>
  <c r="P409" i="6"/>
  <c r="O408" i="6" s="1"/>
  <c r="M409" i="6"/>
  <c r="L408" i="6" s="1"/>
  <c r="H409" i="6"/>
  <c r="G409" i="6"/>
  <c r="F409" i="6"/>
  <c r="C409" i="6"/>
  <c r="V408" i="6"/>
  <c r="U407" i="6" s="1"/>
  <c r="S408" i="6"/>
  <c r="R407" i="6" s="1"/>
  <c r="P408" i="6"/>
  <c r="O407" i="6" s="1"/>
  <c r="M408" i="6"/>
  <c r="H408" i="6"/>
  <c r="F408" i="6"/>
  <c r="E408" i="6"/>
  <c r="C408" i="6"/>
  <c r="V407" i="6"/>
  <c r="U406" i="6" s="1"/>
  <c r="S407" i="6"/>
  <c r="R406" i="6" s="1"/>
  <c r="P407" i="6"/>
  <c r="O406" i="6" s="1"/>
  <c r="M407" i="6"/>
  <c r="H407" i="6"/>
  <c r="F407" i="6"/>
  <c r="E407" i="6"/>
  <c r="C407" i="6"/>
  <c r="H406" i="6"/>
  <c r="F406" i="6"/>
  <c r="E406" i="6"/>
  <c r="C406" i="6"/>
  <c r="V405" i="6"/>
  <c r="U404" i="6" s="1"/>
  <c r="S405" i="6"/>
  <c r="R404" i="6" s="1"/>
  <c r="P405" i="6"/>
  <c r="O404" i="6" s="1"/>
  <c r="M405" i="6"/>
  <c r="L404" i="6" s="1"/>
  <c r="H405" i="6"/>
  <c r="F405" i="6"/>
  <c r="E405" i="6"/>
  <c r="C405" i="6"/>
  <c r="V404" i="6"/>
  <c r="U403" i="6" s="1"/>
  <c r="S404" i="6"/>
  <c r="R403" i="6" s="1"/>
  <c r="P404" i="6"/>
  <c r="O403" i="6" s="1"/>
  <c r="M404" i="6"/>
  <c r="H404" i="6"/>
  <c r="G404" i="6"/>
  <c r="F404" i="6"/>
  <c r="E404" i="6"/>
  <c r="C404" i="6"/>
  <c r="H403" i="6"/>
  <c r="G403" i="6"/>
  <c r="F403" i="6"/>
  <c r="E403" i="6"/>
  <c r="C403" i="6"/>
  <c r="V402" i="6"/>
  <c r="U401" i="6" s="1"/>
  <c r="S402" i="6"/>
  <c r="R401" i="6" s="1"/>
  <c r="P402" i="6"/>
  <c r="O401" i="6" s="1"/>
  <c r="M402" i="6"/>
  <c r="L401" i="6" s="1"/>
  <c r="H402" i="6"/>
  <c r="F402" i="6"/>
  <c r="E402" i="6"/>
  <c r="C402" i="6"/>
  <c r="H401" i="6"/>
  <c r="F401" i="6"/>
  <c r="E401" i="6"/>
  <c r="C401" i="6"/>
  <c r="C12" i="2"/>
  <c r="U400" i="6"/>
  <c r="R400" i="6"/>
  <c r="O400" i="6"/>
  <c r="V400" i="6"/>
  <c r="U399" i="6" s="1"/>
  <c r="S400" i="6"/>
  <c r="R399" i="6" s="1"/>
  <c r="P400" i="6"/>
  <c r="O399" i="6" s="1"/>
  <c r="M400" i="6"/>
  <c r="L399" i="6" s="1"/>
  <c r="H400" i="6"/>
  <c r="F400" i="6"/>
  <c r="E400" i="6"/>
  <c r="C400" i="6"/>
  <c r="V399" i="6"/>
  <c r="U398" i="6" s="1"/>
  <c r="S399" i="6"/>
  <c r="R398" i="6" s="1"/>
  <c r="P399" i="6"/>
  <c r="O398" i="6" s="1"/>
  <c r="M399" i="6"/>
  <c r="L398" i="6" s="1"/>
  <c r="H399" i="6"/>
  <c r="F399" i="6"/>
  <c r="E399" i="6"/>
  <c r="C399" i="6"/>
  <c r="V398" i="6"/>
  <c r="U397" i="6" s="1"/>
  <c r="S398" i="6"/>
  <c r="R397" i="6" s="1"/>
  <c r="P398" i="6"/>
  <c r="O397" i="6" s="1"/>
  <c r="M398" i="6"/>
  <c r="H398" i="6"/>
  <c r="F398" i="6"/>
  <c r="E398" i="6"/>
  <c r="C398" i="6"/>
  <c r="V397" i="6"/>
  <c r="U396" i="6" s="1"/>
  <c r="S397" i="6"/>
  <c r="R396" i="6" s="1"/>
  <c r="P397" i="6"/>
  <c r="O396" i="6" s="1"/>
  <c r="M397" i="6"/>
  <c r="L396" i="6" s="1"/>
  <c r="H397" i="6"/>
  <c r="F397" i="6"/>
  <c r="E397" i="6"/>
  <c r="C397" i="6"/>
  <c r="H396" i="6"/>
  <c r="F396" i="6"/>
  <c r="E396" i="6"/>
  <c r="C396" i="6"/>
  <c r="V395" i="6"/>
  <c r="U394" i="6" s="1"/>
  <c r="S395" i="6"/>
  <c r="R394" i="6" s="1"/>
  <c r="P395" i="6"/>
  <c r="O394" i="6" s="1"/>
  <c r="M395" i="6"/>
  <c r="H395" i="6"/>
  <c r="F395" i="6"/>
  <c r="E395" i="6"/>
  <c r="C395" i="6"/>
  <c r="V394" i="6"/>
  <c r="U393" i="6" s="1"/>
  <c r="S394" i="6"/>
  <c r="R393" i="6" s="1"/>
  <c r="P394" i="6"/>
  <c r="O393" i="6" s="1"/>
  <c r="M394" i="6"/>
  <c r="H394" i="6"/>
  <c r="F394" i="6"/>
  <c r="E394" i="6"/>
  <c r="C394" i="6"/>
  <c r="V393" i="6"/>
  <c r="U392" i="6" s="1"/>
  <c r="S393" i="6"/>
  <c r="R392" i="6" s="1"/>
  <c r="P393" i="6"/>
  <c r="O392" i="6" s="1"/>
  <c r="M393" i="6"/>
  <c r="H393" i="6"/>
  <c r="F393" i="6"/>
  <c r="E393" i="6"/>
  <c r="C393" i="6"/>
  <c r="V392" i="6"/>
  <c r="U391" i="6" s="1"/>
  <c r="S392" i="6"/>
  <c r="R391" i="6" s="1"/>
  <c r="P392" i="6"/>
  <c r="O391" i="6" s="1"/>
  <c r="M392" i="6"/>
  <c r="L391" i="6" s="1"/>
  <c r="H392" i="6"/>
  <c r="F392" i="6"/>
  <c r="E392" i="6"/>
  <c r="C392" i="6"/>
  <c r="V391" i="6"/>
  <c r="U390" i="6" s="1"/>
  <c r="S391" i="6"/>
  <c r="R390" i="6" s="1"/>
  <c r="P391" i="6"/>
  <c r="O390" i="6" s="1"/>
  <c r="M391" i="6"/>
  <c r="H391" i="6"/>
  <c r="F391" i="6"/>
  <c r="E391" i="6"/>
  <c r="C391" i="6"/>
  <c r="H390" i="6"/>
  <c r="F390" i="6"/>
  <c r="E390" i="6"/>
  <c r="C390" i="6"/>
  <c r="H389" i="6"/>
  <c r="F389" i="6"/>
  <c r="E389" i="6"/>
  <c r="C389" i="6"/>
  <c r="H388" i="6"/>
  <c r="F388" i="6"/>
  <c r="E388" i="6"/>
  <c r="C388" i="6"/>
  <c r="H387" i="6"/>
  <c r="F387" i="6"/>
  <c r="E387" i="6"/>
  <c r="C387" i="6"/>
  <c r="V386" i="6"/>
  <c r="U385" i="6" s="1"/>
  <c r="S386" i="6"/>
  <c r="R385" i="6" s="1"/>
  <c r="P386" i="6"/>
  <c r="O385" i="6" s="1"/>
  <c r="M386" i="6"/>
  <c r="L385" i="6" s="1"/>
  <c r="H386" i="6"/>
  <c r="F386" i="6"/>
  <c r="E386" i="6"/>
  <c r="C386" i="6"/>
  <c r="H385" i="6"/>
  <c r="F385" i="6"/>
  <c r="E385" i="6"/>
  <c r="C385" i="6"/>
  <c r="V384" i="6"/>
  <c r="U383" i="6" s="1"/>
  <c r="S384" i="6"/>
  <c r="R383" i="6" s="1"/>
  <c r="P384" i="6"/>
  <c r="O383" i="6" s="1"/>
  <c r="M384" i="6"/>
  <c r="L383" i="6" s="1"/>
  <c r="H384" i="6"/>
  <c r="F384" i="6"/>
  <c r="E384" i="6"/>
  <c r="C384" i="6"/>
  <c r="H383" i="6"/>
  <c r="F383" i="6"/>
  <c r="E383" i="6"/>
  <c r="C383" i="6"/>
  <c r="H382" i="6"/>
  <c r="F382" i="6"/>
  <c r="E382" i="6"/>
  <c r="C382" i="6"/>
  <c r="H381" i="6"/>
  <c r="F381" i="6"/>
  <c r="E381" i="6"/>
  <c r="C381" i="6"/>
  <c r="H380" i="6"/>
  <c r="F380" i="6"/>
  <c r="E380" i="6"/>
  <c r="C380" i="6"/>
  <c r="H379" i="6"/>
  <c r="F379" i="6"/>
  <c r="E379" i="6"/>
  <c r="C379" i="6"/>
  <c r="H378" i="6"/>
  <c r="F378" i="6"/>
  <c r="E378" i="6"/>
  <c r="C378" i="6"/>
  <c r="H377" i="6"/>
  <c r="F377" i="6"/>
  <c r="E377" i="6"/>
  <c r="C377" i="6"/>
  <c r="V376" i="6"/>
  <c r="U375" i="6" s="1"/>
  <c r="S376" i="6"/>
  <c r="R375" i="6" s="1"/>
  <c r="P376" i="6"/>
  <c r="O375" i="6" s="1"/>
  <c r="M376" i="6"/>
  <c r="L375" i="6" s="1"/>
  <c r="H376" i="6"/>
  <c r="F376" i="6"/>
  <c r="E376" i="6"/>
  <c r="C376" i="6"/>
  <c r="V375" i="6"/>
  <c r="U374" i="6" s="1"/>
  <c r="S375" i="6"/>
  <c r="R374" i="6" s="1"/>
  <c r="P375" i="6"/>
  <c r="O374" i="6" s="1"/>
  <c r="M375" i="6"/>
  <c r="L374" i="6" s="1"/>
  <c r="H375" i="6"/>
  <c r="F375" i="6"/>
  <c r="E375" i="6"/>
  <c r="C375" i="6"/>
  <c r="V374" i="6"/>
  <c r="U373" i="6" s="1"/>
  <c r="S374" i="6"/>
  <c r="R373" i="6" s="1"/>
  <c r="P374" i="6"/>
  <c r="O373" i="6" s="1"/>
  <c r="M374" i="6"/>
  <c r="L373" i="6" s="1"/>
  <c r="H374" i="6"/>
  <c r="F374" i="6"/>
  <c r="E374" i="6"/>
  <c r="C374" i="6"/>
  <c r="V373" i="6"/>
  <c r="U372" i="6" s="1"/>
  <c r="S373" i="6"/>
  <c r="R372" i="6" s="1"/>
  <c r="P373" i="6"/>
  <c r="O372" i="6" s="1"/>
  <c r="M373" i="6"/>
  <c r="H373" i="6"/>
  <c r="F373" i="6"/>
  <c r="E373" i="6"/>
  <c r="C373" i="6"/>
  <c r="V372" i="6"/>
  <c r="U371" i="6" s="1"/>
  <c r="S372" i="6"/>
  <c r="R371" i="6" s="1"/>
  <c r="P372" i="6"/>
  <c r="O371" i="6" s="1"/>
  <c r="M372" i="6"/>
  <c r="L371" i="6" s="1"/>
  <c r="H372" i="6"/>
  <c r="F372" i="6"/>
  <c r="E372" i="6"/>
  <c r="C372" i="6"/>
  <c r="V371" i="6"/>
  <c r="U370" i="6" s="1"/>
  <c r="S371" i="6"/>
  <c r="R370" i="6" s="1"/>
  <c r="P371" i="6"/>
  <c r="O370" i="6" s="1"/>
  <c r="M371" i="6"/>
  <c r="L370" i="6" s="1"/>
  <c r="H371" i="6"/>
  <c r="F371" i="6"/>
  <c r="E371" i="6"/>
  <c r="C371" i="6"/>
  <c r="V370" i="6"/>
  <c r="U369" i="6" s="1"/>
  <c r="S370" i="6"/>
  <c r="R369" i="6" s="1"/>
  <c r="P370" i="6"/>
  <c r="O369" i="6" s="1"/>
  <c r="M370" i="6"/>
  <c r="L369" i="6" s="1"/>
  <c r="H370" i="6"/>
  <c r="F370" i="6"/>
  <c r="E370" i="6"/>
  <c r="C370" i="6"/>
  <c r="V369" i="6"/>
  <c r="U368" i="6" s="1"/>
  <c r="S369" i="6"/>
  <c r="R368" i="6" s="1"/>
  <c r="P369" i="6"/>
  <c r="O368" i="6" s="1"/>
  <c r="M369" i="6"/>
  <c r="L368" i="6" s="1"/>
  <c r="H369" i="6"/>
  <c r="F369" i="6"/>
  <c r="E369" i="6"/>
  <c r="C369" i="6"/>
  <c r="V368" i="6"/>
  <c r="U367" i="6" s="1"/>
  <c r="S368" i="6"/>
  <c r="R367" i="6" s="1"/>
  <c r="P368" i="6"/>
  <c r="O367" i="6" s="1"/>
  <c r="M368" i="6"/>
  <c r="L367" i="6" s="1"/>
  <c r="H368" i="6"/>
  <c r="F368" i="6"/>
  <c r="E368" i="6"/>
  <c r="C368" i="6"/>
  <c r="V367" i="6"/>
  <c r="S367" i="6"/>
  <c r="P367" i="6"/>
  <c r="M367" i="6"/>
  <c r="H367" i="6"/>
  <c r="F367" i="6"/>
  <c r="E367" i="6"/>
  <c r="C367" i="6"/>
  <c r="C13" i="2"/>
  <c r="U366" i="6"/>
  <c r="R366" i="6"/>
  <c r="O366" i="6"/>
  <c r="L366" i="6"/>
  <c r="V366" i="6"/>
  <c r="U365" i="6" s="1"/>
  <c r="S366" i="6"/>
  <c r="R365" i="6" s="1"/>
  <c r="P366" i="6"/>
  <c r="O365" i="6" s="1"/>
  <c r="M366" i="6"/>
  <c r="L365" i="6" s="1"/>
  <c r="H366" i="6"/>
  <c r="F366" i="6"/>
  <c r="E366" i="6"/>
  <c r="C366" i="6"/>
  <c r="H365" i="6"/>
  <c r="F365" i="6"/>
  <c r="E365" i="6"/>
  <c r="C365" i="6"/>
  <c r="H364" i="6"/>
  <c r="F364" i="6"/>
  <c r="E364" i="6"/>
  <c r="C364" i="6"/>
  <c r="V363" i="6"/>
  <c r="U362" i="6" s="1"/>
  <c r="S363" i="6"/>
  <c r="R362" i="6" s="1"/>
  <c r="P363" i="6"/>
  <c r="O362" i="6" s="1"/>
  <c r="M363" i="6"/>
  <c r="L362" i="6" s="1"/>
  <c r="H363" i="6"/>
  <c r="F363" i="6"/>
  <c r="E363" i="6"/>
  <c r="C363" i="6"/>
  <c r="H362" i="6"/>
  <c r="F362" i="6"/>
  <c r="E362" i="6"/>
  <c r="C362" i="6"/>
  <c r="H361" i="6"/>
  <c r="F361" i="6"/>
  <c r="E361" i="6"/>
  <c r="C361" i="6"/>
  <c r="V360" i="6"/>
  <c r="U359" i="6" s="1"/>
  <c r="S360" i="6"/>
  <c r="R359" i="6" s="1"/>
  <c r="P360" i="6"/>
  <c r="O359" i="6" s="1"/>
  <c r="M360" i="6"/>
  <c r="L359" i="6" s="1"/>
  <c r="H360" i="6"/>
  <c r="F360" i="6"/>
  <c r="E360" i="6"/>
  <c r="C360" i="6"/>
  <c r="V359" i="6"/>
  <c r="U358" i="6" s="1"/>
  <c r="S359" i="6"/>
  <c r="R358" i="6" s="1"/>
  <c r="P359" i="6"/>
  <c r="O358" i="6" s="1"/>
  <c r="M359" i="6"/>
  <c r="L358" i="6" s="1"/>
  <c r="H359" i="6"/>
  <c r="F359" i="6"/>
  <c r="E359" i="6"/>
  <c r="C359" i="6"/>
  <c r="V358" i="6"/>
  <c r="U357" i="6" s="1"/>
  <c r="S358" i="6"/>
  <c r="R357" i="6" s="1"/>
  <c r="P358" i="6"/>
  <c r="O357" i="6" s="1"/>
  <c r="M358" i="6"/>
  <c r="L357" i="6" s="1"/>
  <c r="H358" i="6"/>
  <c r="F358" i="6"/>
  <c r="E358" i="6"/>
  <c r="C358" i="6"/>
  <c r="V357" i="6"/>
  <c r="U356" i="6" s="1"/>
  <c r="S357" i="6"/>
  <c r="R356" i="6" s="1"/>
  <c r="P357" i="6"/>
  <c r="O356" i="6" s="1"/>
  <c r="M357" i="6"/>
  <c r="L356" i="6" s="1"/>
  <c r="H357" i="6"/>
  <c r="F357" i="6"/>
  <c r="E357" i="6"/>
  <c r="C357" i="6"/>
  <c r="V356" i="6"/>
  <c r="U355" i="6" s="1"/>
  <c r="S356" i="6"/>
  <c r="R355" i="6" s="1"/>
  <c r="P356" i="6"/>
  <c r="O355" i="6" s="1"/>
  <c r="M356" i="6"/>
  <c r="L355" i="6" s="1"/>
  <c r="H356" i="6"/>
  <c r="F356" i="6"/>
  <c r="E356" i="6"/>
  <c r="C356" i="6"/>
  <c r="V355" i="6"/>
  <c r="U354" i="6" s="1"/>
  <c r="S355" i="6"/>
  <c r="R354" i="6" s="1"/>
  <c r="P355" i="6"/>
  <c r="O354" i="6" s="1"/>
  <c r="M355" i="6"/>
  <c r="H355" i="6"/>
  <c r="G355" i="6"/>
  <c r="F355" i="6"/>
  <c r="E355" i="6"/>
  <c r="C355" i="6"/>
  <c r="V354" i="6"/>
  <c r="U353" i="6" s="1"/>
  <c r="S354" i="6"/>
  <c r="R353" i="6" s="1"/>
  <c r="P354" i="6"/>
  <c r="O353" i="6" s="1"/>
  <c r="M354" i="6"/>
  <c r="L353" i="6" s="1"/>
  <c r="H354" i="6"/>
  <c r="F354" i="6"/>
  <c r="E354" i="6"/>
  <c r="C354" i="6"/>
  <c r="V353" i="6"/>
  <c r="U352" i="6" s="1"/>
  <c r="S353" i="6"/>
  <c r="R352" i="6" s="1"/>
  <c r="P353" i="6"/>
  <c r="O352" i="6" s="1"/>
  <c r="M353" i="6"/>
  <c r="L352" i="6" s="1"/>
  <c r="H353" i="6"/>
  <c r="F353" i="6"/>
  <c r="E353" i="6"/>
  <c r="C353" i="6"/>
  <c r="V352" i="6"/>
  <c r="U351" i="6" s="1"/>
  <c r="S352" i="6"/>
  <c r="R351" i="6" s="1"/>
  <c r="P352" i="6"/>
  <c r="M352" i="6"/>
  <c r="H352" i="6"/>
  <c r="F352" i="6"/>
  <c r="E352" i="6"/>
  <c r="C352" i="6"/>
  <c r="V351" i="6"/>
  <c r="U350" i="6" s="1"/>
  <c r="S351" i="6"/>
  <c r="R350" i="6" s="1"/>
  <c r="P351" i="6"/>
  <c r="O350" i="6" s="1"/>
  <c r="O351" i="6"/>
  <c r="M351" i="6"/>
  <c r="H351" i="6"/>
  <c r="G351" i="6"/>
  <c r="F351" i="6"/>
  <c r="E351" i="6"/>
  <c r="C351" i="6"/>
  <c r="V350" i="6"/>
  <c r="U349" i="6" s="1"/>
  <c r="S350" i="6"/>
  <c r="R349" i="6" s="1"/>
  <c r="P350" i="6"/>
  <c r="O349" i="6" s="1"/>
  <c r="M350" i="6"/>
  <c r="L349" i="6" s="1"/>
  <c r="H350" i="6"/>
  <c r="F350" i="6"/>
  <c r="E350" i="6"/>
  <c r="C350" i="6"/>
  <c r="V349" i="6"/>
  <c r="U348" i="6" s="1"/>
  <c r="S349" i="6"/>
  <c r="R348" i="6" s="1"/>
  <c r="P349" i="6"/>
  <c r="O348" i="6" s="1"/>
  <c r="M349" i="6"/>
  <c r="L348" i="6" s="1"/>
  <c r="H349" i="6"/>
  <c r="F349" i="6"/>
  <c r="E349" i="6"/>
  <c r="C349" i="6"/>
  <c r="V348" i="6"/>
  <c r="U347" i="6" s="1"/>
  <c r="S348" i="6"/>
  <c r="R347" i="6" s="1"/>
  <c r="P348" i="6"/>
  <c r="O347" i="6" s="1"/>
  <c r="M348" i="6"/>
  <c r="L347" i="6" s="1"/>
  <c r="H348" i="6"/>
  <c r="F348" i="6"/>
  <c r="E348" i="6"/>
  <c r="C348" i="6"/>
  <c r="V347" i="6"/>
  <c r="U346" i="6" s="1"/>
  <c r="S347" i="6"/>
  <c r="R346" i="6" s="1"/>
  <c r="P347" i="6"/>
  <c r="O346" i="6" s="1"/>
  <c r="M347" i="6"/>
  <c r="L346" i="6" s="1"/>
  <c r="H347" i="6"/>
  <c r="F347" i="6"/>
  <c r="E347" i="6"/>
  <c r="C347" i="6"/>
  <c r="V346" i="6"/>
  <c r="U345" i="6" s="1"/>
  <c r="S346" i="6"/>
  <c r="R345" i="6" s="1"/>
  <c r="P346" i="6"/>
  <c r="O345" i="6" s="1"/>
  <c r="M346" i="6"/>
  <c r="L345" i="6" s="1"/>
  <c r="H346" i="6"/>
  <c r="F346" i="6"/>
  <c r="E346" i="6"/>
  <c r="C346" i="6"/>
  <c r="V345" i="6"/>
  <c r="U344" i="6" s="1"/>
  <c r="S345" i="6"/>
  <c r="R344" i="6" s="1"/>
  <c r="P345" i="6"/>
  <c r="O344" i="6" s="1"/>
  <c r="M345" i="6"/>
  <c r="H345" i="6"/>
  <c r="F345" i="6"/>
  <c r="E345" i="6"/>
  <c r="C345" i="6"/>
  <c r="V344" i="6"/>
  <c r="U343" i="6" s="1"/>
  <c r="S344" i="6"/>
  <c r="R343" i="6" s="1"/>
  <c r="P344" i="6"/>
  <c r="O343" i="6" s="1"/>
  <c r="M344" i="6"/>
  <c r="H344" i="6"/>
  <c r="G344" i="6"/>
  <c r="F344" i="6"/>
  <c r="E344" i="6"/>
  <c r="C344" i="6"/>
  <c r="V343" i="6"/>
  <c r="U342" i="6" s="1"/>
  <c r="S343" i="6"/>
  <c r="R342" i="6" s="1"/>
  <c r="P343" i="6"/>
  <c r="O342" i="6" s="1"/>
  <c r="M343" i="6"/>
  <c r="L342" i="6" s="1"/>
  <c r="H343" i="6"/>
  <c r="F343" i="6"/>
  <c r="E343" i="6"/>
  <c r="C343" i="6"/>
  <c r="V342" i="6"/>
  <c r="U341" i="6" s="1"/>
  <c r="S342" i="6"/>
  <c r="R341" i="6" s="1"/>
  <c r="P342" i="6"/>
  <c r="O341" i="6" s="1"/>
  <c r="M342" i="6"/>
  <c r="L341" i="6" s="1"/>
  <c r="H342" i="6"/>
  <c r="G342" i="6"/>
  <c r="F342" i="6"/>
  <c r="E342" i="6"/>
  <c r="C342" i="6"/>
  <c r="V341" i="6"/>
  <c r="U340" i="6" s="1"/>
  <c r="S341" i="6"/>
  <c r="R340" i="6" s="1"/>
  <c r="P341" i="6"/>
  <c r="O340" i="6" s="1"/>
  <c r="M341" i="6"/>
  <c r="H341" i="6"/>
  <c r="G341" i="6"/>
  <c r="F341" i="6"/>
  <c r="E341" i="6"/>
  <c r="C341" i="6"/>
  <c r="H340" i="6"/>
  <c r="G340" i="6"/>
  <c r="F340" i="6"/>
  <c r="E340" i="6"/>
  <c r="C340" i="6"/>
  <c r="V339" i="6"/>
  <c r="U338" i="6" s="1"/>
  <c r="S339" i="6"/>
  <c r="R338" i="6" s="1"/>
  <c r="P339" i="6"/>
  <c r="O338" i="6" s="1"/>
  <c r="M339" i="6"/>
  <c r="H339" i="6"/>
  <c r="G339" i="6"/>
  <c r="F339" i="6"/>
  <c r="E339" i="6"/>
  <c r="C339" i="6"/>
  <c r="V338" i="6"/>
  <c r="U337" i="6" s="1"/>
  <c r="S338" i="6"/>
  <c r="R337" i="6" s="1"/>
  <c r="P338" i="6"/>
  <c r="O337" i="6" s="1"/>
  <c r="M338" i="6"/>
  <c r="H338" i="6"/>
  <c r="G338" i="6"/>
  <c r="F338" i="6"/>
  <c r="E338" i="6"/>
  <c r="C338" i="6"/>
  <c r="H337" i="6"/>
  <c r="F337" i="6"/>
  <c r="E337" i="6"/>
  <c r="C337" i="6"/>
  <c r="V336" i="6"/>
  <c r="U335" i="6" s="1"/>
  <c r="S336" i="6"/>
  <c r="R335" i="6" s="1"/>
  <c r="P336" i="6"/>
  <c r="O335" i="6" s="1"/>
  <c r="M336" i="6"/>
  <c r="H336" i="6"/>
  <c r="G336" i="6"/>
  <c r="F336" i="6"/>
  <c r="E336" i="6"/>
  <c r="C336" i="6"/>
  <c r="H335" i="6"/>
  <c r="G335" i="6"/>
  <c r="F335" i="6"/>
  <c r="E335" i="6"/>
  <c r="C335" i="6"/>
  <c r="V334" i="6"/>
  <c r="S334" i="6"/>
  <c r="P334" i="6"/>
  <c r="M334" i="6"/>
  <c r="H334" i="6"/>
  <c r="G334" i="6"/>
  <c r="F334" i="6"/>
  <c r="E334" i="6"/>
  <c r="C334" i="6"/>
  <c r="V333" i="6"/>
  <c r="U333" i="6" s="1"/>
  <c r="S333" i="6"/>
  <c r="R333" i="6" s="1"/>
  <c r="P333" i="6"/>
  <c r="O333" i="6" s="1"/>
  <c r="M333" i="6"/>
  <c r="L333" i="6" s="1"/>
  <c r="H333" i="6"/>
  <c r="F333" i="6"/>
  <c r="E333" i="6"/>
  <c r="C333" i="6"/>
  <c r="V332" i="6"/>
  <c r="U332" i="6" s="1"/>
  <c r="S332" i="6"/>
  <c r="R332" i="6" s="1"/>
  <c r="P332" i="6"/>
  <c r="O332" i="6" s="1"/>
  <c r="M332" i="6"/>
  <c r="L332" i="6" s="1"/>
  <c r="H332" i="6"/>
  <c r="F332" i="6"/>
  <c r="E332" i="6"/>
  <c r="C332" i="6"/>
  <c r="V331" i="6"/>
  <c r="U331" i="6" s="1"/>
  <c r="S331" i="6"/>
  <c r="R331" i="6" s="1"/>
  <c r="P331" i="6"/>
  <c r="O331" i="6" s="1"/>
  <c r="M331" i="6"/>
  <c r="L331" i="6" s="1"/>
  <c r="H331" i="6"/>
  <c r="F331" i="6"/>
  <c r="E331" i="6"/>
  <c r="C331" i="6"/>
  <c r="V330" i="6"/>
  <c r="U330" i="6" s="1"/>
  <c r="S330" i="6"/>
  <c r="R330" i="6" s="1"/>
  <c r="P330" i="6"/>
  <c r="O330" i="6" s="1"/>
  <c r="M330" i="6"/>
  <c r="L330" i="6" s="1"/>
  <c r="H330" i="6"/>
  <c r="F330" i="6"/>
  <c r="E330" i="6"/>
  <c r="C330" i="6"/>
  <c r="V329" i="6"/>
  <c r="U329" i="6" s="1"/>
  <c r="S329" i="6"/>
  <c r="R329" i="6" s="1"/>
  <c r="P329" i="6"/>
  <c r="O329" i="6" s="1"/>
  <c r="M329" i="6"/>
  <c r="L329" i="6" s="1"/>
  <c r="H329" i="6"/>
  <c r="F329" i="6"/>
  <c r="E329" i="6"/>
  <c r="C329" i="6"/>
  <c r="V328" i="6"/>
  <c r="U328" i="6" s="1"/>
  <c r="S328" i="6"/>
  <c r="R328" i="6" s="1"/>
  <c r="P328" i="6"/>
  <c r="O328" i="6" s="1"/>
  <c r="M328" i="6"/>
  <c r="L328" i="6" s="1"/>
  <c r="H328" i="6"/>
  <c r="F328" i="6"/>
  <c r="E328" i="6"/>
  <c r="C328" i="6"/>
  <c r="V327" i="6"/>
  <c r="U327" i="6" s="1"/>
  <c r="S327" i="6"/>
  <c r="R327" i="6" s="1"/>
  <c r="P327" i="6"/>
  <c r="O327" i="6" s="1"/>
  <c r="M327" i="6"/>
  <c r="L327" i="6" s="1"/>
  <c r="H327" i="6"/>
  <c r="F327" i="6"/>
  <c r="E327" i="6"/>
  <c r="C327" i="6"/>
  <c r="V326" i="6"/>
  <c r="U326" i="6" s="1"/>
  <c r="S326" i="6"/>
  <c r="R326" i="6" s="1"/>
  <c r="P326" i="6"/>
  <c r="O326" i="6" s="1"/>
  <c r="M326" i="6"/>
  <c r="L326" i="6" s="1"/>
  <c r="H326" i="6"/>
  <c r="F326" i="6"/>
  <c r="E326" i="6"/>
  <c r="C326" i="6"/>
  <c r="H325" i="6"/>
  <c r="F325" i="6"/>
  <c r="E325" i="6"/>
  <c r="C325" i="6"/>
  <c r="V324" i="6"/>
  <c r="U324" i="6" s="1"/>
  <c r="S324" i="6"/>
  <c r="R324" i="6" s="1"/>
  <c r="P324" i="6"/>
  <c r="O324" i="6" s="1"/>
  <c r="M324" i="6"/>
  <c r="L324" i="6" s="1"/>
  <c r="H324" i="6"/>
  <c r="G324" i="6"/>
  <c r="F324" i="6"/>
  <c r="E324" i="6"/>
  <c r="C324" i="6"/>
  <c r="V323" i="6"/>
  <c r="U323" i="6" s="1"/>
  <c r="S323" i="6"/>
  <c r="R323" i="6" s="1"/>
  <c r="P323" i="6"/>
  <c r="O323" i="6" s="1"/>
  <c r="M323" i="6"/>
  <c r="L323" i="6" s="1"/>
  <c r="H323" i="6"/>
  <c r="G323" i="6"/>
  <c r="F323" i="6"/>
  <c r="E323" i="6"/>
  <c r="C323" i="6"/>
  <c r="V322" i="6"/>
  <c r="U322" i="6" s="1"/>
  <c r="S322" i="6"/>
  <c r="R322" i="6" s="1"/>
  <c r="P322" i="6"/>
  <c r="O322" i="6" s="1"/>
  <c r="M322" i="6"/>
  <c r="L322" i="6" s="1"/>
  <c r="H322" i="6"/>
  <c r="F322" i="6"/>
  <c r="E322" i="6"/>
  <c r="C322" i="6"/>
  <c r="V321" i="6"/>
  <c r="U321" i="6" s="1"/>
  <c r="S321" i="6"/>
  <c r="R321" i="6" s="1"/>
  <c r="P321" i="6"/>
  <c r="O321" i="6" s="1"/>
  <c r="M321" i="6"/>
  <c r="L321" i="6" s="1"/>
  <c r="H321" i="6"/>
  <c r="F321" i="6"/>
  <c r="E321" i="6"/>
  <c r="C321" i="6"/>
  <c r="H320" i="6"/>
  <c r="G320" i="6"/>
  <c r="F320" i="6"/>
  <c r="E320" i="6"/>
  <c r="C320" i="6"/>
  <c r="H319" i="6"/>
  <c r="G319" i="6"/>
  <c r="F319" i="6"/>
  <c r="E319" i="6"/>
  <c r="C319" i="6"/>
  <c r="V318" i="6"/>
  <c r="U318" i="6" s="1"/>
  <c r="S318" i="6"/>
  <c r="R318" i="6" s="1"/>
  <c r="P318" i="6"/>
  <c r="O318" i="6" s="1"/>
  <c r="M318" i="6"/>
  <c r="L318" i="6" s="1"/>
  <c r="H318" i="6"/>
  <c r="F318" i="6"/>
  <c r="E318" i="6"/>
  <c r="C318" i="6"/>
  <c r="H317" i="6"/>
  <c r="F317" i="6"/>
  <c r="E317" i="6"/>
  <c r="C317" i="6"/>
  <c r="V316" i="6"/>
  <c r="U316" i="6" s="1"/>
  <c r="S316" i="6"/>
  <c r="R316" i="6" s="1"/>
  <c r="P316" i="6"/>
  <c r="M316" i="6"/>
  <c r="L316" i="6" s="1"/>
  <c r="H316" i="6"/>
  <c r="G316" i="6"/>
  <c r="F316" i="6"/>
  <c r="E316" i="6"/>
  <c r="C316" i="6"/>
  <c r="V315" i="6"/>
  <c r="U315" i="6" s="1"/>
  <c r="S315" i="6"/>
  <c r="R315" i="6" s="1"/>
  <c r="P315" i="6"/>
  <c r="O315" i="6" s="1"/>
  <c r="M315" i="6"/>
  <c r="L315" i="6" s="1"/>
  <c r="H315" i="6"/>
  <c r="G315" i="6"/>
  <c r="F315" i="6"/>
  <c r="E315" i="6"/>
  <c r="C315" i="6"/>
  <c r="V314" i="6"/>
  <c r="U314" i="6" s="1"/>
  <c r="S314" i="6"/>
  <c r="R314" i="6" s="1"/>
  <c r="P314" i="6"/>
  <c r="O314" i="6" s="1"/>
  <c r="M314" i="6"/>
  <c r="L314" i="6" s="1"/>
  <c r="H314" i="6"/>
  <c r="F314" i="6"/>
  <c r="E314" i="6"/>
  <c r="C314" i="6"/>
  <c r="V313" i="6"/>
  <c r="U313" i="6" s="1"/>
  <c r="S313" i="6"/>
  <c r="R313" i="6" s="1"/>
  <c r="P313" i="6"/>
  <c r="O313" i="6" s="1"/>
  <c r="M313" i="6"/>
  <c r="L313" i="6" s="1"/>
  <c r="H313" i="6"/>
  <c r="F313" i="6"/>
  <c r="E313" i="6"/>
  <c r="C313" i="6"/>
  <c r="V312" i="6"/>
  <c r="U312" i="6" s="1"/>
  <c r="S312" i="6"/>
  <c r="R312" i="6" s="1"/>
  <c r="P312" i="6"/>
  <c r="O312" i="6" s="1"/>
  <c r="M312" i="6"/>
  <c r="H312" i="6"/>
  <c r="G312" i="6"/>
  <c r="F312" i="6"/>
  <c r="E312" i="6"/>
  <c r="C312" i="6"/>
  <c r="V311" i="6"/>
  <c r="U311" i="6" s="1"/>
  <c r="S311" i="6"/>
  <c r="R311" i="6" s="1"/>
  <c r="P311" i="6"/>
  <c r="O311" i="6" s="1"/>
  <c r="M311" i="6"/>
  <c r="L311" i="6" s="1"/>
  <c r="H311" i="6"/>
  <c r="F311" i="6"/>
  <c r="E311" i="6"/>
  <c r="C311" i="6"/>
  <c r="V310" i="6"/>
  <c r="U310" i="6" s="1"/>
  <c r="S310" i="6"/>
  <c r="R310" i="6" s="1"/>
  <c r="P310" i="6"/>
  <c r="O310" i="6" s="1"/>
  <c r="M310" i="6"/>
  <c r="L310" i="6" s="1"/>
  <c r="H310" i="6"/>
  <c r="F310" i="6"/>
  <c r="E310" i="6"/>
  <c r="C310" i="6"/>
  <c r="V309" i="6"/>
  <c r="S309" i="6"/>
  <c r="R309" i="6" s="1"/>
  <c r="P309" i="6"/>
  <c r="O309" i="6" s="1"/>
  <c r="M309" i="6"/>
  <c r="L309" i="6" s="1"/>
  <c r="H309" i="6"/>
  <c r="G309" i="6"/>
  <c r="F309" i="6"/>
  <c r="E309" i="6"/>
  <c r="C309" i="6"/>
  <c r="V308" i="6"/>
  <c r="U308" i="6" s="1"/>
  <c r="S308" i="6"/>
  <c r="R308" i="6" s="1"/>
  <c r="P308" i="6"/>
  <c r="O308" i="6" s="1"/>
  <c r="M308" i="6"/>
  <c r="L308" i="6" s="1"/>
  <c r="H308" i="6"/>
  <c r="F308" i="6"/>
  <c r="E308" i="6"/>
  <c r="C308" i="6"/>
  <c r="H307" i="6"/>
  <c r="F307" i="6"/>
  <c r="E307" i="6"/>
  <c r="C307" i="6"/>
  <c r="V306" i="6"/>
  <c r="U306" i="6" s="1"/>
  <c r="S306" i="6"/>
  <c r="R306" i="6" s="1"/>
  <c r="P306" i="6"/>
  <c r="M306" i="6"/>
  <c r="L306" i="6" s="1"/>
  <c r="H306" i="6"/>
  <c r="G306" i="6"/>
  <c r="F306" i="6"/>
  <c r="E306" i="6"/>
  <c r="C306" i="6"/>
  <c r="V305" i="6"/>
  <c r="U305" i="6" s="1"/>
  <c r="S305" i="6"/>
  <c r="R305" i="6" s="1"/>
  <c r="P305" i="6"/>
  <c r="O305" i="6" s="1"/>
  <c r="M305" i="6"/>
  <c r="L305" i="6" s="1"/>
  <c r="H305" i="6"/>
  <c r="F305" i="6"/>
  <c r="E305" i="6"/>
  <c r="C305" i="6"/>
  <c r="H304" i="6"/>
  <c r="G304" i="6"/>
  <c r="F304" i="6"/>
  <c r="E304" i="6"/>
  <c r="C304" i="6"/>
  <c r="V303" i="6"/>
  <c r="U303" i="6" s="1"/>
  <c r="S303" i="6"/>
  <c r="R303" i="6" s="1"/>
  <c r="P303" i="6"/>
  <c r="O303" i="6" s="1"/>
  <c r="M303" i="6"/>
  <c r="L303" i="6" s="1"/>
  <c r="H303" i="6"/>
  <c r="F303" i="6"/>
  <c r="E303" i="6"/>
  <c r="C303" i="6"/>
  <c r="H302" i="6"/>
  <c r="F302" i="6"/>
  <c r="E302" i="6"/>
  <c r="C302" i="6"/>
  <c r="V301" i="6"/>
  <c r="U301" i="6" s="1"/>
  <c r="S301" i="6"/>
  <c r="R301" i="6" s="1"/>
  <c r="P301" i="6"/>
  <c r="M301" i="6"/>
  <c r="L301" i="6" s="1"/>
  <c r="H301" i="6"/>
  <c r="F301" i="6"/>
  <c r="E301" i="6"/>
  <c r="C301" i="6"/>
  <c r="H300" i="6"/>
  <c r="F300" i="6"/>
  <c r="E300" i="6"/>
  <c r="C300" i="6"/>
  <c r="V299" i="6"/>
  <c r="U299" i="6" s="1"/>
  <c r="S299" i="6"/>
  <c r="R299" i="6" s="1"/>
  <c r="P299" i="6"/>
  <c r="O299" i="6" s="1"/>
  <c r="M299" i="6"/>
  <c r="L299" i="6" s="1"/>
  <c r="H299" i="6"/>
  <c r="F299" i="6"/>
  <c r="E299" i="6"/>
  <c r="C299" i="6"/>
  <c r="V298" i="6"/>
  <c r="U298" i="6" s="1"/>
  <c r="S298" i="6"/>
  <c r="R298" i="6" s="1"/>
  <c r="P298" i="6"/>
  <c r="O298" i="6" s="1"/>
  <c r="M298" i="6"/>
  <c r="L298" i="6" s="1"/>
  <c r="H298" i="6"/>
  <c r="C36" i="2" s="1"/>
  <c r="F298" i="6"/>
  <c r="E298" i="6"/>
  <c r="C298" i="6"/>
  <c r="V297" i="6"/>
  <c r="U297" i="6" s="1"/>
  <c r="S297" i="6"/>
  <c r="R297" i="6" s="1"/>
  <c r="P297" i="6"/>
  <c r="O297" i="6" s="1"/>
  <c r="M297" i="6"/>
  <c r="L297" i="6" s="1"/>
  <c r="H297" i="6"/>
  <c r="F297" i="6"/>
  <c r="E297" i="6"/>
  <c r="C297" i="6"/>
  <c r="V296" i="6"/>
  <c r="U296" i="6" s="1"/>
  <c r="S296" i="6"/>
  <c r="R296" i="6" s="1"/>
  <c r="P296" i="6"/>
  <c r="O296" i="6" s="1"/>
  <c r="M296" i="6"/>
  <c r="H296" i="6"/>
  <c r="G296" i="6"/>
  <c r="F296" i="6"/>
  <c r="E296" i="6"/>
  <c r="C296" i="6"/>
  <c r="V295" i="6"/>
  <c r="U295" i="6" s="1"/>
  <c r="S295" i="6"/>
  <c r="R295" i="6" s="1"/>
  <c r="P295" i="6"/>
  <c r="O295" i="6" s="1"/>
  <c r="M295" i="6"/>
  <c r="L295" i="6" s="1"/>
  <c r="H295" i="6"/>
  <c r="F295" i="6"/>
  <c r="E295" i="6"/>
  <c r="C295" i="6"/>
  <c r="H294" i="6"/>
  <c r="F294" i="6"/>
  <c r="E294" i="6"/>
  <c r="C294" i="6"/>
  <c r="V293" i="6"/>
  <c r="U293" i="6" s="1"/>
  <c r="S293" i="6"/>
  <c r="R293" i="6" s="1"/>
  <c r="P293" i="6"/>
  <c r="M293" i="6"/>
  <c r="L293" i="6" s="1"/>
  <c r="H293" i="6"/>
  <c r="F293" i="6"/>
  <c r="E293" i="6"/>
  <c r="C293" i="6"/>
  <c r="H292" i="6"/>
  <c r="F292" i="6"/>
  <c r="E292" i="6"/>
  <c r="C292" i="6"/>
  <c r="H291" i="6"/>
  <c r="F291" i="6"/>
  <c r="E291" i="6"/>
  <c r="C291" i="6"/>
  <c r="H290" i="6"/>
  <c r="F290" i="6"/>
  <c r="E290" i="6"/>
  <c r="C290" i="6"/>
  <c r="H289" i="6"/>
  <c r="F289" i="6"/>
  <c r="E289" i="6"/>
  <c r="C289" i="6"/>
  <c r="H288" i="6"/>
  <c r="F288" i="6"/>
  <c r="E288" i="6"/>
  <c r="C288" i="6"/>
  <c r="H287" i="6"/>
  <c r="F287" i="6"/>
  <c r="E287" i="6"/>
  <c r="C287" i="6"/>
  <c r="H286" i="6"/>
  <c r="F286" i="6"/>
  <c r="E286" i="6"/>
  <c r="C286" i="6"/>
  <c r="V285" i="6"/>
  <c r="U285" i="6" s="1"/>
  <c r="S285" i="6"/>
  <c r="R285" i="6" s="1"/>
  <c r="P285" i="6"/>
  <c r="O285" i="6" s="1"/>
  <c r="M285" i="6"/>
  <c r="L285" i="6" s="1"/>
  <c r="H285" i="6"/>
  <c r="F285" i="6"/>
  <c r="E285" i="6"/>
  <c r="C285" i="6"/>
  <c r="V284" i="6"/>
  <c r="U284" i="6" s="1"/>
  <c r="S284" i="6"/>
  <c r="R284" i="6" s="1"/>
  <c r="P284" i="6"/>
  <c r="O284" i="6" s="1"/>
  <c r="M284" i="6"/>
  <c r="L284" i="6" s="1"/>
  <c r="H284" i="6"/>
  <c r="F284" i="6"/>
  <c r="E284" i="6"/>
  <c r="C284" i="6"/>
  <c r="H283" i="6"/>
  <c r="F283" i="6"/>
  <c r="E283" i="6"/>
  <c r="C283" i="6"/>
  <c r="H282" i="6"/>
  <c r="F282" i="6"/>
  <c r="E282" i="6"/>
  <c r="C282" i="6"/>
  <c r="H281" i="6"/>
  <c r="F281" i="6"/>
  <c r="E281" i="6"/>
  <c r="C281" i="6"/>
  <c r="H280" i="6"/>
  <c r="F280" i="6"/>
  <c r="E280" i="6"/>
  <c r="C280" i="6"/>
  <c r="H279" i="6"/>
  <c r="F279" i="6"/>
  <c r="E279" i="6"/>
  <c r="C279" i="6"/>
  <c r="H278" i="6"/>
  <c r="F278" i="6"/>
  <c r="E278" i="6"/>
  <c r="C278" i="6"/>
  <c r="H277" i="6"/>
  <c r="F277" i="6"/>
  <c r="E277" i="6"/>
  <c r="C277" i="6"/>
  <c r="H276" i="6"/>
  <c r="F276" i="6"/>
  <c r="E276" i="6"/>
  <c r="C276" i="6"/>
  <c r="H275" i="6"/>
  <c r="F275" i="6"/>
  <c r="E275" i="6"/>
  <c r="C275" i="6"/>
  <c r="H274" i="6"/>
  <c r="F274" i="6"/>
  <c r="E274" i="6"/>
  <c r="C274" i="6"/>
  <c r="H273" i="6"/>
  <c r="F273" i="6"/>
  <c r="E273" i="6"/>
  <c r="C273" i="6"/>
  <c r="H272" i="6"/>
  <c r="F272" i="6"/>
  <c r="E272" i="6"/>
  <c r="C272" i="6"/>
  <c r="H271" i="6"/>
  <c r="F271" i="6"/>
  <c r="E271" i="6"/>
  <c r="C271" i="6"/>
  <c r="H270" i="6"/>
  <c r="F270" i="6"/>
  <c r="E270" i="6"/>
  <c r="C270" i="6"/>
  <c r="H269" i="6"/>
  <c r="F269" i="6"/>
  <c r="E269" i="6"/>
  <c r="C269" i="6"/>
  <c r="H268" i="6"/>
  <c r="F268" i="6"/>
  <c r="E268" i="6"/>
  <c r="C268" i="6"/>
  <c r="V267" i="6"/>
  <c r="U267" i="6" s="1"/>
  <c r="S267" i="6"/>
  <c r="R267" i="6" s="1"/>
  <c r="P267" i="6"/>
  <c r="O267" i="6" s="1"/>
  <c r="M267" i="6"/>
  <c r="L267" i="6" s="1"/>
  <c r="H267" i="6"/>
  <c r="F267" i="6"/>
  <c r="E267" i="6"/>
  <c r="C267" i="6"/>
  <c r="V266" i="6"/>
  <c r="U266" i="6" s="1"/>
  <c r="S266" i="6"/>
  <c r="R266" i="6" s="1"/>
  <c r="P266" i="6"/>
  <c r="O266" i="6" s="1"/>
  <c r="M266" i="6"/>
  <c r="L266" i="6" s="1"/>
  <c r="H266" i="6"/>
  <c r="F266" i="6"/>
  <c r="E266" i="6"/>
  <c r="C266" i="6"/>
  <c r="V265" i="6"/>
  <c r="U265" i="6" s="1"/>
  <c r="S265" i="6"/>
  <c r="R265" i="6" s="1"/>
  <c r="P265" i="6"/>
  <c r="O265" i="6" s="1"/>
  <c r="M265" i="6"/>
  <c r="H265" i="6"/>
  <c r="F265" i="6"/>
  <c r="E265" i="6"/>
  <c r="C265" i="6"/>
  <c r="H264" i="6"/>
  <c r="F264" i="6"/>
  <c r="E264" i="6"/>
  <c r="C264" i="6"/>
  <c r="V263" i="6"/>
  <c r="U263" i="6" s="1"/>
  <c r="S263" i="6"/>
  <c r="R263" i="6" s="1"/>
  <c r="P263" i="6"/>
  <c r="M263" i="6"/>
  <c r="L263" i="6" s="1"/>
  <c r="H263" i="6"/>
  <c r="F263" i="6"/>
  <c r="E263" i="6"/>
  <c r="C263" i="6"/>
  <c r="H262" i="6"/>
  <c r="F262" i="6"/>
  <c r="E262" i="6"/>
  <c r="C262" i="6"/>
  <c r="V261" i="6"/>
  <c r="U261" i="6" s="1"/>
  <c r="S261" i="6"/>
  <c r="R261" i="6" s="1"/>
  <c r="P261" i="6"/>
  <c r="O261" i="6" s="1"/>
  <c r="M261" i="6"/>
  <c r="L261" i="6" s="1"/>
  <c r="H261" i="6"/>
  <c r="F261" i="6"/>
  <c r="E261" i="6"/>
  <c r="C261" i="6"/>
  <c r="H260" i="6"/>
  <c r="F260" i="6"/>
  <c r="E260" i="6"/>
  <c r="C260" i="6"/>
  <c r="V259" i="6"/>
  <c r="U259" i="6" s="1"/>
  <c r="S259" i="6"/>
  <c r="R259" i="6" s="1"/>
  <c r="P259" i="6"/>
  <c r="O259" i="6" s="1"/>
  <c r="M259" i="6"/>
  <c r="L259" i="6" s="1"/>
  <c r="H259" i="6"/>
  <c r="F259" i="6"/>
  <c r="E259" i="6"/>
  <c r="C259" i="6"/>
  <c r="V258" i="6"/>
  <c r="U258" i="6" s="1"/>
  <c r="S258" i="6"/>
  <c r="R258" i="6" s="1"/>
  <c r="P258" i="6"/>
  <c r="O258" i="6" s="1"/>
  <c r="M258" i="6"/>
  <c r="L258" i="6" s="1"/>
  <c r="H258" i="6"/>
  <c r="F258" i="6"/>
  <c r="E258" i="6"/>
  <c r="C258" i="6"/>
  <c r="V257" i="6"/>
  <c r="U257" i="6" s="1"/>
  <c r="S257" i="6"/>
  <c r="R257" i="6" s="1"/>
  <c r="P257" i="6"/>
  <c r="O257" i="6" s="1"/>
  <c r="M257" i="6"/>
  <c r="L257" i="6" s="1"/>
  <c r="H257" i="6"/>
  <c r="F257" i="6"/>
  <c r="E257" i="6"/>
  <c r="C257" i="6"/>
  <c r="H256" i="6"/>
  <c r="F256" i="6"/>
  <c r="E256" i="6"/>
  <c r="C256" i="6"/>
  <c r="V255" i="6"/>
  <c r="U255" i="6" s="1"/>
  <c r="S255" i="6"/>
  <c r="P255" i="6"/>
  <c r="O255" i="6" s="1"/>
  <c r="M255" i="6"/>
  <c r="L255" i="6" s="1"/>
  <c r="H255" i="6"/>
  <c r="G255" i="6"/>
  <c r="F255" i="6"/>
  <c r="E255" i="6"/>
  <c r="C255" i="6"/>
  <c r="H254" i="6"/>
  <c r="G254" i="6"/>
  <c r="F254" i="6"/>
  <c r="E254" i="6"/>
  <c r="C254" i="6"/>
  <c r="H253" i="6"/>
  <c r="F253" i="6"/>
  <c r="E253" i="6"/>
  <c r="C253" i="6"/>
  <c r="H252" i="6"/>
  <c r="F252" i="6"/>
  <c r="E252" i="6"/>
  <c r="C252" i="6"/>
  <c r="V251" i="6"/>
  <c r="U251" i="6" s="1"/>
  <c r="S251" i="6"/>
  <c r="R251" i="6" s="1"/>
  <c r="P251" i="6"/>
  <c r="O251" i="6" s="1"/>
  <c r="M251" i="6"/>
  <c r="L251" i="6" s="1"/>
  <c r="H251" i="6"/>
  <c r="F251" i="6"/>
  <c r="E251" i="6"/>
  <c r="C251" i="6"/>
  <c r="V250" i="6"/>
  <c r="U250" i="6" s="1"/>
  <c r="S250" i="6"/>
  <c r="R250" i="6" s="1"/>
  <c r="P250" i="6"/>
  <c r="O250" i="6" s="1"/>
  <c r="M250" i="6"/>
  <c r="L250" i="6" s="1"/>
  <c r="H250" i="6"/>
  <c r="F250" i="6"/>
  <c r="E250" i="6"/>
  <c r="C250" i="6"/>
  <c r="V249" i="6"/>
  <c r="U249" i="6" s="1"/>
  <c r="S249" i="6"/>
  <c r="R249" i="6" s="1"/>
  <c r="P249" i="6"/>
  <c r="O249" i="6" s="1"/>
  <c r="M249" i="6"/>
  <c r="L249" i="6" s="1"/>
  <c r="H249" i="6"/>
  <c r="F249" i="6"/>
  <c r="E249" i="6"/>
  <c r="C249" i="6"/>
  <c r="H248" i="6"/>
  <c r="F248" i="6"/>
  <c r="E248" i="6"/>
  <c r="C248" i="6"/>
  <c r="V247" i="6"/>
  <c r="U247" i="6" s="1"/>
  <c r="S247" i="6"/>
  <c r="R247" i="6" s="1"/>
  <c r="P247" i="6"/>
  <c r="M247" i="6"/>
  <c r="L247" i="6" s="1"/>
  <c r="H247" i="6"/>
  <c r="F247" i="6"/>
  <c r="E247" i="6"/>
  <c r="C247" i="6"/>
  <c r="H246" i="6"/>
  <c r="F246" i="6"/>
  <c r="E246" i="6"/>
  <c r="C246" i="6"/>
  <c r="H245" i="6"/>
  <c r="F245" i="6"/>
  <c r="E245" i="6"/>
  <c r="C245" i="6"/>
  <c r="H244" i="6"/>
  <c r="F244" i="6"/>
  <c r="E244" i="6"/>
  <c r="C244" i="6"/>
  <c r="H243" i="6"/>
  <c r="F243" i="6"/>
  <c r="E243" i="6"/>
  <c r="C243" i="6"/>
  <c r="V242" i="6"/>
  <c r="U242" i="6" s="1"/>
  <c r="S242" i="6"/>
  <c r="R242" i="6" s="1"/>
  <c r="P242" i="6"/>
  <c r="O242" i="6" s="1"/>
  <c r="M242" i="6"/>
  <c r="H242" i="6"/>
  <c r="F242" i="6"/>
  <c r="E242" i="6"/>
  <c r="C242" i="6"/>
  <c r="V241" i="6"/>
  <c r="U241" i="6" s="1"/>
  <c r="S241" i="6"/>
  <c r="P241" i="6"/>
  <c r="O241" i="6" s="1"/>
  <c r="M241" i="6"/>
  <c r="L241" i="6" s="1"/>
  <c r="H241" i="6"/>
  <c r="F241" i="6"/>
  <c r="E241" i="6"/>
  <c r="C241" i="6"/>
  <c r="V240" i="6"/>
  <c r="U240" i="6" s="1"/>
  <c r="S240" i="6"/>
  <c r="R240" i="6" s="1"/>
  <c r="P240" i="6"/>
  <c r="O240" i="6" s="1"/>
  <c r="M240" i="6"/>
  <c r="L240" i="6" s="1"/>
  <c r="H240" i="6"/>
  <c r="F240" i="6"/>
  <c r="E240" i="6"/>
  <c r="C240" i="6"/>
  <c r="H239" i="6"/>
  <c r="F239" i="6"/>
  <c r="E239" i="6"/>
  <c r="C239" i="6"/>
  <c r="H238" i="6"/>
  <c r="F238" i="6"/>
  <c r="E238" i="6"/>
  <c r="C238" i="6"/>
  <c r="H237" i="6"/>
  <c r="F237" i="6"/>
  <c r="E237" i="6"/>
  <c r="C237" i="6"/>
  <c r="V236" i="6"/>
  <c r="U236" i="6" s="1"/>
  <c r="S236" i="6"/>
  <c r="R236" i="6" s="1"/>
  <c r="P236" i="6"/>
  <c r="O236" i="6" s="1"/>
  <c r="M236" i="6"/>
  <c r="H236" i="6"/>
  <c r="F236" i="6"/>
  <c r="E236" i="6"/>
  <c r="C236" i="6"/>
  <c r="H235" i="6"/>
  <c r="C45" i="2" s="1"/>
  <c r="F235" i="6"/>
  <c r="E235" i="6"/>
  <c r="C235" i="6"/>
  <c r="V234" i="6"/>
  <c r="U234" i="6" s="1"/>
  <c r="S234" i="6"/>
  <c r="R234" i="6" s="1"/>
  <c r="P234" i="6"/>
  <c r="O234" i="6" s="1"/>
  <c r="M234" i="6"/>
  <c r="L234" i="6" s="1"/>
  <c r="H234" i="6"/>
  <c r="F234" i="6"/>
  <c r="E234" i="6"/>
  <c r="C234" i="6"/>
  <c r="H233" i="6"/>
  <c r="G233" i="6"/>
  <c r="F233" i="6"/>
  <c r="E233" i="6"/>
  <c r="C233" i="6"/>
  <c r="H232" i="6"/>
  <c r="G232" i="6"/>
  <c r="F232" i="6"/>
  <c r="E232" i="6"/>
  <c r="C232" i="6"/>
  <c r="H231" i="6"/>
  <c r="G231" i="6"/>
  <c r="F231" i="6"/>
  <c r="E231" i="6"/>
  <c r="C231" i="6"/>
  <c r="V230" i="6"/>
  <c r="U230" i="6" s="1"/>
  <c r="S230" i="6"/>
  <c r="R230" i="6" s="1"/>
  <c r="P230" i="6"/>
  <c r="O230" i="6" s="1"/>
  <c r="M230" i="6"/>
  <c r="L230" i="6" s="1"/>
  <c r="H230" i="6"/>
  <c r="G230" i="6"/>
  <c r="F230" i="6"/>
  <c r="E230" i="6"/>
  <c r="C230" i="6"/>
  <c r="V229" i="6"/>
  <c r="U229" i="6" s="1"/>
  <c r="S229" i="6"/>
  <c r="R229" i="6" s="1"/>
  <c r="P229" i="6"/>
  <c r="O229" i="6" s="1"/>
  <c r="M229" i="6"/>
  <c r="L229" i="6" s="1"/>
  <c r="H229" i="6"/>
  <c r="G229" i="6"/>
  <c r="F229" i="6"/>
  <c r="E229" i="6"/>
  <c r="C229" i="6"/>
  <c r="H228" i="6"/>
  <c r="G228" i="6"/>
  <c r="F228" i="6"/>
  <c r="E228" i="6"/>
  <c r="C228" i="6"/>
  <c r="H227" i="6"/>
  <c r="G227" i="6"/>
  <c r="F227" i="6"/>
  <c r="E227" i="6"/>
  <c r="C227" i="6"/>
  <c r="H226" i="6"/>
  <c r="G226" i="6"/>
  <c r="F226" i="6"/>
  <c r="E226" i="6"/>
  <c r="C226" i="6"/>
  <c r="V225" i="6"/>
  <c r="U225" i="6" s="1"/>
  <c r="S225" i="6"/>
  <c r="R225" i="6" s="1"/>
  <c r="P225" i="6"/>
  <c r="O225" i="6" s="1"/>
  <c r="M225" i="6"/>
  <c r="L225" i="6" s="1"/>
  <c r="H225" i="6"/>
  <c r="G225" i="6"/>
  <c r="F225" i="6"/>
  <c r="E225" i="6"/>
  <c r="C225" i="6"/>
  <c r="V224" i="6"/>
  <c r="U224" i="6" s="1"/>
  <c r="S224" i="6"/>
  <c r="R224" i="6" s="1"/>
  <c r="P224" i="6"/>
  <c r="O224" i="6" s="1"/>
  <c r="M224" i="6"/>
  <c r="L224" i="6" s="1"/>
  <c r="H224" i="6"/>
  <c r="F224" i="6"/>
  <c r="E224" i="6"/>
  <c r="C224" i="6"/>
  <c r="H223" i="6"/>
  <c r="F223" i="6"/>
  <c r="E223" i="6"/>
  <c r="C223" i="6"/>
  <c r="V222" i="6"/>
  <c r="U222" i="6" s="1"/>
  <c r="S222" i="6"/>
  <c r="R222" i="6" s="1"/>
  <c r="P222" i="6"/>
  <c r="O222" i="6" s="1"/>
  <c r="M222" i="6"/>
  <c r="L222" i="6" s="1"/>
  <c r="H222" i="6"/>
  <c r="F222" i="6"/>
  <c r="E222" i="6"/>
  <c r="C222" i="6"/>
  <c r="H221" i="6"/>
  <c r="F221" i="6"/>
  <c r="E221" i="6"/>
  <c r="C221" i="6"/>
  <c r="H220" i="6"/>
  <c r="F220" i="6"/>
  <c r="E220" i="6"/>
  <c r="C220" i="6"/>
  <c r="H219" i="6"/>
  <c r="F219" i="6"/>
  <c r="E219" i="6"/>
  <c r="C219" i="6"/>
  <c r="H218" i="6"/>
  <c r="F218" i="6"/>
  <c r="E218" i="6"/>
  <c r="C218" i="6"/>
  <c r="H217" i="6"/>
  <c r="F217" i="6"/>
  <c r="E217" i="6"/>
  <c r="C217" i="6"/>
  <c r="H216" i="6"/>
  <c r="F216" i="6"/>
  <c r="E216" i="6"/>
  <c r="C216" i="6"/>
  <c r="V215" i="6"/>
  <c r="S215" i="6"/>
  <c r="R215" i="6" s="1"/>
  <c r="P215" i="6"/>
  <c r="O215" i="6" s="1"/>
  <c r="M215" i="6"/>
  <c r="L215" i="6" s="1"/>
  <c r="H215" i="6"/>
  <c r="F215" i="6"/>
  <c r="E215" i="6"/>
  <c r="C215" i="6"/>
  <c r="V214" i="6"/>
  <c r="U214" i="6" s="1"/>
  <c r="S214" i="6"/>
  <c r="R214" i="6" s="1"/>
  <c r="P214" i="6"/>
  <c r="O214" i="6" s="1"/>
  <c r="M214" i="6"/>
  <c r="L214" i="6" s="1"/>
  <c r="H214" i="6"/>
  <c r="F214" i="6"/>
  <c r="E214" i="6"/>
  <c r="C214" i="6"/>
  <c r="H213" i="6"/>
  <c r="F213" i="6"/>
  <c r="E213" i="6"/>
  <c r="C213" i="6"/>
  <c r="H212" i="6"/>
  <c r="F212" i="6"/>
  <c r="E212" i="6"/>
  <c r="C212" i="6"/>
  <c r="V211" i="6"/>
  <c r="U211" i="6" s="1"/>
  <c r="S211" i="6"/>
  <c r="R211" i="6" s="1"/>
  <c r="P211" i="6"/>
  <c r="O211" i="6" s="1"/>
  <c r="M211" i="6"/>
  <c r="L211" i="6" s="1"/>
  <c r="H211" i="6"/>
  <c r="G211" i="6"/>
  <c r="F211" i="6"/>
  <c r="E211" i="6"/>
  <c r="C211" i="6"/>
  <c r="V210" i="6"/>
  <c r="U210" i="6" s="1"/>
  <c r="S210" i="6"/>
  <c r="R210" i="6" s="1"/>
  <c r="P210" i="6"/>
  <c r="M210" i="6"/>
  <c r="L210" i="6" s="1"/>
  <c r="H210" i="6"/>
  <c r="F210" i="6"/>
  <c r="E210" i="6"/>
  <c r="C210" i="6"/>
  <c r="H209" i="6"/>
  <c r="G209" i="6"/>
  <c r="F209" i="6"/>
  <c r="E209" i="6"/>
  <c r="C209" i="6"/>
  <c r="H208" i="6"/>
  <c r="G208" i="6"/>
  <c r="F208" i="6"/>
  <c r="E208" i="6"/>
  <c r="C208" i="6"/>
  <c r="H207" i="6"/>
  <c r="F207" i="6"/>
  <c r="E207" i="6"/>
  <c r="C207" i="6"/>
  <c r="H206" i="6"/>
  <c r="F206" i="6"/>
  <c r="E206" i="6"/>
  <c r="C206" i="6"/>
  <c r="H205" i="6"/>
  <c r="F205" i="6"/>
  <c r="E205" i="6"/>
  <c r="C205" i="6"/>
  <c r="V204" i="6"/>
  <c r="U204" i="6" s="1"/>
  <c r="S204" i="6"/>
  <c r="R204" i="6" s="1"/>
  <c r="P204" i="6"/>
  <c r="O204" i="6" s="1"/>
  <c r="M204" i="6"/>
  <c r="L204" i="6" s="1"/>
  <c r="H204" i="6"/>
  <c r="F204" i="6"/>
  <c r="E204" i="6"/>
  <c r="C204" i="6"/>
  <c r="H203" i="6"/>
  <c r="F203" i="6"/>
  <c r="E203" i="6"/>
  <c r="C203" i="6"/>
  <c r="H202" i="6"/>
  <c r="F202" i="6"/>
  <c r="E202" i="6"/>
  <c r="C202" i="6"/>
  <c r="H201" i="6"/>
  <c r="F201" i="6"/>
  <c r="E201" i="6"/>
  <c r="C201" i="6"/>
  <c r="H200" i="6"/>
  <c r="F200" i="6"/>
  <c r="E200" i="6"/>
  <c r="C200" i="6"/>
  <c r="V199" i="6"/>
  <c r="U199" i="6" s="1"/>
  <c r="S199" i="6"/>
  <c r="R199" i="6" s="1"/>
  <c r="P199" i="6"/>
  <c r="M199" i="6"/>
  <c r="L199" i="6" s="1"/>
  <c r="H199" i="6"/>
  <c r="G199" i="6"/>
  <c r="F199" i="6"/>
  <c r="E199" i="6"/>
  <c r="C199" i="6"/>
  <c r="V198" i="6"/>
  <c r="U198" i="6" s="1"/>
  <c r="S198" i="6"/>
  <c r="R198" i="6" s="1"/>
  <c r="P198" i="6"/>
  <c r="O198" i="6" s="1"/>
  <c r="M198" i="6"/>
  <c r="L198" i="6" s="1"/>
  <c r="H198" i="6"/>
  <c r="G198" i="6"/>
  <c r="F198" i="6"/>
  <c r="E198" i="6"/>
  <c r="C198" i="6"/>
  <c r="V197" i="6"/>
  <c r="U197" i="6" s="1"/>
  <c r="S197" i="6"/>
  <c r="R197" i="6" s="1"/>
  <c r="P197" i="6"/>
  <c r="O197" i="6" s="1"/>
  <c r="M197" i="6"/>
  <c r="L197" i="6" s="1"/>
  <c r="H197" i="6"/>
  <c r="G197" i="6"/>
  <c r="F197" i="6"/>
  <c r="E197" i="6"/>
  <c r="C197" i="6"/>
  <c r="H196" i="6"/>
  <c r="G196" i="6"/>
  <c r="F196" i="6"/>
  <c r="E196" i="6"/>
  <c r="C196" i="6"/>
  <c r="V195" i="6"/>
  <c r="U195" i="6" s="1"/>
  <c r="S195" i="6"/>
  <c r="R195" i="6" s="1"/>
  <c r="P195" i="6"/>
  <c r="M195" i="6"/>
  <c r="L195" i="6" s="1"/>
  <c r="H195" i="6"/>
  <c r="C22" i="2" s="1"/>
  <c r="F195" i="6"/>
  <c r="E195" i="6"/>
  <c r="C195" i="6"/>
  <c r="H194" i="6"/>
  <c r="F194" i="6"/>
  <c r="E194" i="6"/>
  <c r="C194" i="6"/>
  <c r="V193" i="6"/>
  <c r="U193" i="6" s="1"/>
  <c r="S193" i="6"/>
  <c r="R193" i="6" s="1"/>
  <c r="P193" i="6"/>
  <c r="O193" i="6" s="1"/>
  <c r="M193" i="6"/>
  <c r="L193" i="6" s="1"/>
  <c r="H193" i="6"/>
  <c r="F193" i="6"/>
  <c r="E193" i="6"/>
  <c r="C193" i="6"/>
  <c r="H192" i="6"/>
  <c r="F192" i="6"/>
  <c r="E192" i="6"/>
  <c r="C192" i="6"/>
  <c r="H191" i="6"/>
  <c r="F191" i="6"/>
  <c r="E191" i="6"/>
  <c r="C191" i="6"/>
  <c r="H190" i="6"/>
  <c r="F190" i="6"/>
  <c r="E190" i="6"/>
  <c r="C190" i="6"/>
  <c r="V189" i="6"/>
  <c r="U189" i="6" s="1"/>
  <c r="S189" i="6"/>
  <c r="R189" i="6" s="1"/>
  <c r="P189" i="6"/>
  <c r="M189" i="6"/>
  <c r="L189" i="6" s="1"/>
  <c r="H189" i="6"/>
  <c r="G189" i="6"/>
  <c r="F189" i="6"/>
  <c r="E189" i="6"/>
  <c r="C189" i="6"/>
  <c r="H188" i="6"/>
  <c r="F188" i="6"/>
  <c r="E188" i="6"/>
  <c r="C188" i="6"/>
  <c r="H187" i="6"/>
  <c r="F187" i="6"/>
  <c r="E187" i="6"/>
  <c r="C187" i="6"/>
  <c r="H186" i="6"/>
  <c r="F186" i="6"/>
  <c r="E186" i="6"/>
  <c r="C186" i="6"/>
  <c r="H185" i="6"/>
  <c r="F185" i="6"/>
  <c r="E185" i="6"/>
  <c r="C185" i="6"/>
  <c r="H184" i="6"/>
  <c r="F184" i="6"/>
  <c r="E184" i="6"/>
  <c r="C184" i="6"/>
  <c r="H183" i="6"/>
  <c r="F183" i="6"/>
  <c r="E183" i="6"/>
  <c r="C183" i="6"/>
  <c r="H182" i="6"/>
  <c r="F182" i="6"/>
  <c r="E182" i="6"/>
  <c r="C182" i="6"/>
  <c r="V181" i="6"/>
  <c r="U181" i="6" s="1"/>
  <c r="S181" i="6"/>
  <c r="R181" i="6" s="1"/>
  <c r="P181" i="6"/>
  <c r="O181" i="6" s="1"/>
  <c r="M181" i="6"/>
  <c r="L181" i="6" s="1"/>
  <c r="H181" i="6"/>
  <c r="F181" i="6"/>
  <c r="E181" i="6"/>
  <c r="C181" i="6"/>
  <c r="H180" i="6"/>
  <c r="F180" i="6"/>
  <c r="E180" i="6"/>
  <c r="C180" i="6"/>
  <c r="H179" i="6"/>
  <c r="F179" i="6"/>
  <c r="E179" i="6"/>
  <c r="C179" i="6"/>
  <c r="V178" i="6"/>
  <c r="U178" i="6" s="1"/>
  <c r="S178" i="6"/>
  <c r="P178" i="6"/>
  <c r="O178" i="6" s="1"/>
  <c r="M178" i="6"/>
  <c r="L178" i="6" s="1"/>
  <c r="H178" i="6"/>
  <c r="F178" i="6"/>
  <c r="E178" i="6"/>
  <c r="C178" i="6"/>
  <c r="H177" i="6"/>
  <c r="F177" i="6"/>
  <c r="E177" i="6"/>
  <c r="C177" i="6"/>
  <c r="V176" i="6"/>
  <c r="U176" i="6" s="1"/>
  <c r="S176" i="6"/>
  <c r="R176" i="6" s="1"/>
  <c r="P176" i="6"/>
  <c r="O176" i="6" s="1"/>
  <c r="M176" i="6"/>
  <c r="L176" i="6" s="1"/>
  <c r="H176" i="6"/>
  <c r="C11" i="2" s="1"/>
  <c r="F176" i="6"/>
  <c r="E176" i="6"/>
  <c r="C176" i="6"/>
  <c r="H175" i="6"/>
  <c r="F175" i="6"/>
  <c r="E175" i="6"/>
  <c r="C175" i="6"/>
  <c r="H174" i="6"/>
  <c r="F174" i="6"/>
  <c r="E174" i="6"/>
  <c r="C174" i="6"/>
  <c r="H173" i="6"/>
  <c r="G173" i="6"/>
  <c r="F173" i="6"/>
  <c r="E173" i="6"/>
  <c r="C173" i="6"/>
  <c r="H172" i="6"/>
  <c r="G172" i="6"/>
  <c r="F172" i="6"/>
  <c r="E172" i="6"/>
  <c r="C172" i="6"/>
  <c r="H171" i="6"/>
  <c r="G171" i="6"/>
  <c r="F171" i="6"/>
  <c r="E171" i="6"/>
  <c r="C171" i="6"/>
  <c r="H170" i="6"/>
  <c r="G170" i="6"/>
  <c r="F170" i="6"/>
  <c r="E170" i="6"/>
  <c r="C170" i="6"/>
  <c r="V169" i="6"/>
  <c r="U169" i="6" s="1"/>
  <c r="S169" i="6"/>
  <c r="R169" i="6" s="1"/>
  <c r="P169" i="6"/>
  <c r="M169" i="6"/>
  <c r="L169" i="6" s="1"/>
  <c r="H169" i="6"/>
  <c r="F169" i="6"/>
  <c r="E169" i="6"/>
  <c r="C169" i="6"/>
  <c r="V168" i="6"/>
  <c r="U168" i="6" s="1"/>
  <c r="S168" i="6"/>
  <c r="R168" i="6" s="1"/>
  <c r="P168" i="6"/>
  <c r="O168" i="6" s="1"/>
  <c r="M168" i="6"/>
  <c r="L168" i="6" s="1"/>
  <c r="H168" i="6"/>
  <c r="F168" i="6"/>
  <c r="E168" i="6"/>
  <c r="C168" i="6"/>
  <c r="V167" i="6"/>
  <c r="U167" i="6" s="1"/>
  <c r="S167" i="6"/>
  <c r="R167" i="6" s="1"/>
  <c r="P167" i="6"/>
  <c r="O167" i="6" s="1"/>
  <c r="M167" i="6"/>
  <c r="L167" i="6" s="1"/>
  <c r="H167" i="6"/>
  <c r="F167" i="6"/>
  <c r="E167" i="6"/>
  <c r="C167" i="6"/>
  <c r="H166" i="6"/>
  <c r="F166" i="6"/>
  <c r="E166" i="6"/>
  <c r="C166" i="6"/>
  <c r="H165" i="6"/>
  <c r="F165" i="6"/>
  <c r="E165" i="6"/>
  <c r="C165" i="6"/>
  <c r="H164" i="6"/>
  <c r="F164" i="6"/>
  <c r="E164" i="6"/>
  <c r="C164" i="6"/>
  <c r="V163" i="6"/>
  <c r="U163" i="6" s="1"/>
  <c r="S163" i="6"/>
  <c r="R163" i="6" s="1"/>
  <c r="P163" i="6"/>
  <c r="O163" i="6" s="1"/>
  <c r="M163" i="6"/>
  <c r="L163" i="6" s="1"/>
  <c r="H163" i="6"/>
  <c r="F163" i="6"/>
  <c r="E163" i="6"/>
  <c r="C163" i="6"/>
  <c r="H162" i="6"/>
  <c r="F162" i="6"/>
  <c r="E162" i="6"/>
  <c r="C162" i="6"/>
  <c r="V161" i="6"/>
  <c r="U161" i="6" s="1"/>
  <c r="S161" i="6"/>
  <c r="R161" i="6" s="1"/>
  <c r="P161" i="6"/>
  <c r="O161" i="6" s="1"/>
  <c r="M161" i="6"/>
  <c r="L161" i="6" s="1"/>
  <c r="H161" i="6"/>
  <c r="F161" i="6"/>
  <c r="E161" i="6"/>
  <c r="C161" i="6"/>
  <c r="H160" i="6"/>
  <c r="F160" i="6"/>
  <c r="E160" i="6"/>
  <c r="C160" i="6"/>
  <c r="H159" i="6"/>
  <c r="F159" i="6"/>
  <c r="E159" i="6"/>
  <c r="C159" i="6"/>
  <c r="V158" i="6"/>
  <c r="U158" i="6" s="1"/>
  <c r="S158" i="6"/>
  <c r="R158" i="6" s="1"/>
  <c r="P158" i="6"/>
  <c r="O158" i="6" s="1"/>
  <c r="M158" i="6"/>
  <c r="L158" i="6" s="1"/>
  <c r="H158" i="6"/>
  <c r="F158" i="6"/>
  <c r="E158" i="6"/>
  <c r="C158" i="6"/>
  <c r="V157" i="6"/>
  <c r="U157" i="6" s="1"/>
  <c r="S157" i="6"/>
  <c r="R157" i="6" s="1"/>
  <c r="P157" i="6"/>
  <c r="O157" i="6" s="1"/>
  <c r="M157" i="6"/>
  <c r="L157" i="6" s="1"/>
  <c r="H157" i="6"/>
  <c r="F157" i="6"/>
  <c r="E157" i="6"/>
  <c r="C157" i="6"/>
  <c r="H156" i="6"/>
  <c r="F156" i="6"/>
  <c r="E156" i="6"/>
  <c r="C156" i="6"/>
  <c r="V155" i="6"/>
  <c r="U155" i="6" s="1"/>
  <c r="S155" i="6"/>
  <c r="R155" i="6" s="1"/>
  <c r="P155" i="6"/>
  <c r="O155" i="6" s="1"/>
  <c r="M155" i="6"/>
  <c r="L155" i="6" s="1"/>
  <c r="H155" i="6"/>
  <c r="F155" i="6"/>
  <c r="E155" i="6"/>
  <c r="C155" i="6"/>
  <c r="V154" i="6"/>
  <c r="U154" i="6" s="1"/>
  <c r="S154" i="6"/>
  <c r="R154" i="6" s="1"/>
  <c r="P154" i="6"/>
  <c r="O154" i="6" s="1"/>
  <c r="M154" i="6"/>
  <c r="L154" i="6" s="1"/>
  <c r="H154" i="6"/>
  <c r="F154" i="6"/>
  <c r="E154" i="6"/>
  <c r="C154" i="6"/>
  <c r="V153" i="6"/>
  <c r="U153" i="6" s="1"/>
  <c r="S153" i="6"/>
  <c r="R153" i="6" s="1"/>
  <c r="P153" i="6"/>
  <c r="O153" i="6" s="1"/>
  <c r="M153" i="6"/>
  <c r="L153" i="6" s="1"/>
  <c r="H153" i="6"/>
  <c r="F153" i="6"/>
  <c r="E153" i="6"/>
  <c r="C153" i="6"/>
  <c r="H152" i="6"/>
  <c r="F152" i="6"/>
  <c r="E152" i="6"/>
  <c r="C152" i="6"/>
  <c r="V151" i="6"/>
  <c r="U151" i="6" s="1"/>
  <c r="S151" i="6"/>
  <c r="R151" i="6" s="1"/>
  <c r="P151" i="6"/>
  <c r="O151" i="6" s="1"/>
  <c r="M151" i="6"/>
  <c r="L151" i="6" s="1"/>
  <c r="H151" i="6"/>
  <c r="F151" i="6"/>
  <c r="E151" i="6"/>
  <c r="C151" i="6"/>
  <c r="V150" i="6"/>
  <c r="U150" i="6" s="1"/>
  <c r="S150" i="6"/>
  <c r="R150" i="6" s="1"/>
  <c r="P150" i="6"/>
  <c r="O150" i="6" s="1"/>
  <c r="M150" i="6"/>
  <c r="L150" i="6" s="1"/>
  <c r="H150" i="6"/>
  <c r="F150" i="6"/>
  <c r="E150" i="6"/>
  <c r="C150" i="6"/>
  <c r="H149" i="6"/>
  <c r="F149" i="6"/>
  <c r="E149" i="6"/>
  <c r="C149" i="6"/>
  <c r="H148" i="6"/>
  <c r="F148" i="6"/>
  <c r="E148" i="6"/>
  <c r="C148" i="6"/>
  <c r="V147" i="6"/>
  <c r="U147" i="6" s="1"/>
  <c r="S147" i="6"/>
  <c r="R147" i="6" s="1"/>
  <c r="P147" i="6"/>
  <c r="O147" i="6" s="1"/>
  <c r="M147" i="6"/>
  <c r="L147" i="6" s="1"/>
  <c r="H147" i="6"/>
  <c r="F147" i="6"/>
  <c r="E147" i="6"/>
  <c r="C147" i="6"/>
  <c r="V146" i="6"/>
  <c r="U146" i="6" s="1"/>
  <c r="S146" i="6"/>
  <c r="R146" i="6" s="1"/>
  <c r="P146" i="6"/>
  <c r="O146" i="6" s="1"/>
  <c r="M146" i="6"/>
  <c r="L146" i="6" s="1"/>
  <c r="H146" i="6"/>
  <c r="F146" i="6"/>
  <c r="E146" i="6"/>
  <c r="C146" i="6"/>
  <c r="H145" i="6"/>
  <c r="F145" i="6"/>
  <c r="E145" i="6"/>
  <c r="C145" i="6"/>
  <c r="H144" i="6"/>
  <c r="F144" i="6"/>
  <c r="E144" i="6"/>
  <c r="C144" i="6"/>
  <c r="V143" i="6"/>
  <c r="U143" i="6" s="1"/>
  <c r="S143" i="6"/>
  <c r="R143" i="6" s="1"/>
  <c r="P143" i="6"/>
  <c r="O143" i="6" s="1"/>
  <c r="M143" i="6"/>
  <c r="L143" i="6" s="1"/>
  <c r="H143" i="6"/>
  <c r="F143" i="6"/>
  <c r="E143" i="6"/>
  <c r="C143" i="6"/>
  <c r="H142" i="6"/>
  <c r="F142" i="6"/>
  <c r="E142" i="6"/>
  <c r="C142" i="6"/>
  <c r="V141" i="6"/>
  <c r="U141" i="6" s="1"/>
  <c r="S141" i="6"/>
  <c r="R141" i="6" s="1"/>
  <c r="P141" i="6"/>
  <c r="O141" i="6" s="1"/>
  <c r="M141" i="6"/>
  <c r="L141" i="6" s="1"/>
  <c r="H141" i="6"/>
  <c r="F141" i="6"/>
  <c r="E141" i="6"/>
  <c r="C141" i="6"/>
  <c r="H140" i="6"/>
  <c r="F140" i="6"/>
  <c r="E140" i="6"/>
  <c r="C140" i="6"/>
  <c r="V139" i="6"/>
  <c r="U139" i="6" s="1"/>
  <c r="S139" i="6"/>
  <c r="R139" i="6" s="1"/>
  <c r="P139" i="6"/>
  <c r="O139" i="6" s="1"/>
  <c r="M139" i="6"/>
  <c r="L139" i="6" s="1"/>
  <c r="H139" i="6"/>
  <c r="F139" i="6"/>
  <c r="E139" i="6"/>
  <c r="C139" i="6"/>
  <c r="V138" i="6"/>
  <c r="U138" i="6" s="1"/>
  <c r="S138" i="6"/>
  <c r="R138" i="6" s="1"/>
  <c r="P138" i="6"/>
  <c r="O138" i="6" s="1"/>
  <c r="M138" i="6"/>
  <c r="L138" i="6" s="1"/>
  <c r="H138" i="6"/>
  <c r="F138" i="6"/>
  <c r="E138" i="6"/>
  <c r="C138" i="6"/>
  <c r="H137" i="6"/>
  <c r="F137" i="6"/>
  <c r="E137" i="6"/>
  <c r="C137" i="6"/>
  <c r="V136" i="6"/>
  <c r="U136" i="6" s="1"/>
  <c r="S136" i="6"/>
  <c r="R136" i="6" s="1"/>
  <c r="P136" i="6"/>
  <c r="O136" i="6" s="1"/>
  <c r="M136" i="6"/>
  <c r="L136" i="6" s="1"/>
  <c r="H136" i="6"/>
  <c r="F136" i="6"/>
  <c r="E136" i="6"/>
  <c r="C136" i="6"/>
  <c r="H135" i="6"/>
  <c r="F135" i="6"/>
  <c r="E135" i="6"/>
  <c r="C135" i="6"/>
  <c r="V134" i="6"/>
  <c r="U134" i="6" s="1"/>
  <c r="S134" i="6"/>
  <c r="R134" i="6" s="1"/>
  <c r="P134" i="6"/>
  <c r="O134" i="6" s="1"/>
  <c r="M134" i="6"/>
  <c r="L134" i="6" s="1"/>
  <c r="H134" i="6"/>
  <c r="G134" i="6"/>
  <c r="F134" i="6"/>
  <c r="E134" i="6"/>
  <c r="C134" i="6"/>
  <c r="H133" i="6"/>
  <c r="F133" i="6"/>
  <c r="E133" i="6"/>
  <c r="C133" i="6"/>
  <c r="V132" i="6"/>
  <c r="U132" i="6" s="1"/>
  <c r="S132" i="6"/>
  <c r="P132" i="6"/>
  <c r="O132" i="6" s="1"/>
  <c r="M132" i="6"/>
  <c r="L132" i="6" s="1"/>
  <c r="H132" i="6"/>
  <c r="F132" i="6"/>
  <c r="E132" i="6"/>
  <c r="C132" i="6"/>
  <c r="V131" i="6"/>
  <c r="U131" i="6" s="1"/>
  <c r="S131" i="6"/>
  <c r="R131" i="6" s="1"/>
  <c r="P131" i="6"/>
  <c r="O131" i="6" s="1"/>
  <c r="M131" i="6"/>
  <c r="H131" i="6"/>
  <c r="F131" i="6"/>
  <c r="E131" i="6"/>
  <c r="C131" i="6"/>
  <c r="H130" i="6"/>
  <c r="F130" i="6"/>
  <c r="E130" i="6"/>
  <c r="C130" i="6"/>
  <c r="H129" i="6"/>
  <c r="F129" i="6"/>
  <c r="E129" i="6"/>
  <c r="C129" i="6"/>
  <c r="H128" i="6"/>
  <c r="F128" i="6"/>
  <c r="E128" i="6"/>
  <c r="C128" i="6"/>
  <c r="V127" i="6"/>
  <c r="U127" i="6" s="1"/>
  <c r="S127" i="6"/>
  <c r="R127" i="6" s="1"/>
  <c r="P127" i="6"/>
  <c r="O127" i="6" s="1"/>
  <c r="M127" i="6"/>
  <c r="L127" i="6" s="1"/>
  <c r="H127" i="6"/>
  <c r="F127" i="6"/>
  <c r="E127" i="6"/>
  <c r="C127" i="6"/>
  <c r="V126" i="6"/>
  <c r="U126" i="6" s="1"/>
  <c r="S126" i="6"/>
  <c r="P126" i="6"/>
  <c r="O126" i="6" s="1"/>
  <c r="M126" i="6"/>
  <c r="L126" i="6" s="1"/>
  <c r="H126" i="6"/>
  <c r="F126" i="6"/>
  <c r="E126" i="6"/>
  <c r="C126" i="6"/>
  <c r="H125" i="6"/>
  <c r="F125" i="6"/>
  <c r="E125" i="6"/>
  <c r="C125" i="6"/>
  <c r="H124" i="6"/>
  <c r="F124" i="6"/>
  <c r="E124" i="6"/>
  <c r="C124" i="6"/>
  <c r="H123" i="6"/>
  <c r="F123" i="6"/>
  <c r="E123" i="6"/>
  <c r="C123" i="6"/>
  <c r="V122" i="6"/>
  <c r="U122" i="6" s="1"/>
  <c r="S122" i="6"/>
  <c r="R122" i="6" s="1"/>
  <c r="P122" i="6"/>
  <c r="O122" i="6" s="1"/>
  <c r="M122" i="6"/>
  <c r="L122" i="6" s="1"/>
  <c r="H122" i="6"/>
  <c r="F122" i="6"/>
  <c r="E122" i="6"/>
  <c r="C122" i="6"/>
  <c r="V121" i="6"/>
  <c r="U121" i="6" s="1"/>
  <c r="S121" i="6"/>
  <c r="R121" i="6" s="1"/>
  <c r="P121" i="6"/>
  <c r="O121" i="6" s="1"/>
  <c r="M121" i="6"/>
  <c r="L121" i="6" s="1"/>
  <c r="H121" i="6"/>
  <c r="F121" i="6"/>
  <c r="E121" i="6"/>
  <c r="C121" i="6"/>
  <c r="H120" i="6"/>
  <c r="F120" i="6"/>
  <c r="E120" i="6"/>
  <c r="C120" i="6"/>
  <c r="V119" i="6"/>
  <c r="U119" i="6" s="1"/>
  <c r="S119" i="6"/>
  <c r="R119" i="6" s="1"/>
  <c r="P119" i="6"/>
  <c r="O119" i="6" s="1"/>
  <c r="M119" i="6"/>
  <c r="L119" i="6" s="1"/>
  <c r="H119" i="6"/>
  <c r="F119" i="6"/>
  <c r="E119" i="6"/>
  <c r="C119" i="6"/>
  <c r="H118" i="6"/>
  <c r="F118" i="6"/>
  <c r="E118" i="6"/>
  <c r="C118" i="6"/>
  <c r="V117" i="6"/>
  <c r="U117" i="6" s="1"/>
  <c r="S117" i="6"/>
  <c r="R117" i="6" s="1"/>
  <c r="P117" i="6"/>
  <c r="O117" i="6" s="1"/>
  <c r="M117" i="6"/>
  <c r="L117" i="6" s="1"/>
  <c r="H117" i="6"/>
  <c r="F117" i="6"/>
  <c r="E117" i="6"/>
  <c r="C117" i="6"/>
  <c r="H116" i="6"/>
  <c r="F116" i="6"/>
  <c r="E116" i="6"/>
  <c r="C116" i="6"/>
  <c r="H115" i="6"/>
  <c r="F115" i="6"/>
  <c r="E115" i="6"/>
  <c r="C115" i="6"/>
  <c r="H114" i="6"/>
  <c r="F114" i="6"/>
  <c r="E114" i="6"/>
  <c r="C114" i="6"/>
  <c r="H113" i="6"/>
  <c r="F113" i="6"/>
  <c r="E113" i="6"/>
  <c r="C113" i="6"/>
  <c r="V112" i="6"/>
  <c r="U112" i="6" s="1"/>
  <c r="S112" i="6"/>
  <c r="R112" i="6" s="1"/>
  <c r="P112" i="6"/>
  <c r="O112" i="6" s="1"/>
  <c r="M112" i="6"/>
  <c r="L112" i="6" s="1"/>
  <c r="H112" i="6"/>
  <c r="F112" i="6"/>
  <c r="E112" i="6"/>
  <c r="C112" i="6"/>
  <c r="V111" i="6"/>
  <c r="U111" i="6" s="1"/>
  <c r="S111" i="6"/>
  <c r="R111" i="6" s="1"/>
  <c r="P111" i="6"/>
  <c r="O111" i="6" s="1"/>
  <c r="M111" i="6"/>
  <c r="H111" i="6"/>
  <c r="F111" i="6"/>
  <c r="E111" i="6"/>
  <c r="C111" i="6"/>
  <c r="H110" i="6"/>
  <c r="F110" i="6"/>
  <c r="E110" i="6"/>
  <c r="C110" i="6"/>
  <c r="H109" i="6"/>
  <c r="F109" i="6"/>
  <c r="E109" i="6"/>
  <c r="C109" i="6"/>
  <c r="H108" i="6"/>
  <c r="F108" i="6"/>
  <c r="E108" i="6"/>
  <c r="C108" i="6"/>
  <c r="H107" i="6"/>
  <c r="F107" i="6"/>
  <c r="E107" i="6"/>
  <c r="C107" i="6"/>
  <c r="H106" i="6"/>
  <c r="F106" i="6"/>
  <c r="E106" i="6"/>
  <c r="C106" i="6"/>
  <c r="H105" i="6"/>
  <c r="F105" i="6"/>
  <c r="E105" i="6"/>
  <c r="C105" i="6"/>
  <c r="V104" i="6"/>
  <c r="U104" i="6" s="1"/>
  <c r="S104" i="6"/>
  <c r="R104" i="6" s="1"/>
  <c r="P104" i="6"/>
  <c r="O104" i="6" s="1"/>
  <c r="M104" i="6"/>
  <c r="L104" i="6" s="1"/>
  <c r="H104" i="6"/>
  <c r="F104" i="6"/>
  <c r="E104" i="6"/>
  <c r="C104" i="6"/>
  <c r="V103" i="6"/>
  <c r="U103" i="6" s="1"/>
  <c r="S103" i="6"/>
  <c r="R103" i="6" s="1"/>
  <c r="P103" i="6"/>
  <c r="O103" i="6" s="1"/>
  <c r="M103" i="6"/>
  <c r="H103" i="6"/>
  <c r="F103" i="6"/>
  <c r="E103" i="6"/>
  <c r="C103" i="6"/>
  <c r="H102" i="6"/>
  <c r="F102" i="6"/>
  <c r="E102" i="6"/>
  <c r="C102" i="6"/>
  <c r="V101" i="6"/>
  <c r="U101" i="6" s="1"/>
  <c r="S101" i="6"/>
  <c r="R101" i="6" s="1"/>
  <c r="P101" i="6"/>
  <c r="O101" i="6" s="1"/>
  <c r="M101" i="6"/>
  <c r="L101" i="6" s="1"/>
  <c r="H101" i="6"/>
  <c r="F101" i="6"/>
  <c r="E101" i="6"/>
  <c r="C101" i="6"/>
  <c r="V100" i="6"/>
  <c r="U100" i="6" s="1"/>
  <c r="S100" i="6"/>
  <c r="R100" i="6" s="1"/>
  <c r="P100" i="6"/>
  <c r="O100" i="6" s="1"/>
  <c r="M100" i="6"/>
  <c r="L100" i="6" s="1"/>
  <c r="H100" i="6"/>
  <c r="F100" i="6"/>
  <c r="E100" i="6"/>
  <c r="C100" i="6"/>
  <c r="V99" i="6"/>
  <c r="U99" i="6" s="1"/>
  <c r="S99" i="6"/>
  <c r="R99" i="6" s="1"/>
  <c r="P99" i="6"/>
  <c r="O99" i="6" s="1"/>
  <c r="M99" i="6"/>
  <c r="L99" i="6" s="1"/>
  <c r="H99" i="6"/>
  <c r="F99" i="6"/>
  <c r="E99" i="6"/>
  <c r="C99" i="6"/>
  <c r="H98" i="6"/>
  <c r="F98" i="6"/>
  <c r="E98" i="6"/>
  <c r="C98" i="6"/>
  <c r="H97" i="6"/>
  <c r="F97" i="6"/>
  <c r="E97" i="6"/>
  <c r="C97" i="6"/>
  <c r="V96" i="6"/>
  <c r="U96" i="6" s="1"/>
  <c r="S96" i="6"/>
  <c r="R96" i="6" s="1"/>
  <c r="P96" i="6"/>
  <c r="O96" i="6" s="1"/>
  <c r="M96" i="6"/>
  <c r="L96" i="6" s="1"/>
  <c r="H96" i="6"/>
  <c r="F96" i="6"/>
  <c r="E96" i="6"/>
  <c r="C96" i="6"/>
  <c r="H95" i="6"/>
  <c r="F95" i="6"/>
  <c r="E95" i="6"/>
  <c r="C95" i="6"/>
  <c r="V94" i="6"/>
  <c r="U94" i="6" s="1"/>
  <c r="S94" i="6"/>
  <c r="R94" i="6" s="1"/>
  <c r="P94" i="6"/>
  <c r="O94" i="6" s="1"/>
  <c r="M94" i="6"/>
  <c r="L94" i="6" s="1"/>
  <c r="H94" i="6"/>
  <c r="F94" i="6"/>
  <c r="E94" i="6"/>
  <c r="C94" i="6"/>
  <c r="H93" i="6"/>
  <c r="F93" i="6"/>
  <c r="E93" i="6"/>
  <c r="C93" i="6"/>
  <c r="V92" i="6"/>
  <c r="U92" i="6" s="1"/>
  <c r="S92" i="6"/>
  <c r="R92" i="6" s="1"/>
  <c r="P92" i="6"/>
  <c r="O92" i="6" s="1"/>
  <c r="M92" i="6"/>
  <c r="L92" i="6" s="1"/>
  <c r="H92" i="6"/>
  <c r="F92" i="6"/>
  <c r="E92" i="6"/>
  <c r="C92" i="6"/>
  <c r="H91" i="6"/>
  <c r="F91" i="6"/>
  <c r="E91" i="6"/>
  <c r="C91" i="6"/>
  <c r="H90" i="6"/>
  <c r="F90" i="6"/>
  <c r="E90" i="6"/>
  <c r="C90" i="6"/>
  <c r="H89" i="6"/>
  <c r="F89" i="6"/>
  <c r="E89" i="6"/>
  <c r="C89" i="6"/>
  <c r="H88" i="6"/>
  <c r="F88" i="6"/>
  <c r="E88" i="6"/>
  <c r="C88" i="6"/>
  <c r="H87" i="6"/>
  <c r="F87" i="6"/>
  <c r="E87" i="6"/>
  <c r="C87" i="6"/>
  <c r="V86" i="6"/>
  <c r="U86" i="6" s="1"/>
  <c r="S86" i="6"/>
  <c r="R86" i="6" s="1"/>
  <c r="P86" i="6"/>
  <c r="O86" i="6" s="1"/>
  <c r="M86" i="6"/>
  <c r="L86" i="6" s="1"/>
  <c r="H86" i="6"/>
  <c r="F86" i="6"/>
  <c r="E86" i="6"/>
  <c r="C86" i="6"/>
  <c r="H85" i="6"/>
  <c r="F85" i="6"/>
  <c r="E85" i="6"/>
  <c r="C85" i="6"/>
  <c r="H84" i="6"/>
  <c r="F84" i="6"/>
  <c r="E84" i="6"/>
  <c r="C84" i="6"/>
  <c r="H83" i="6"/>
  <c r="F83" i="6"/>
  <c r="E83" i="6"/>
  <c r="C83" i="6"/>
  <c r="H82" i="6"/>
  <c r="F82" i="6"/>
  <c r="E82" i="6"/>
  <c r="C82" i="6"/>
  <c r="V81" i="6"/>
  <c r="U81" i="6" s="1"/>
  <c r="S81" i="6"/>
  <c r="R81" i="6" s="1"/>
  <c r="P81" i="6"/>
  <c r="O81" i="6" s="1"/>
  <c r="M81" i="6"/>
  <c r="L81" i="6" s="1"/>
  <c r="H81" i="6"/>
  <c r="F81" i="6"/>
  <c r="E81" i="6"/>
  <c r="C81" i="6"/>
  <c r="V80" i="6"/>
  <c r="U80" i="6" s="1"/>
  <c r="S80" i="6"/>
  <c r="R80" i="6" s="1"/>
  <c r="P80" i="6"/>
  <c r="O80" i="6" s="1"/>
  <c r="M80" i="6"/>
  <c r="L80" i="6" s="1"/>
  <c r="H80" i="6"/>
  <c r="F80" i="6"/>
  <c r="E80" i="6"/>
  <c r="C80" i="6"/>
  <c r="H79" i="6"/>
  <c r="F79" i="6"/>
  <c r="E79" i="6"/>
  <c r="C79" i="6"/>
  <c r="H78" i="6"/>
  <c r="F78" i="6"/>
  <c r="E78" i="6"/>
  <c r="C78" i="6"/>
  <c r="V77" i="6"/>
  <c r="U77" i="6" s="1"/>
  <c r="S77" i="6"/>
  <c r="R77" i="6" s="1"/>
  <c r="P77" i="6"/>
  <c r="O77" i="6" s="1"/>
  <c r="M77" i="6"/>
  <c r="L77" i="6" s="1"/>
  <c r="H77" i="6"/>
  <c r="F77" i="6"/>
  <c r="E77" i="6"/>
  <c r="C77" i="6"/>
  <c r="H76" i="6"/>
  <c r="F76" i="6"/>
  <c r="E76" i="6"/>
  <c r="C76" i="6"/>
  <c r="V75" i="6"/>
  <c r="U75" i="6" s="1"/>
  <c r="S75" i="6"/>
  <c r="R75" i="6" s="1"/>
  <c r="P75" i="6"/>
  <c r="O75" i="6" s="1"/>
  <c r="M75" i="6"/>
  <c r="L75" i="6" s="1"/>
  <c r="H75" i="6"/>
  <c r="F75" i="6"/>
  <c r="E75" i="6"/>
  <c r="C75" i="6"/>
  <c r="H74" i="6"/>
  <c r="F74" i="6"/>
  <c r="E74" i="6"/>
  <c r="C74" i="6"/>
  <c r="H73" i="6"/>
  <c r="F73" i="6"/>
  <c r="E73" i="6"/>
  <c r="C73" i="6"/>
  <c r="H72" i="6"/>
  <c r="F72" i="6"/>
  <c r="E72" i="6"/>
  <c r="C72" i="6"/>
  <c r="H71" i="6"/>
  <c r="F71" i="6"/>
  <c r="E71" i="6"/>
  <c r="C71" i="6"/>
  <c r="V70" i="6"/>
  <c r="U70" i="6" s="1"/>
  <c r="S70" i="6"/>
  <c r="R70" i="6" s="1"/>
  <c r="P70" i="6"/>
  <c r="O70" i="6" s="1"/>
  <c r="M70" i="6"/>
  <c r="L70" i="6" s="1"/>
  <c r="H70" i="6"/>
  <c r="F70" i="6"/>
  <c r="E70" i="6"/>
  <c r="C70" i="6"/>
  <c r="H69" i="6"/>
  <c r="F69" i="6"/>
  <c r="E69" i="6"/>
  <c r="C69" i="6"/>
  <c r="H68" i="6"/>
  <c r="F68" i="6"/>
  <c r="E68" i="6"/>
  <c r="C68" i="6"/>
  <c r="H67" i="6"/>
  <c r="F67" i="6"/>
  <c r="E67" i="6"/>
  <c r="C67" i="6"/>
  <c r="H66" i="6"/>
  <c r="F66" i="6"/>
  <c r="E66" i="6"/>
  <c r="C66" i="6"/>
  <c r="H65" i="6"/>
  <c r="G65" i="6"/>
  <c r="F65" i="6"/>
  <c r="E65" i="6"/>
  <c r="C65" i="6"/>
  <c r="H64" i="6"/>
  <c r="G64" i="6"/>
  <c r="F64" i="6"/>
  <c r="E64" i="6"/>
  <c r="C64" i="6"/>
  <c r="V63" i="6"/>
  <c r="U63" i="6" s="1"/>
  <c r="S63" i="6"/>
  <c r="R63" i="6" s="1"/>
  <c r="P63" i="6"/>
  <c r="O63" i="6" s="1"/>
  <c r="M63" i="6"/>
  <c r="L63" i="6" s="1"/>
  <c r="H63" i="6"/>
  <c r="C32" i="2" s="1"/>
  <c r="F63" i="6"/>
  <c r="E63" i="6"/>
  <c r="C63" i="6"/>
  <c r="H62" i="6"/>
  <c r="C27" i="2" s="1"/>
  <c r="F62" i="6"/>
  <c r="E62" i="6"/>
  <c r="C62" i="6"/>
  <c r="H61" i="6"/>
  <c r="G61" i="6"/>
  <c r="F61" i="6"/>
  <c r="E61" i="6"/>
  <c r="C61" i="6"/>
  <c r="H60" i="6"/>
  <c r="F60" i="6"/>
  <c r="E60" i="6"/>
  <c r="C60" i="6"/>
  <c r="H59" i="6"/>
  <c r="F59" i="6"/>
  <c r="E59" i="6"/>
  <c r="C59" i="6"/>
  <c r="H58" i="6"/>
  <c r="F58" i="6"/>
  <c r="E58" i="6"/>
  <c r="C58" i="6"/>
  <c r="H57" i="6"/>
  <c r="F57" i="6"/>
  <c r="E57" i="6"/>
  <c r="C57" i="6"/>
  <c r="H56" i="6"/>
  <c r="F56" i="6"/>
  <c r="E56" i="6"/>
  <c r="C56" i="6"/>
  <c r="H55" i="6"/>
  <c r="F55" i="6"/>
  <c r="E55" i="6"/>
  <c r="C55" i="6"/>
  <c r="H54" i="6"/>
  <c r="F54" i="6"/>
  <c r="E54" i="6"/>
  <c r="C54" i="6"/>
  <c r="H53" i="6"/>
  <c r="F53" i="6"/>
  <c r="E53" i="6"/>
  <c r="C53" i="6"/>
  <c r="H52" i="6"/>
  <c r="F52" i="6"/>
  <c r="E52" i="6"/>
  <c r="C52" i="6"/>
  <c r="H51" i="6"/>
  <c r="F51" i="6"/>
  <c r="E51" i="6"/>
  <c r="C51" i="6"/>
  <c r="H50" i="6"/>
  <c r="F50" i="6"/>
  <c r="E50" i="6"/>
  <c r="C50" i="6"/>
  <c r="H49" i="6"/>
  <c r="F49" i="6"/>
  <c r="E49" i="6"/>
  <c r="C49" i="6"/>
  <c r="H48" i="6"/>
  <c r="F48" i="6"/>
  <c r="E48" i="6"/>
  <c r="C48" i="6"/>
  <c r="H47" i="6"/>
  <c r="F47" i="6"/>
  <c r="E47" i="6"/>
  <c r="C47" i="6"/>
  <c r="H46" i="6"/>
  <c r="F46" i="6"/>
  <c r="E46" i="6"/>
  <c r="C46" i="6"/>
  <c r="H45" i="6"/>
  <c r="F45" i="6"/>
  <c r="E45" i="6"/>
  <c r="C45" i="6"/>
  <c r="H44" i="6"/>
  <c r="F44" i="6"/>
  <c r="E44" i="6"/>
  <c r="C44" i="6"/>
  <c r="H43" i="6"/>
  <c r="F43" i="6"/>
  <c r="E43" i="6"/>
  <c r="C43" i="6"/>
  <c r="H42" i="6"/>
  <c r="F42" i="6"/>
  <c r="E42" i="6"/>
  <c r="C42" i="6"/>
  <c r="H41" i="6"/>
  <c r="F41" i="6"/>
  <c r="E41" i="6"/>
  <c r="C41" i="6"/>
  <c r="H40" i="6"/>
  <c r="F40" i="6"/>
  <c r="E40" i="6"/>
  <c r="C40" i="6"/>
  <c r="H39" i="6"/>
  <c r="F39" i="6"/>
  <c r="E39" i="6"/>
  <c r="C39" i="6"/>
  <c r="H38" i="6"/>
  <c r="F38" i="6"/>
  <c r="E38" i="6"/>
  <c r="C38" i="6"/>
  <c r="H37" i="6"/>
  <c r="F37" i="6"/>
  <c r="E37" i="6"/>
  <c r="C37" i="6"/>
  <c r="H36" i="6"/>
  <c r="G36" i="6"/>
  <c r="F36" i="6"/>
  <c r="E36" i="6"/>
  <c r="C36" i="6"/>
  <c r="H35" i="6"/>
  <c r="F35" i="6"/>
  <c r="E35" i="6"/>
  <c r="C35" i="6"/>
  <c r="H34" i="6"/>
  <c r="G34" i="6"/>
  <c r="F34" i="6"/>
  <c r="E34" i="6"/>
  <c r="C34" i="6"/>
  <c r="H33" i="6"/>
  <c r="G33" i="6"/>
  <c r="F33" i="6"/>
  <c r="E33" i="6"/>
  <c r="C33" i="6"/>
  <c r="H32" i="6"/>
  <c r="G32" i="6"/>
  <c r="E32" i="6"/>
  <c r="C32" i="6"/>
  <c r="H31" i="6"/>
  <c r="G31" i="6"/>
  <c r="F31" i="6"/>
  <c r="E31" i="6"/>
  <c r="C31" i="6"/>
  <c r="H30" i="6"/>
  <c r="F30" i="6"/>
  <c r="E30" i="6"/>
  <c r="C30" i="6"/>
  <c r="H29" i="6"/>
  <c r="F29" i="6"/>
  <c r="E29" i="6"/>
  <c r="C29" i="6"/>
  <c r="H28" i="6"/>
  <c r="F28" i="6"/>
  <c r="E28" i="6"/>
  <c r="C28" i="6"/>
  <c r="H27" i="6"/>
  <c r="G27" i="6"/>
  <c r="F27" i="6"/>
  <c r="E27" i="6"/>
  <c r="C27" i="6"/>
  <c r="H26" i="6"/>
  <c r="F26" i="6"/>
  <c r="E26" i="6"/>
  <c r="C26" i="6"/>
  <c r="H25" i="6"/>
  <c r="G25" i="6"/>
  <c r="F25" i="6"/>
  <c r="E25" i="6"/>
  <c r="C25" i="6"/>
  <c r="H24" i="6"/>
  <c r="F24" i="6"/>
  <c r="E24" i="6"/>
  <c r="C24" i="6"/>
  <c r="H23" i="6"/>
  <c r="G23" i="6"/>
  <c r="F23" i="6"/>
  <c r="E23" i="6"/>
  <c r="C23" i="6"/>
  <c r="H22" i="6"/>
  <c r="F22" i="6"/>
  <c r="E22" i="6"/>
  <c r="C22" i="6"/>
  <c r="H21" i="6"/>
  <c r="F21" i="6"/>
  <c r="E21" i="6"/>
  <c r="C21" i="6"/>
  <c r="H20" i="6"/>
  <c r="F20" i="6"/>
  <c r="E20" i="6"/>
  <c r="C20" i="6"/>
  <c r="H19" i="6"/>
  <c r="F19" i="6"/>
  <c r="E19" i="6"/>
  <c r="C19" i="6"/>
  <c r="V18" i="6"/>
  <c r="U18" i="6" s="1"/>
  <c r="S18" i="6"/>
  <c r="R18" i="6" s="1"/>
  <c r="P18" i="6"/>
  <c r="O18" i="6" s="1"/>
  <c r="M18" i="6"/>
  <c r="L18" i="6" s="1"/>
  <c r="H18" i="6"/>
  <c r="F18" i="6"/>
  <c r="E18" i="6"/>
  <c r="C18" i="6"/>
  <c r="H17" i="6"/>
  <c r="F17" i="6"/>
  <c r="E17" i="6"/>
  <c r="C17" i="6"/>
  <c r="V16" i="6"/>
  <c r="U16" i="6" s="1"/>
  <c r="S16" i="6"/>
  <c r="R16" i="6" s="1"/>
  <c r="P16" i="6"/>
  <c r="O16" i="6" s="1"/>
  <c r="M16" i="6"/>
  <c r="L16" i="6" s="1"/>
  <c r="H16" i="6"/>
  <c r="F16" i="6"/>
  <c r="E16" i="6"/>
  <c r="C16" i="6"/>
  <c r="V15" i="6"/>
  <c r="U15" i="6" s="1"/>
  <c r="S15" i="6"/>
  <c r="R15" i="6" s="1"/>
  <c r="P15" i="6"/>
  <c r="O15" i="6" s="1"/>
  <c r="M15" i="6"/>
  <c r="L15" i="6" s="1"/>
  <c r="H15" i="6"/>
  <c r="F15" i="6"/>
  <c r="E15" i="6"/>
  <c r="C15" i="6"/>
  <c r="H14" i="6"/>
  <c r="C17" i="2" s="1"/>
  <c r="F14" i="6"/>
  <c r="E14" i="6"/>
  <c r="C14" i="6"/>
  <c r="V13" i="6"/>
  <c r="U13" i="6" s="1"/>
  <c r="S13" i="6"/>
  <c r="R13" i="6" s="1"/>
  <c r="P13" i="6"/>
  <c r="O13" i="6" s="1"/>
  <c r="M13" i="6"/>
  <c r="L13" i="6" s="1"/>
  <c r="H13" i="6"/>
  <c r="F13" i="6"/>
  <c r="E13" i="6"/>
  <c r="C13" i="6"/>
  <c r="H12" i="6"/>
  <c r="F12" i="6"/>
  <c r="E12" i="6"/>
  <c r="C12" i="6"/>
  <c r="V11" i="6"/>
  <c r="U11" i="6" s="1"/>
  <c r="S11" i="6"/>
  <c r="R11" i="6" s="1"/>
  <c r="P11" i="6"/>
  <c r="O11" i="6" s="1"/>
  <c r="M11" i="6"/>
  <c r="L11" i="6" s="1"/>
  <c r="H11" i="6"/>
  <c r="F11" i="6"/>
  <c r="E11" i="6"/>
  <c r="C11" i="6"/>
  <c r="H10" i="6"/>
  <c r="F10" i="6"/>
  <c r="E10" i="6"/>
  <c r="C10" i="6"/>
  <c r="H9" i="6"/>
  <c r="E9" i="6"/>
  <c r="C9" i="6"/>
  <c r="H8" i="6"/>
  <c r="F8" i="6"/>
  <c r="E8" i="6"/>
  <c r="C8" i="6"/>
  <c r="V7" i="6"/>
  <c r="U7" i="6" s="1"/>
  <c r="S7" i="6"/>
  <c r="R7" i="6" s="1"/>
  <c r="P7" i="6"/>
  <c r="O7" i="6" s="1"/>
  <c r="M7" i="6"/>
  <c r="L7" i="6" s="1"/>
  <c r="H7" i="6"/>
  <c r="F7" i="6"/>
  <c r="E7" i="6"/>
  <c r="C7" i="6"/>
  <c r="V6" i="6"/>
  <c r="U6" i="6" s="1"/>
  <c r="S6" i="6"/>
  <c r="R6" i="6" s="1"/>
  <c r="P6" i="6"/>
  <c r="O6" i="6" s="1"/>
  <c r="M6" i="6"/>
  <c r="L6" i="6" s="1"/>
  <c r="H6" i="6"/>
  <c r="F6" i="6"/>
  <c r="E6" i="6"/>
  <c r="C6" i="6"/>
  <c r="H5" i="6"/>
  <c r="F5" i="6"/>
  <c r="E5" i="6"/>
  <c r="C5" i="6"/>
  <c r="V4" i="6"/>
  <c r="U4" i="6" s="1"/>
  <c r="S4" i="6"/>
  <c r="R4" i="6" s="1"/>
  <c r="P4" i="6"/>
  <c r="M4" i="6"/>
  <c r="L4" i="6" s="1"/>
  <c r="H4" i="6"/>
  <c r="G4" i="6"/>
  <c r="F4" i="6"/>
  <c r="E4" i="6"/>
  <c r="C4" i="6"/>
  <c r="V3" i="6"/>
  <c r="U3" i="6" s="1"/>
  <c r="S3" i="6"/>
  <c r="R3" i="6" s="1"/>
  <c r="P3" i="6"/>
  <c r="O3" i="6" s="1"/>
  <c r="M3" i="6"/>
  <c r="F3" i="6"/>
  <c r="E3" i="6"/>
  <c r="C3" i="6"/>
  <c r="M49" i="2"/>
  <c r="L49" i="2"/>
  <c r="K49" i="2"/>
  <c r="J49" i="2"/>
  <c r="I49" i="2"/>
  <c r="H49" i="2"/>
  <c r="G49" i="2"/>
  <c r="F49" i="2"/>
  <c r="C49" i="2"/>
  <c r="L48" i="2"/>
  <c r="J48" i="2"/>
  <c r="H48" i="2"/>
  <c r="F48" i="2"/>
  <c r="C48" i="2"/>
  <c r="L47" i="2"/>
  <c r="J47" i="2"/>
  <c r="H47" i="2"/>
  <c r="F47" i="2"/>
  <c r="M46" i="2"/>
  <c r="L46" i="2"/>
  <c r="K46" i="2"/>
  <c r="J46" i="2"/>
  <c r="I46" i="2"/>
  <c r="H46" i="2"/>
  <c r="G46" i="2"/>
  <c r="F46" i="2"/>
  <c r="C46" i="2"/>
  <c r="L45" i="2"/>
  <c r="J45" i="2"/>
  <c r="H45" i="2"/>
  <c r="F45" i="2"/>
  <c r="L44" i="2"/>
  <c r="J44" i="2"/>
  <c r="H44" i="2"/>
  <c r="F44" i="2"/>
  <c r="M43" i="2"/>
  <c r="L43" i="2"/>
  <c r="K43" i="2"/>
  <c r="J43" i="2"/>
  <c r="I43" i="2"/>
  <c r="H43" i="2"/>
  <c r="G43" i="2"/>
  <c r="F43" i="2"/>
  <c r="M42" i="2"/>
  <c r="L42" i="2"/>
  <c r="K42" i="2"/>
  <c r="J42" i="2"/>
  <c r="I42" i="2"/>
  <c r="H42" i="2"/>
  <c r="G42" i="2"/>
  <c r="F42" i="2"/>
  <c r="C42" i="2"/>
  <c r="M41" i="2"/>
  <c r="L41" i="2"/>
  <c r="K41" i="2"/>
  <c r="J41" i="2"/>
  <c r="I41" i="2"/>
  <c r="H41" i="2"/>
  <c r="G41" i="2"/>
  <c r="F41" i="2"/>
  <c r="C41" i="2"/>
  <c r="L40" i="2"/>
  <c r="J40" i="2"/>
  <c r="H40" i="2"/>
  <c r="F40" i="2"/>
  <c r="C40" i="2"/>
  <c r="L39" i="2"/>
  <c r="J39" i="2"/>
  <c r="H39" i="2"/>
  <c r="F39" i="2"/>
  <c r="C39" i="2"/>
  <c r="M38" i="2"/>
  <c r="L38" i="2"/>
  <c r="K38" i="2"/>
  <c r="J38" i="2"/>
  <c r="I38" i="2"/>
  <c r="H38" i="2"/>
  <c r="G38" i="2"/>
  <c r="F38" i="2"/>
  <c r="L37" i="2"/>
  <c r="J37" i="2"/>
  <c r="H37" i="2"/>
  <c r="F37" i="2"/>
  <c r="M36" i="2"/>
  <c r="L36" i="2"/>
  <c r="K36" i="2"/>
  <c r="J36" i="2"/>
  <c r="I36" i="2"/>
  <c r="H36" i="2"/>
  <c r="G36" i="2"/>
  <c r="F36" i="2"/>
  <c r="M35" i="2"/>
  <c r="L35" i="2"/>
  <c r="K35" i="2"/>
  <c r="J35" i="2"/>
  <c r="I35" i="2"/>
  <c r="H35" i="2"/>
  <c r="G35" i="2"/>
  <c r="F35" i="2"/>
  <c r="C35" i="2"/>
  <c r="M34" i="2"/>
  <c r="L34" i="2"/>
  <c r="K34" i="2"/>
  <c r="J34" i="2"/>
  <c r="I34" i="2"/>
  <c r="H34" i="2"/>
  <c r="G34" i="2"/>
  <c r="F34" i="2"/>
  <c r="C34" i="2"/>
  <c r="L33" i="2"/>
  <c r="J33" i="2"/>
  <c r="H33" i="2"/>
  <c r="F33" i="2"/>
  <c r="L32" i="2"/>
  <c r="J32" i="2"/>
  <c r="H32" i="2"/>
  <c r="F32" i="2"/>
  <c r="M31" i="2"/>
  <c r="L31" i="2"/>
  <c r="K31" i="2"/>
  <c r="J31" i="2"/>
  <c r="I31" i="2"/>
  <c r="H31" i="2"/>
  <c r="G31" i="2"/>
  <c r="F31" i="2"/>
  <c r="L30" i="2"/>
  <c r="J30" i="2"/>
  <c r="H30" i="2"/>
  <c r="F30" i="2"/>
  <c r="L29" i="2"/>
  <c r="J29" i="2"/>
  <c r="H29" i="2"/>
  <c r="F29" i="2"/>
  <c r="M28" i="2"/>
  <c r="L28" i="2"/>
  <c r="K28" i="2"/>
  <c r="J28" i="2"/>
  <c r="I28" i="2"/>
  <c r="H28" i="2"/>
  <c r="G28" i="2"/>
  <c r="F28" i="2"/>
  <c r="C28" i="2"/>
  <c r="L27" i="2"/>
  <c r="J27" i="2"/>
  <c r="H27" i="2"/>
  <c r="F27" i="2"/>
  <c r="L26" i="2"/>
  <c r="J26" i="2"/>
  <c r="H26" i="2"/>
  <c r="F26" i="2"/>
  <c r="M25" i="2"/>
  <c r="L25" i="2"/>
  <c r="K25" i="2"/>
  <c r="J25" i="2"/>
  <c r="I25" i="2"/>
  <c r="H25" i="2"/>
  <c r="G25" i="2"/>
  <c r="F25" i="2"/>
  <c r="M24" i="2"/>
  <c r="L24" i="2"/>
  <c r="K24" i="2"/>
  <c r="J24" i="2"/>
  <c r="I24" i="2"/>
  <c r="H24" i="2"/>
  <c r="G24" i="2"/>
  <c r="F24" i="2"/>
  <c r="C24" i="2"/>
  <c r="L23" i="2"/>
  <c r="J23" i="2"/>
  <c r="H23" i="2"/>
  <c r="F23" i="2"/>
  <c r="M22" i="2"/>
  <c r="L22" i="2"/>
  <c r="K22" i="2"/>
  <c r="J22" i="2"/>
  <c r="I22" i="2"/>
  <c r="H22" i="2"/>
  <c r="G22" i="2"/>
  <c r="F22" i="2"/>
  <c r="L20" i="2"/>
  <c r="J20" i="2"/>
  <c r="H20" i="2"/>
  <c r="L19" i="2"/>
  <c r="J19" i="2"/>
  <c r="H19" i="2"/>
  <c r="F19" i="2"/>
  <c r="L18" i="2"/>
  <c r="J18" i="2"/>
  <c r="H18" i="2"/>
  <c r="F18" i="2"/>
  <c r="L17" i="2"/>
  <c r="J17" i="2"/>
  <c r="H17" i="2"/>
  <c r="F17" i="2"/>
  <c r="L15" i="2"/>
  <c r="J15" i="2"/>
  <c r="H15" i="2"/>
  <c r="F15" i="2"/>
  <c r="L14" i="2"/>
  <c r="J14" i="2"/>
  <c r="H14" i="2"/>
  <c r="F14" i="2"/>
  <c r="C14" i="2"/>
  <c r="M13" i="2"/>
  <c r="L13" i="2"/>
  <c r="K13" i="2"/>
  <c r="J13" i="2"/>
  <c r="I13" i="2"/>
  <c r="H13" i="2"/>
  <c r="G13" i="2"/>
  <c r="F13" i="2"/>
  <c r="M12" i="2"/>
  <c r="L12" i="2"/>
  <c r="K12" i="2"/>
  <c r="J12" i="2"/>
  <c r="I12" i="2"/>
  <c r="H12" i="2"/>
  <c r="G12" i="2"/>
  <c r="F12" i="2"/>
  <c r="M11" i="2"/>
  <c r="L11" i="2"/>
  <c r="K11" i="2"/>
  <c r="J11" i="2"/>
  <c r="I11" i="2"/>
  <c r="H11" i="2"/>
  <c r="G11" i="2"/>
  <c r="F11" i="2"/>
  <c r="M10" i="2"/>
  <c r="L10" i="2"/>
  <c r="K10" i="2"/>
  <c r="J10" i="2"/>
  <c r="I10" i="2"/>
  <c r="H10" i="2"/>
  <c r="G10" i="2"/>
  <c r="F10" i="2"/>
  <c r="L9" i="2"/>
  <c r="J9" i="2"/>
  <c r="H9" i="2"/>
  <c r="F9" i="2"/>
  <c r="L8" i="2"/>
  <c r="J8" i="2"/>
  <c r="H8" i="2"/>
  <c r="F8" i="2"/>
  <c r="L7" i="2"/>
  <c r="J7" i="2"/>
  <c r="H7" i="2"/>
  <c r="F7" i="2"/>
  <c r="M6" i="2"/>
  <c r="L6" i="2"/>
  <c r="K6" i="2"/>
  <c r="J6" i="2"/>
  <c r="I6" i="2"/>
  <c r="H6" i="2"/>
  <c r="G6" i="2"/>
  <c r="F6" i="2"/>
  <c r="C6" i="2"/>
  <c r="L5" i="2"/>
  <c r="J5" i="2"/>
  <c r="H5" i="2"/>
  <c r="F5" i="2"/>
  <c r="M1217" i="1"/>
  <c r="L1217" i="1"/>
  <c r="M1216" i="1"/>
  <c r="L1216" i="1"/>
  <c r="M1215" i="1"/>
  <c r="L1215" i="1"/>
  <c r="M1214" i="1"/>
  <c r="L1214" i="1"/>
  <c r="M1213" i="1"/>
  <c r="L1213" i="1"/>
  <c r="M1212" i="1"/>
  <c r="L1212" i="1"/>
  <c r="M1211" i="1"/>
  <c r="L1211" i="1"/>
  <c r="M1210" i="1"/>
  <c r="L1210" i="1"/>
  <c r="M1209" i="1"/>
  <c r="L1209" i="1"/>
  <c r="M1208" i="1"/>
  <c r="L1208" i="1"/>
  <c r="M1207" i="1"/>
  <c r="L1207" i="1"/>
  <c r="M1206" i="1"/>
  <c r="L1206" i="1"/>
  <c r="M1205" i="1"/>
  <c r="L1205" i="1"/>
  <c r="M1204" i="1"/>
  <c r="L1204" i="1"/>
  <c r="M1203" i="1"/>
  <c r="L1203" i="1"/>
  <c r="M1202" i="1"/>
  <c r="L1202" i="1"/>
  <c r="M1201" i="1"/>
  <c r="L1201" i="1"/>
  <c r="M1200" i="1"/>
  <c r="L1200" i="1"/>
  <c r="M1199" i="1"/>
  <c r="L1199" i="1"/>
  <c r="M1198" i="1"/>
  <c r="L1198" i="1"/>
  <c r="M1197" i="1"/>
  <c r="L1197" i="1"/>
  <c r="M1196" i="1"/>
  <c r="V17" i="6" s="1"/>
  <c r="U17" i="6" s="1"/>
  <c r="L1196" i="1"/>
  <c r="M1195" i="1"/>
  <c r="L1195" i="1"/>
  <c r="M1194" i="1"/>
  <c r="L1194" i="1"/>
  <c r="M1193" i="1"/>
  <c r="L1193" i="1"/>
  <c r="M1192" i="1"/>
  <c r="L1192" i="1"/>
  <c r="M1191" i="1"/>
  <c r="L1191" i="1"/>
  <c r="M1190" i="1"/>
  <c r="L1190" i="1"/>
  <c r="M1189" i="1"/>
  <c r="L1189" i="1"/>
  <c r="M1188" i="1"/>
  <c r="L1188" i="1"/>
  <c r="M1187" i="1"/>
  <c r="L1187" i="1"/>
  <c r="M1186" i="1"/>
  <c r="L1186" i="1"/>
  <c r="M1185" i="1"/>
  <c r="L1185" i="1"/>
  <c r="M1184" i="1"/>
  <c r="L1184" i="1"/>
  <c r="M1183" i="1"/>
  <c r="L1183" i="1"/>
  <c r="M1182" i="1"/>
  <c r="L1182" i="1"/>
  <c r="M1181" i="1"/>
  <c r="L1181" i="1"/>
  <c r="M1180" i="1"/>
  <c r="L1180" i="1"/>
  <c r="M1179" i="1"/>
  <c r="L1179" i="1"/>
  <c r="M1178" i="1"/>
  <c r="L1178" i="1"/>
  <c r="M1177" i="1"/>
  <c r="L1177" i="1"/>
  <c r="M1176" i="1"/>
  <c r="L1176" i="1"/>
  <c r="M1175" i="1"/>
  <c r="L1175" i="1"/>
  <c r="M1174" i="1"/>
  <c r="L1174" i="1"/>
  <c r="M1173" i="1"/>
  <c r="L1173" i="1"/>
  <c r="M1172" i="1"/>
  <c r="L1172" i="1"/>
  <c r="M1171" i="1"/>
  <c r="L1171" i="1"/>
  <c r="M1170" i="1"/>
  <c r="L1170" i="1"/>
  <c r="M1169" i="1"/>
  <c r="L1169" i="1"/>
  <c r="M1168" i="1"/>
  <c r="L1168" i="1"/>
  <c r="M1167" i="1"/>
  <c r="L1167" i="1"/>
  <c r="M1166" i="1"/>
  <c r="L1166" i="1"/>
  <c r="M1165" i="1"/>
  <c r="L1165" i="1"/>
  <c r="M1164" i="1"/>
  <c r="L1164" i="1"/>
  <c r="M1163" i="1"/>
  <c r="L1163" i="1"/>
  <c r="M1162" i="1"/>
  <c r="L1162" i="1"/>
  <c r="M1161" i="1"/>
  <c r="L1161" i="1"/>
  <c r="M1160" i="1"/>
  <c r="L1160" i="1"/>
  <c r="M1159" i="1"/>
  <c r="L1159" i="1"/>
  <c r="M1158" i="1"/>
  <c r="L1158" i="1"/>
  <c r="M1157" i="1"/>
  <c r="L1157" i="1"/>
  <c r="M1156" i="1"/>
  <c r="L1156" i="1"/>
  <c r="M1155" i="1"/>
  <c r="L1155" i="1"/>
  <c r="M1154" i="1"/>
  <c r="L1154" i="1"/>
  <c r="M1153" i="1"/>
  <c r="L1153" i="1"/>
  <c r="M1152" i="1"/>
  <c r="L1152" i="1"/>
  <c r="M1151" i="1"/>
  <c r="L1151" i="1"/>
  <c r="M1150" i="1"/>
  <c r="L1150" i="1"/>
  <c r="M1149" i="1"/>
  <c r="L1149" i="1"/>
  <c r="M1148" i="1"/>
  <c r="L1148" i="1"/>
  <c r="M1147" i="1"/>
  <c r="L1147" i="1"/>
  <c r="M1146" i="1"/>
  <c r="L1146" i="1"/>
  <c r="M1145" i="1"/>
  <c r="L1145" i="1"/>
  <c r="M1144" i="1"/>
  <c r="L1144" i="1"/>
  <c r="M1143" i="1"/>
  <c r="L1143" i="1"/>
  <c r="M1142" i="1"/>
  <c r="L1142" i="1"/>
  <c r="M1141" i="1"/>
  <c r="L1141" i="1"/>
  <c r="M1140" i="1"/>
  <c r="L1140" i="1"/>
  <c r="M1139" i="1"/>
  <c r="L1139" i="1"/>
  <c r="M1138" i="1"/>
  <c r="L1138" i="1"/>
  <c r="M1137" i="1"/>
  <c r="L1137" i="1"/>
  <c r="M1136" i="1"/>
  <c r="L1136" i="1"/>
  <c r="M1135" i="1"/>
  <c r="L1135" i="1"/>
  <c r="M1134" i="1"/>
  <c r="L1134" i="1"/>
  <c r="M1133" i="1"/>
  <c r="L1133" i="1"/>
  <c r="M1132" i="1"/>
  <c r="L1132" i="1"/>
  <c r="M1131" i="1"/>
  <c r="L1131" i="1"/>
  <c r="M1130" i="1"/>
  <c r="L1130" i="1"/>
  <c r="M1129" i="1"/>
  <c r="L1129" i="1"/>
  <c r="M1128" i="1"/>
  <c r="L1128" i="1"/>
  <c r="M1127" i="1"/>
  <c r="L1127" i="1"/>
  <c r="M1126" i="1"/>
  <c r="L1126" i="1"/>
  <c r="M1125" i="1"/>
  <c r="L1125" i="1"/>
  <c r="M1124" i="1"/>
  <c r="L1124" i="1"/>
  <c r="M1123" i="1"/>
  <c r="L1123" i="1"/>
  <c r="M1122" i="1"/>
  <c r="L1122" i="1"/>
  <c r="M1121" i="1"/>
  <c r="L1121" i="1"/>
  <c r="M1120" i="1"/>
  <c r="L1120" i="1"/>
  <c r="M1119" i="1"/>
  <c r="L1119" i="1"/>
  <c r="M1118" i="1"/>
  <c r="L1118" i="1"/>
  <c r="M1117" i="1"/>
  <c r="L1117" i="1"/>
  <c r="M1116" i="1"/>
  <c r="K23" i="2" s="1"/>
  <c r="L1116" i="1"/>
  <c r="M1115" i="1"/>
  <c r="L1115" i="1"/>
  <c r="M1114" i="1"/>
  <c r="L1114" i="1"/>
  <c r="M1113" i="1"/>
  <c r="L1113" i="1"/>
  <c r="M1112" i="1"/>
  <c r="L1112" i="1"/>
  <c r="M1111" i="1"/>
  <c r="L1111" i="1"/>
  <c r="M1110" i="1"/>
  <c r="L1110" i="1"/>
  <c r="M1109" i="1"/>
  <c r="L1109" i="1"/>
  <c r="M1108" i="1"/>
  <c r="L1108" i="1"/>
  <c r="M1107" i="1"/>
  <c r="L1107" i="1"/>
  <c r="M1106" i="1"/>
  <c r="L1106" i="1"/>
  <c r="M1105" i="1"/>
  <c r="L1105" i="1"/>
  <c r="M1104" i="1"/>
  <c r="L1104" i="1"/>
  <c r="M1103" i="1"/>
  <c r="L1103" i="1"/>
  <c r="M1102" i="1"/>
  <c r="L1102" i="1"/>
  <c r="M1101" i="1"/>
  <c r="L1101" i="1"/>
  <c r="M1100" i="1"/>
  <c r="L1100" i="1"/>
  <c r="M1099" i="1"/>
  <c r="L1099" i="1"/>
  <c r="M1098" i="1"/>
  <c r="L1098" i="1"/>
  <c r="M1097" i="1"/>
  <c r="L1097" i="1"/>
  <c r="M1096" i="1"/>
  <c r="L1096" i="1"/>
  <c r="M1095" i="1"/>
  <c r="L1095" i="1"/>
  <c r="M1094" i="1"/>
  <c r="L1094" i="1"/>
  <c r="M1093" i="1"/>
  <c r="L1093" i="1"/>
  <c r="M1092" i="1"/>
  <c r="L1092" i="1"/>
  <c r="M1091" i="1"/>
  <c r="L1091" i="1"/>
  <c r="M1090" i="1"/>
  <c r="L1090" i="1"/>
  <c r="M1089" i="1"/>
  <c r="L1089" i="1"/>
  <c r="M1088" i="1"/>
  <c r="L1088" i="1"/>
  <c r="M1087" i="1"/>
  <c r="L1087" i="1"/>
  <c r="M1086" i="1"/>
  <c r="L1086" i="1"/>
  <c r="M1085" i="1"/>
  <c r="L1085" i="1"/>
  <c r="M1084" i="1"/>
  <c r="L1084" i="1"/>
  <c r="M1083" i="1"/>
  <c r="L1083" i="1"/>
  <c r="M1082" i="1"/>
  <c r="L1082" i="1"/>
  <c r="M1081" i="1"/>
  <c r="L1081" i="1"/>
  <c r="M1080" i="1"/>
  <c r="L1080" i="1"/>
  <c r="M1079" i="1"/>
  <c r="L1079" i="1"/>
  <c r="M1078" i="1"/>
  <c r="L1078" i="1"/>
  <c r="M1077" i="1"/>
  <c r="L1077" i="1"/>
  <c r="M1076" i="1"/>
  <c r="L1076" i="1"/>
  <c r="M1075" i="1"/>
  <c r="L1075" i="1"/>
  <c r="M1074" i="1"/>
  <c r="L1074" i="1"/>
  <c r="M1073" i="1"/>
  <c r="L1073" i="1"/>
  <c r="M1072" i="1"/>
  <c r="L1072" i="1"/>
  <c r="M1071" i="1"/>
  <c r="L1071" i="1"/>
  <c r="M1070" i="1"/>
  <c r="L1070" i="1"/>
  <c r="M1069" i="1"/>
  <c r="L1069" i="1"/>
  <c r="M1068" i="1"/>
  <c r="L1068" i="1"/>
  <c r="M1067" i="1"/>
  <c r="L1067" i="1"/>
  <c r="M1066" i="1"/>
  <c r="L1066" i="1"/>
  <c r="M1065" i="1"/>
  <c r="L1065" i="1"/>
  <c r="M1064" i="1"/>
  <c r="L1064" i="1"/>
  <c r="M1063" i="1"/>
  <c r="L1063" i="1"/>
  <c r="M1062" i="1"/>
  <c r="L1062" i="1"/>
  <c r="M1061" i="1"/>
  <c r="L1061" i="1"/>
  <c r="M1060" i="1"/>
  <c r="L1060" i="1"/>
  <c r="M1059" i="1"/>
  <c r="L1059" i="1"/>
  <c r="M1058" i="1"/>
  <c r="L1058" i="1"/>
  <c r="M1057" i="1"/>
  <c r="L1057" i="1"/>
  <c r="M1056" i="1"/>
  <c r="L1056" i="1"/>
  <c r="M1055" i="1"/>
  <c r="L1055" i="1"/>
  <c r="M1054" i="1"/>
  <c r="L1054" i="1"/>
  <c r="M1053" i="1"/>
  <c r="L1053" i="1"/>
  <c r="M1052" i="1"/>
  <c r="L1052" i="1"/>
  <c r="M1051" i="1"/>
  <c r="L1051" i="1"/>
  <c r="M1050" i="1"/>
  <c r="L1050" i="1"/>
  <c r="M1049" i="1"/>
  <c r="L1049" i="1"/>
  <c r="M1048" i="1"/>
  <c r="L1048" i="1"/>
  <c r="M1047" i="1"/>
  <c r="L1047" i="1"/>
  <c r="M1046" i="1"/>
  <c r="L1046" i="1"/>
  <c r="M1045" i="1"/>
  <c r="L1045" i="1"/>
  <c r="M1044" i="1"/>
  <c r="L1044" i="1"/>
  <c r="M1043" i="1"/>
  <c r="L1043" i="1"/>
  <c r="M1042" i="1"/>
  <c r="L1042" i="1"/>
  <c r="M1041" i="1"/>
  <c r="L1041" i="1"/>
  <c r="M1040" i="1"/>
  <c r="L1040" i="1"/>
  <c r="M1039" i="1"/>
  <c r="L1039" i="1"/>
  <c r="M1038" i="1"/>
  <c r="L1038" i="1"/>
  <c r="M1037" i="1"/>
  <c r="L1037" i="1"/>
  <c r="M1036" i="1"/>
  <c r="L1036" i="1"/>
  <c r="M1035" i="1"/>
  <c r="L1035" i="1"/>
  <c r="M1034" i="1"/>
  <c r="G15" i="2" s="1"/>
  <c r="L1034" i="1"/>
  <c r="M1033" i="1"/>
  <c r="L1033" i="1"/>
  <c r="M1032" i="1"/>
  <c r="L1032" i="1"/>
  <c r="M1031" i="1"/>
  <c r="L1031" i="1"/>
  <c r="M1030" i="1"/>
  <c r="L1030" i="1"/>
  <c r="M1029" i="1"/>
  <c r="L1029" i="1"/>
  <c r="M1028" i="1"/>
  <c r="L1028" i="1"/>
  <c r="M1027" i="1"/>
  <c r="L1027" i="1"/>
  <c r="M1026" i="1"/>
  <c r="L1026" i="1"/>
  <c r="M1025" i="1"/>
  <c r="L1025" i="1"/>
  <c r="M1024" i="1"/>
  <c r="L1024" i="1"/>
  <c r="M1023" i="1"/>
  <c r="L1023" i="1"/>
  <c r="M1022" i="1"/>
  <c r="L1022" i="1"/>
  <c r="M1021" i="1"/>
  <c r="L1021" i="1"/>
  <c r="M1020" i="1"/>
  <c r="L1020" i="1"/>
  <c r="M1019" i="1"/>
  <c r="L1019" i="1"/>
  <c r="M1018" i="1"/>
  <c r="L1018" i="1"/>
  <c r="M1017" i="1"/>
  <c r="L1017" i="1"/>
  <c r="M1016" i="1"/>
  <c r="L1016" i="1"/>
  <c r="M1015" i="1"/>
  <c r="L1015" i="1"/>
  <c r="M1014" i="1"/>
  <c r="L1014" i="1"/>
  <c r="M1013" i="1"/>
  <c r="L1013" i="1"/>
  <c r="M1012" i="1"/>
  <c r="L1012" i="1"/>
  <c r="M1011" i="1"/>
  <c r="L1011" i="1"/>
  <c r="M1010" i="1"/>
  <c r="L1010" i="1"/>
  <c r="M1009" i="1"/>
  <c r="L1009" i="1"/>
  <c r="M1008" i="1"/>
  <c r="L1008" i="1"/>
  <c r="M1007" i="1"/>
  <c r="L1007" i="1"/>
  <c r="M1006" i="1"/>
  <c r="L1006" i="1"/>
  <c r="M1005" i="1"/>
  <c r="L1005" i="1"/>
  <c r="M1004" i="1"/>
  <c r="L1004" i="1"/>
  <c r="M1003" i="1"/>
  <c r="L1003" i="1"/>
  <c r="M1002" i="1"/>
  <c r="L1002" i="1"/>
  <c r="M1001" i="1"/>
  <c r="L1001" i="1"/>
  <c r="M1000" i="1"/>
  <c r="L1000" i="1"/>
  <c r="M999" i="1"/>
  <c r="L999" i="1"/>
  <c r="M998" i="1"/>
  <c r="L998" i="1"/>
  <c r="M997" i="1"/>
  <c r="L997" i="1"/>
  <c r="M996" i="1"/>
  <c r="L996" i="1"/>
  <c r="M995" i="1"/>
  <c r="L995" i="1"/>
  <c r="M994" i="1"/>
  <c r="L994" i="1"/>
  <c r="M993" i="1"/>
  <c r="L993" i="1"/>
  <c r="M992" i="1"/>
  <c r="L992" i="1"/>
  <c r="M991" i="1"/>
  <c r="L991" i="1"/>
  <c r="M990" i="1"/>
  <c r="L990" i="1"/>
  <c r="M989" i="1"/>
  <c r="L989" i="1"/>
  <c r="M988" i="1"/>
  <c r="L988" i="1"/>
  <c r="M987" i="1"/>
  <c r="L987" i="1"/>
  <c r="M986" i="1"/>
  <c r="L986" i="1"/>
  <c r="M985" i="1"/>
  <c r="L985" i="1"/>
  <c r="M984" i="1"/>
  <c r="L984" i="1"/>
  <c r="M983" i="1"/>
  <c r="L983" i="1"/>
  <c r="M982" i="1"/>
  <c r="L982" i="1"/>
  <c r="M981" i="1"/>
  <c r="L981" i="1"/>
  <c r="M980" i="1"/>
  <c r="L980" i="1"/>
  <c r="M979" i="1"/>
  <c r="L979" i="1"/>
  <c r="M978" i="1"/>
  <c r="L978" i="1"/>
  <c r="M977" i="1"/>
  <c r="L977" i="1"/>
  <c r="M976" i="1"/>
  <c r="L976" i="1"/>
  <c r="M975" i="1"/>
  <c r="L975" i="1"/>
  <c r="M974" i="1"/>
  <c r="L974" i="1"/>
  <c r="M973" i="1"/>
  <c r="L973" i="1"/>
  <c r="M972" i="1"/>
  <c r="L972" i="1"/>
  <c r="M971" i="1"/>
  <c r="L971" i="1"/>
  <c r="M970" i="1"/>
  <c r="L970" i="1"/>
  <c r="M969" i="1"/>
  <c r="L969" i="1"/>
  <c r="M968" i="1"/>
  <c r="L968" i="1"/>
  <c r="M967" i="1"/>
  <c r="L967" i="1"/>
  <c r="M966" i="1"/>
  <c r="L966" i="1"/>
  <c r="M965" i="1"/>
  <c r="L965" i="1"/>
  <c r="M964" i="1"/>
  <c r="L964" i="1"/>
  <c r="M963" i="1"/>
  <c r="L963" i="1"/>
  <c r="M962" i="1"/>
  <c r="L962" i="1"/>
  <c r="M961" i="1"/>
  <c r="L961" i="1"/>
  <c r="M960" i="1"/>
  <c r="L960" i="1"/>
  <c r="M959" i="1"/>
  <c r="L959" i="1"/>
  <c r="M958" i="1"/>
  <c r="L958" i="1"/>
  <c r="M957" i="1"/>
  <c r="L957" i="1"/>
  <c r="M956" i="1"/>
  <c r="L956" i="1"/>
  <c r="M955" i="1"/>
  <c r="L955" i="1"/>
  <c r="M954" i="1"/>
  <c r="L954" i="1"/>
  <c r="M953" i="1"/>
  <c r="L953" i="1"/>
  <c r="M952" i="1"/>
  <c r="L952" i="1"/>
  <c r="M951" i="1"/>
  <c r="L951" i="1"/>
  <c r="M950" i="1"/>
  <c r="L950" i="1"/>
  <c r="M949" i="1"/>
  <c r="L949" i="1"/>
  <c r="M948" i="1"/>
  <c r="L948" i="1"/>
  <c r="M947" i="1"/>
  <c r="L947" i="1"/>
  <c r="M946" i="1"/>
  <c r="L946" i="1"/>
  <c r="M945" i="1"/>
  <c r="L945" i="1"/>
  <c r="M944" i="1"/>
  <c r="V49" i="6" s="1"/>
  <c r="U49" i="6" s="1"/>
  <c r="L944" i="1"/>
  <c r="M943" i="1"/>
  <c r="L943" i="1"/>
  <c r="M942" i="1"/>
  <c r="L942" i="1"/>
  <c r="M941" i="1"/>
  <c r="L941" i="1"/>
  <c r="M940" i="1"/>
  <c r="L940" i="1"/>
  <c r="M939" i="1"/>
  <c r="L939" i="1"/>
  <c r="M938" i="1"/>
  <c r="L938" i="1"/>
  <c r="M937" i="1"/>
  <c r="L937" i="1"/>
  <c r="M936" i="1"/>
  <c r="L936" i="1"/>
  <c r="M935" i="1"/>
  <c r="L935" i="1"/>
  <c r="M934" i="1"/>
  <c r="L934" i="1"/>
  <c r="M933" i="1"/>
  <c r="L933" i="1"/>
  <c r="M932" i="1"/>
  <c r="L932" i="1"/>
  <c r="M931" i="1"/>
  <c r="P38" i="6" s="1"/>
  <c r="O38" i="6" s="1"/>
  <c r="L931" i="1"/>
  <c r="M930" i="1"/>
  <c r="L930" i="1"/>
  <c r="M929" i="1"/>
  <c r="L929" i="1"/>
  <c r="M928" i="1"/>
  <c r="L928" i="1"/>
  <c r="M927" i="1"/>
  <c r="L927" i="1"/>
  <c r="M926" i="1"/>
  <c r="L926" i="1"/>
  <c r="M925" i="1"/>
  <c r="L925" i="1"/>
  <c r="M924" i="1"/>
  <c r="L924" i="1"/>
  <c r="M923" i="1"/>
  <c r="L923" i="1"/>
  <c r="M922" i="1"/>
  <c r="L922" i="1"/>
  <c r="M921" i="1"/>
  <c r="L921" i="1"/>
  <c r="M920" i="1"/>
  <c r="L920" i="1"/>
  <c r="M919" i="1"/>
  <c r="L919" i="1"/>
  <c r="M918" i="1"/>
  <c r="L918" i="1"/>
  <c r="M917" i="1"/>
  <c r="L917" i="1"/>
  <c r="M916" i="1"/>
  <c r="L916" i="1"/>
  <c r="M915" i="1"/>
  <c r="L915" i="1"/>
  <c r="M914" i="1"/>
  <c r="L914" i="1"/>
  <c r="M913" i="1"/>
  <c r="L913" i="1"/>
  <c r="M912" i="1"/>
  <c r="L912" i="1"/>
  <c r="M911" i="1"/>
  <c r="L911" i="1"/>
  <c r="M910" i="1"/>
  <c r="L910" i="1"/>
  <c r="M909" i="1"/>
  <c r="L909" i="1"/>
  <c r="M908" i="1"/>
  <c r="L908" i="1"/>
  <c r="M907" i="1"/>
  <c r="L907" i="1"/>
  <c r="M906" i="1"/>
  <c r="L906" i="1"/>
  <c r="M905" i="1"/>
  <c r="L905" i="1"/>
  <c r="M904" i="1"/>
  <c r="L904" i="1"/>
  <c r="M903" i="1"/>
  <c r="L903" i="1"/>
  <c r="M902" i="1"/>
  <c r="L902" i="1"/>
  <c r="M901" i="1"/>
  <c r="L901" i="1"/>
  <c r="M900" i="1"/>
  <c r="L900" i="1"/>
  <c r="M899" i="1"/>
  <c r="L899" i="1"/>
  <c r="M898" i="1"/>
  <c r="L898" i="1"/>
  <c r="M897" i="1"/>
  <c r="L897" i="1"/>
  <c r="M896" i="1"/>
  <c r="L896" i="1"/>
  <c r="M895" i="1"/>
  <c r="L895" i="1"/>
  <c r="M894" i="1"/>
  <c r="L894" i="1"/>
  <c r="M893" i="1"/>
  <c r="L893" i="1"/>
  <c r="M892" i="1"/>
  <c r="L892" i="1"/>
  <c r="M891" i="1"/>
  <c r="L891" i="1"/>
  <c r="M890" i="1"/>
  <c r="L890" i="1"/>
  <c r="M889" i="1"/>
  <c r="L889" i="1"/>
  <c r="M888" i="1"/>
  <c r="L888" i="1"/>
  <c r="M887" i="1"/>
  <c r="L887" i="1"/>
  <c r="M886" i="1"/>
  <c r="L886" i="1"/>
  <c r="M885" i="1"/>
  <c r="L885" i="1"/>
  <c r="M884" i="1"/>
  <c r="L884" i="1"/>
  <c r="M883" i="1"/>
  <c r="L883" i="1"/>
  <c r="M882" i="1"/>
  <c r="L882" i="1"/>
  <c r="M881" i="1"/>
  <c r="L881" i="1"/>
  <c r="M880" i="1"/>
  <c r="L880" i="1"/>
  <c r="M879" i="1"/>
  <c r="L879" i="1"/>
  <c r="M878" i="1"/>
  <c r="L878" i="1"/>
  <c r="M877" i="1"/>
  <c r="L877" i="1"/>
  <c r="M876" i="1"/>
  <c r="L876" i="1"/>
  <c r="M875" i="1"/>
  <c r="L875" i="1"/>
  <c r="M874" i="1"/>
  <c r="L874" i="1"/>
  <c r="M873" i="1"/>
  <c r="L873" i="1"/>
  <c r="M872" i="1"/>
  <c r="L872" i="1"/>
  <c r="M871" i="1"/>
  <c r="L871" i="1"/>
  <c r="M870" i="1"/>
  <c r="L870" i="1"/>
  <c r="M869" i="1"/>
  <c r="L869" i="1"/>
  <c r="M868" i="1"/>
  <c r="L868" i="1"/>
  <c r="M867" i="1"/>
  <c r="L867" i="1"/>
  <c r="M866" i="1"/>
  <c r="L866" i="1"/>
  <c r="M865" i="1"/>
  <c r="L865" i="1"/>
  <c r="M864" i="1"/>
  <c r="L864" i="1"/>
  <c r="M863" i="1"/>
  <c r="L863" i="1"/>
  <c r="M862" i="1"/>
  <c r="L862" i="1"/>
  <c r="M861" i="1"/>
  <c r="L861" i="1"/>
  <c r="M860" i="1"/>
  <c r="L860" i="1"/>
  <c r="M859" i="1"/>
  <c r="L859" i="1"/>
  <c r="M858" i="1"/>
  <c r="L858" i="1"/>
  <c r="M857" i="1"/>
  <c r="L857" i="1"/>
  <c r="M856" i="1"/>
  <c r="L856" i="1"/>
  <c r="M855" i="1"/>
  <c r="L855" i="1"/>
  <c r="M854" i="1"/>
  <c r="L854" i="1"/>
  <c r="M853" i="1"/>
  <c r="L853" i="1"/>
  <c r="M852" i="1"/>
  <c r="L852" i="1"/>
  <c r="M851" i="1"/>
  <c r="L851" i="1"/>
  <c r="M850" i="1"/>
  <c r="L850" i="1"/>
  <c r="M849" i="1"/>
  <c r="L849" i="1"/>
  <c r="M848" i="1"/>
  <c r="L848" i="1"/>
  <c r="M847" i="1"/>
  <c r="L847" i="1"/>
  <c r="M846" i="1"/>
  <c r="L846" i="1"/>
  <c r="M845" i="1"/>
  <c r="L845" i="1"/>
  <c r="M844" i="1"/>
  <c r="L844" i="1"/>
  <c r="M843" i="1"/>
  <c r="L843" i="1"/>
  <c r="M842" i="1"/>
  <c r="M39" i="6" s="1"/>
  <c r="L39" i="6" s="1"/>
  <c r="L842" i="1"/>
  <c r="M841" i="1"/>
  <c r="L841" i="1"/>
  <c r="M840" i="1"/>
  <c r="L840" i="1"/>
  <c r="M839" i="1"/>
  <c r="L839" i="1"/>
  <c r="M838" i="1"/>
  <c r="L838" i="1"/>
  <c r="M837" i="1"/>
  <c r="L837" i="1"/>
  <c r="M836" i="1"/>
  <c r="M26" i="6" s="1"/>
  <c r="L836" i="1"/>
  <c r="M835" i="1"/>
  <c r="L835" i="1"/>
  <c r="M834" i="1"/>
  <c r="L834" i="1"/>
  <c r="M833" i="1"/>
  <c r="L833" i="1"/>
  <c r="M832" i="1"/>
  <c r="L832" i="1"/>
  <c r="M831" i="1"/>
  <c r="L831" i="1"/>
  <c r="M830" i="1"/>
  <c r="L830" i="1"/>
  <c r="M829" i="1"/>
  <c r="L829" i="1"/>
  <c r="M828" i="1"/>
  <c r="L828" i="1"/>
  <c r="M827" i="1"/>
  <c r="S30" i="6" s="1"/>
  <c r="R30" i="6" s="1"/>
  <c r="L827" i="1"/>
  <c r="M826" i="1"/>
  <c r="L826" i="1"/>
  <c r="M825" i="1"/>
  <c r="V44" i="6" s="1"/>
  <c r="U44" i="6" s="1"/>
  <c r="L825" i="1"/>
  <c r="M824" i="1"/>
  <c r="L824" i="1"/>
  <c r="M823" i="1"/>
  <c r="L823" i="1"/>
  <c r="M822" i="1"/>
  <c r="L822" i="1"/>
  <c r="M821" i="1"/>
  <c r="L821" i="1"/>
  <c r="M820" i="1"/>
  <c r="L820" i="1"/>
  <c r="M819" i="1"/>
  <c r="S52" i="6" s="1"/>
  <c r="R52" i="6" s="1"/>
  <c r="L819" i="1"/>
  <c r="M818" i="1"/>
  <c r="L818" i="1"/>
  <c r="M817" i="1"/>
  <c r="L817" i="1"/>
  <c r="M816" i="1"/>
  <c r="L816" i="1"/>
  <c r="M815" i="1"/>
  <c r="L815" i="1"/>
  <c r="M814" i="1"/>
  <c r="L814" i="1"/>
  <c r="M813" i="1"/>
  <c r="L813" i="1"/>
  <c r="M812" i="1"/>
  <c r="L812" i="1"/>
  <c r="M811" i="1"/>
  <c r="L811" i="1"/>
  <c r="M810" i="1"/>
  <c r="L810" i="1"/>
  <c r="M809" i="1"/>
  <c r="L809" i="1"/>
  <c r="M808" i="1"/>
  <c r="L808" i="1"/>
  <c r="M807" i="1"/>
  <c r="L807" i="1"/>
  <c r="M806" i="1"/>
  <c r="L806" i="1"/>
  <c r="M805" i="1"/>
  <c r="L805" i="1"/>
  <c r="M804" i="1"/>
  <c r="L804" i="1"/>
  <c r="M803" i="1"/>
  <c r="L803" i="1"/>
  <c r="M802" i="1"/>
  <c r="L802" i="1"/>
  <c r="M801" i="1"/>
  <c r="L801" i="1"/>
  <c r="M800" i="1"/>
  <c r="L800" i="1"/>
  <c r="M799" i="1"/>
  <c r="L799" i="1"/>
  <c r="M798" i="1"/>
  <c r="L798" i="1"/>
  <c r="M797" i="1"/>
  <c r="V40" i="6" s="1"/>
  <c r="U40" i="6" s="1"/>
  <c r="L797" i="1"/>
  <c r="M796" i="1"/>
  <c r="L796" i="1"/>
  <c r="M795" i="1"/>
  <c r="L795" i="1"/>
  <c r="M794" i="1"/>
  <c r="L794" i="1"/>
  <c r="M793" i="1"/>
  <c r="L793" i="1"/>
  <c r="M792" i="1"/>
  <c r="L792" i="1"/>
  <c r="M791" i="1"/>
  <c r="L791" i="1"/>
  <c r="M790" i="1"/>
  <c r="L790" i="1"/>
  <c r="M789" i="1"/>
  <c r="L789" i="1"/>
  <c r="M788" i="1"/>
  <c r="L788" i="1"/>
  <c r="M787" i="1"/>
  <c r="L787" i="1"/>
  <c r="M786" i="1"/>
  <c r="L786" i="1"/>
  <c r="M785" i="1"/>
  <c r="L785" i="1"/>
  <c r="M784" i="1"/>
  <c r="L784" i="1"/>
  <c r="M783" i="1"/>
  <c r="L783" i="1"/>
  <c r="M782" i="1"/>
  <c r="L782" i="1"/>
  <c r="M781" i="1"/>
  <c r="L781" i="1"/>
  <c r="M780" i="1"/>
  <c r="L780" i="1"/>
  <c r="M779" i="1"/>
  <c r="L779" i="1"/>
  <c r="M778" i="1"/>
  <c r="L778" i="1"/>
  <c r="M777" i="1"/>
  <c r="L777" i="1"/>
  <c r="M776" i="1"/>
  <c r="L776" i="1"/>
  <c r="M775" i="1"/>
  <c r="L775" i="1"/>
  <c r="M774" i="1"/>
  <c r="L774" i="1"/>
  <c r="M773" i="1"/>
  <c r="L773" i="1"/>
  <c r="M772" i="1"/>
  <c r="L772" i="1"/>
  <c r="M771" i="1"/>
  <c r="L771" i="1"/>
  <c r="M770" i="1"/>
  <c r="L770" i="1"/>
  <c r="M769" i="1"/>
  <c r="L769" i="1"/>
  <c r="M768" i="1"/>
  <c r="L768" i="1"/>
  <c r="M767" i="1"/>
  <c r="L767" i="1"/>
  <c r="M766" i="1"/>
  <c r="V37" i="6" s="1"/>
  <c r="U37" i="6" s="1"/>
  <c r="L766" i="1"/>
  <c r="M765" i="1"/>
  <c r="L765" i="1"/>
  <c r="M764" i="1"/>
  <c r="L764" i="1"/>
  <c r="M763" i="1"/>
  <c r="L763" i="1"/>
  <c r="M762" i="1"/>
  <c r="L762" i="1"/>
  <c r="M761" i="1"/>
  <c r="L761" i="1"/>
  <c r="M760" i="1"/>
  <c r="V29" i="6" s="1"/>
  <c r="U29" i="6" s="1"/>
  <c r="L760" i="1"/>
  <c r="M759" i="1"/>
  <c r="M48" i="6" s="1"/>
  <c r="L759" i="1"/>
  <c r="M758" i="1"/>
  <c r="L758" i="1"/>
  <c r="M757" i="1"/>
  <c r="L757" i="1"/>
  <c r="M756" i="1"/>
  <c r="L756" i="1"/>
  <c r="M755" i="1"/>
  <c r="L755" i="1"/>
  <c r="M754" i="1"/>
  <c r="L754" i="1"/>
  <c r="M753" i="1"/>
  <c r="L753" i="1"/>
  <c r="M752" i="1"/>
  <c r="L752" i="1"/>
  <c r="M751" i="1"/>
  <c r="L751" i="1"/>
  <c r="M750" i="1"/>
  <c r="L750" i="1"/>
  <c r="M749" i="1"/>
  <c r="L749" i="1"/>
  <c r="M748" i="1"/>
  <c r="L748" i="1"/>
  <c r="M747" i="1"/>
  <c r="L747" i="1"/>
  <c r="M746" i="1"/>
  <c r="L746" i="1"/>
  <c r="M745" i="1"/>
  <c r="V28" i="6" s="1"/>
  <c r="U28" i="6" s="1"/>
  <c r="L745" i="1"/>
  <c r="M744" i="1"/>
  <c r="L744" i="1"/>
  <c r="M743" i="1"/>
  <c r="L743" i="1"/>
  <c r="M742" i="1"/>
  <c r="V66" i="6" s="1"/>
  <c r="U66" i="6" s="1"/>
  <c r="L742" i="1"/>
  <c r="M741" i="1"/>
  <c r="L741" i="1"/>
  <c r="M740" i="1"/>
  <c r="L740" i="1"/>
  <c r="M739" i="1"/>
  <c r="V24" i="6" s="1"/>
  <c r="U24" i="6" s="1"/>
  <c r="L739" i="1"/>
  <c r="M738" i="1"/>
  <c r="L738" i="1"/>
  <c r="M737" i="1"/>
  <c r="L737" i="1"/>
  <c r="M736" i="1"/>
  <c r="L736" i="1"/>
  <c r="M735" i="1"/>
  <c r="K7" i="2" s="1"/>
  <c r="L735" i="1"/>
  <c r="M734" i="1"/>
  <c r="L734" i="1"/>
  <c r="M733" i="1"/>
  <c r="M17" i="2" s="1"/>
  <c r="L733" i="1"/>
  <c r="M732" i="1"/>
  <c r="L732" i="1"/>
  <c r="M731" i="1"/>
  <c r="L731" i="1"/>
  <c r="M730" i="1"/>
  <c r="L730" i="1"/>
  <c r="M729" i="1"/>
  <c r="L729" i="1"/>
  <c r="M728" i="1"/>
  <c r="L728" i="1"/>
  <c r="M727" i="1"/>
  <c r="L727" i="1"/>
  <c r="M726" i="1"/>
  <c r="L726" i="1"/>
  <c r="M725" i="1"/>
  <c r="L725" i="1"/>
  <c r="M724" i="1"/>
  <c r="L724" i="1"/>
  <c r="M723" i="1"/>
  <c r="L723" i="1"/>
  <c r="M722" i="1"/>
  <c r="L722" i="1"/>
  <c r="M721" i="1"/>
  <c r="L721" i="1"/>
  <c r="M720" i="1"/>
  <c r="S19" i="6" s="1"/>
  <c r="R19" i="6" s="1"/>
  <c r="L720" i="1"/>
  <c r="M719" i="1"/>
  <c r="P20" i="6" s="1"/>
  <c r="O20" i="6" s="1"/>
  <c r="L719" i="1"/>
  <c r="M718" i="1"/>
  <c r="L718" i="1"/>
  <c r="M717" i="1"/>
  <c r="L717" i="1"/>
  <c r="M716" i="1"/>
  <c r="L716" i="1"/>
  <c r="M715" i="1"/>
  <c r="L715" i="1"/>
  <c r="M714" i="1"/>
  <c r="L714" i="1"/>
  <c r="M713" i="1"/>
  <c r="L713" i="1"/>
  <c r="M712" i="1"/>
  <c r="L712" i="1"/>
  <c r="M711" i="1"/>
  <c r="L711" i="1"/>
  <c r="M710" i="1"/>
  <c r="V22" i="6" s="1"/>
  <c r="U22" i="6" s="1"/>
  <c r="L710" i="1"/>
  <c r="M709" i="1"/>
  <c r="L709" i="1"/>
  <c r="M708" i="1"/>
  <c r="M21" i="6" s="1"/>
  <c r="L708" i="1"/>
  <c r="M707" i="1"/>
  <c r="L707" i="1"/>
  <c r="M706" i="1"/>
  <c r="L706" i="1"/>
  <c r="M705" i="1"/>
  <c r="L705" i="1"/>
  <c r="M704" i="1"/>
  <c r="L704" i="1"/>
  <c r="M703" i="1"/>
  <c r="L703" i="1"/>
  <c r="M702" i="1"/>
  <c r="L702" i="1"/>
  <c r="M701" i="1"/>
  <c r="L701" i="1"/>
  <c r="M700" i="1"/>
  <c r="L700" i="1"/>
  <c r="M699" i="1"/>
  <c r="L699" i="1"/>
  <c r="M698" i="1"/>
  <c r="L698" i="1"/>
  <c r="M697" i="1"/>
  <c r="L697" i="1"/>
  <c r="M696" i="1"/>
  <c r="L696" i="1"/>
  <c r="M695" i="1"/>
  <c r="L695" i="1"/>
  <c r="M694" i="1"/>
  <c r="L694" i="1"/>
  <c r="M693" i="1"/>
  <c r="L693" i="1"/>
  <c r="M692" i="1"/>
  <c r="L692" i="1"/>
  <c r="M691" i="1"/>
  <c r="L691" i="1"/>
  <c r="M690" i="1"/>
  <c r="L690" i="1"/>
  <c r="M689" i="1"/>
  <c r="L689" i="1"/>
  <c r="M688" i="1"/>
  <c r="L688" i="1"/>
  <c r="M687" i="1"/>
  <c r="L687" i="1"/>
  <c r="M686" i="1"/>
  <c r="L686" i="1"/>
  <c r="M685" i="1"/>
  <c r="L685" i="1"/>
  <c r="M684" i="1"/>
  <c r="L684" i="1"/>
  <c r="M683" i="1"/>
  <c r="L683" i="1"/>
  <c r="M682" i="1"/>
  <c r="L682" i="1"/>
  <c r="M681" i="1"/>
  <c r="L681" i="1"/>
  <c r="M680" i="1"/>
  <c r="L680" i="1"/>
  <c r="M679" i="1"/>
  <c r="L679" i="1"/>
  <c r="M678" i="1"/>
  <c r="L678" i="1"/>
  <c r="M677" i="1"/>
  <c r="L677" i="1"/>
  <c r="M676" i="1"/>
  <c r="L676" i="1"/>
  <c r="M675" i="1"/>
  <c r="L675" i="1"/>
  <c r="M674" i="1"/>
  <c r="L674" i="1"/>
  <c r="M673" i="1"/>
  <c r="L673" i="1"/>
  <c r="M672" i="1"/>
  <c r="L672" i="1"/>
  <c r="M671" i="1"/>
  <c r="L671" i="1"/>
  <c r="M670" i="1"/>
  <c r="L670" i="1"/>
  <c r="M669" i="1"/>
  <c r="L669" i="1"/>
  <c r="M668" i="1"/>
  <c r="L668" i="1"/>
  <c r="M667" i="1"/>
  <c r="L667" i="1"/>
  <c r="M666" i="1"/>
  <c r="L666" i="1"/>
  <c r="M665" i="1"/>
  <c r="L665" i="1"/>
  <c r="M664" i="1"/>
  <c r="L664" i="1"/>
  <c r="M663" i="1"/>
  <c r="L663" i="1"/>
  <c r="M662" i="1"/>
  <c r="L662" i="1"/>
  <c r="M661" i="1"/>
  <c r="L661" i="1"/>
  <c r="M660" i="1"/>
  <c r="L660" i="1"/>
  <c r="M659" i="1"/>
  <c r="L659" i="1"/>
  <c r="M658" i="1"/>
  <c r="L658" i="1"/>
  <c r="M657" i="1"/>
  <c r="L657" i="1"/>
  <c r="M656" i="1"/>
  <c r="L656" i="1"/>
  <c r="M655" i="1"/>
  <c r="L655" i="1"/>
  <c r="M654" i="1"/>
  <c r="L654" i="1"/>
  <c r="M653" i="1"/>
  <c r="L653" i="1"/>
  <c r="M652" i="1"/>
  <c r="L652" i="1"/>
  <c r="M651" i="1"/>
  <c r="L651" i="1"/>
  <c r="M650" i="1"/>
  <c r="L650" i="1"/>
  <c r="M649" i="1"/>
  <c r="L649" i="1"/>
  <c r="M648" i="1"/>
  <c r="L648" i="1"/>
  <c r="M647" i="1"/>
  <c r="L647" i="1"/>
  <c r="M646" i="1"/>
  <c r="L646" i="1"/>
  <c r="M645" i="1"/>
  <c r="L645" i="1"/>
  <c r="M644" i="1"/>
  <c r="L644" i="1"/>
  <c r="M643" i="1"/>
  <c r="L643" i="1"/>
  <c r="M642" i="1"/>
  <c r="L642" i="1"/>
  <c r="M641" i="1"/>
  <c r="L641" i="1"/>
  <c r="M640" i="1"/>
  <c r="L640" i="1"/>
  <c r="M639" i="1"/>
  <c r="L639" i="1"/>
  <c r="M638" i="1"/>
  <c r="L638" i="1"/>
  <c r="M637" i="1"/>
  <c r="L637" i="1"/>
  <c r="M636" i="1"/>
  <c r="L636" i="1"/>
  <c r="M635" i="1"/>
  <c r="L635" i="1"/>
  <c r="M634" i="1"/>
  <c r="L634" i="1"/>
  <c r="M633" i="1"/>
  <c r="L633" i="1"/>
  <c r="M632" i="1"/>
  <c r="L632" i="1"/>
  <c r="M631" i="1"/>
  <c r="L631" i="1"/>
  <c r="M630" i="1"/>
  <c r="L630" i="1"/>
  <c r="M629" i="1"/>
  <c r="L629" i="1"/>
  <c r="M628" i="1"/>
  <c r="L628" i="1"/>
  <c r="M627" i="1"/>
  <c r="L627" i="1"/>
  <c r="M626" i="1"/>
  <c r="L626" i="1"/>
  <c r="M625" i="1"/>
  <c r="L625" i="1"/>
  <c r="M624" i="1"/>
  <c r="L624" i="1"/>
  <c r="M623" i="1"/>
  <c r="L623" i="1"/>
  <c r="M622" i="1"/>
  <c r="L622" i="1"/>
  <c r="M621" i="1"/>
  <c r="L621" i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S85" i="6" s="1"/>
  <c r="R85" i="6" s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S97" i="6" s="1"/>
  <c r="R97" i="6" s="1"/>
  <c r="L585" i="1"/>
  <c r="M584" i="1"/>
  <c r="L584" i="1"/>
  <c r="M583" i="1"/>
  <c r="L583" i="1"/>
  <c r="M582" i="1"/>
  <c r="L582" i="1"/>
  <c r="M581" i="1"/>
  <c r="L581" i="1"/>
  <c r="M580" i="1"/>
  <c r="L580" i="1"/>
  <c r="M579" i="1"/>
  <c r="S116" i="6" s="1"/>
  <c r="R116" i="6" s="1"/>
  <c r="L579" i="1"/>
  <c r="M578" i="1"/>
  <c r="L578" i="1"/>
  <c r="M577" i="1"/>
  <c r="V91" i="6" s="1"/>
  <c r="U91" i="6" s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V115" i="6" s="1"/>
  <c r="U115" i="6" s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V71" i="6" s="1"/>
  <c r="U71" i="6" s="1"/>
  <c r="L548" i="1"/>
  <c r="M547" i="1"/>
  <c r="L547" i="1"/>
  <c r="M546" i="1"/>
  <c r="L546" i="1"/>
  <c r="M545" i="1"/>
  <c r="L545" i="1"/>
  <c r="M544" i="1"/>
  <c r="L544" i="1"/>
  <c r="M543" i="1"/>
  <c r="L543" i="1"/>
  <c r="M542" i="1"/>
  <c r="V76" i="6" s="1"/>
  <c r="U76" i="6" s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V79" i="6" s="1"/>
  <c r="U79" i="6" s="1"/>
  <c r="L535" i="1"/>
  <c r="M534" i="1"/>
  <c r="L534" i="1"/>
  <c r="M533" i="1"/>
  <c r="L533" i="1"/>
  <c r="M532" i="1"/>
  <c r="L532" i="1"/>
  <c r="M531" i="1"/>
  <c r="V95" i="6" s="1"/>
  <c r="U95" i="6" s="1"/>
  <c r="L531" i="1"/>
  <c r="M530" i="1"/>
  <c r="V90" i="6" s="1"/>
  <c r="U90" i="6" s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V82" i="6" s="1"/>
  <c r="U82" i="6" s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S73" i="6" s="1"/>
  <c r="R73" i="6" s="1"/>
  <c r="L507" i="1"/>
  <c r="M506" i="1"/>
  <c r="L506" i="1"/>
  <c r="M505" i="1"/>
  <c r="L505" i="1"/>
  <c r="M504" i="1"/>
  <c r="L504" i="1"/>
  <c r="M503" i="1"/>
  <c r="M102" i="6" s="1"/>
  <c r="L102" i="6" s="1"/>
  <c r="L503" i="1"/>
  <c r="M502" i="1"/>
  <c r="L502" i="1"/>
  <c r="M501" i="1"/>
  <c r="V78" i="6" s="1"/>
  <c r="U78" i="6" s="1"/>
  <c r="L501" i="1"/>
  <c r="M500" i="1"/>
  <c r="V114" i="6" s="1"/>
  <c r="U114" i="6" s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L479" i="1"/>
  <c r="M478" i="1"/>
  <c r="L478" i="1"/>
  <c r="M477" i="1"/>
  <c r="L477" i="1"/>
  <c r="M476" i="1"/>
  <c r="L476" i="1"/>
  <c r="M475" i="1"/>
  <c r="S93" i="6" s="1"/>
  <c r="R93" i="6" s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V83" i="6" s="1"/>
  <c r="U83" i="6" s="1"/>
  <c r="L465" i="1"/>
  <c r="M464" i="1"/>
  <c r="S69" i="6" s="1"/>
  <c r="R69" i="6" s="1"/>
  <c r="L464" i="1"/>
  <c r="M463" i="1"/>
  <c r="V72" i="6" s="1"/>
  <c r="U72" i="6" s="1"/>
  <c r="L463" i="1"/>
  <c r="M462" i="1"/>
  <c r="L462" i="1"/>
  <c r="M461" i="1"/>
  <c r="L461" i="1"/>
  <c r="M460" i="1"/>
  <c r="V74" i="6" s="1"/>
  <c r="U74" i="6" s="1"/>
  <c r="L460" i="1"/>
  <c r="M459" i="1"/>
  <c r="L459" i="1"/>
  <c r="M458" i="1"/>
  <c r="L458" i="1"/>
  <c r="M457" i="1"/>
  <c r="V87" i="6" s="1"/>
  <c r="U87" i="6" s="1"/>
  <c r="L457" i="1"/>
  <c r="M456" i="1"/>
  <c r="L456" i="1"/>
  <c r="M455" i="1"/>
  <c r="L455" i="1"/>
  <c r="M454" i="1"/>
  <c r="L454" i="1"/>
  <c r="M453" i="1"/>
  <c r="L453" i="1"/>
  <c r="M452" i="1"/>
  <c r="S110" i="6" s="1"/>
  <c r="R110" i="6" s="1"/>
  <c r="L452" i="1"/>
  <c r="M451" i="1"/>
  <c r="V108" i="6" s="1"/>
  <c r="U108" i="6" s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V105" i="6" s="1"/>
  <c r="U105" i="6" s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V98" i="6" s="1"/>
  <c r="U98" i="6" s="1"/>
  <c r="L435" i="1"/>
  <c r="M434" i="1"/>
  <c r="L434" i="1"/>
  <c r="M433" i="1"/>
  <c r="L433" i="1"/>
  <c r="M432" i="1"/>
  <c r="L432" i="1"/>
  <c r="M431" i="1"/>
  <c r="L431" i="1"/>
  <c r="M430" i="1"/>
  <c r="V67" i="6" s="1"/>
  <c r="U67" i="6" s="1"/>
  <c r="L430" i="1"/>
  <c r="M429" i="1"/>
  <c r="L429" i="1"/>
  <c r="M428" i="1"/>
  <c r="S89" i="6" s="1"/>
  <c r="R89" i="6" s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V84" i="6" s="1"/>
  <c r="U84" i="6" s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V68" i="6" s="1"/>
  <c r="U68" i="6" s="1"/>
  <c r="L400" i="1"/>
  <c r="M399" i="1"/>
  <c r="L399" i="1"/>
  <c r="M398" i="1"/>
  <c r="L398" i="1"/>
  <c r="M397" i="1"/>
  <c r="V88" i="6" s="1"/>
  <c r="U88" i="6" s="1"/>
  <c r="L397" i="1"/>
  <c r="M396" i="1"/>
  <c r="L396" i="1"/>
  <c r="M395" i="1"/>
  <c r="L395" i="1"/>
  <c r="M394" i="1"/>
  <c r="L394" i="1"/>
  <c r="M393" i="1"/>
  <c r="M19" i="2" s="1"/>
  <c r="L393" i="1"/>
  <c r="M392" i="1"/>
  <c r="L392" i="1"/>
  <c r="M391" i="1"/>
  <c r="L391" i="1"/>
  <c r="M390" i="1"/>
  <c r="L390" i="1"/>
  <c r="M389" i="1"/>
  <c r="G48" i="2" s="1"/>
  <c r="L389" i="1"/>
  <c r="M388" i="1"/>
  <c r="L388" i="1"/>
  <c r="M387" i="1"/>
  <c r="L387" i="1"/>
  <c r="M386" i="1"/>
  <c r="L386" i="1"/>
  <c r="M385" i="1"/>
  <c r="L385" i="1"/>
  <c r="M384" i="1"/>
  <c r="V12" i="6" s="1"/>
  <c r="U12" i="6" s="1"/>
  <c r="L384" i="1"/>
  <c r="M383" i="1"/>
  <c r="L383" i="1"/>
  <c r="M382" i="1"/>
  <c r="L382" i="1"/>
  <c r="M381" i="1"/>
  <c r="L381" i="1"/>
  <c r="M380" i="1"/>
  <c r="L380" i="1"/>
  <c r="M379" i="1"/>
  <c r="M8" i="2" s="1"/>
  <c r="L379" i="1"/>
  <c r="M378" i="1"/>
  <c r="L378" i="1"/>
  <c r="M377" i="1"/>
  <c r="G45" i="2" s="1"/>
  <c r="L377" i="1"/>
  <c r="M376" i="1"/>
  <c r="L376" i="1"/>
  <c r="M375" i="1"/>
  <c r="L375" i="1"/>
  <c r="M374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M40" i="2" s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P25" i="6" s="1"/>
  <c r="O25" i="6" s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G26" i="2" s="1"/>
  <c r="L321" i="1"/>
  <c r="M320" i="1"/>
  <c r="L320" i="1"/>
  <c r="M319" i="1"/>
  <c r="L319" i="1"/>
  <c r="M318" i="1"/>
  <c r="L318" i="1"/>
  <c r="M317" i="1"/>
  <c r="K14" i="2" s="1"/>
  <c r="L317" i="1"/>
  <c r="M316" i="1"/>
  <c r="K27" i="2" s="1"/>
  <c r="L316" i="1"/>
  <c r="M315" i="1"/>
  <c r="L315" i="1"/>
  <c r="M314" i="1"/>
  <c r="L314" i="1"/>
  <c r="M313" i="1"/>
  <c r="L313" i="1"/>
  <c r="M312" i="1"/>
  <c r="M32" i="2" s="1"/>
  <c r="L312" i="1"/>
  <c r="M311" i="1"/>
  <c r="L311" i="1"/>
  <c r="M310" i="1"/>
  <c r="L310" i="1"/>
  <c r="M309" i="1"/>
  <c r="L309" i="1"/>
  <c r="M308" i="1"/>
  <c r="L308" i="1"/>
  <c r="M307" i="1"/>
  <c r="G29" i="2" s="1"/>
  <c r="L307" i="1"/>
  <c r="M306" i="1"/>
  <c r="L306" i="1"/>
  <c r="M305" i="1"/>
  <c r="L305" i="1"/>
  <c r="M304" i="1"/>
  <c r="L304" i="1"/>
  <c r="M303" i="1"/>
  <c r="P8" i="6" s="1"/>
  <c r="O8" i="6" s="1"/>
  <c r="L303" i="1"/>
  <c r="M302" i="1"/>
  <c r="L302" i="1"/>
  <c r="M301" i="1"/>
  <c r="L301" i="1"/>
  <c r="M300" i="1"/>
  <c r="L300" i="1"/>
  <c r="M299" i="1"/>
  <c r="I37" i="2" s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V32" i="6" s="1"/>
  <c r="U32" i="6" s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M31" i="6" s="1"/>
  <c r="L180" i="1"/>
  <c r="M179" i="1"/>
  <c r="L179" i="1"/>
  <c r="M178" i="1"/>
  <c r="V27" i="6" s="1"/>
  <c r="U27" i="6" s="1"/>
  <c r="L178" i="1"/>
  <c r="M177" i="1"/>
  <c r="L177" i="1"/>
  <c r="M176" i="1"/>
  <c r="V61" i="6" s="1"/>
  <c r="U61" i="6" s="1"/>
  <c r="L176" i="1"/>
  <c r="M175" i="1"/>
  <c r="L175" i="1"/>
  <c r="M174" i="1"/>
  <c r="L174" i="1"/>
  <c r="M173" i="1"/>
  <c r="S65" i="6" s="1"/>
  <c r="R65" i="6" s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V23" i="6" s="1"/>
  <c r="U23" i="6" s="1"/>
  <c r="L165" i="1"/>
  <c r="M164" i="1"/>
  <c r="L164" i="1"/>
  <c r="M163" i="1"/>
  <c r="L163" i="1"/>
  <c r="M162" i="1"/>
  <c r="L162" i="1"/>
  <c r="M161" i="1"/>
  <c r="S34" i="6" s="1"/>
  <c r="R34" i="6" s="1"/>
  <c r="L161" i="1"/>
  <c r="M160" i="1"/>
  <c r="L160" i="1"/>
  <c r="M159" i="1"/>
  <c r="L159" i="1"/>
  <c r="M158" i="1"/>
  <c r="L158" i="1"/>
  <c r="M157" i="1"/>
  <c r="V33" i="6" s="1"/>
  <c r="U33" i="6" s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M36" i="6" s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K9" i="2" s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P35" i="6" s="1"/>
  <c r="O35" i="6" s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V5" i="6" s="1"/>
  <c r="U5" i="6" s="1"/>
  <c r="L8" i="1"/>
  <c r="M7" i="1"/>
  <c r="L7" i="1"/>
  <c r="M6" i="1"/>
  <c r="L6" i="1"/>
  <c r="M5" i="1"/>
  <c r="L5" i="1"/>
  <c r="M4" i="1"/>
  <c r="L4" i="1"/>
  <c r="M3" i="1"/>
  <c r="L3" i="1"/>
  <c r="M2" i="1"/>
  <c r="M20" i="2" s="1"/>
  <c r="L2" i="1"/>
  <c r="D11" i="2" l="1"/>
  <c r="D28" i="2"/>
  <c r="D6" i="2"/>
  <c r="J946" i="6"/>
  <c r="J553" i="6"/>
  <c r="I553" i="6" s="1"/>
  <c r="C43" i="2"/>
  <c r="J351" i="6"/>
  <c r="I351" i="6" s="1"/>
  <c r="F20" i="2"/>
  <c r="F16" i="2" s="1"/>
  <c r="H3" i="6"/>
  <c r="C20" i="2" s="1"/>
  <c r="K981" i="6"/>
  <c r="H981" i="6" s="1"/>
  <c r="J425" i="6"/>
  <c r="I425" i="6" s="1"/>
  <c r="J605" i="6"/>
  <c r="I605" i="6" s="1"/>
  <c r="J414" i="6"/>
  <c r="I414" i="6" s="1"/>
  <c r="J455" i="6"/>
  <c r="I455" i="6" s="1"/>
  <c r="J469" i="6"/>
  <c r="J573" i="6"/>
  <c r="J912" i="6"/>
  <c r="J522" i="6"/>
  <c r="I522" i="6" s="1"/>
  <c r="I469" i="6"/>
  <c r="J567" i="6"/>
  <c r="I567" i="6" s="1"/>
  <c r="C38" i="2"/>
  <c r="E38" i="2" s="1"/>
  <c r="J21" i="2"/>
  <c r="D36" i="2"/>
  <c r="E36" i="2" s="1"/>
  <c r="J285" i="6"/>
  <c r="I285" i="6" s="1"/>
  <c r="J355" i="6"/>
  <c r="J859" i="6"/>
  <c r="D31" i="2"/>
  <c r="J293" i="6"/>
  <c r="I293" i="6" s="1"/>
  <c r="J577" i="6"/>
  <c r="I577" i="6" s="1"/>
  <c r="J602" i="6"/>
  <c r="L855" i="6"/>
  <c r="C29" i="2"/>
  <c r="J486" i="6"/>
  <c r="I486" i="6" s="1"/>
  <c r="J888" i="6"/>
  <c r="I888" i="6" s="1"/>
  <c r="D25" i="2"/>
  <c r="E25" i="2" s="1"/>
  <c r="J647" i="6"/>
  <c r="I647" i="6" s="1"/>
  <c r="J753" i="6"/>
  <c r="I753" i="6" s="1"/>
  <c r="C15" i="2"/>
  <c r="J526" i="6"/>
  <c r="I526" i="6" s="1"/>
  <c r="J746" i="6"/>
  <c r="I746" i="6" s="1"/>
  <c r="J199" i="6"/>
  <c r="I199" i="6" s="1"/>
  <c r="J373" i="6"/>
  <c r="I373" i="6" s="1"/>
  <c r="J515" i="6"/>
  <c r="I515" i="6" s="1"/>
  <c r="J700" i="6"/>
  <c r="I700" i="6" s="1"/>
  <c r="J735" i="6"/>
  <c r="I735" i="6" s="1"/>
  <c r="J703" i="6"/>
  <c r="I703" i="6" s="1"/>
  <c r="J865" i="6"/>
  <c r="I865" i="6" s="1"/>
  <c r="D41" i="2"/>
  <c r="J131" i="6"/>
  <c r="I131" i="6" s="1"/>
  <c r="J352" i="6"/>
  <c r="I352" i="6" s="1"/>
  <c r="D13" i="2"/>
  <c r="J734" i="6"/>
  <c r="I734" i="6" s="1"/>
  <c r="J776" i="6"/>
  <c r="D12" i="2"/>
  <c r="E12" i="2" s="1"/>
  <c r="D22" i="2"/>
  <c r="D35" i="2"/>
  <c r="E35" i="2" s="1"/>
  <c r="D46" i="2"/>
  <c r="E46" i="2" s="1"/>
  <c r="C18" i="2"/>
  <c r="L351" i="6"/>
  <c r="J398" i="6"/>
  <c r="I398" i="6" s="1"/>
  <c r="J427" i="6"/>
  <c r="I427" i="6" s="1"/>
  <c r="J448" i="6"/>
  <c r="I448" i="6" s="1"/>
  <c r="J516" i="6"/>
  <c r="J691" i="6"/>
  <c r="I691" i="6" s="1"/>
  <c r="L750" i="6"/>
  <c r="J882" i="6"/>
  <c r="I882" i="6" s="1"/>
  <c r="J907" i="6"/>
  <c r="I907" i="6" s="1"/>
  <c r="J901" i="6"/>
  <c r="I901" i="6" s="1"/>
  <c r="J555" i="6"/>
  <c r="J631" i="6"/>
  <c r="I631" i="6" s="1"/>
  <c r="J840" i="6"/>
  <c r="I840" i="6" s="1"/>
  <c r="J936" i="6"/>
  <c r="J447" i="6"/>
  <c r="I447" i="6" s="1"/>
  <c r="J644" i="6"/>
  <c r="I644" i="6" s="1"/>
  <c r="J659" i="6"/>
  <c r="I659" i="6" s="1"/>
  <c r="J680" i="6"/>
  <c r="I680" i="6" s="1"/>
  <c r="J945" i="6"/>
  <c r="L131" i="6"/>
  <c r="C9" i="2"/>
  <c r="O293" i="6"/>
  <c r="J599" i="6"/>
  <c r="I599" i="6" s="1"/>
  <c r="J770" i="6"/>
  <c r="I770" i="6" s="1"/>
  <c r="I912" i="6"/>
  <c r="C10" i="2"/>
  <c r="E10" i="2" s="1"/>
  <c r="J309" i="6"/>
  <c r="I309" i="6" s="1"/>
  <c r="D38" i="2"/>
  <c r="D43" i="2"/>
  <c r="E43" i="2" s="1"/>
  <c r="C8" i="2"/>
  <c r="J394" i="6"/>
  <c r="I394" i="6" s="1"/>
  <c r="J452" i="6"/>
  <c r="I452" i="6" s="1"/>
  <c r="J545" i="6"/>
  <c r="I545" i="6" s="1"/>
  <c r="J608" i="6"/>
  <c r="I608" i="6" s="1"/>
  <c r="J635" i="6"/>
  <c r="I635" i="6" s="1"/>
  <c r="J726" i="6"/>
  <c r="I726" i="6" s="1"/>
  <c r="J758" i="6"/>
  <c r="I758" i="6" s="1"/>
  <c r="J892" i="6"/>
  <c r="I892" i="6" s="1"/>
  <c r="J4" i="6"/>
  <c r="I4" i="6" s="1"/>
  <c r="D10" i="2"/>
  <c r="D24" i="2"/>
  <c r="E24" i="2" s="1"/>
  <c r="D49" i="2"/>
  <c r="E49" i="2" s="1"/>
  <c r="J215" i="6"/>
  <c r="I215" i="6" s="1"/>
  <c r="J369" i="6"/>
  <c r="I369" i="6" s="1"/>
  <c r="L452" i="6"/>
  <c r="O512" i="6"/>
  <c r="J581" i="6"/>
  <c r="I581" i="6" s="1"/>
  <c r="R599" i="6"/>
  <c r="J731" i="6"/>
  <c r="I731" i="6" s="1"/>
  <c r="E28" i="2"/>
  <c r="C44" i="2"/>
  <c r="U519" i="6"/>
  <c r="J634" i="6"/>
  <c r="I634" i="6" s="1"/>
  <c r="J730" i="6"/>
  <c r="I730" i="6" s="1"/>
  <c r="J757" i="6"/>
  <c r="I757" i="6" s="1"/>
  <c r="L773" i="6"/>
  <c r="J791" i="6"/>
  <c r="I791" i="6" s="1"/>
  <c r="J795" i="6"/>
  <c r="I795" i="6" s="1"/>
  <c r="J898" i="6"/>
  <c r="I898" i="6" s="1"/>
  <c r="C33" i="2"/>
  <c r="J393" i="6"/>
  <c r="I393" i="6" s="1"/>
  <c r="J593" i="6"/>
  <c r="I593" i="6" s="1"/>
  <c r="D42" i="2"/>
  <c r="E42" i="2" s="1"/>
  <c r="C7" i="2"/>
  <c r="C19" i="2"/>
  <c r="C30" i="2"/>
  <c r="J345" i="6"/>
  <c r="I345" i="6" s="1"/>
  <c r="J408" i="6"/>
  <c r="I408" i="6" s="1"/>
  <c r="J496" i="6"/>
  <c r="I496" i="6" s="1"/>
  <c r="J565" i="6"/>
  <c r="I565" i="6" s="1"/>
  <c r="J570" i="6"/>
  <c r="I570" i="6" s="1"/>
  <c r="J651" i="6"/>
  <c r="I651" i="6" s="1"/>
  <c r="J661" i="6"/>
  <c r="I661" i="6" s="1"/>
  <c r="J838" i="6"/>
  <c r="I838" i="6" s="1"/>
  <c r="L908" i="6"/>
  <c r="D34" i="2"/>
  <c r="E34" i="2" s="1"/>
  <c r="C37" i="2"/>
  <c r="C26" i="2"/>
  <c r="J431" i="6"/>
  <c r="I431" i="6" s="1"/>
  <c r="J437" i="6"/>
  <c r="I437" i="6" s="1"/>
  <c r="J438" i="6"/>
  <c r="J482" i="6"/>
  <c r="I482" i="6" s="1"/>
  <c r="J533" i="6"/>
  <c r="I533" i="6" s="1"/>
  <c r="J547" i="6"/>
  <c r="I547" i="6" s="1"/>
  <c r="J583" i="6"/>
  <c r="I583" i="6" s="1"/>
  <c r="J743" i="6"/>
  <c r="I743" i="6" s="1"/>
  <c r="J756" i="6"/>
  <c r="I756" i="6" s="1"/>
  <c r="J794" i="6"/>
  <c r="I794" i="6" s="1"/>
  <c r="J868" i="6"/>
  <c r="I868" i="6" s="1"/>
  <c r="J878" i="6"/>
  <c r="I878" i="6" s="1"/>
  <c r="J895" i="6"/>
  <c r="I895" i="6" s="1"/>
  <c r="U309" i="6"/>
  <c r="J314" i="6"/>
  <c r="L429" i="6"/>
  <c r="J460" i="6"/>
  <c r="I460" i="6" s="1"/>
  <c r="J484" i="6"/>
  <c r="I484" i="6" s="1"/>
  <c r="J542" i="6"/>
  <c r="I542" i="6" s="1"/>
  <c r="J566" i="6"/>
  <c r="I566" i="6" s="1"/>
  <c r="J638" i="6"/>
  <c r="J736" i="6"/>
  <c r="I736" i="6" s="1"/>
  <c r="J831" i="6"/>
  <c r="I831" i="6" s="1"/>
  <c r="U827" i="6"/>
  <c r="O684" i="6"/>
  <c r="J687" i="6"/>
  <c r="I687" i="6" s="1"/>
  <c r="J906" i="6"/>
  <c r="I906" i="6" s="1"/>
  <c r="L902" i="6"/>
  <c r="J4" i="2"/>
  <c r="J230" i="6"/>
  <c r="I230" i="6" s="1"/>
  <c r="J295" i="6"/>
  <c r="I295" i="6" s="1"/>
  <c r="L397" i="6"/>
  <c r="J461" i="6"/>
  <c r="I461" i="6" s="1"/>
  <c r="J489" i="6"/>
  <c r="I489" i="6" s="1"/>
  <c r="J517" i="6"/>
  <c r="I517" i="6" s="1"/>
  <c r="J531" i="6"/>
  <c r="I531" i="6" s="1"/>
  <c r="L574" i="6"/>
  <c r="J576" i="6"/>
  <c r="I576" i="6" s="1"/>
  <c r="L634" i="6"/>
  <c r="J637" i="6"/>
  <c r="I637" i="6" s="1"/>
  <c r="L731" i="6"/>
  <c r="L732" i="6"/>
  <c r="J737" i="6"/>
  <c r="I737" i="6" s="1"/>
  <c r="U734" i="6"/>
  <c r="J767" i="6"/>
  <c r="I767" i="6" s="1"/>
  <c r="J778" i="6"/>
  <c r="I778" i="6" s="1"/>
  <c r="L775" i="6"/>
  <c r="L929" i="6"/>
  <c r="J933" i="6"/>
  <c r="I933" i="6" s="1"/>
  <c r="J132" i="6"/>
  <c r="I132" i="6" s="1"/>
  <c r="J161" i="6"/>
  <c r="I161" i="6" s="1"/>
  <c r="J267" i="6"/>
  <c r="I267" i="6" s="1"/>
  <c r="J299" i="6"/>
  <c r="I299" i="6" s="1"/>
  <c r="J313" i="6"/>
  <c r="I313" i="6" s="1"/>
  <c r="J334" i="6"/>
  <c r="I334" i="6" s="1"/>
  <c r="J410" i="6"/>
  <c r="I410" i="6" s="1"/>
  <c r="J428" i="6"/>
  <c r="I428" i="6" s="1"/>
  <c r="O436" i="6"/>
  <c r="J464" i="6"/>
  <c r="I464" i="6" s="1"/>
  <c r="J468" i="6"/>
  <c r="J487" i="6"/>
  <c r="I487" i="6" s="1"/>
  <c r="J490" i="6"/>
  <c r="I490" i="6" s="1"/>
  <c r="L520" i="6"/>
  <c r="J523" i="6"/>
  <c r="I523" i="6" s="1"/>
  <c r="J530" i="6"/>
  <c r="I530" i="6" s="1"/>
  <c r="I573" i="6"/>
  <c r="R578" i="6"/>
  <c r="J598" i="6"/>
  <c r="I598" i="6" s="1"/>
  <c r="J611" i="6"/>
  <c r="I611" i="6" s="1"/>
  <c r="R648" i="6"/>
  <c r="J653" i="6"/>
  <c r="I653" i="6" s="1"/>
  <c r="O683" i="6"/>
  <c r="J686" i="6"/>
  <c r="I686" i="6" s="1"/>
  <c r="L21" i="2"/>
  <c r="J241" i="6"/>
  <c r="I241" i="6" s="1"/>
  <c r="J344" i="6"/>
  <c r="I344" i="6" s="1"/>
  <c r="L444" i="6"/>
  <c r="J582" i="6"/>
  <c r="J604" i="6"/>
  <c r="I604" i="6" s="1"/>
  <c r="J701" i="6"/>
  <c r="I701" i="6" s="1"/>
  <c r="J739" i="6"/>
  <c r="I739" i="6" s="1"/>
  <c r="L755" i="6"/>
  <c r="J829" i="6"/>
  <c r="I829" i="6" s="1"/>
  <c r="O825" i="6"/>
  <c r="J855" i="6"/>
  <c r="I855" i="6" s="1"/>
  <c r="O851" i="6"/>
  <c r="L4" i="2"/>
  <c r="C5" i="2"/>
  <c r="J178" i="6"/>
  <c r="I178" i="6" s="1"/>
  <c r="J210" i="6"/>
  <c r="I210" i="6" s="1"/>
  <c r="J363" i="6"/>
  <c r="I363" i="6" s="1"/>
  <c r="L409" i="6"/>
  <c r="J424" i="6"/>
  <c r="I424" i="6" s="1"/>
  <c r="J444" i="6"/>
  <c r="I444" i="6" s="1"/>
  <c r="O638" i="6"/>
  <c r="J641" i="6"/>
  <c r="I641" i="6" s="1"/>
  <c r="R658" i="6"/>
  <c r="J707" i="6"/>
  <c r="I707" i="6" s="1"/>
  <c r="J713" i="6"/>
  <c r="I713" i="6" s="1"/>
  <c r="H4" i="2"/>
  <c r="J104" i="6"/>
  <c r="I104" i="6" s="1"/>
  <c r="J265" i="6"/>
  <c r="I265" i="6" s="1"/>
  <c r="J305" i="6"/>
  <c r="I305" i="6" s="1"/>
  <c r="J308" i="6"/>
  <c r="I308" i="6" s="1"/>
  <c r="J336" i="6"/>
  <c r="I336" i="6" s="1"/>
  <c r="J376" i="6"/>
  <c r="I376" i="6" s="1"/>
  <c r="J392" i="6"/>
  <c r="I392" i="6" s="1"/>
  <c r="J423" i="6"/>
  <c r="I423" i="6" s="1"/>
  <c r="L441" i="6"/>
  <c r="J467" i="6"/>
  <c r="I467" i="6" s="1"/>
  <c r="J554" i="6"/>
  <c r="L567" i="6"/>
  <c r="J587" i="6"/>
  <c r="I587" i="6" s="1"/>
  <c r="J609" i="6"/>
  <c r="I609" i="6" s="1"/>
  <c r="L635" i="6"/>
  <c r="J689" i="6"/>
  <c r="I689" i="6" s="1"/>
  <c r="J705" i="6"/>
  <c r="I705" i="6" s="1"/>
  <c r="J712" i="6"/>
  <c r="I712" i="6" s="1"/>
  <c r="J727" i="6"/>
  <c r="I727" i="6" s="1"/>
  <c r="U740" i="6"/>
  <c r="J761" i="6"/>
  <c r="I761" i="6" s="1"/>
  <c r="O758" i="6"/>
  <c r="I776" i="6"/>
  <c r="J883" i="6"/>
  <c r="I883" i="6" s="1"/>
  <c r="H16" i="2"/>
  <c r="J126" i="6"/>
  <c r="I126" i="6" s="1"/>
  <c r="J195" i="6"/>
  <c r="I195" i="6" s="1"/>
  <c r="J198" i="6"/>
  <c r="I198" i="6" s="1"/>
  <c r="J251" i="6"/>
  <c r="I251" i="6" s="1"/>
  <c r="J258" i="6"/>
  <c r="I258" i="6" s="1"/>
  <c r="J263" i="6"/>
  <c r="I263" i="6" s="1"/>
  <c r="J310" i="6"/>
  <c r="I310" i="6" s="1"/>
  <c r="J311" i="6"/>
  <c r="I311" i="6" s="1"/>
  <c r="J329" i="6"/>
  <c r="I329" i="6" s="1"/>
  <c r="J339" i="6"/>
  <c r="I339" i="6" s="1"/>
  <c r="L372" i="6"/>
  <c r="J457" i="6"/>
  <c r="I457" i="6" s="1"/>
  <c r="J492" i="6"/>
  <c r="I492" i="6" s="1"/>
  <c r="J493" i="6"/>
  <c r="I493" i="6" s="1"/>
  <c r="J512" i="6"/>
  <c r="I512" i="6" s="1"/>
  <c r="J521" i="6"/>
  <c r="I521" i="6" s="1"/>
  <c r="J645" i="6"/>
  <c r="I645" i="6" s="1"/>
  <c r="J656" i="6"/>
  <c r="I656" i="6" s="1"/>
  <c r="J675" i="6"/>
  <c r="I675" i="6" s="1"/>
  <c r="J704" i="6"/>
  <c r="I704" i="6" s="1"/>
  <c r="J721" i="6"/>
  <c r="I721" i="6" s="1"/>
  <c r="J722" i="6"/>
  <c r="I722" i="6" s="1"/>
  <c r="L727" i="6"/>
  <c r="J879" i="6"/>
  <c r="I879" i="6" s="1"/>
  <c r="J904" i="6"/>
  <c r="I904" i="6" s="1"/>
  <c r="O900" i="6"/>
  <c r="H21" i="2"/>
  <c r="H50" i="2" s="1"/>
  <c r="J197" i="6"/>
  <c r="I197" i="6" s="1"/>
  <c r="J204" i="6"/>
  <c r="I204" i="6" s="1"/>
  <c r="J328" i="6"/>
  <c r="I328" i="6" s="1"/>
  <c r="J338" i="6"/>
  <c r="I338" i="6" s="1"/>
  <c r="J466" i="6"/>
  <c r="I466" i="6" s="1"/>
  <c r="J475" i="6"/>
  <c r="I475" i="6" s="1"/>
  <c r="J669" i="6"/>
  <c r="I669" i="6" s="1"/>
  <c r="J674" i="6"/>
  <c r="I674" i="6" s="1"/>
  <c r="J723" i="6"/>
  <c r="I723" i="6" s="1"/>
  <c r="U720" i="6"/>
  <c r="R914" i="6"/>
  <c r="J918" i="6"/>
  <c r="I918" i="6" s="1"/>
  <c r="L16" i="2"/>
  <c r="J441" i="6"/>
  <c r="I441" i="6" s="1"/>
  <c r="J449" i="6"/>
  <c r="I449" i="6" s="1"/>
  <c r="L483" i="6"/>
  <c r="J563" i="6"/>
  <c r="I563" i="6" s="1"/>
  <c r="J564" i="6"/>
  <c r="I564" i="6" s="1"/>
  <c r="J595" i="6"/>
  <c r="I595" i="6" s="1"/>
  <c r="J710" i="6"/>
  <c r="I710" i="6" s="1"/>
  <c r="J771" i="6"/>
  <c r="I771" i="6" s="1"/>
  <c r="L768" i="6"/>
  <c r="R885" i="6"/>
  <c r="J889" i="6"/>
  <c r="I889" i="6" s="1"/>
  <c r="J153" i="6"/>
  <c r="I153" i="6" s="1"/>
  <c r="J222" i="6"/>
  <c r="I222" i="6" s="1"/>
  <c r="J224" i="6"/>
  <c r="I224" i="6" s="1"/>
  <c r="J236" i="6"/>
  <c r="I236" i="6" s="1"/>
  <c r="J242" i="6"/>
  <c r="I242" i="6" s="1"/>
  <c r="J257" i="6"/>
  <c r="I257" i="6" s="1"/>
  <c r="J297" i="6"/>
  <c r="I297" i="6" s="1"/>
  <c r="L354" i="6"/>
  <c r="J360" i="6"/>
  <c r="J391" i="6"/>
  <c r="I391" i="6" s="1"/>
  <c r="J450" i="6"/>
  <c r="I450" i="6" s="1"/>
  <c r="J456" i="6"/>
  <c r="I456" i="6" s="1"/>
  <c r="J474" i="6"/>
  <c r="I474" i="6" s="1"/>
  <c r="J476" i="6"/>
  <c r="I476" i="6" s="1"/>
  <c r="J483" i="6"/>
  <c r="I483" i="6" s="1"/>
  <c r="J502" i="6"/>
  <c r="J534" i="6"/>
  <c r="I534" i="6" s="1"/>
  <c r="L531" i="6"/>
  <c r="J539" i="6"/>
  <c r="I539" i="6" s="1"/>
  <c r="O564" i="6"/>
  <c r="L678" i="6"/>
  <c r="J681" i="6"/>
  <c r="I681" i="6" s="1"/>
  <c r="J698" i="6"/>
  <c r="I698" i="6" s="1"/>
  <c r="J749" i="6"/>
  <c r="I749" i="6" s="1"/>
  <c r="R746" i="6"/>
  <c r="J842" i="6"/>
  <c r="I842" i="6" s="1"/>
  <c r="R838" i="6"/>
  <c r="J11" i="6"/>
  <c r="I11" i="6" s="1"/>
  <c r="J16" i="2"/>
  <c r="J119" i="6"/>
  <c r="I119" i="6" s="1"/>
  <c r="J150" i="6"/>
  <c r="I150" i="6" s="1"/>
  <c r="J189" i="6"/>
  <c r="I189" i="6" s="1"/>
  <c r="J247" i="6"/>
  <c r="I247" i="6" s="1"/>
  <c r="J255" i="6"/>
  <c r="I255" i="6" s="1"/>
  <c r="J315" i="6"/>
  <c r="I315" i="6" s="1"/>
  <c r="J318" i="6"/>
  <c r="I318" i="6" s="1"/>
  <c r="J341" i="6"/>
  <c r="I341" i="6" s="1"/>
  <c r="J407" i="6"/>
  <c r="I407" i="6" s="1"/>
  <c r="J462" i="6"/>
  <c r="I462" i="6" s="1"/>
  <c r="J478" i="6"/>
  <c r="I478" i="6" s="1"/>
  <c r="J481" i="6"/>
  <c r="I481" i="6" s="1"/>
  <c r="L486" i="6"/>
  <c r="J501" i="6"/>
  <c r="I501" i="6" s="1"/>
  <c r="J561" i="6"/>
  <c r="I561" i="6" s="1"/>
  <c r="L558" i="6"/>
  <c r="J578" i="6"/>
  <c r="I578" i="6" s="1"/>
  <c r="J617" i="6"/>
  <c r="I617" i="6" s="1"/>
  <c r="L719" i="6"/>
  <c r="J748" i="6"/>
  <c r="I748" i="6" s="1"/>
  <c r="L745" i="6"/>
  <c r="O776" i="6"/>
  <c r="J779" i="6"/>
  <c r="I779" i="6" s="1"/>
  <c r="R798" i="6"/>
  <c r="J802" i="6"/>
  <c r="I802" i="6" s="1"/>
  <c r="O868" i="6"/>
  <c r="J872" i="6"/>
  <c r="I872" i="6" s="1"/>
  <c r="J801" i="6"/>
  <c r="I801" i="6" s="1"/>
  <c r="J841" i="6"/>
  <c r="I841" i="6" s="1"/>
  <c r="U884" i="6"/>
  <c r="J893" i="6"/>
  <c r="I893" i="6" s="1"/>
  <c r="O897" i="6"/>
  <c r="J899" i="6"/>
  <c r="I899" i="6" s="1"/>
  <c r="J914" i="6"/>
  <c r="I914" i="6" s="1"/>
  <c r="J787" i="6"/>
  <c r="I787" i="6" s="1"/>
  <c r="J822" i="6"/>
  <c r="I822" i="6" s="1"/>
  <c r="J824" i="6"/>
  <c r="I824" i="6" s="1"/>
  <c r="J837" i="6"/>
  <c r="I837" i="6" s="1"/>
  <c r="I936" i="6"/>
  <c r="I946" i="6"/>
  <c r="J777" i="6"/>
  <c r="J836" i="6"/>
  <c r="I836" i="6" s="1"/>
  <c r="J839" i="6"/>
  <c r="I839" i="6" s="1"/>
  <c r="J846" i="6"/>
  <c r="I846" i="6" s="1"/>
  <c r="I859" i="6"/>
  <c r="J903" i="6"/>
  <c r="I903" i="6" s="1"/>
  <c r="I945" i="6"/>
  <c r="J632" i="6"/>
  <c r="J685" i="6"/>
  <c r="I685" i="6" s="1"/>
  <c r="J688" i="6"/>
  <c r="I688" i="6" s="1"/>
  <c r="J755" i="6"/>
  <c r="I755" i="6" s="1"/>
  <c r="J781" i="6"/>
  <c r="I781" i="6" s="1"/>
  <c r="L784" i="6"/>
  <c r="J806" i="6"/>
  <c r="I806" i="6" s="1"/>
  <c r="J891" i="6"/>
  <c r="I891" i="6" s="1"/>
  <c r="J911" i="6"/>
  <c r="I911" i="6" s="1"/>
  <c r="J615" i="6"/>
  <c r="I615" i="6" s="1"/>
  <c r="J711" i="6"/>
  <c r="I711" i="6" s="1"/>
  <c r="J747" i="6"/>
  <c r="J759" i="6"/>
  <c r="I759" i="6" s="1"/>
  <c r="J765" i="6"/>
  <c r="I765" i="6" s="1"/>
  <c r="J796" i="6"/>
  <c r="I796" i="6" s="1"/>
  <c r="J877" i="6"/>
  <c r="I877" i="6" s="1"/>
  <c r="L878" i="6"/>
  <c r="J897" i="6"/>
  <c r="I897" i="6" s="1"/>
  <c r="J910" i="6"/>
  <c r="I910" i="6" s="1"/>
  <c r="J596" i="6"/>
  <c r="J623" i="6"/>
  <c r="I623" i="6" s="1"/>
  <c r="L629" i="6"/>
  <c r="J640" i="6"/>
  <c r="I640" i="6" s="1"/>
  <c r="J671" i="6"/>
  <c r="I671" i="6" s="1"/>
  <c r="J708" i="6"/>
  <c r="I708" i="6" s="1"/>
  <c r="J716" i="6"/>
  <c r="I716" i="6" s="1"/>
  <c r="J797" i="6"/>
  <c r="I797" i="6" s="1"/>
  <c r="O834" i="6"/>
  <c r="L879" i="6"/>
  <c r="J881" i="6"/>
  <c r="I881" i="6" s="1"/>
  <c r="J909" i="6"/>
  <c r="I909" i="6" s="1"/>
  <c r="J913" i="6"/>
  <c r="I913" i="6" s="1"/>
  <c r="J922" i="6"/>
  <c r="I922" i="6" s="1"/>
  <c r="J805" i="6"/>
  <c r="I805" i="6" s="1"/>
  <c r="J887" i="6"/>
  <c r="I887" i="6" s="1"/>
  <c r="J762" i="6"/>
  <c r="I762" i="6" s="1"/>
  <c r="J809" i="6"/>
  <c r="I809" i="6" s="1"/>
  <c r="J843" i="6"/>
  <c r="I843" i="6" s="1"/>
  <c r="J876" i="6"/>
  <c r="I876" i="6" s="1"/>
  <c r="J908" i="6"/>
  <c r="I908" i="6" s="1"/>
  <c r="J917" i="6"/>
  <c r="I917" i="6" s="1"/>
  <c r="J919" i="6"/>
  <c r="I919" i="6" s="1"/>
  <c r="J921" i="6"/>
  <c r="I921" i="6" s="1"/>
  <c r="J629" i="6"/>
  <c r="I629" i="6" s="1"/>
  <c r="J668" i="6"/>
  <c r="I668" i="6" s="1"/>
  <c r="J702" i="6"/>
  <c r="I702" i="6" s="1"/>
  <c r="J738" i="6"/>
  <c r="I738" i="6" s="1"/>
  <c r="J830" i="6"/>
  <c r="J864" i="6"/>
  <c r="I864" i="6" s="1"/>
  <c r="L891" i="6"/>
  <c r="J916" i="6"/>
  <c r="I916" i="6" s="1"/>
  <c r="J934" i="6"/>
  <c r="I934" i="6" s="1"/>
  <c r="J520" i="6"/>
  <c r="I520" i="6" s="1"/>
  <c r="J546" i="6"/>
  <c r="I546" i="6" s="1"/>
  <c r="J575" i="6"/>
  <c r="I575" i="6" s="1"/>
  <c r="J579" i="6"/>
  <c r="I579" i="6" s="1"/>
  <c r="J613" i="6"/>
  <c r="I613" i="6" s="1"/>
  <c r="J667" i="6"/>
  <c r="I667" i="6" s="1"/>
  <c r="J679" i="6"/>
  <c r="I679" i="6" s="1"/>
  <c r="O793" i="6"/>
  <c r="L802" i="6"/>
  <c r="J803" i="6"/>
  <c r="I803" i="6" s="1"/>
  <c r="J832" i="6"/>
  <c r="J856" i="6"/>
  <c r="I856" i="6" s="1"/>
  <c r="J890" i="6"/>
  <c r="I890" i="6" s="1"/>
  <c r="J894" i="6"/>
  <c r="I894" i="6" s="1"/>
  <c r="L903" i="6"/>
  <c r="J915" i="6"/>
  <c r="I915" i="6" s="1"/>
  <c r="J885" i="6"/>
  <c r="I885" i="6" s="1"/>
  <c r="R888" i="6"/>
  <c r="J896" i="6"/>
  <c r="I896" i="6" s="1"/>
  <c r="J900" i="6"/>
  <c r="I900" i="6" s="1"/>
  <c r="J905" i="6"/>
  <c r="I905" i="6" s="1"/>
  <c r="R917" i="6"/>
  <c r="J920" i="6"/>
  <c r="I920" i="6" s="1"/>
  <c r="J924" i="6"/>
  <c r="I924" i="6" s="1"/>
  <c r="E41" i="2"/>
  <c r="E13" i="2"/>
  <c r="F21" i="2"/>
  <c r="F50" i="2" s="1"/>
  <c r="E11" i="2"/>
  <c r="F4" i="2"/>
  <c r="E6" i="2"/>
  <c r="E31" i="2"/>
  <c r="L26" i="6"/>
  <c r="L48" i="6"/>
  <c r="E22" i="2"/>
  <c r="L36" i="6"/>
  <c r="L31" i="6"/>
  <c r="L21" i="6"/>
  <c r="M943" i="6"/>
  <c r="V943" i="6"/>
  <c r="U939" i="6" s="1"/>
  <c r="S943" i="6"/>
  <c r="R939" i="6" s="1"/>
  <c r="P943" i="6"/>
  <c r="O939" i="6" s="1"/>
  <c r="V179" i="6"/>
  <c r="U179" i="6" s="1"/>
  <c r="S179" i="6"/>
  <c r="R179" i="6" s="1"/>
  <c r="P179" i="6"/>
  <c r="O179" i="6" s="1"/>
  <c r="M179" i="6"/>
  <c r="P406" i="6"/>
  <c r="O405" i="6" s="1"/>
  <c r="M406" i="6"/>
  <c r="V406" i="6"/>
  <c r="U405" i="6" s="1"/>
  <c r="S406" i="6"/>
  <c r="R405" i="6" s="1"/>
  <c r="P974" i="6"/>
  <c r="O974" i="6" s="1"/>
  <c r="M974" i="6"/>
  <c r="V974" i="6"/>
  <c r="U974" i="6" s="1"/>
  <c r="S974" i="6"/>
  <c r="R974" i="6" s="1"/>
  <c r="P262" i="6"/>
  <c r="O262" i="6" s="1"/>
  <c r="M262" i="6"/>
  <c r="V262" i="6"/>
  <c r="U262" i="6" s="1"/>
  <c r="S262" i="6"/>
  <c r="R262" i="6" s="1"/>
  <c r="V812" i="6"/>
  <c r="U808" i="6" s="1"/>
  <c r="S812" i="6"/>
  <c r="R808" i="6" s="1"/>
  <c r="M812" i="6"/>
  <c r="P812" i="6"/>
  <c r="O808" i="6" s="1"/>
  <c r="V152" i="6"/>
  <c r="U152" i="6" s="1"/>
  <c r="S152" i="6"/>
  <c r="R152" i="6" s="1"/>
  <c r="P152" i="6"/>
  <c r="O152" i="6" s="1"/>
  <c r="M152" i="6"/>
  <c r="V223" i="6"/>
  <c r="U223" i="6" s="1"/>
  <c r="S223" i="6"/>
  <c r="R223" i="6" s="1"/>
  <c r="P223" i="6"/>
  <c r="O223" i="6" s="1"/>
  <c r="M223" i="6"/>
  <c r="P188" i="6"/>
  <c r="O188" i="6" s="1"/>
  <c r="M188" i="6"/>
  <c r="V188" i="6"/>
  <c r="U188" i="6" s="1"/>
  <c r="S188" i="6"/>
  <c r="R188" i="6" s="1"/>
  <c r="V180" i="6"/>
  <c r="U180" i="6" s="1"/>
  <c r="S180" i="6"/>
  <c r="R180" i="6" s="1"/>
  <c r="P180" i="6"/>
  <c r="O180" i="6" s="1"/>
  <c r="M180" i="6"/>
  <c r="V145" i="6"/>
  <c r="U145" i="6" s="1"/>
  <c r="S145" i="6"/>
  <c r="R145" i="6" s="1"/>
  <c r="P145" i="6"/>
  <c r="O145" i="6" s="1"/>
  <c r="M145" i="6"/>
  <c r="V166" i="6"/>
  <c r="U166" i="6" s="1"/>
  <c r="S166" i="6"/>
  <c r="R166" i="6" s="1"/>
  <c r="P166" i="6"/>
  <c r="O166" i="6" s="1"/>
  <c r="M166" i="6"/>
  <c r="V106" i="6"/>
  <c r="U106" i="6" s="1"/>
  <c r="S106" i="6"/>
  <c r="R106" i="6" s="1"/>
  <c r="V190" i="6"/>
  <c r="U190" i="6" s="1"/>
  <c r="S190" i="6"/>
  <c r="R190" i="6" s="1"/>
  <c r="P190" i="6"/>
  <c r="O190" i="6" s="1"/>
  <c r="M190" i="6"/>
  <c r="V537" i="6"/>
  <c r="U534" i="6" s="1"/>
  <c r="S537" i="6"/>
  <c r="R534" i="6" s="1"/>
  <c r="P537" i="6"/>
  <c r="O534" i="6" s="1"/>
  <c r="M537" i="6"/>
  <c r="M549" i="6"/>
  <c r="V549" i="6"/>
  <c r="U546" i="6" s="1"/>
  <c r="S549" i="6"/>
  <c r="R546" i="6" s="1"/>
  <c r="P549" i="6"/>
  <c r="O546" i="6" s="1"/>
  <c r="V325" i="6"/>
  <c r="U325" i="6" s="1"/>
  <c r="S325" i="6"/>
  <c r="R325" i="6" s="1"/>
  <c r="P325" i="6"/>
  <c r="O325" i="6" s="1"/>
  <c r="M325" i="6"/>
  <c r="V302" i="6"/>
  <c r="U302" i="6" s="1"/>
  <c r="S302" i="6"/>
  <c r="R302" i="6" s="1"/>
  <c r="P302" i="6"/>
  <c r="O302" i="6" s="1"/>
  <c r="M302" i="6"/>
  <c r="V459" i="6"/>
  <c r="U456" i="6" s="1"/>
  <c r="S459" i="6"/>
  <c r="R456" i="6" s="1"/>
  <c r="P459" i="6"/>
  <c r="O456" i="6" s="1"/>
  <c r="M459" i="6"/>
  <c r="M963" i="6"/>
  <c r="V963" i="6"/>
  <c r="U963" i="6" s="1"/>
  <c r="S963" i="6"/>
  <c r="R963" i="6" s="1"/>
  <c r="P963" i="6"/>
  <c r="O963" i="6" s="1"/>
  <c r="S233" i="6"/>
  <c r="R233" i="6" s="1"/>
  <c r="P233" i="6"/>
  <c r="O233" i="6" s="1"/>
  <c r="M233" i="6"/>
  <c r="V233" i="6"/>
  <c r="U233" i="6" s="1"/>
  <c r="V231" i="6"/>
  <c r="U231" i="6" s="1"/>
  <c r="S231" i="6"/>
  <c r="R231" i="6" s="1"/>
  <c r="P231" i="6"/>
  <c r="O231" i="6" s="1"/>
  <c r="M231" i="6"/>
  <c r="M957" i="6"/>
  <c r="V957" i="6"/>
  <c r="U957" i="6" s="1"/>
  <c r="S957" i="6"/>
  <c r="R957" i="6" s="1"/>
  <c r="P957" i="6"/>
  <c r="O957" i="6" s="1"/>
  <c r="M5" i="2"/>
  <c r="K26" i="2"/>
  <c r="I48" i="2"/>
  <c r="P9" i="6"/>
  <c r="O9" i="6" s="1"/>
  <c r="M10" i="6"/>
  <c r="S14" i="6"/>
  <c r="R14" i="6" s="1"/>
  <c r="V19" i="6"/>
  <c r="U19" i="6" s="1"/>
  <c r="S20" i="6"/>
  <c r="R20" i="6" s="1"/>
  <c r="P21" i="6"/>
  <c r="O21" i="6" s="1"/>
  <c r="M22" i="6"/>
  <c r="S25" i="6"/>
  <c r="R25" i="6" s="1"/>
  <c r="P26" i="6"/>
  <c r="O26" i="6" s="1"/>
  <c r="P31" i="6"/>
  <c r="O31" i="6" s="1"/>
  <c r="M32" i="6"/>
  <c r="V34" i="6"/>
  <c r="U34" i="6" s="1"/>
  <c r="S35" i="6"/>
  <c r="R35" i="6" s="1"/>
  <c r="J63" i="6"/>
  <c r="I63" i="6" s="1"/>
  <c r="V65" i="6"/>
  <c r="U65" i="6" s="1"/>
  <c r="M68" i="6"/>
  <c r="V69" i="6"/>
  <c r="U69" i="6" s="1"/>
  <c r="M72" i="6"/>
  <c r="V73" i="6"/>
  <c r="U73" i="6" s="1"/>
  <c r="M76" i="6"/>
  <c r="M84" i="6"/>
  <c r="V85" i="6"/>
  <c r="U85" i="6" s="1"/>
  <c r="M88" i="6"/>
  <c r="V89" i="6"/>
  <c r="U89" i="6" s="1"/>
  <c r="V93" i="6"/>
  <c r="U93" i="6" s="1"/>
  <c r="V97" i="6"/>
  <c r="U97" i="6" s="1"/>
  <c r="P124" i="6"/>
  <c r="O124" i="6" s="1"/>
  <c r="M124" i="6"/>
  <c r="V124" i="6"/>
  <c r="U124" i="6" s="1"/>
  <c r="S124" i="6"/>
  <c r="R124" i="6" s="1"/>
  <c r="S203" i="6"/>
  <c r="R203" i="6" s="1"/>
  <c r="P203" i="6"/>
  <c r="O203" i="6" s="1"/>
  <c r="M203" i="6"/>
  <c r="V203" i="6"/>
  <c r="U203" i="6" s="1"/>
  <c r="S789" i="6"/>
  <c r="R786" i="6" s="1"/>
  <c r="V789" i="6"/>
  <c r="U786" i="6" s="1"/>
  <c r="P789" i="6"/>
  <c r="O786" i="6" s="1"/>
  <c r="M789" i="6"/>
  <c r="V264" i="6"/>
  <c r="U264" i="6" s="1"/>
  <c r="S264" i="6"/>
  <c r="R264" i="6" s="1"/>
  <c r="P264" i="6"/>
  <c r="O264" i="6" s="1"/>
  <c r="M264" i="6"/>
  <c r="V140" i="6"/>
  <c r="U140" i="6" s="1"/>
  <c r="S140" i="6"/>
  <c r="R140" i="6" s="1"/>
  <c r="P140" i="6"/>
  <c r="O140" i="6" s="1"/>
  <c r="M140" i="6"/>
  <c r="S219" i="6"/>
  <c r="R219" i="6" s="1"/>
  <c r="P219" i="6"/>
  <c r="O219" i="6" s="1"/>
  <c r="M219" i="6"/>
  <c r="V219" i="6"/>
  <c r="U219" i="6" s="1"/>
  <c r="P130" i="6"/>
  <c r="O130" i="6" s="1"/>
  <c r="M130" i="6"/>
  <c r="V130" i="6"/>
  <c r="U130" i="6" s="1"/>
  <c r="S130" i="6"/>
  <c r="R130" i="6" s="1"/>
  <c r="V216" i="6"/>
  <c r="U216" i="6" s="1"/>
  <c r="S216" i="6"/>
  <c r="R216" i="6" s="1"/>
  <c r="P216" i="6"/>
  <c r="O216" i="6" s="1"/>
  <c r="M216" i="6"/>
  <c r="M125" i="6"/>
  <c r="V125" i="6"/>
  <c r="U125" i="6" s="1"/>
  <c r="S125" i="6"/>
  <c r="R125" i="6" s="1"/>
  <c r="P125" i="6"/>
  <c r="O125" i="6" s="1"/>
  <c r="S148" i="6"/>
  <c r="R148" i="6" s="1"/>
  <c r="P148" i="6"/>
  <c r="O148" i="6" s="1"/>
  <c r="M148" i="6"/>
  <c r="V148" i="6"/>
  <c r="U148" i="6" s="1"/>
  <c r="M113" i="6"/>
  <c r="V113" i="6"/>
  <c r="U113" i="6" s="1"/>
  <c r="S113" i="6"/>
  <c r="R113" i="6" s="1"/>
  <c r="P113" i="6"/>
  <c r="O113" i="6" s="1"/>
  <c r="M951" i="6"/>
  <c r="V951" i="6"/>
  <c r="U951" i="6" s="1"/>
  <c r="S951" i="6"/>
  <c r="R951" i="6" s="1"/>
  <c r="P951" i="6"/>
  <c r="O951" i="6" s="1"/>
  <c r="P968" i="6"/>
  <c r="O968" i="6" s="1"/>
  <c r="M968" i="6"/>
  <c r="V968" i="6"/>
  <c r="U968" i="6" s="1"/>
  <c r="S968" i="6"/>
  <c r="R968" i="6" s="1"/>
  <c r="P434" i="6"/>
  <c r="O432" i="6" s="1"/>
  <c r="V434" i="6"/>
  <c r="U432" i="6" s="1"/>
  <c r="S434" i="6"/>
  <c r="R432" i="6" s="1"/>
  <c r="M434" i="6"/>
  <c r="M53" i="6"/>
  <c r="V53" i="6"/>
  <c r="U53" i="6" s="1"/>
  <c r="S53" i="6"/>
  <c r="R53" i="6" s="1"/>
  <c r="V191" i="6"/>
  <c r="U191" i="6" s="1"/>
  <c r="S191" i="6"/>
  <c r="R191" i="6" s="1"/>
  <c r="P191" i="6"/>
  <c r="O191" i="6" s="1"/>
  <c r="M191" i="6"/>
  <c r="V286" i="6"/>
  <c r="U286" i="6" s="1"/>
  <c r="S286" i="6"/>
  <c r="R286" i="6" s="1"/>
  <c r="P286" i="6"/>
  <c r="O286" i="6" s="1"/>
  <c r="M286" i="6"/>
  <c r="S388" i="6"/>
  <c r="R387" i="6" s="1"/>
  <c r="P388" i="6"/>
  <c r="O387" i="6" s="1"/>
  <c r="M388" i="6"/>
  <c r="V388" i="6"/>
  <c r="U387" i="6" s="1"/>
  <c r="V268" i="6"/>
  <c r="U268" i="6" s="1"/>
  <c r="S268" i="6"/>
  <c r="R268" i="6" s="1"/>
  <c r="P268" i="6"/>
  <c r="O268" i="6" s="1"/>
  <c r="M268" i="6"/>
  <c r="S271" i="6"/>
  <c r="R271" i="6" s="1"/>
  <c r="V271" i="6"/>
  <c r="U271" i="6" s="1"/>
  <c r="P271" i="6"/>
  <c r="O271" i="6" s="1"/>
  <c r="M271" i="6"/>
  <c r="S239" i="6"/>
  <c r="R239" i="6" s="1"/>
  <c r="P239" i="6"/>
  <c r="O239" i="6" s="1"/>
  <c r="M239" i="6"/>
  <c r="V239" i="6"/>
  <c r="U239" i="6" s="1"/>
  <c r="M15" i="2"/>
  <c r="I23" i="2"/>
  <c r="M27" i="2"/>
  <c r="G33" i="2"/>
  <c r="K37" i="2"/>
  <c r="M39" i="2"/>
  <c r="I47" i="2"/>
  <c r="S8" i="6"/>
  <c r="R8" i="6" s="1"/>
  <c r="M27" i="6"/>
  <c r="V30" i="6"/>
  <c r="U30" i="6" s="1"/>
  <c r="P36" i="6"/>
  <c r="O36" i="6" s="1"/>
  <c r="M37" i="6"/>
  <c r="P68" i="6"/>
  <c r="O68" i="6" s="1"/>
  <c r="P72" i="6"/>
  <c r="O72" i="6" s="1"/>
  <c r="P76" i="6"/>
  <c r="O76" i="6" s="1"/>
  <c r="P84" i="6"/>
  <c r="O84" i="6" s="1"/>
  <c r="P88" i="6"/>
  <c r="O88" i="6" s="1"/>
  <c r="L103" i="6"/>
  <c r="J103" i="6"/>
  <c r="I103" i="6" s="1"/>
  <c r="M785" i="6"/>
  <c r="V785" i="6"/>
  <c r="U782" i="6" s="1"/>
  <c r="S785" i="6"/>
  <c r="R782" i="6" s="1"/>
  <c r="P785" i="6"/>
  <c r="O782" i="6" s="1"/>
  <c r="V170" i="6"/>
  <c r="U170" i="6" s="1"/>
  <c r="S170" i="6"/>
  <c r="R170" i="6" s="1"/>
  <c r="P170" i="6"/>
  <c r="O170" i="6" s="1"/>
  <c r="M170" i="6"/>
  <c r="V361" i="6"/>
  <c r="U360" i="6" s="1"/>
  <c r="S361" i="6"/>
  <c r="R360" i="6" s="1"/>
  <c r="P361" i="6"/>
  <c r="O360" i="6" s="1"/>
  <c r="M361" i="6"/>
  <c r="V819" i="6"/>
  <c r="U815" i="6" s="1"/>
  <c r="S819" i="6"/>
  <c r="R815" i="6" s="1"/>
  <c r="P819" i="6"/>
  <c r="O815" i="6" s="1"/>
  <c r="M819" i="6"/>
  <c r="M235" i="6"/>
  <c r="V235" i="6"/>
  <c r="U235" i="6" s="1"/>
  <c r="S235" i="6"/>
  <c r="R235" i="6" s="1"/>
  <c r="P235" i="6"/>
  <c r="O235" i="6" s="1"/>
  <c r="V212" i="6"/>
  <c r="U212" i="6" s="1"/>
  <c r="S212" i="6"/>
  <c r="R212" i="6" s="1"/>
  <c r="P212" i="6"/>
  <c r="O212" i="6" s="1"/>
  <c r="M212" i="6"/>
  <c r="P115" i="6"/>
  <c r="O115" i="6" s="1"/>
  <c r="M115" i="6"/>
  <c r="S187" i="6"/>
  <c r="R187" i="6" s="1"/>
  <c r="P187" i="6"/>
  <c r="O187" i="6" s="1"/>
  <c r="M187" i="6"/>
  <c r="V187" i="6"/>
  <c r="U187" i="6" s="1"/>
  <c r="S529" i="6"/>
  <c r="R526" i="6" s="1"/>
  <c r="P529" i="6"/>
  <c r="O526" i="6" s="1"/>
  <c r="M529" i="6"/>
  <c r="V529" i="6"/>
  <c r="U526" i="6" s="1"/>
  <c r="V340" i="6"/>
  <c r="U339" i="6" s="1"/>
  <c r="S340" i="6"/>
  <c r="R339" i="6" s="1"/>
  <c r="P340" i="6"/>
  <c r="O339" i="6" s="1"/>
  <c r="M340" i="6"/>
  <c r="V451" i="6"/>
  <c r="U448" i="6" s="1"/>
  <c r="S451" i="6"/>
  <c r="R448" i="6" s="1"/>
  <c r="P451" i="6"/>
  <c r="O448" i="6" s="1"/>
  <c r="M451" i="6"/>
  <c r="P535" i="6"/>
  <c r="O532" i="6" s="1"/>
  <c r="M535" i="6"/>
  <c r="S535" i="6"/>
  <c r="R532" i="6" s="1"/>
  <c r="V535" i="6"/>
  <c r="U532" i="6" s="1"/>
  <c r="P290" i="6"/>
  <c r="O290" i="6" s="1"/>
  <c r="M290" i="6"/>
  <c r="V290" i="6"/>
  <c r="U290" i="6" s="1"/>
  <c r="S290" i="6"/>
  <c r="R290" i="6" s="1"/>
  <c r="V54" i="6"/>
  <c r="U54" i="6" s="1"/>
  <c r="S54" i="6"/>
  <c r="R54" i="6" s="1"/>
  <c r="P54" i="6"/>
  <c r="O54" i="6" s="1"/>
  <c r="S380" i="6"/>
  <c r="R379" i="6" s="1"/>
  <c r="P380" i="6"/>
  <c r="O379" i="6" s="1"/>
  <c r="M380" i="6"/>
  <c r="V380" i="6"/>
  <c r="U379" i="6" s="1"/>
  <c r="M45" i="6"/>
  <c r="V972" i="6"/>
  <c r="U972" i="6" s="1"/>
  <c r="S972" i="6"/>
  <c r="R972" i="6" s="1"/>
  <c r="M972" i="6"/>
  <c r="P972" i="6"/>
  <c r="O972" i="6" s="1"/>
  <c r="G9" i="2"/>
  <c r="M14" i="2"/>
  <c r="G20" i="2"/>
  <c r="M26" i="2"/>
  <c r="G32" i="2"/>
  <c r="G44" i="2"/>
  <c r="K48" i="2"/>
  <c r="O4" i="6"/>
  <c r="S9" i="6"/>
  <c r="R9" i="6" s="1"/>
  <c r="P10" i="6"/>
  <c r="O10" i="6" s="1"/>
  <c r="V14" i="6"/>
  <c r="U14" i="6" s="1"/>
  <c r="M17" i="6"/>
  <c r="J18" i="6"/>
  <c r="I18" i="6" s="1"/>
  <c r="V20" i="6"/>
  <c r="U20" i="6" s="1"/>
  <c r="S21" i="6"/>
  <c r="R21" i="6" s="1"/>
  <c r="P22" i="6"/>
  <c r="O22" i="6" s="1"/>
  <c r="V25" i="6"/>
  <c r="U25" i="6" s="1"/>
  <c r="S26" i="6"/>
  <c r="R26" i="6" s="1"/>
  <c r="S31" i="6"/>
  <c r="R31" i="6" s="1"/>
  <c r="P32" i="6"/>
  <c r="O32" i="6" s="1"/>
  <c r="V35" i="6"/>
  <c r="U35" i="6" s="1"/>
  <c r="M54" i="6"/>
  <c r="S68" i="6"/>
  <c r="R68" i="6" s="1"/>
  <c r="S72" i="6"/>
  <c r="R72" i="6" s="1"/>
  <c r="J75" i="6"/>
  <c r="I75" i="6" s="1"/>
  <c r="S76" i="6"/>
  <c r="R76" i="6" s="1"/>
  <c r="S84" i="6"/>
  <c r="R84" i="6" s="1"/>
  <c r="S88" i="6"/>
  <c r="R88" i="6" s="1"/>
  <c r="J99" i="6"/>
  <c r="I99" i="6" s="1"/>
  <c r="P110" i="6"/>
  <c r="O110" i="6" s="1"/>
  <c r="V396" i="6"/>
  <c r="U395" i="6" s="1"/>
  <c r="P396" i="6"/>
  <c r="O395" i="6" s="1"/>
  <c r="M396" i="6"/>
  <c r="S396" i="6"/>
  <c r="R395" i="6" s="1"/>
  <c r="M783" i="6"/>
  <c r="S783" i="6"/>
  <c r="R780" i="6" s="1"/>
  <c r="P783" i="6"/>
  <c r="O780" i="6" s="1"/>
  <c r="V783" i="6"/>
  <c r="U780" i="6" s="1"/>
  <c r="V813" i="6"/>
  <c r="U809" i="6" s="1"/>
  <c r="S813" i="6"/>
  <c r="R809" i="6" s="1"/>
  <c r="P813" i="6"/>
  <c r="O809" i="6" s="1"/>
  <c r="M813" i="6"/>
  <c r="V184" i="6"/>
  <c r="U184" i="6" s="1"/>
  <c r="S184" i="6"/>
  <c r="R184" i="6" s="1"/>
  <c r="P184" i="6"/>
  <c r="O184" i="6" s="1"/>
  <c r="M184" i="6"/>
  <c r="V206" i="6"/>
  <c r="U206" i="6" s="1"/>
  <c r="S206" i="6"/>
  <c r="R206" i="6" s="1"/>
  <c r="P206" i="6"/>
  <c r="O206" i="6" s="1"/>
  <c r="M206" i="6"/>
  <c r="V164" i="6"/>
  <c r="U164" i="6" s="1"/>
  <c r="S164" i="6"/>
  <c r="R164" i="6" s="1"/>
  <c r="P164" i="6"/>
  <c r="O164" i="6" s="1"/>
  <c r="M164" i="6"/>
  <c r="P182" i="6"/>
  <c r="O182" i="6" s="1"/>
  <c r="M182" i="6"/>
  <c r="V182" i="6"/>
  <c r="U182" i="6" s="1"/>
  <c r="S182" i="6"/>
  <c r="R182" i="6" s="1"/>
  <c r="M107" i="6"/>
  <c r="S107" i="6"/>
  <c r="R107" i="6" s="1"/>
  <c r="P107" i="6"/>
  <c r="O107" i="6" s="1"/>
  <c r="S443" i="6"/>
  <c r="R440" i="6" s="1"/>
  <c r="P443" i="6"/>
  <c r="O440" i="6" s="1"/>
  <c r="M443" i="6"/>
  <c r="V443" i="6"/>
  <c r="U440" i="6" s="1"/>
  <c r="S958" i="6"/>
  <c r="R958" i="6" s="1"/>
  <c r="M958" i="6"/>
  <c r="P958" i="6"/>
  <c r="O958" i="6" s="1"/>
  <c r="V958" i="6"/>
  <c r="U958" i="6" s="1"/>
  <c r="M551" i="6"/>
  <c r="V551" i="6"/>
  <c r="U548" i="6" s="1"/>
  <c r="S551" i="6"/>
  <c r="R548" i="6" s="1"/>
  <c r="P551" i="6"/>
  <c r="O548" i="6" s="1"/>
  <c r="V421" i="6"/>
  <c r="U419" i="6" s="1"/>
  <c r="P421" i="6"/>
  <c r="O419" i="6" s="1"/>
  <c r="M421" i="6"/>
  <c r="S421" i="6"/>
  <c r="R419" i="6" s="1"/>
  <c r="V544" i="6"/>
  <c r="U541" i="6" s="1"/>
  <c r="S544" i="6"/>
  <c r="R541" i="6" s="1"/>
  <c r="M544" i="6"/>
  <c r="P544" i="6"/>
  <c r="O541" i="6" s="1"/>
  <c r="M509" i="6"/>
  <c r="V509" i="6"/>
  <c r="U506" i="6" s="1"/>
  <c r="S509" i="6"/>
  <c r="R506" i="6" s="1"/>
  <c r="P509" i="6"/>
  <c r="O506" i="6" s="1"/>
  <c r="P950" i="6"/>
  <c r="O950" i="6" s="1"/>
  <c r="M950" i="6"/>
  <c r="V950" i="6"/>
  <c r="U950" i="6" s="1"/>
  <c r="S950" i="6"/>
  <c r="R950" i="6" s="1"/>
  <c r="V42" i="6"/>
  <c r="U42" i="6" s="1"/>
  <c r="S42" i="6"/>
  <c r="R42" i="6" s="1"/>
  <c r="P42" i="6"/>
  <c r="O42" i="6" s="1"/>
  <c r="S289" i="6"/>
  <c r="R289" i="6" s="1"/>
  <c r="P289" i="6"/>
  <c r="O289" i="6" s="1"/>
  <c r="M289" i="6"/>
  <c r="V289" i="6"/>
  <c r="U289" i="6" s="1"/>
  <c r="V46" i="6"/>
  <c r="U46" i="6" s="1"/>
  <c r="P278" i="6"/>
  <c r="O278" i="6" s="1"/>
  <c r="V278" i="6"/>
  <c r="U278" i="6" s="1"/>
  <c r="S278" i="6"/>
  <c r="R278" i="6" s="1"/>
  <c r="M278" i="6"/>
  <c r="V288" i="6"/>
  <c r="U288" i="6" s="1"/>
  <c r="S288" i="6"/>
  <c r="R288" i="6" s="1"/>
  <c r="P288" i="6"/>
  <c r="O288" i="6" s="1"/>
  <c r="M288" i="6"/>
  <c r="V237" i="6"/>
  <c r="U237" i="6" s="1"/>
  <c r="S237" i="6"/>
  <c r="R237" i="6" s="1"/>
  <c r="P237" i="6"/>
  <c r="O237" i="6" s="1"/>
  <c r="M237" i="6"/>
  <c r="S961" i="6"/>
  <c r="R961" i="6" s="1"/>
  <c r="P961" i="6"/>
  <c r="O961" i="6" s="1"/>
  <c r="V961" i="6"/>
  <c r="U961" i="6" s="1"/>
  <c r="M961" i="6"/>
  <c r="V227" i="6"/>
  <c r="U227" i="6" s="1"/>
  <c r="S227" i="6"/>
  <c r="R227" i="6" s="1"/>
  <c r="P227" i="6"/>
  <c r="O227" i="6" s="1"/>
  <c r="M227" i="6"/>
  <c r="G8" i="2"/>
  <c r="G19" i="2"/>
  <c r="I33" i="2"/>
  <c r="M37" i="2"/>
  <c r="I45" i="2"/>
  <c r="K47" i="2"/>
  <c r="M5" i="6"/>
  <c r="J6" i="6"/>
  <c r="I6" i="6" s="1"/>
  <c r="V8" i="6"/>
  <c r="U8" i="6" s="1"/>
  <c r="M23" i="6"/>
  <c r="P27" i="6"/>
  <c r="O27" i="6" s="1"/>
  <c r="M28" i="6"/>
  <c r="M33" i="6"/>
  <c r="S36" i="6"/>
  <c r="R36" i="6" s="1"/>
  <c r="P37" i="6"/>
  <c r="O37" i="6" s="1"/>
  <c r="M38" i="6"/>
  <c r="M46" i="6"/>
  <c r="M67" i="6"/>
  <c r="M71" i="6"/>
  <c r="M79" i="6"/>
  <c r="M83" i="6"/>
  <c r="M87" i="6"/>
  <c r="M91" i="6"/>
  <c r="M95" i="6"/>
  <c r="M106" i="6"/>
  <c r="M379" i="6"/>
  <c r="V379" i="6"/>
  <c r="U378" i="6" s="1"/>
  <c r="S379" i="6"/>
  <c r="R378" i="6" s="1"/>
  <c r="P379" i="6"/>
  <c r="O378" i="6" s="1"/>
  <c r="V232" i="6"/>
  <c r="U232" i="6" s="1"/>
  <c r="S232" i="6"/>
  <c r="R232" i="6" s="1"/>
  <c r="P232" i="6"/>
  <c r="O232" i="6" s="1"/>
  <c r="M232" i="6"/>
  <c r="G7" i="2"/>
  <c r="I9" i="2"/>
  <c r="G18" i="2"/>
  <c r="I20" i="2"/>
  <c r="G30" i="2"/>
  <c r="I32" i="2"/>
  <c r="I44" i="2"/>
  <c r="M48" i="2"/>
  <c r="V9" i="6"/>
  <c r="U9" i="6" s="1"/>
  <c r="S10" i="6"/>
  <c r="R10" i="6" s="1"/>
  <c r="M12" i="6"/>
  <c r="J13" i="6"/>
  <c r="I13" i="6" s="1"/>
  <c r="P17" i="6"/>
  <c r="O17" i="6" s="1"/>
  <c r="V21" i="6"/>
  <c r="U21" i="6" s="1"/>
  <c r="S22" i="6"/>
  <c r="R22" i="6" s="1"/>
  <c r="V26" i="6"/>
  <c r="U26" i="6" s="1"/>
  <c r="V31" i="6"/>
  <c r="U31" i="6" s="1"/>
  <c r="S32" i="6"/>
  <c r="R32" i="6" s="1"/>
  <c r="M40" i="6"/>
  <c r="P45" i="6"/>
  <c r="O45" i="6" s="1"/>
  <c r="M62" i="6"/>
  <c r="P67" i="6"/>
  <c r="O67" i="6" s="1"/>
  <c r="P71" i="6"/>
  <c r="O71" i="6" s="1"/>
  <c r="P79" i="6"/>
  <c r="O79" i="6" s="1"/>
  <c r="P83" i="6"/>
  <c r="O83" i="6" s="1"/>
  <c r="P87" i="6"/>
  <c r="O87" i="6" s="1"/>
  <c r="P91" i="6"/>
  <c r="O91" i="6" s="1"/>
  <c r="P95" i="6"/>
  <c r="O95" i="6" s="1"/>
  <c r="P106" i="6"/>
  <c r="O106" i="6" s="1"/>
  <c r="J112" i="6"/>
  <c r="I112" i="6" s="1"/>
  <c r="S160" i="6"/>
  <c r="R160" i="6" s="1"/>
  <c r="P160" i="6"/>
  <c r="O160" i="6" s="1"/>
  <c r="M160" i="6"/>
  <c r="V160" i="6"/>
  <c r="U160" i="6" s="1"/>
  <c r="M221" i="6"/>
  <c r="V221" i="6"/>
  <c r="U221" i="6" s="1"/>
  <c r="S221" i="6"/>
  <c r="R221" i="6" s="1"/>
  <c r="P221" i="6"/>
  <c r="O221" i="6" s="1"/>
  <c r="V156" i="6"/>
  <c r="U156" i="6" s="1"/>
  <c r="S156" i="6"/>
  <c r="R156" i="6" s="1"/>
  <c r="P156" i="6"/>
  <c r="O156" i="6" s="1"/>
  <c r="M156" i="6"/>
  <c r="V128" i="6"/>
  <c r="U128" i="6" s="1"/>
  <c r="S128" i="6"/>
  <c r="R128" i="6" s="1"/>
  <c r="P128" i="6"/>
  <c r="O128" i="6" s="1"/>
  <c r="M128" i="6"/>
  <c r="S123" i="6"/>
  <c r="R123" i="6" s="1"/>
  <c r="P123" i="6"/>
  <c r="O123" i="6" s="1"/>
  <c r="M123" i="6"/>
  <c r="V123" i="6"/>
  <c r="U123" i="6" s="1"/>
  <c r="P118" i="6"/>
  <c r="O118" i="6" s="1"/>
  <c r="M118" i="6"/>
  <c r="V118" i="6"/>
  <c r="U118" i="6" s="1"/>
  <c r="S118" i="6"/>
  <c r="R118" i="6" s="1"/>
  <c r="P949" i="6"/>
  <c r="M949" i="6"/>
  <c r="V953" i="6"/>
  <c r="U953" i="6" s="1"/>
  <c r="P953" i="6"/>
  <c r="O953" i="6" s="1"/>
  <c r="S949" i="6"/>
  <c r="S953" i="6"/>
  <c r="R953" i="6" s="1"/>
  <c r="M953" i="6"/>
  <c r="V949" i="6"/>
  <c r="S422" i="6"/>
  <c r="R420" i="6" s="1"/>
  <c r="M422" i="6"/>
  <c r="V422" i="6"/>
  <c r="U420" i="6" s="1"/>
  <c r="P422" i="6"/>
  <c r="O420" i="6" s="1"/>
  <c r="V458" i="6"/>
  <c r="U455" i="6" s="1"/>
  <c r="S458" i="6"/>
  <c r="R455" i="6" s="1"/>
  <c r="P458" i="6"/>
  <c r="O455" i="6" s="1"/>
  <c r="M458" i="6"/>
  <c r="V440" i="6"/>
  <c r="U437" i="6" s="1"/>
  <c r="S440" i="6"/>
  <c r="R437" i="6" s="1"/>
  <c r="P440" i="6"/>
  <c r="O437" i="6" s="1"/>
  <c r="M440" i="6"/>
  <c r="V538" i="6"/>
  <c r="U535" i="6" s="1"/>
  <c r="S538" i="6"/>
  <c r="R535" i="6" s="1"/>
  <c r="P538" i="6"/>
  <c r="O535" i="6" s="1"/>
  <c r="M538" i="6"/>
  <c r="V304" i="6"/>
  <c r="U304" i="6" s="1"/>
  <c r="S304" i="6"/>
  <c r="R304" i="6" s="1"/>
  <c r="P304" i="6"/>
  <c r="O304" i="6" s="1"/>
  <c r="M304" i="6"/>
  <c r="M470" i="6"/>
  <c r="V470" i="6"/>
  <c r="U467" i="6" s="1"/>
  <c r="S470" i="6"/>
  <c r="R467" i="6" s="1"/>
  <c r="P470" i="6"/>
  <c r="O467" i="6" s="1"/>
  <c r="V965" i="6"/>
  <c r="U965" i="6" s="1"/>
  <c r="P965" i="6"/>
  <c r="O965" i="6" s="1"/>
  <c r="S965" i="6"/>
  <c r="R965" i="6" s="1"/>
  <c r="M965" i="6"/>
  <c r="V320" i="6"/>
  <c r="U320" i="6" s="1"/>
  <c r="S320" i="6"/>
  <c r="R320" i="6" s="1"/>
  <c r="P320" i="6"/>
  <c r="O320" i="6" s="1"/>
  <c r="M320" i="6"/>
  <c r="V472" i="6"/>
  <c r="U469" i="6" s="1"/>
  <c r="S472" i="6"/>
  <c r="R469" i="6" s="1"/>
  <c r="P472" i="6"/>
  <c r="O469" i="6" s="1"/>
  <c r="M472" i="6"/>
  <c r="V57" i="6"/>
  <c r="U57" i="6" s="1"/>
  <c r="S57" i="6"/>
  <c r="R57" i="6" s="1"/>
  <c r="P57" i="6"/>
  <c r="O57" i="6" s="1"/>
  <c r="M57" i="6"/>
  <c r="M269" i="6"/>
  <c r="V269" i="6"/>
  <c r="U269" i="6" s="1"/>
  <c r="S269" i="6"/>
  <c r="R269" i="6" s="1"/>
  <c r="P269" i="6"/>
  <c r="O269" i="6" s="1"/>
  <c r="P272" i="6"/>
  <c r="O272" i="6" s="1"/>
  <c r="V272" i="6"/>
  <c r="U272" i="6" s="1"/>
  <c r="S272" i="6"/>
  <c r="R272" i="6" s="1"/>
  <c r="M272" i="6"/>
  <c r="V270" i="6"/>
  <c r="U270" i="6" s="1"/>
  <c r="S270" i="6"/>
  <c r="R270" i="6" s="1"/>
  <c r="P270" i="6"/>
  <c r="O270" i="6" s="1"/>
  <c r="M270" i="6"/>
  <c r="M273" i="6"/>
  <c r="S273" i="6"/>
  <c r="R273" i="6" s="1"/>
  <c r="V273" i="6"/>
  <c r="U273" i="6" s="1"/>
  <c r="P273" i="6"/>
  <c r="O273" i="6" s="1"/>
  <c r="V174" i="6"/>
  <c r="U174" i="6" s="1"/>
  <c r="S174" i="6"/>
  <c r="R174" i="6" s="1"/>
  <c r="P174" i="6"/>
  <c r="O174" i="6" s="1"/>
  <c r="M174" i="6"/>
  <c r="S274" i="6"/>
  <c r="R274" i="6" s="1"/>
  <c r="P274" i="6"/>
  <c r="O274" i="6" s="1"/>
  <c r="V274" i="6"/>
  <c r="U274" i="6" s="1"/>
  <c r="M274" i="6"/>
  <c r="V55" i="6"/>
  <c r="U55" i="6" s="1"/>
  <c r="S55" i="6"/>
  <c r="R55" i="6" s="1"/>
  <c r="P55" i="6"/>
  <c r="O55" i="6" s="1"/>
  <c r="M55" i="6"/>
  <c r="V383" i="6"/>
  <c r="U382" i="6" s="1"/>
  <c r="S383" i="6"/>
  <c r="R382" i="6" s="1"/>
  <c r="P383" i="6"/>
  <c r="O382" i="6" s="1"/>
  <c r="M383" i="6"/>
  <c r="M47" i="6"/>
  <c r="V47" i="6"/>
  <c r="U47" i="6" s="1"/>
  <c r="S47" i="6"/>
  <c r="R47" i="6" s="1"/>
  <c r="P252" i="6"/>
  <c r="O252" i="6" s="1"/>
  <c r="M252" i="6"/>
  <c r="V252" i="6"/>
  <c r="U252" i="6" s="1"/>
  <c r="S252" i="6"/>
  <c r="R252" i="6" s="1"/>
  <c r="V959" i="6"/>
  <c r="U959" i="6" s="1"/>
  <c r="P959" i="6"/>
  <c r="O959" i="6" s="1"/>
  <c r="S959" i="6"/>
  <c r="R959" i="6" s="1"/>
  <c r="M959" i="6"/>
  <c r="P956" i="6"/>
  <c r="O956" i="6" s="1"/>
  <c r="M956" i="6"/>
  <c r="S956" i="6"/>
  <c r="R956" i="6" s="1"/>
  <c r="V956" i="6"/>
  <c r="U956" i="6" s="1"/>
  <c r="I8" i="2"/>
  <c r="G17" i="2"/>
  <c r="I19" i="2"/>
  <c r="M23" i="2"/>
  <c r="K33" i="2"/>
  <c r="K45" i="2"/>
  <c r="M47" i="2"/>
  <c r="I15" i="7"/>
  <c r="L14" i="7"/>
  <c r="C13" i="7"/>
  <c r="F12" i="7"/>
  <c r="I11" i="7"/>
  <c r="L10" i="7"/>
  <c r="C9" i="7"/>
  <c r="F15" i="7"/>
  <c r="I14" i="7"/>
  <c r="L13" i="7"/>
  <c r="C12" i="7"/>
  <c r="F11" i="7"/>
  <c r="I10" i="7"/>
  <c r="L9" i="7"/>
  <c r="C15" i="7"/>
  <c r="F14" i="7"/>
  <c r="I13" i="7"/>
  <c r="L12" i="7"/>
  <c r="C11" i="7"/>
  <c r="F10" i="7"/>
  <c r="I9" i="7"/>
  <c r="L15" i="7"/>
  <c r="C14" i="7"/>
  <c r="F13" i="7"/>
  <c r="I12" i="7"/>
  <c r="L11" i="7"/>
  <c r="C10" i="7"/>
  <c r="F9" i="7"/>
  <c r="P5" i="6"/>
  <c r="O5" i="6" s="1"/>
  <c r="J7" i="6"/>
  <c r="I7" i="6" s="1"/>
  <c r="P23" i="6"/>
  <c r="O23" i="6" s="1"/>
  <c r="M24" i="6"/>
  <c r="S27" i="6"/>
  <c r="R27" i="6" s="1"/>
  <c r="P28" i="6"/>
  <c r="O28" i="6" s="1"/>
  <c r="M29" i="6"/>
  <c r="P33" i="6"/>
  <c r="O33" i="6" s="1"/>
  <c r="V36" i="6"/>
  <c r="U36" i="6" s="1"/>
  <c r="S37" i="6"/>
  <c r="R37" i="6" s="1"/>
  <c r="P39" i="6"/>
  <c r="O39" i="6" s="1"/>
  <c r="P46" i="6"/>
  <c r="O46" i="6" s="1"/>
  <c r="P47" i="6"/>
  <c r="O47" i="6" s="1"/>
  <c r="P53" i="6"/>
  <c r="O53" i="6" s="1"/>
  <c r="P62" i="6"/>
  <c r="O62" i="6" s="1"/>
  <c r="S67" i="6"/>
  <c r="R67" i="6" s="1"/>
  <c r="J70" i="6"/>
  <c r="I70" i="6" s="1"/>
  <c r="S71" i="6"/>
  <c r="R71" i="6" s="1"/>
  <c r="S79" i="6"/>
  <c r="R79" i="6" s="1"/>
  <c r="S83" i="6"/>
  <c r="R83" i="6" s="1"/>
  <c r="J86" i="6"/>
  <c r="I86" i="6" s="1"/>
  <c r="S87" i="6"/>
  <c r="R87" i="6" s="1"/>
  <c r="S91" i="6"/>
  <c r="R91" i="6" s="1"/>
  <c r="J94" i="6"/>
  <c r="I94" i="6" s="1"/>
  <c r="S95" i="6"/>
  <c r="R95" i="6" s="1"/>
  <c r="V218" i="6"/>
  <c r="U218" i="6" s="1"/>
  <c r="S218" i="6"/>
  <c r="R218" i="6" s="1"/>
  <c r="P218" i="6"/>
  <c r="O218" i="6" s="1"/>
  <c r="M218" i="6"/>
  <c r="V185" i="6"/>
  <c r="U185" i="6" s="1"/>
  <c r="S185" i="6"/>
  <c r="R185" i="6" s="1"/>
  <c r="P185" i="6"/>
  <c r="O185" i="6" s="1"/>
  <c r="M185" i="6"/>
  <c r="P64" i="6"/>
  <c r="O64" i="6" s="1"/>
  <c r="M64" i="6"/>
  <c r="V64" i="6"/>
  <c r="U64" i="6" s="1"/>
  <c r="S64" i="6"/>
  <c r="R64" i="6" s="1"/>
  <c r="M254" i="6"/>
  <c r="V254" i="6"/>
  <c r="U254" i="6" s="1"/>
  <c r="S254" i="6"/>
  <c r="R254" i="6" s="1"/>
  <c r="P254" i="6"/>
  <c r="O254" i="6" s="1"/>
  <c r="V256" i="6"/>
  <c r="U256" i="6" s="1"/>
  <c r="S256" i="6"/>
  <c r="R256" i="6" s="1"/>
  <c r="P256" i="6"/>
  <c r="O256" i="6" s="1"/>
  <c r="M256" i="6"/>
  <c r="V186" i="6"/>
  <c r="U186" i="6" s="1"/>
  <c r="S186" i="6"/>
  <c r="R186" i="6" s="1"/>
  <c r="P186" i="6"/>
  <c r="O186" i="6" s="1"/>
  <c r="M186" i="6"/>
  <c r="S108" i="6"/>
  <c r="R108" i="6" s="1"/>
  <c r="P108" i="6"/>
  <c r="O108" i="6" s="1"/>
  <c r="M108" i="6"/>
  <c r="M205" i="6"/>
  <c r="V205" i="6"/>
  <c r="U205" i="6" s="1"/>
  <c r="S205" i="6"/>
  <c r="R205" i="6" s="1"/>
  <c r="P205" i="6"/>
  <c r="O205" i="6" s="1"/>
  <c r="P194" i="6"/>
  <c r="O194" i="6" s="1"/>
  <c r="M194" i="6"/>
  <c r="V194" i="6"/>
  <c r="U194" i="6" s="1"/>
  <c r="S194" i="6"/>
  <c r="R194" i="6" s="1"/>
  <c r="V966" i="6"/>
  <c r="U966" i="6" s="1"/>
  <c r="S966" i="6"/>
  <c r="R966" i="6" s="1"/>
  <c r="M966" i="6"/>
  <c r="P966" i="6"/>
  <c r="O966" i="6" s="1"/>
  <c r="V513" i="6"/>
  <c r="U510" i="6" s="1"/>
  <c r="S513" i="6"/>
  <c r="R510" i="6" s="1"/>
  <c r="P513" i="6"/>
  <c r="O510" i="6" s="1"/>
  <c r="M513" i="6"/>
  <c r="S964" i="6"/>
  <c r="R964" i="6" s="1"/>
  <c r="V964" i="6"/>
  <c r="U964" i="6" s="1"/>
  <c r="P964" i="6"/>
  <c r="O964" i="6" s="1"/>
  <c r="M964" i="6"/>
  <c r="S973" i="6"/>
  <c r="R973" i="6" s="1"/>
  <c r="P973" i="6"/>
  <c r="O973" i="6" s="1"/>
  <c r="V973" i="6"/>
  <c r="U973" i="6" s="1"/>
  <c r="M973" i="6"/>
  <c r="V488" i="6"/>
  <c r="U485" i="6" s="1"/>
  <c r="S488" i="6"/>
  <c r="R485" i="6" s="1"/>
  <c r="P488" i="6"/>
  <c r="O485" i="6" s="1"/>
  <c r="M488" i="6"/>
  <c r="V41" i="6"/>
  <c r="U41" i="6" s="1"/>
  <c r="M279" i="6"/>
  <c r="V279" i="6"/>
  <c r="U279" i="6" s="1"/>
  <c r="S279" i="6"/>
  <c r="R279" i="6" s="1"/>
  <c r="P279" i="6"/>
  <c r="O279" i="6" s="1"/>
  <c r="V50" i="6"/>
  <c r="U50" i="6" s="1"/>
  <c r="S50" i="6"/>
  <c r="R50" i="6" s="1"/>
  <c r="P50" i="6"/>
  <c r="O50" i="6" s="1"/>
  <c r="M50" i="6"/>
  <c r="S281" i="6"/>
  <c r="R281" i="6" s="1"/>
  <c r="P281" i="6"/>
  <c r="O281" i="6" s="1"/>
  <c r="M281" i="6"/>
  <c r="V281" i="6"/>
  <c r="U281" i="6" s="1"/>
  <c r="V248" i="6"/>
  <c r="U248" i="6" s="1"/>
  <c r="S248" i="6"/>
  <c r="R248" i="6" s="1"/>
  <c r="P248" i="6"/>
  <c r="O248" i="6" s="1"/>
  <c r="M248" i="6"/>
  <c r="P962" i="6"/>
  <c r="O962" i="6" s="1"/>
  <c r="M962" i="6"/>
  <c r="V962" i="6"/>
  <c r="U962" i="6" s="1"/>
  <c r="S962" i="6"/>
  <c r="R962" i="6" s="1"/>
  <c r="V378" i="6"/>
  <c r="U377" i="6" s="1"/>
  <c r="S378" i="6"/>
  <c r="R377" i="6" s="1"/>
  <c r="P378" i="6"/>
  <c r="O377" i="6" s="1"/>
  <c r="M378" i="6"/>
  <c r="V196" i="6"/>
  <c r="U196" i="6" s="1"/>
  <c r="S196" i="6"/>
  <c r="R196" i="6" s="1"/>
  <c r="P196" i="6"/>
  <c r="O196" i="6" s="1"/>
  <c r="M196" i="6"/>
  <c r="G5" i="2"/>
  <c r="I7" i="2"/>
  <c r="I18" i="2"/>
  <c r="K20" i="2"/>
  <c r="I30" i="2"/>
  <c r="K32" i="2"/>
  <c r="G40" i="2"/>
  <c r="K44" i="2"/>
  <c r="V10" i="6"/>
  <c r="U10" i="6" s="1"/>
  <c r="P12" i="6"/>
  <c r="O12" i="6" s="1"/>
  <c r="S17" i="6"/>
  <c r="R17" i="6" s="1"/>
  <c r="M19" i="6"/>
  <c r="M34" i="6"/>
  <c r="S38" i="6"/>
  <c r="R38" i="6" s="1"/>
  <c r="P40" i="6"/>
  <c r="O40" i="6" s="1"/>
  <c r="M41" i="6"/>
  <c r="S44" i="6"/>
  <c r="R44" i="6" s="1"/>
  <c r="S45" i="6"/>
  <c r="R45" i="6" s="1"/>
  <c r="S62" i="6"/>
  <c r="R62" i="6" s="1"/>
  <c r="M66" i="6"/>
  <c r="M74" i="6"/>
  <c r="M78" i="6"/>
  <c r="M82" i="6"/>
  <c r="M90" i="6"/>
  <c r="M98" i="6"/>
  <c r="P102" i="6"/>
  <c r="O102" i="6" s="1"/>
  <c r="P171" i="6"/>
  <c r="O171" i="6" s="1"/>
  <c r="V171" i="6"/>
  <c r="U171" i="6" s="1"/>
  <c r="S171" i="6"/>
  <c r="R171" i="6" s="1"/>
  <c r="M171" i="6"/>
  <c r="P109" i="6"/>
  <c r="O109" i="6" s="1"/>
  <c r="M109" i="6"/>
  <c r="S769" i="6"/>
  <c r="R766" i="6" s="1"/>
  <c r="V769" i="6"/>
  <c r="U766" i="6" s="1"/>
  <c r="P769" i="6"/>
  <c r="O766" i="6" s="1"/>
  <c r="M769" i="6"/>
  <c r="V294" i="6"/>
  <c r="U294" i="6" s="1"/>
  <c r="S294" i="6"/>
  <c r="R294" i="6" s="1"/>
  <c r="P294" i="6"/>
  <c r="O294" i="6" s="1"/>
  <c r="M294" i="6"/>
  <c r="S260" i="6"/>
  <c r="R260" i="6" s="1"/>
  <c r="P260" i="6"/>
  <c r="O260" i="6" s="1"/>
  <c r="M260" i="6"/>
  <c r="V260" i="6"/>
  <c r="U260" i="6" s="1"/>
  <c r="V292" i="6"/>
  <c r="U292" i="6" s="1"/>
  <c r="S292" i="6"/>
  <c r="R292" i="6" s="1"/>
  <c r="P292" i="6"/>
  <c r="O292" i="6" s="1"/>
  <c r="M292" i="6"/>
  <c r="V137" i="6"/>
  <c r="U137" i="6" s="1"/>
  <c r="S137" i="6"/>
  <c r="R137" i="6" s="1"/>
  <c r="P137" i="6"/>
  <c r="O137" i="6" s="1"/>
  <c r="M137" i="6"/>
  <c r="V200" i="6"/>
  <c r="U200" i="6" s="1"/>
  <c r="S200" i="6"/>
  <c r="R200" i="6" s="1"/>
  <c r="P200" i="6"/>
  <c r="O200" i="6" s="1"/>
  <c r="M200" i="6"/>
  <c r="V192" i="6"/>
  <c r="U192" i="6" s="1"/>
  <c r="S192" i="6"/>
  <c r="R192" i="6" s="1"/>
  <c r="P192" i="6"/>
  <c r="O192" i="6" s="1"/>
  <c r="M192" i="6"/>
  <c r="V217" i="6"/>
  <c r="U217" i="6" s="1"/>
  <c r="S217" i="6"/>
  <c r="R217" i="6" s="1"/>
  <c r="P217" i="6"/>
  <c r="O217" i="6" s="1"/>
  <c r="M217" i="6"/>
  <c r="P307" i="6"/>
  <c r="O307" i="6" s="1"/>
  <c r="V307" i="6"/>
  <c r="U307" i="6" s="1"/>
  <c r="S307" i="6"/>
  <c r="R307" i="6" s="1"/>
  <c r="M307" i="6"/>
  <c r="V480" i="6"/>
  <c r="S480" i="6"/>
  <c r="P480" i="6"/>
  <c r="M480" i="6"/>
  <c r="V500" i="6"/>
  <c r="U497" i="6" s="1"/>
  <c r="S500" i="6"/>
  <c r="R497" i="6" s="1"/>
  <c r="P500" i="6"/>
  <c r="O497" i="6" s="1"/>
  <c r="M500" i="6"/>
  <c r="P317" i="6"/>
  <c r="O317" i="6" s="1"/>
  <c r="V317" i="6"/>
  <c r="U317" i="6" s="1"/>
  <c r="S317" i="6"/>
  <c r="R317" i="6" s="1"/>
  <c r="M317" i="6"/>
  <c r="V977" i="6"/>
  <c r="U977" i="6" s="1"/>
  <c r="P977" i="6"/>
  <c r="O977" i="6" s="1"/>
  <c r="M977" i="6"/>
  <c r="S977" i="6"/>
  <c r="R977" i="6" s="1"/>
  <c r="V390" i="6"/>
  <c r="U389" i="6" s="1"/>
  <c r="S390" i="6"/>
  <c r="R389" i="6" s="1"/>
  <c r="M390" i="6"/>
  <c r="P390" i="6"/>
  <c r="O389" i="6" s="1"/>
  <c r="S51" i="6"/>
  <c r="R51" i="6" s="1"/>
  <c r="P51" i="6"/>
  <c r="O51" i="6" s="1"/>
  <c r="M51" i="6"/>
  <c r="S43" i="6"/>
  <c r="R43" i="6" s="1"/>
  <c r="P43" i="6"/>
  <c r="O43" i="6" s="1"/>
  <c r="M43" i="6"/>
  <c r="P385" i="6"/>
  <c r="O384" i="6" s="1"/>
  <c r="V385" i="6"/>
  <c r="U384" i="6" s="1"/>
  <c r="S385" i="6"/>
  <c r="R384" i="6" s="1"/>
  <c r="M385" i="6"/>
  <c r="P275" i="6"/>
  <c r="O275" i="6" s="1"/>
  <c r="M275" i="6"/>
  <c r="V275" i="6"/>
  <c r="U275" i="6" s="1"/>
  <c r="S275" i="6"/>
  <c r="R275" i="6" s="1"/>
  <c r="V971" i="6"/>
  <c r="U971" i="6" s="1"/>
  <c r="P971" i="6"/>
  <c r="O971" i="6" s="1"/>
  <c r="M971" i="6"/>
  <c r="S971" i="6"/>
  <c r="R971" i="6" s="1"/>
  <c r="M226" i="6"/>
  <c r="V226" i="6"/>
  <c r="U226" i="6" s="1"/>
  <c r="S226" i="6"/>
  <c r="R226" i="6" s="1"/>
  <c r="P226" i="6"/>
  <c r="O226" i="6" s="1"/>
  <c r="K8" i="2"/>
  <c r="I17" i="2"/>
  <c r="K19" i="2"/>
  <c r="G27" i="2"/>
  <c r="I29" i="2"/>
  <c r="M33" i="2"/>
  <c r="G39" i="2"/>
  <c r="M45" i="2"/>
  <c r="S5" i="6"/>
  <c r="R5" i="6" s="1"/>
  <c r="S23" i="6"/>
  <c r="R23" i="6" s="1"/>
  <c r="P24" i="6"/>
  <c r="O24" i="6" s="1"/>
  <c r="S28" i="6"/>
  <c r="R28" i="6" s="1"/>
  <c r="P29" i="6"/>
  <c r="O29" i="6" s="1"/>
  <c r="M30" i="6"/>
  <c r="S33" i="6"/>
  <c r="R33" i="6" s="1"/>
  <c r="S39" i="6"/>
  <c r="R39" i="6" s="1"/>
  <c r="M42" i="6"/>
  <c r="S46" i="6"/>
  <c r="R46" i="6" s="1"/>
  <c r="M61" i="6"/>
  <c r="V62" i="6"/>
  <c r="U62" i="6" s="1"/>
  <c r="P66" i="6"/>
  <c r="O66" i="6" s="1"/>
  <c r="P74" i="6"/>
  <c r="O74" i="6" s="1"/>
  <c r="P78" i="6"/>
  <c r="O78" i="6" s="1"/>
  <c r="P82" i="6"/>
  <c r="O82" i="6" s="1"/>
  <c r="P90" i="6"/>
  <c r="O90" i="6" s="1"/>
  <c r="P98" i="6"/>
  <c r="O98" i="6" s="1"/>
  <c r="S102" i="6"/>
  <c r="R102" i="6" s="1"/>
  <c r="M105" i="6"/>
  <c r="P300" i="6"/>
  <c r="O300" i="6" s="1"/>
  <c r="M300" i="6"/>
  <c r="V300" i="6"/>
  <c r="U300" i="6" s="1"/>
  <c r="S300" i="6"/>
  <c r="R300" i="6" s="1"/>
  <c r="S283" i="6"/>
  <c r="R283" i="6" s="1"/>
  <c r="P283" i="6"/>
  <c r="O283" i="6" s="1"/>
  <c r="M283" i="6"/>
  <c r="V283" i="6"/>
  <c r="U283" i="6" s="1"/>
  <c r="V149" i="6"/>
  <c r="U149" i="6" s="1"/>
  <c r="S149" i="6"/>
  <c r="R149" i="6" s="1"/>
  <c r="P149" i="6"/>
  <c r="O149" i="6" s="1"/>
  <c r="M149" i="6"/>
  <c r="V159" i="6"/>
  <c r="U159" i="6" s="1"/>
  <c r="S159" i="6"/>
  <c r="R159" i="6" s="1"/>
  <c r="P159" i="6"/>
  <c r="O159" i="6" s="1"/>
  <c r="M159" i="6"/>
  <c r="V165" i="6"/>
  <c r="U165" i="6" s="1"/>
  <c r="S165" i="6"/>
  <c r="R165" i="6" s="1"/>
  <c r="P165" i="6"/>
  <c r="O165" i="6" s="1"/>
  <c r="M165" i="6"/>
  <c r="P220" i="6"/>
  <c r="O220" i="6" s="1"/>
  <c r="M220" i="6"/>
  <c r="V220" i="6"/>
  <c r="U220" i="6" s="1"/>
  <c r="S220" i="6"/>
  <c r="R220" i="6" s="1"/>
  <c r="S114" i="6"/>
  <c r="R114" i="6" s="1"/>
  <c r="P114" i="6"/>
  <c r="O114" i="6" s="1"/>
  <c r="M114" i="6"/>
  <c r="P162" i="6"/>
  <c r="O162" i="6" s="1"/>
  <c r="V162" i="6"/>
  <c r="U162" i="6" s="1"/>
  <c r="S162" i="6"/>
  <c r="R162" i="6" s="1"/>
  <c r="M162" i="6"/>
  <c r="V133" i="6"/>
  <c r="U133" i="6" s="1"/>
  <c r="S133" i="6"/>
  <c r="R133" i="6" s="1"/>
  <c r="P133" i="6"/>
  <c r="O133" i="6" s="1"/>
  <c r="M133" i="6"/>
  <c r="S979" i="6"/>
  <c r="R979" i="6" s="1"/>
  <c r="P979" i="6"/>
  <c r="O979" i="6" s="1"/>
  <c r="V979" i="6"/>
  <c r="U979" i="6" s="1"/>
  <c r="M979" i="6"/>
  <c r="V335" i="6"/>
  <c r="U334" i="6" s="1"/>
  <c r="S335" i="6"/>
  <c r="R334" i="6" s="1"/>
  <c r="P335" i="6"/>
  <c r="O334" i="6" s="1"/>
  <c r="M335" i="6"/>
  <c r="V527" i="6"/>
  <c r="U524" i="6" s="1"/>
  <c r="S527" i="6"/>
  <c r="R524" i="6" s="1"/>
  <c r="P527" i="6"/>
  <c r="O524" i="6" s="1"/>
  <c r="M527" i="6"/>
  <c r="V485" i="6"/>
  <c r="U482" i="6" s="1"/>
  <c r="S485" i="6"/>
  <c r="R482" i="6" s="1"/>
  <c r="P485" i="6"/>
  <c r="O482" i="6" s="1"/>
  <c r="M485" i="6"/>
  <c r="V319" i="6"/>
  <c r="U319" i="6" s="1"/>
  <c r="S319" i="6"/>
  <c r="R319" i="6" s="1"/>
  <c r="P319" i="6"/>
  <c r="O319" i="6" s="1"/>
  <c r="M319" i="6"/>
  <c r="M524" i="6"/>
  <c r="V524" i="6"/>
  <c r="U521" i="6" s="1"/>
  <c r="S524" i="6"/>
  <c r="R521" i="6" s="1"/>
  <c r="P524" i="6"/>
  <c r="O521" i="6" s="1"/>
  <c r="S175" i="6"/>
  <c r="R175" i="6" s="1"/>
  <c r="V175" i="6"/>
  <c r="U175" i="6" s="1"/>
  <c r="P175" i="6"/>
  <c r="O175" i="6" s="1"/>
  <c r="M175" i="6"/>
  <c r="V381" i="6"/>
  <c r="U380" i="6" s="1"/>
  <c r="S381" i="6"/>
  <c r="R380" i="6" s="1"/>
  <c r="P381" i="6"/>
  <c r="O380" i="6" s="1"/>
  <c r="M381" i="6"/>
  <c r="P246" i="6"/>
  <c r="O246" i="6" s="1"/>
  <c r="M246" i="6"/>
  <c r="V246" i="6"/>
  <c r="U246" i="6" s="1"/>
  <c r="S246" i="6"/>
  <c r="R246" i="6" s="1"/>
  <c r="S245" i="6"/>
  <c r="R245" i="6" s="1"/>
  <c r="P245" i="6"/>
  <c r="O245" i="6" s="1"/>
  <c r="M245" i="6"/>
  <c r="V245" i="6"/>
  <c r="U245" i="6" s="1"/>
  <c r="S208" i="6"/>
  <c r="R208" i="6" s="1"/>
  <c r="P208" i="6"/>
  <c r="O208" i="6" s="1"/>
  <c r="M208" i="6"/>
  <c r="V208" i="6"/>
  <c r="U208" i="6" s="1"/>
  <c r="V364" i="6"/>
  <c r="U363" i="6" s="1"/>
  <c r="S364" i="6"/>
  <c r="R363" i="6" s="1"/>
  <c r="P364" i="6"/>
  <c r="O363" i="6" s="1"/>
  <c r="M364" i="6"/>
  <c r="S976" i="6"/>
  <c r="R976" i="6" s="1"/>
  <c r="P976" i="6"/>
  <c r="O976" i="6" s="1"/>
  <c r="M976" i="6"/>
  <c r="V976" i="6"/>
  <c r="U976" i="6" s="1"/>
  <c r="V365" i="6"/>
  <c r="U364" i="6" s="1"/>
  <c r="S365" i="6"/>
  <c r="R364" i="6" s="1"/>
  <c r="P365" i="6"/>
  <c r="O364" i="6" s="1"/>
  <c r="M365" i="6"/>
  <c r="I5" i="2"/>
  <c r="M9" i="2"/>
  <c r="G14" i="2"/>
  <c r="K18" i="2"/>
  <c r="K30" i="2"/>
  <c r="I40" i="2"/>
  <c r="M44" i="2"/>
  <c r="J3" i="6"/>
  <c r="S12" i="6"/>
  <c r="R12" i="6" s="1"/>
  <c r="M14" i="6"/>
  <c r="J15" i="6"/>
  <c r="I15" i="6" s="1"/>
  <c r="P19" i="6"/>
  <c r="O19" i="6" s="1"/>
  <c r="M20" i="6"/>
  <c r="M25" i="6"/>
  <c r="P34" i="6"/>
  <c r="O34" i="6" s="1"/>
  <c r="M35" i="6"/>
  <c r="V38" i="6"/>
  <c r="U38" i="6" s="1"/>
  <c r="S40" i="6"/>
  <c r="R40" i="6" s="1"/>
  <c r="P41" i="6"/>
  <c r="O41" i="6" s="1"/>
  <c r="V45" i="6"/>
  <c r="U45" i="6" s="1"/>
  <c r="P61" i="6"/>
  <c r="O61" i="6" s="1"/>
  <c r="S66" i="6"/>
  <c r="R66" i="6" s="1"/>
  <c r="S74" i="6"/>
  <c r="R74" i="6" s="1"/>
  <c r="J77" i="6"/>
  <c r="I77" i="6" s="1"/>
  <c r="S78" i="6"/>
  <c r="R78" i="6" s="1"/>
  <c r="J81" i="6"/>
  <c r="I81" i="6" s="1"/>
  <c r="S82" i="6"/>
  <c r="R82" i="6" s="1"/>
  <c r="S90" i="6"/>
  <c r="R90" i="6" s="1"/>
  <c r="S98" i="6"/>
  <c r="R98" i="6" s="1"/>
  <c r="J101" i="6"/>
  <c r="I101" i="6" s="1"/>
  <c r="V102" i="6"/>
  <c r="U102" i="6" s="1"/>
  <c r="P105" i="6"/>
  <c r="O105" i="6" s="1"/>
  <c r="S109" i="6"/>
  <c r="R109" i="6" s="1"/>
  <c r="L111" i="6"/>
  <c r="J111" i="6"/>
  <c r="I111" i="6" s="1"/>
  <c r="M172" i="6"/>
  <c r="V172" i="6"/>
  <c r="U172" i="6" s="1"/>
  <c r="S172" i="6"/>
  <c r="R172" i="6" s="1"/>
  <c r="P172" i="6"/>
  <c r="O172" i="6" s="1"/>
  <c r="P135" i="6"/>
  <c r="O135" i="6" s="1"/>
  <c r="M135" i="6"/>
  <c r="V135" i="6"/>
  <c r="U135" i="6" s="1"/>
  <c r="S135" i="6"/>
  <c r="R135" i="6" s="1"/>
  <c r="S955" i="6"/>
  <c r="R955" i="6" s="1"/>
  <c r="P955" i="6"/>
  <c r="O955" i="6" s="1"/>
  <c r="V955" i="6"/>
  <c r="U955" i="6" s="1"/>
  <c r="M955" i="6"/>
  <c r="M173" i="6"/>
  <c r="P173" i="6"/>
  <c r="O173" i="6" s="1"/>
  <c r="V173" i="6"/>
  <c r="U173" i="6" s="1"/>
  <c r="S173" i="6"/>
  <c r="R173" i="6" s="1"/>
  <c r="V110" i="6"/>
  <c r="U110" i="6" s="1"/>
  <c r="M110" i="6"/>
  <c r="V201" i="6"/>
  <c r="U201" i="6" s="1"/>
  <c r="S201" i="6"/>
  <c r="R201" i="6" s="1"/>
  <c r="P201" i="6"/>
  <c r="O201" i="6" s="1"/>
  <c r="M201" i="6"/>
  <c r="S129" i="6"/>
  <c r="R129" i="6" s="1"/>
  <c r="P129" i="6"/>
  <c r="O129" i="6" s="1"/>
  <c r="M129" i="6"/>
  <c r="V129" i="6"/>
  <c r="U129" i="6" s="1"/>
  <c r="V954" i="6"/>
  <c r="U954" i="6" s="1"/>
  <c r="M981" i="6"/>
  <c r="S954" i="6"/>
  <c r="R954" i="6" s="1"/>
  <c r="V981" i="6"/>
  <c r="M954" i="6"/>
  <c r="S981" i="6"/>
  <c r="P981" i="6"/>
  <c r="P954" i="6"/>
  <c r="O954" i="6" s="1"/>
  <c r="V473" i="6"/>
  <c r="U470" i="6" s="1"/>
  <c r="S473" i="6"/>
  <c r="R470" i="6" s="1"/>
  <c r="P473" i="6"/>
  <c r="O470" i="6" s="1"/>
  <c r="M473" i="6"/>
  <c r="P420" i="6"/>
  <c r="O418" i="6" s="1"/>
  <c r="M420" i="6"/>
  <c r="S420" i="6"/>
  <c r="R418" i="6" s="1"/>
  <c r="V420" i="6"/>
  <c r="U418" i="6" s="1"/>
  <c r="S970" i="6"/>
  <c r="R970" i="6" s="1"/>
  <c r="P970" i="6"/>
  <c r="O970" i="6" s="1"/>
  <c r="M970" i="6"/>
  <c r="V970" i="6"/>
  <c r="U970" i="6" s="1"/>
  <c r="P439" i="6"/>
  <c r="M439" i="6"/>
  <c r="S439" i="6"/>
  <c r="V439" i="6"/>
  <c r="V389" i="6"/>
  <c r="U388" i="6" s="1"/>
  <c r="M389" i="6"/>
  <c r="S389" i="6"/>
  <c r="R388" i="6" s="1"/>
  <c r="P389" i="6"/>
  <c r="O388" i="6" s="1"/>
  <c r="S277" i="6"/>
  <c r="R277" i="6" s="1"/>
  <c r="P277" i="6"/>
  <c r="O277" i="6" s="1"/>
  <c r="M277" i="6"/>
  <c r="V277" i="6"/>
  <c r="U277" i="6" s="1"/>
  <c r="S58" i="6"/>
  <c r="R58" i="6" s="1"/>
  <c r="P58" i="6"/>
  <c r="O58" i="6" s="1"/>
  <c r="M58" i="6"/>
  <c r="V58" i="6"/>
  <c r="U58" i="6" s="1"/>
  <c r="S49" i="6"/>
  <c r="R49" i="6" s="1"/>
  <c r="P49" i="6"/>
  <c r="O49" i="6" s="1"/>
  <c r="M49" i="6"/>
  <c r="V287" i="6"/>
  <c r="U287" i="6" s="1"/>
  <c r="S287" i="6"/>
  <c r="R287" i="6" s="1"/>
  <c r="P287" i="6"/>
  <c r="O287" i="6" s="1"/>
  <c r="M287" i="6"/>
  <c r="V238" i="6"/>
  <c r="U238" i="6" s="1"/>
  <c r="S238" i="6"/>
  <c r="R238" i="6" s="1"/>
  <c r="P238" i="6"/>
  <c r="O238" i="6" s="1"/>
  <c r="M238" i="6"/>
  <c r="V377" i="6"/>
  <c r="U376" i="6" s="1"/>
  <c r="S377" i="6"/>
  <c r="R376" i="6" s="1"/>
  <c r="P377" i="6"/>
  <c r="O376" i="6" s="1"/>
  <c r="M377" i="6"/>
  <c r="V228" i="6"/>
  <c r="U228" i="6" s="1"/>
  <c r="S228" i="6"/>
  <c r="R228" i="6" s="1"/>
  <c r="P228" i="6"/>
  <c r="O228" i="6" s="1"/>
  <c r="M228" i="6"/>
  <c r="I15" i="2"/>
  <c r="K17" i="2"/>
  <c r="I27" i="2"/>
  <c r="K29" i="2"/>
  <c r="G37" i="2"/>
  <c r="I39" i="2"/>
  <c r="M8" i="6"/>
  <c r="S24" i="6"/>
  <c r="R24" i="6" s="1"/>
  <c r="S29" i="6"/>
  <c r="R29" i="6" s="1"/>
  <c r="P30" i="6"/>
  <c r="O30" i="6" s="1"/>
  <c r="V39" i="6"/>
  <c r="U39" i="6" s="1"/>
  <c r="V43" i="6"/>
  <c r="U43" i="6" s="1"/>
  <c r="S61" i="6"/>
  <c r="R61" i="6" s="1"/>
  <c r="M65" i="6"/>
  <c r="M69" i="6"/>
  <c r="M73" i="6"/>
  <c r="M85" i="6"/>
  <c r="M89" i="6"/>
  <c r="M93" i="6"/>
  <c r="M97" i="6"/>
  <c r="S105" i="6"/>
  <c r="R105" i="6" s="1"/>
  <c r="V109" i="6"/>
  <c r="U109" i="6" s="1"/>
  <c r="P253" i="6"/>
  <c r="O253" i="6" s="1"/>
  <c r="M253" i="6"/>
  <c r="V253" i="6"/>
  <c r="U253" i="6" s="1"/>
  <c r="S253" i="6"/>
  <c r="R253" i="6" s="1"/>
  <c r="V282" i="6"/>
  <c r="U282" i="6" s="1"/>
  <c r="S282" i="6"/>
  <c r="R282" i="6" s="1"/>
  <c r="P282" i="6"/>
  <c r="O282" i="6" s="1"/>
  <c r="M282" i="6"/>
  <c r="V978" i="6"/>
  <c r="U978" i="6" s="1"/>
  <c r="S978" i="6"/>
  <c r="R978" i="6" s="1"/>
  <c r="M978" i="6"/>
  <c r="P978" i="6"/>
  <c r="O978" i="6" s="1"/>
  <c r="V788" i="6"/>
  <c r="U785" i="6" s="1"/>
  <c r="S788" i="6"/>
  <c r="R785" i="6" s="1"/>
  <c r="P788" i="6"/>
  <c r="O785" i="6" s="1"/>
  <c r="M788" i="6"/>
  <c r="V144" i="6"/>
  <c r="U144" i="6" s="1"/>
  <c r="S144" i="6"/>
  <c r="R144" i="6" s="1"/>
  <c r="P144" i="6"/>
  <c r="O144" i="6" s="1"/>
  <c r="M144" i="6"/>
  <c r="S403" i="6"/>
  <c r="R402" i="6" s="1"/>
  <c r="P403" i="6"/>
  <c r="O402" i="6" s="1"/>
  <c r="M403" i="6"/>
  <c r="V403" i="6"/>
  <c r="U402" i="6" s="1"/>
  <c r="M183" i="6"/>
  <c r="V183" i="6"/>
  <c r="U183" i="6" s="1"/>
  <c r="S183" i="6"/>
  <c r="R183" i="6" s="1"/>
  <c r="P183" i="6"/>
  <c r="O183" i="6" s="1"/>
  <c r="V202" i="6"/>
  <c r="U202" i="6" s="1"/>
  <c r="S202" i="6"/>
  <c r="R202" i="6" s="1"/>
  <c r="P202" i="6"/>
  <c r="O202" i="6" s="1"/>
  <c r="M202" i="6"/>
  <c r="V116" i="6"/>
  <c r="U116" i="6" s="1"/>
  <c r="P116" i="6"/>
  <c r="O116" i="6" s="1"/>
  <c r="M116" i="6"/>
  <c r="M177" i="6"/>
  <c r="V177" i="6"/>
  <c r="U177" i="6" s="1"/>
  <c r="S177" i="6"/>
  <c r="R177" i="6" s="1"/>
  <c r="P177" i="6"/>
  <c r="O177" i="6" s="1"/>
  <c r="M975" i="6"/>
  <c r="V975" i="6"/>
  <c r="U975" i="6" s="1"/>
  <c r="S975" i="6"/>
  <c r="R975" i="6" s="1"/>
  <c r="P975" i="6"/>
  <c r="O975" i="6" s="1"/>
  <c r="S967" i="6"/>
  <c r="R967" i="6" s="1"/>
  <c r="P967" i="6"/>
  <c r="O967" i="6" s="1"/>
  <c r="V967" i="6"/>
  <c r="U967" i="6" s="1"/>
  <c r="M967" i="6"/>
  <c r="S477" i="6"/>
  <c r="R474" i="6" s="1"/>
  <c r="P477" i="6"/>
  <c r="O474" i="6" s="1"/>
  <c r="M477" i="6"/>
  <c r="V477" i="6"/>
  <c r="U474" i="6" s="1"/>
  <c r="M417" i="6"/>
  <c r="P417" i="6"/>
  <c r="O415" i="6" s="1"/>
  <c r="V417" i="6"/>
  <c r="U415" i="6" s="1"/>
  <c r="S417" i="6"/>
  <c r="R415" i="6" s="1"/>
  <c r="M60" i="6"/>
  <c r="V60" i="6"/>
  <c r="U60" i="6" s="1"/>
  <c r="S60" i="6"/>
  <c r="R60" i="6" s="1"/>
  <c r="P60" i="6"/>
  <c r="O60" i="6" s="1"/>
  <c r="V48" i="6"/>
  <c r="U48" i="6" s="1"/>
  <c r="S48" i="6"/>
  <c r="R48" i="6" s="1"/>
  <c r="P48" i="6"/>
  <c r="O48" i="6" s="1"/>
  <c r="P59" i="6"/>
  <c r="O59" i="6" s="1"/>
  <c r="M59" i="6"/>
  <c r="V59" i="6"/>
  <c r="U59" i="6" s="1"/>
  <c r="S59" i="6"/>
  <c r="R59" i="6" s="1"/>
  <c r="P44" i="6"/>
  <c r="O44" i="6" s="1"/>
  <c r="M44" i="6"/>
  <c r="P980" i="6"/>
  <c r="O980" i="6" s="1"/>
  <c r="M980" i="6"/>
  <c r="V980" i="6"/>
  <c r="U980" i="6" s="1"/>
  <c r="S980" i="6"/>
  <c r="R980" i="6" s="1"/>
  <c r="P209" i="6"/>
  <c r="O209" i="6" s="1"/>
  <c r="M209" i="6"/>
  <c r="V209" i="6"/>
  <c r="U209" i="6" s="1"/>
  <c r="S209" i="6"/>
  <c r="R209" i="6" s="1"/>
  <c r="K5" i="2"/>
  <c r="M7" i="2"/>
  <c r="I14" i="2"/>
  <c r="M18" i="2"/>
  <c r="M16" i="2" s="1"/>
  <c r="I26" i="2"/>
  <c r="M30" i="2"/>
  <c r="K40" i="2"/>
  <c r="M9" i="6"/>
  <c r="P14" i="6"/>
  <c r="O14" i="6" s="1"/>
  <c r="J16" i="6"/>
  <c r="I16" i="6" s="1"/>
  <c r="S41" i="6"/>
  <c r="R41" i="6" s="1"/>
  <c r="P65" i="6"/>
  <c r="O65" i="6" s="1"/>
  <c r="P69" i="6"/>
  <c r="O69" i="6" s="1"/>
  <c r="P73" i="6"/>
  <c r="O73" i="6" s="1"/>
  <c r="P85" i="6"/>
  <c r="O85" i="6" s="1"/>
  <c r="P89" i="6"/>
  <c r="O89" i="6" s="1"/>
  <c r="P93" i="6"/>
  <c r="O93" i="6" s="1"/>
  <c r="P97" i="6"/>
  <c r="O97" i="6" s="1"/>
  <c r="V107" i="6"/>
  <c r="U107" i="6" s="1"/>
  <c r="P821" i="6"/>
  <c r="O817" i="6" s="1"/>
  <c r="S821" i="6"/>
  <c r="R817" i="6" s="1"/>
  <c r="V821" i="6"/>
  <c r="U817" i="6" s="1"/>
  <c r="M821" i="6"/>
  <c r="V207" i="6"/>
  <c r="U207" i="6" s="1"/>
  <c r="S207" i="6"/>
  <c r="R207" i="6" s="1"/>
  <c r="P207" i="6"/>
  <c r="O207" i="6" s="1"/>
  <c r="M207" i="6"/>
  <c r="V401" i="6"/>
  <c r="S401" i="6"/>
  <c r="P401" i="6"/>
  <c r="M401" i="6"/>
  <c r="M773" i="6"/>
  <c r="V773" i="6"/>
  <c r="U770" i="6" s="1"/>
  <c r="S773" i="6"/>
  <c r="R770" i="6" s="1"/>
  <c r="P773" i="6"/>
  <c r="O770" i="6" s="1"/>
  <c r="S952" i="6"/>
  <c r="V948" i="6"/>
  <c r="S948" i="6"/>
  <c r="M948" i="6"/>
  <c r="P948" i="6"/>
  <c r="V952" i="6"/>
  <c r="P952" i="6"/>
  <c r="M952" i="6"/>
  <c r="V142" i="6"/>
  <c r="U142" i="6" s="1"/>
  <c r="S142" i="6"/>
  <c r="R142" i="6" s="1"/>
  <c r="P142" i="6"/>
  <c r="O142" i="6" s="1"/>
  <c r="M142" i="6"/>
  <c r="S213" i="6"/>
  <c r="R213" i="6" s="1"/>
  <c r="P213" i="6"/>
  <c r="O213" i="6" s="1"/>
  <c r="M213" i="6"/>
  <c r="V213" i="6"/>
  <c r="U213" i="6" s="1"/>
  <c r="V120" i="6"/>
  <c r="U120" i="6" s="1"/>
  <c r="S120" i="6"/>
  <c r="R120" i="6" s="1"/>
  <c r="P120" i="6"/>
  <c r="O120" i="6" s="1"/>
  <c r="M120" i="6"/>
  <c r="M969" i="6"/>
  <c r="V969" i="6"/>
  <c r="U969" i="6" s="1"/>
  <c r="S969" i="6"/>
  <c r="R969" i="6" s="1"/>
  <c r="P969" i="6"/>
  <c r="O969" i="6" s="1"/>
  <c r="S337" i="6"/>
  <c r="R336" i="6" s="1"/>
  <c r="P337" i="6"/>
  <c r="O336" i="6" s="1"/>
  <c r="M337" i="6"/>
  <c r="V337" i="6"/>
  <c r="U336" i="6" s="1"/>
  <c r="V442" i="6"/>
  <c r="U439" i="6" s="1"/>
  <c r="S442" i="6"/>
  <c r="R439" i="6" s="1"/>
  <c r="P442" i="6"/>
  <c r="O439" i="6" s="1"/>
  <c r="M442" i="6"/>
  <c r="V960" i="6"/>
  <c r="U960" i="6" s="1"/>
  <c r="S960" i="6"/>
  <c r="R960" i="6" s="1"/>
  <c r="M960" i="6"/>
  <c r="P960" i="6"/>
  <c r="O960" i="6" s="1"/>
  <c r="V514" i="6"/>
  <c r="U511" i="6" s="1"/>
  <c r="S514" i="6"/>
  <c r="R511" i="6" s="1"/>
  <c r="P514" i="6"/>
  <c r="O511" i="6" s="1"/>
  <c r="M514" i="6"/>
  <c r="V382" i="6"/>
  <c r="U381" i="6" s="1"/>
  <c r="S382" i="6"/>
  <c r="R381" i="6" s="1"/>
  <c r="P382" i="6"/>
  <c r="O381" i="6" s="1"/>
  <c r="M382" i="6"/>
  <c r="V276" i="6"/>
  <c r="U276" i="6" s="1"/>
  <c r="M276" i="6"/>
  <c r="S276" i="6"/>
  <c r="R276" i="6" s="1"/>
  <c r="P276" i="6"/>
  <c r="O276" i="6" s="1"/>
  <c r="S387" i="6"/>
  <c r="R386" i="6" s="1"/>
  <c r="P387" i="6"/>
  <c r="O386" i="6" s="1"/>
  <c r="M387" i="6"/>
  <c r="V387" i="6"/>
  <c r="U386" i="6" s="1"/>
  <c r="P52" i="6"/>
  <c r="O52" i="6" s="1"/>
  <c r="M52" i="6"/>
  <c r="V52" i="6"/>
  <c r="U52" i="6" s="1"/>
  <c r="M291" i="6"/>
  <c r="V291" i="6"/>
  <c r="U291" i="6" s="1"/>
  <c r="S291" i="6"/>
  <c r="R291" i="6" s="1"/>
  <c r="P291" i="6"/>
  <c r="O291" i="6" s="1"/>
  <c r="V280" i="6"/>
  <c r="U280" i="6" s="1"/>
  <c r="S280" i="6"/>
  <c r="R280" i="6" s="1"/>
  <c r="P280" i="6"/>
  <c r="O280" i="6" s="1"/>
  <c r="M280" i="6"/>
  <c r="V56" i="6"/>
  <c r="U56" i="6" s="1"/>
  <c r="S56" i="6"/>
  <c r="R56" i="6" s="1"/>
  <c r="P56" i="6"/>
  <c r="O56" i="6" s="1"/>
  <c r="M56" i="6"/>
  <c r="V244" i="6"/>
  <c r="U244" i="6" s="1"/>
  <c r="S244" i="6"/>
  <c r="R244" i="6" s="1"/>
  <c r="P244" i="6"/>
  <c r="O244" i="6" s="1"/>
  <c r="M244" i="6"/>
  <c r="V243" i="6"/>
  <c r="U243" i="6" s="1"/>
  <c r="S243" i="6"/>
  <c r="R243" i="6" s="1"/>
  <c r="P243" i="6"/>
  <c r="O243" i="6" s="1"/>
  <c r="M243" i="6"/>
  <c r="V362" i="6"/>
  <c r="U361" i="6" s="1"/>
  <c r="S362" i="6"/>
  <c r="R361" i="6" s="1"/>
  <c r="P362" i="6"/>
  <c r="O361" i="6" s="1"/>
  <c r="M362" i="6"/>
  <c r="K15" i="2"/>
  <c r="G23" i="2"/>
  <c r="M29" i="2"/>
  <c r="K39" i="2"/>
  <c r="G47" i="2"/>
  <c r="D47" i="2" s="1"/>
  <c r="E47" i="2" s="1"/>
  <c r="V51" i="6"/>
  <c r="U51" i="6" s="1"/>
  <c r="J80" i="6"/>
  <c r="I80" i="6" s="1"/>
  <c r="J92" i="6"/>
  <c r="I92" i="6" s="1"/>
  <c r="J96" i="6"/>
  <c r="I96" i="6" s="1"/>
  <c r="J100" i="6"/>
  <c r="I100" i="6" s="1"/>
  <c r="S115" i="6"/>
  <c r="R115" i="6" s="1"/>
  <c r="J138" i="6"/>
  <c r="I138" i="6" s="1"/>
  <c r="J157" i="6"/>
  <c r="I157" i="6" s="1"/>
  <c r="J158" i="6"/>
  <c r="I158" i="6" s="1"/>
  <c r="J121" i="6"/>
  <c r="I121" i="6" s="1"/>
  <c r="J127" i="6"/>
  <c r="I127" i="6" s="1"/>
  <c r="J139" i="6"/>
  <c r="I139" i="6" s="1"/>
  <c r="J155" i="6"/>
  <c r="I155" i="6" s="1"/>
  <c r="J122" i="6"/>
  <c r="I122" i="6" s="1"/>
  <c r="J143" i="6"/>
  <c r="I143" i="6" s="1"/>
  <c r="J163" i="6"/>
  <c r="I163" i="6" s="1"/>
  <c r="J168" i="6"/>
  <c r="I168" i="6" s="1"/>
  <c r="R126" i="6"/>
  <c r="R132" i="6"/>
  <c r="J134" i="6"/>
  <c r="I134" i="6" s="1"/>
  <c r="J141" i="6"/>
  <c r="I141" i="6" s="1"/>
  <c r="J151" i="6"/>
  <c r="I151" i="6" s="1"/>
  <c r="J154" i="6"/>
  <c r="I154" i="6" s="1"/>
  <c r="O169" i="6"/>
  <c r="J169" i="6"/>
  <c r="I169" i="6" s="1"/>
  <c r="J117" i="6"/>
  <c r="I117" i="6" s="1"/>
  <c r="J146" i="6"/>
  <c r="I146" i="6" s="1"/>
  <c r="J167" i="6"/>
  <c r="I167" i="6" s="1"/>
  <c r="J147" i="6"/>
  <c r="I147" i="6" s="1"/>
  <c r="J136" i="6"/>
  <c r="I136" i="6" s="1"/>
  <c r="J176" i="6"/>
  <c r="I176" i="6" s="1"/>
  <c r="O189" i="6"/>
  <c r="O195" i="6"/>
  <c r="O199" i="6"/>
  <c r="O210" i="6"/>
  <c r="J211" i="6"/>
  <c r="I211" i="6" s="1"/>
  <c r="L236" i="6"/>
  <c r="L242" i="6"/>
  <c r="O247" i="6"/>
  <c r="O263" i="6"/>
  <c r="L265" i="6"/>
  <c r="J266" i="6"/>
  <c r="I266" i="6" s="1"/>
  <c r="J249" i="6"/>
  <c r="I249" i="6" s="1"/>
  <c r="L296" i="6"/>
  <c r="J296" i="6"/>
  <c r="I296" i="6" s="1"/>
  <c r="R241" i="6"/>
  <c r="J250" i="6"/>
  <c r="I250" i="6" s="1"/>
  <c r="R178" i="6"/>
  <c r="U215" i="6"/>
  <c r="R255" i="6"/>
  <c r="J181" i="6"/>
  <c r="I181" i="6" s="1"/>
  <c r="J259" i="6"/>
  <c r="I259" i="6" s="1"/>
  <c r="O306" i="6"/>
  <c r="J306" i="6"/>
  <c r="I306" i="6" s="1"/>
  <c r="J193" i="6"/>
  <c r="I193" i="6" s="1"/>
  <c r="J225" i="6"/>
  <c r="I225" i="6" s="1"/>
  <c r="J229" i="6"/>
  <c r="I229" i="6" s="1"/>
  <c r="J261" i="6"/>
  <c r="I261" i="6" s="1"/>
  <c r="L312" i="6"/>
  <c r="J312" i="6"/>
  <c r="I312" i="6" s="1"/>
  <c r="J214" i="6"/>
  <c r="I214" i="6" s="1"/>
  <c r="J298" i="6"/>
  <c r="I298" i="6" s="1"/>
  <c r="J234" i="6"/>
  <c r="I234" i="6" s="1"/>
  <c r="J240" i="6"/>
  <c r="I240" i="6" s="1"/>
  <c r="O301" i="6"/>
  <c r="J301" i="6"/>
  <c r="I301" i="6" s="1"/>
  <c r="J303" i="6"/>
  <c r="I303" i="6" s="1"/>
  <c r="I314" i="6"/>
  <c r="O316" i="6"/>
  <c r="J316" i="6"/>
  <c r="I316" i="6" s="1"/>
  <c r="J433" i="6"/>
  <c r="I433" i="6" s="1"/>
  <c r="O431" i="6"/>
  <c r="J324" i="6"/>
  <c r="I324" i="6" s="1"/>
  <c r="J330" i="6"/>
  <c r="I330" i="6" s="1"/>
  <c r="I360" i="6"/>
  <c r="J375" i="6"/>
  <c r="I375" i="6" s="1"/>
  <c r="L335" i="6"/>
  <c r="L340" i="6"/>
  <c r="J359" i="6"/>
  <c r="I359" i="6" s="1"/>
  <c r="J367" i="6"/>
  <c r="I367" i="6" s="1"/>
  <c r="J402" i="6"/>
  <c r="I402" i="6" s="1"/>
  <c r="J331" i="6"/>
  <c r="I331" i="6" s="1"/>
  <c r="J353" i="6"/>
  <c r="I353" i="6" s="1"/>
  <c r="J374" i="6"/>
  <c r="I374" i="6" s="1"/>
  <c r="J384" i="6"/>
  <c r="I384" i="6" s="1"/>
  <c r="L390" i="6"/>
  <c r="J395" i="6"/>
  <c r="I395" i="6" s="1"/>
  <c r="L394" i="6"/>
  <c r="J400" i="6"/>
  <c r="I400" i="6" s="1"/>
  <c r="J342" i="6"/>
  <c r="I342" i="6" s="1"/>
  <c r="L343" i="6"/>
  <c r="J354" i="6"/>
  <c r="I354" i="6" s="1"/>
  <c r="I355" i="6"/>
  <c r="J358" i="6"/>
  <c r="I358" i="6" s="1"/>
  <c r="J321" i="6"/>
  <c r="I321" i="6" s="1"/>
  <c r="J326" i="6"/>
  <c r="I326" i="6" s="1"/>
  <c r="J332" i="6"/>
  <c r="I332" i="6" s="1"/>
  <c r="J343" i="6"/>
  <c r="I343" i="6" s="1"/>
  <c r="J356" i="6"/>
  <c r="I356" i="6" s="1"/>
  <c r="J357" i="6"/>
  <c r="I357" i="6" s="1"/>
  <c r="J413" i="6"/>
  <c r="I413" i="6" s="1"/>
  <c r="L412" i="6"/>
  <c r="J284" i="6"/>
  <c r="I284" i="6" s="1"/>
  <c r="J348" i="6"/>
  <c r="I348" i="6" s="1"/>
  <c r="J349" i="6"/>
  <c r="I349" i="6" s="1"/>
  <c r="J416" i="6"/>
  <c r="I416" i="6" s="1"/>
  <c r="J322" i="6"/>
  <c r="I322" i="6" s="1"/>
  <c r="J327" i="6"/>
  <c r="I327" i="6" s="1"/>
  <c r="J333" i="6"/>
  <c r="I333" i="6" s="1"/>
  <c r="L337" i="6"/>
  <c r="L344" i="6"/>
  <c r="J346" i="6"/>
  <c r="I346" i="6" s="1"/>
  <c r="J347" i="6"/>
  <c r="I347" i="6" s="1"/>
  <c r="J371" i="6"/>
  <c r="I371" i="6" s="1"/>
  <c r="J372" i="6"/>
  <c r="I372" i="6" s="1"/>
  <c r="J404" i="6"/>
  <c r="I404" i="6" s="1"/>
  <c r="J505" i="6"/>
  <c r="I505" i="6" s="1"/>
  <c r="L502" i="6"/>
  <c r="L338" i="6"/>
  <c r="J350" i="6"/>
  <c r="I350" i="6" s="1"/>
  <c r="J370" i="6"/>
  <c r="I370" i="6" s="1"/>
  <c r="L350" i="6"/>
  <c r="J323" i="6"/>
  <c r="I323" i="6" s="1"/>
  <c r="J366" i="6"/>
  <c r="I366" i="6" s="1"/>
  <c r="J386" i="6"/>
  <c r="I386" i="6" s="1"/>
  <c r="J397" i="6"/>
  <c r="I397" i="6" s="1"/>
  <c r="J479" i="6"/>
  <c r="I479" i="6" s="1"/>
  <c r="O476" i="6"/>
  <c r="J368" i="6"/>
  <c r="I368" i="6" s="1"/>
  <c r="J415" i="6"/>
  <c r="I415" i="6" s="1"/>
  <c r="O413" i="6"/>
  <c r="J430" i="6"/>
  <c r="I430" i="6" s="1"/>
  <c r="J445" i="6"/>
  <c r="I445" i="6" s="1"/>
  <c r="O442" i="6"/>
  <c r="I468" i="6"/>
  <c r="J399" i="6"/>
  <c r="I399" i="6" s="1"/>
  <c r="I438" i="6"/>
  <c r="J491" i="6"/>
  <c r="I491" i="6" s="1"/>
  <c r="L488" i="6"/>
  <c r="J498" i="6"/>
  <c r="I498" i="6" s="1"/>
  <c r="J435" i="6"/>
  <c r="I435" i="6" s="1"/>
  <c r="J471" i="6"/>
  <c r="I471" i="6" s="1"/>
  <c r="L468" i="6"/>
  <c r="I502" i="6"/>
  <c r="I516" i="6"/>
  <c r="L392" i="6"/>
  <c r="L400" i="6"/>
  <c r="J504" i="6"/>
  <c r="I504" i="6" s="1"/>
  <c r="O501" i="6"/>
  <c r="J405" i="6"/>
  <c r="I405" i="6" s="1"/>
  <c r="L422" i="6"/>
  <c r="J429" i="6"/>
  <c r="I429" i="6" s="1"/>
  <c r="J508" i="6"/>
  <c r="I508" i="6" s="1"/>
  <c r="L393" i="6"/>
  <c r="L403" i="6"/>
  <c r="L406" i="6"/>
  <c r="J411" i="6"/>
  <c r="I411" i="6" s="1"/>
  <c r="J412" i="6"/>
  <c r="I412" i="6" s="1"/>
  <c r="J419" i="6"/>
  <c r="I419" i="6" s="1"/>
  <c r="J426" i="6"/>
  <c r="I426" i="6" s="1"/>
  <c r="L407" i="6"/>
  <c r="J409" i="6"/>
  <c r="I409" i="6" s="1"/>
  <c r="J418" i="6"/>
  <c r="I418" i="6" s="1"/>
  <c r="L416" i="6"/>
  <c r="J454" i="6"/>
  <c r="I454" i="6" s="1"/>
  <c r="J463" i="6"/>
  <c r="I463" i="6" s="1"/>
  <c r="U460" i="6"/>
  <c r="J446" i="6"/>
  <c r="I446" i="6" s="1"/>
  <c r="L443" i="6"/>
  <c r="J495" i="6"/>
  <c r="I495" i="6" s="1"/>
  <c r="O492" i="6"/>
  <c r="J507" i="6"/>
  <c r="I507" i="6" s="1"/>
  <c r="J518" i="6"/>
  <c r="I518" i="6" s="1"/>
  <c r="O462" i="6"/>
  <c r="J465" i="6"/>
  <c r="I465" i="6" s="1"/>
  <c r="J494" i="6"/>
  <c r="I494" i="6" s="1"/>
  <c r="J499" i="6"/>
  <c r="I499" i="6" s="1"/>
  <c r="J436" i="6"/>
  <c r="I436" i="6" s="1"/>
  <c r="O445" i="6"/>
  <c r="L446" i="6"/>
  <c r="L466" i="6"/>
  <c r="O479" i="6"/>
  <c r="L480" i="6"/>
  <c r="L491" i="6"/>
  <c r="O495" i="6"/>
  <c r="O504" i="6"/>
  <c r="L505" i="6"/>
  <c r="J510" i="6"/>
  <c r="I510" i="6" s="1"/>
  <c r="J519" i="6"/>
  <c r="I519" i="6" s="1"/>
  <c r="J548" i="6"/>
  <c r="I548" i="6" s="1"/>
  <c r="J559" i="6"/>
  <c r="I559" i="6" s="1"/>
  <c r="L556" i="6"/>
  <c r="J607" i="6"/>
  <c r="I607" i="6" s="1"/>
  <c r="L604" i="6"/>
  <c r="J643" i="6"/>
  <c r="I643" i="6" s="1"/>
  <c r="L640" i="6"/>
  <c r="J665" i="6"/>
  <c r="I665" i="6" s="1"/>
  <c r="O662" i="6"/>
  <c r="J543" i="6"/>
  <c r="I543" i="6" s="1"/>
  <c r="I554" i="6"/>
  <c r="J584" i="6"/>
  <c r="I584" i="6" s="1"/>
  <c r="J594" i="6"/>
  <c r="I594" i="6" s="1"/>
  <c r="L591" i="6"/>
  <c r="J621" i="6"/>
  <c r="I621" i="6" s="1"/>
  <c r="O618" i="6"/>
  <c r="I632" i="6"/>
  <c r="J633" i="6"/>
  <c r="I633" i="6" s="1"/>
  <c r="J673" i="6"/>
  <c r="I673" i="6" s="1"/>
  <c r="J432" i="6"/>
  <c r="I432" i="6" s="1"/>
  <c r="J497" i="6"/>
  <c r="I497" i="6" s="1"/>
  <c r="J506" i="6"/>
  <c r="I506" i="6" s="1"/>
  <c r="J511" i="6"/>
  <c r="I511" i="6" s="1"/>
  <c r="J541" i="6"/>
  <c r="I541" i="6" s="1"/>
  <c r="J614" i="6"/>
  <c r="I614" i="6" s="1"/>
  <c r="L611" i="6"/>
  <c r="J532" i="6"/>
  <c r="I532" i="6" s="1"/>
  <c r="J571" i="6"/>
  <c r="I571" i="6" s="1"/>
  <c r="O568" i="6"/>
  <c r="J630" i="6"/>
  <c r="I630" i="6" s="1"/>
  <c r="L627" i="6"/>
  <c r="J650" i="6"/>
  <c r="I650" i="6" s="1"/>
  <c r="L647" i="6"/>
  <c r="J657" i="6"/>
  <c r="I657" i="6" s="1"/>
  <c r="O654" i="6"/>
  <c r="O458" i="6"/>
  <c r="L475" i="6"/>
  <c r="J550" i="6"/>
  <c r="I550" i="6" s="1"/>
  <c r="O547" i="6"/>
  <c r="O555" i="6"/>
  <c r="J558" i="6"/>
  <c r="I558" i="6" s="1"/>
  <c r="U484" i="6"/>
  <c r="J540" i="6"/>
  <c r="I540" i="6" s="1"/>
  <c r="J557" i="6"/>
  <c r="I557" i="6" s="1"/>
  <c r="J569" i="6"/>
  <c r="I569" i="6" s="1"/>
  <c r="I582" i="6"/>
  <c r="J591" i="6"/>
  <c r="I591" i="6" s="1"/>
  <c r="O588" i="6"/>
  <c r="I602" i="6"/>
  <c r="J619" i="6"/>
  <c r="I619" i="6" s="1"/>
  <c r="J649" i="6"/>
  <c r="I649" i="6" s="1"/>
  <c r="J453" i="6"/>
  <c r="I453" i="6" s="1"/>
  <c r="R481" i="6"/>
  <c r="J503" i="6"/>
  <c r="I503" i="6" s="1"/>
  <c r="J528" i="6"/>
  <c r="I528" i="6" s="1"/>
  <c r="J536" i="6"/>
  <c r="I536" i="6" s="1"/>
  <c r="J589" i="6"/>
  <c r="I589" i="6" s="1"/>
  <c r="J590" i="6"/>
  <c r="I590" i="6" s="1"/>
  <c r="J601" i="6"/>
  <c r="I601" i="6" s="1"/>
  <c r="J603" i="6"/>
  <c r="I603" i="6" s="1"/>
  <c r="J620" i="6"/>
  <c r="I620" i="6" s="1"/>
  <c r="R617" i="6"/>
  <c r="I638" i="6"/>
  <c r="J627" i="6"/>
  <c r="I627" i="6" s="1"/>
  <c r="O624" i="6"/>
  <c r="J639" i="6"/>
  <c r="I639" i="6" s="1"/>
  <c r="J655" i="6"/>
  <c r="I655" i="6" s="1"/>
  <c r="J552" i="6"/>
  <c r="I552" i="6" s="1"/>
  <c r="L549" i="6"/>
  <c r="J580" i="6"/>
  <c r="I580" i="6" s="1"/>
  <c r="L577" i="6"/>
  <c r="J625" i="6"/>
  <c r="I625" i="6" s="1"/>
  <c r="J626" i="6"/>
  <c r="I626" i="6" s="1"/>
  <c r="J560" i="6"/>
  <c r="I560" i="6" s="1"/>
  <c r="J600" i="6"/>
  <c r="I600" i="6" s="1"/>
  <c r="L597" i="6"/>
  <c r="L689" i="6"/>
  <c r="J692" i="6"/>
  <c r="I692" i="6" s="1"/>
  <c r="J525" i="6"/>
  <c r="I525" i="6" s="1"/>
  <c r="J636" i="6"/>
  <c r="I636" i="6" s="1"/>
  <c r="L633" i="6"/>
  <c r="I555" i="6"/>
  <c r="J572" i="6"/>
  <c r="I572" i="6" s="1"/>
  <c r="L569" i="6"/>
  <c r="J585" i="6"/>
  <c r="I585" i="6" s="1"/>
  <c r="O582" i="6"/>
  <c r="I596" i="6"/>
  <c r="J597" i="6"/>
  <c r="I597" i="6" s="1"/>
  <c r="O674" i="6"/>
  <c r="J677" i="6"/>
  <c r="I677" i="6" s="1"/>
  <c r="O536" i="6"/>
  <c r="L537" i="6"/>
  <c r="L544" i="6"/>
  <c r="J592" i="6"/>
  <c r="I592" i="6" s="1"/>
  <c r="J628" i="6"/>
  <c r="I628" i="6" s="1"/>
  <c r="J666" i="6"/>
  <c r="I666" i="6" s="1"/>
  <c r="L688" i="6"/>
  <c r="J690" i="6"/>
  <c r="I690" i="6" s="1"/>
  <c r="J709" i="6"/>
  <c r="I709" i="6" s="1"/>
  <c r="L810" i="6"/>
  <c r="J814" i="6"/>
  <c r="I814" i="6" s="1"/>
  <c r="L516" i="6"/>
  <c r="L523" i="6"/>
  <c r="L528" i="6"/>
  <c r="O552" i="6"/>
  <c r="L560" i="6"/>
  <c r="O572" i="6"/>
  <c r="L573" i="6"/>
  <c r="L580" i="6"/>
  <c r="R584" i="6"/>
  <c r="J586" i="6"/>
  <c r="I586" i="6" s="1"/>
  <c r="O600" i="6"/>
  <c r="L601" i="6"/>
  <c r="O614" i="6"/>
  <c r="R620" i="6"/>
  <c r="J622" i="6"/>
  <c r="I622" i="6" s="1"/>
  <c r="O636" i="6"/>
  <c r="L637" i="6"/>
  <c r="O650" i="6"/>
  <c r="R656" i="6"/>
  <c r="J658" i="6"/>
  <c r="I658" i="6" s="1"/>
  <c r="J678" i="6"/>
  <c r="I678" i="6" s="1"/>
  <c r="L675" i="6"/>
  <c r="J693" i="6"/>
  <c r="I693" i="6" s="1"/>
  <c r="O708" i="6"/>
  <c r="J733" i="6"/>
  <c r="I733" i="6" s="1"/>
  <c r="L730" i="6"/>
  <c r="J741" i="6"/>
  <c r="I741" i="6" s="1"/>
  <c r="J740" i="6"/>
  <c r="I740" i="6" s="1"/>
  <c r="L737" i="6"/>
  <c r="L554" i="6"/>
  <c r="L561" i="6"/>
  <c r="J574" i="6"/>
  <c r="I574" i="6" s="1"/>
  <c r="L581" i="6"/>
  <c r="O594" i="6"/>
  <c r="L595" i="6"/>
  <c r="O608" i="6"/>
  <c r="J616" i="6"/>
  <c r="I616" i="6" s="1"/>
  <c r="O630" i="6"/>
  <c r="L631" i="6"/>
  <c r="O644" i="6"/>
  <c r="J652" i="6"/>
  <c r="I652" i="6" s="1"/>
  <c r="J662" i="6"/>
  <c r="I662" i="6" s="1"/>
  <c r="J694" i="6"/>
  <c r="I694" i="6" s="1"/>
  <c r="J695" i="6"/>
  <c r="I695" i="6" s="1"/>
  <c r="L735" i="6"/>
  <c r="J742" i="6"/>
  <c r="I742" i="6" s="1"/>
  <c r="L739" i="6"/>
  <c r="J745" i="6"/>
  <c r="I745" i="6" s="1"/>
  <c r="L742" i="6"/>
  <c r="O545" i="6"/>
  <c r="J568" i="6"/>
  <c r="I568" i="6" s="1"/>
  <c r="J588" i="6"/>
  <c r="I588" i="6" s="1"/>
  <c r="L610" i="6"/>
  <c r="J624" i="6"/>
  <c r="I624" i="6" s="1"/>
  <c r="L646" i="6"/>
  <c r="L653" i="6"/>
  <c r="J660" i="6"/>
  <c r="I660" i="6" s="1"/>
  <c r="O668" i="6"/>
  <c r="L670" i="6"/>
  <c r="L682" i="6"/>
  <c r="J697" i="6"/>
  <c r="I697" i="6" s="1"/>
  <c r="I747" i="6"/>
  <c r="R764" i="6"/>
  <c r="J782" i="6"/>
  <c r="I782" i="6" s="1"/>
  <c r="L779" i="6"/>
  <c r="J562" i="6"/>
  <c r="I562" i="6" s="1"/>
  <c r="L589" i="6"/>
  <c r="J610" i="6"/>
  <c r="I610" i="6" s="1"/>
  <c r="L625" i="6"/>
  <c r="J646" i="6"/>
  <c r="I646" i="6" s="1"/>
  <c r="J663" i="6"/>
  <c r="I663" i="6" s="1"/>
  <c r="J670" i="6"/>
  <c r="I670" i="6" s="1"/>
  <c r="J699" i="6"/>
  <c r="I699" i="6" s="1"/>
  <c r="L723" i="6"/>
  <c r="J725" i="6"/>
  <c r="I725" i="6" s="1"/>
  <c r="J729" i="6"/>
  <c r="I729" i="6" s="1"/>
  <c r="J764" i="6"/>
  <c r="I764" i="6" s="1"/>
  <c r="R761" i="6"/>
  <c r="J775" i="6"/>
  <c r="I775" i="6" s="1"/>
  <c r="L772" i="6"/>
  <c r="J556" i="6"/>
  <c r="I556" i="6" s="1"/>
  <c r="J618" i="6"/>
  <c r="I618" i="6" s="1"/>
  <c r="J654" i="6"/>
  <c r="I654" i="6" s="1"/>
  <c r="L699" i="6"/>
  <c r="J717" i="6"/>
  <c r="I717" i="6" s="1"/>
  <c r="J720" i="6"/>
  <c r="I720" i="6" s="1"/>
  <c r="L717" i="6"/>
  <c r="U760" i="6"/>
  <c r="J763" i="6"/>
  <c r="I763" i="6" s="1"/>
  <c r="I777" i="6"/>
  <c r="J684" i="6"/>
  <c r="I684" i="6" s="1"/>
  <c r="L701" i="6"/>
  <c r="J719" i="6"/>
  <c r="I719" i="6" s="1"/>
  <c r="O716" i="6"/>
  <c r="J728" i="6"/>
  <c r="I728" i="6" s="1"/>
  <c r="R725" i="6"/>
  <c r="J790" i="6"/>
  <c r="I790" i="6" s="1"/>
  <c r="L787" i="6"/>
  <c r="J793" i="6"/>
  <c r="I793" i="6" s="1"/>
  <c r="O790" i="6"/>
  <c r="J612" i="6"/>
  <c r="I612" i="6" s="1"/>
  <c r="J648" i="6"/>
  <c r="I648" i="6" s="1"/>
  <c r="J664" i="6"/>
  <c r="I664" i="6" s="1"/>
  <c r="L661" i="6"/>
  <c r="J672" i="6"/>
  <c r="I672" i="6" s="1"/>
  <c r="J683" i="6"/>
  <c r="I683" i="6" s="1"/>
  <c r="J752" i="6"/>
  <c r="I752" i="6" s="1"/>
  <c r="L749" i="6"/>
  <c r="L767" i="6"/>
  <c r="J816" i="6"/>
  <c r="I816" i="6" s="1"/>
  <c r="O812" i="6"/>
  <c r="O672" i="6"/>
  <c r="O704" i="6"/>
  <c r="J606" i="6"/>
  <c r="I606" i="6" s="1"/>
  <c r="J642" i="6"/>
  <c r="I642" i="6" s="1"/>
  <c r="J676" i="6"/>
  <c r="I676" i="6" s="1"/>
  <c r="U698" i="6"/>
  <c r="J706" i="6"/>
  <c r="I706" i="6" s="1"/>
  <c r="L703" i="6"/>
  <c r="L713" i="6"/>
  <c r="J715" i="6"/>
  <c r="I715" i="6" s="1"/>
  <c r="J751" i="6"/>
  <c r="I751" i="6" s="1"/>
  <c r="J766" i="6"/>
  <c r="I766" i="6" s="1"/>
  <c r="L811" i="6"/>
  <c r="J815" i="6"/>
  <c r="I815" i="6" s="1"/>
  <c r="L797" i="6"/>
  <c r="J804" i="6"/>
  <c r="I804" i="6" s="1"/>
  <c r="J807" i="6"/>
  <c r="I807" i="6" s="1"/>
  <c r="J808" i="6"/>
  <c r="I808" i="6" s="1"/>
  <c r="J823" i="6"/>
  <c r="I823" i="6" s="1"/>
  <c r="L819" i="6"/>
  <c r="J826" i="6"/>
  <c r="I826" i="6" s="1"/>
  <c r="I830" i="6"/>
  <c r="J850" i="6"/>
  <c r="I850" i="6" s="1"/>
  <c r="O846" i="6"/>
  <c r="J825" i="6"/>
  <c r="I825" i="6" s="1"/>
  <c r="L821" i="6"/>
  <c r="L824" i="6"/>
  <c r="J828" i="6"/>
  <c r="I828" i="6" s="1"/>
  <c r="L791" i="6"/>
  <c r="J798" i="6"/>
  <c r="I798" i="6" s="1"/>
  <c r="J799" i="6"/>
  <c r="I799" i="6" s="1"/>
  <c r="L816" i="6"/>
  <c r="J820" i="6"/>
  <c r="I820" i="6" s="1"/>
  <c r="J886" i="6"/>
  <c r="I886" i="6" s="1"/>
  <c r="O882" i="6"/>
  <c r="O924" i="6"/>
  <c r="J928" i="6"/>
  <c r="I928" i="6" s="1"/>
  <c r="O805" i="6"/>
  <c r="J818" i="6"/>
  <c r="I818" i="6" s="1"/>
  <c r="J849" i="6"/>
  <c r="I849" i="6" s="1"/>
  <c r="R845" i="6"/>
  <c r="J714" i="6"/>
  <c r="I714" i="6" s="1"/>
  <c r="J750" i="6"/>
  <c r="I750" i="6" s="1"/>
  <c r="J772" i="6"/>
  <c r="I772" i="6" s="1"/>
  <c r="J780" i="6"/>
  <c r="I780" i="6" s="1"/>
  <c r="J792" i="6"/>
  <c r="I792" i="6" s="1"/>
  <c r="I832" i="6"/>
  <c r="O799" i="6"/>
  <c r="J800" i="6"/>
  <c r="I800" i="6" s="1"/>
  <c r="J817" i="6"/>
  <c r="I817" i="6" s="1"/>
  <c r="L850" i="6"/>
  <c r="J854" i="6"/>
  <c r="I854" i="6" s="1"/>
  <c r="J744" i="6"/>
  <c r="I744" i="6" s="1"/>
  <c r="J774" i="6"/>
  <c r="I774" i="6" s="1"/>
  <c r="J844" i="6"/>
  <c r="I844" i="6" s="1"/>
  <c r="J845" i="6"/>
  <c r="I845" i="6" s="1"/>
  <c r="L841" i="6"/>
  <c r="J871" i="6"/>
  <c r="I871" i="6" s="1"/>
  <c r="L867" i="6"/>
  <c r="J862" i="6"/>
  <c r="I862" i="6" s="1"/>
  <c r="R858" i="6"/>
  <c r="J870" i="6"/>
  <c r="I870" i="6" s="1"/>
  <c r="J874" i="6"/>
  <c r="I874" i="6" s="1"/>
  <c r="U870" i="6"/>
  <c r="L943" i="6"/>
  <c r="J947" i="6"/>
  <c r="I947" i="6" s="1"/>
  <c r="J724" i="6"/>
  <c r="I724" i="6" s="1"/>
  <c r="O752" i="6"/>
  <c r="L753" i="6"/>
  <c r="J760" i="6"/>
  <c r="I760" i="6" s="1"/>
  <c r="J784" i="6"/>
  <c r="I784" i="6" s="1"/>
  <c r="O849" i="6"/>
  <c r="J853" i="6"/>
  <c r="I853" i="6" s="1"/>
  <c r="J696" i="6"/>
  <c r="I696" i="6" s="1"/>
  <c r="J732" i="6"/>
  <c r="I732" i="6" s="1"/>
  <c r="J768" i="6"/>
  <c r="I768" i="6" s="1"/>
  <c r="L796" i="6"/>
  <c r="J810" i="6"/>
  <c r="I810" i="6" s="1"/>
  <c r="J858" i="6"/>
  <c r="I858" i="6" s="1"/>
  <c r="L854" i="6"/>
  <c r="R938" i="6"/>
  <c r="J942" i="6"/>
  <c r="I942" i="6" s="1"/>
  <c r="J682" i="6"/>
  <c r="I682" i="6" s="1"/>
  <c r="L697" i="6"/>
  <c r="L711" i="6"/>
  <c r="J718" i="6"/>
  <c r="I718" i="6" s="1"/>
  <c r="L733" i="6"/>
  <c r="L747" i="6"/>
  <c r="J754" i="6"/>
  <c r="I754" i="6" s="1"/>
  <c r="L769" i="6"/>
  <c r="L777" i="6"/>
  <c r="J786" i="6"/>
  <c r="I786" i="6" s="1"/>
  <c r="L789" i="6"/>
  <c r="L832" i="6"/>
  <c r="L835" i="6"/>
  <c r="R848" i="6"/>
  <c r="J852" i="6"/>
  <c r="I852" i="6" s="1"/>
  <c r="J851" i="6"/>
  <c r="I851" i="6" s="1"/>
  <c r="J902" i="6"/>
  <c r="I902" i="6" s="1"/>
  <c r="J938" i="6"/>
  <c r="I938" i="6" s="1"/>
  <c r="L934" i="6"/>
  <c r="J866" i="6"/>
  <c r="I866" i="6" s="1"/>
  <c r="J927" i="6"/>
  <c r="I927" i="6" s="1"/>
  <c r="J931" i="6"/>
  <c r="I931" i="6" s="1"/>
  <c r="O927" i="6"/>
  <c r="L937" i="6"/>
  <c r="J941" i="6"/>
  <c r="I941" i="6" s="1"/>
  <c r="J944" i="6"/>
  <c r="I944" i="6" s="1"/>
  <c r="L940" i="6"/>
  <c r="J833" i="6"/>
  <c r="I833" i="6" s="1"/>
  <c r="J834" i="6"/>
  <c r="I834" i="6" s="1"/>
  <c r="J847" i="6"/>
  <c r="I847" i="6" s="1"/>
  <c r="O852" i="6"/>
  <c r="J860" i="6"/>
  <c r="I860" i="6" s="1"/>
  <c r="R864" i="6"/>
  <c r="J873" i="6"/>
  <c r="I873" i="6" s="1"/>
  <c r="J880" i="6"/>
  <c r="I880" i="6" s="1"/>
  <c r="J827" i="6"/>
  <c r="I827" i="6" s="1"/>
  <c r="L847" i="6"/>
  <c r="L860" i="6"/>
  <c r="J867" i="6"/>
  <c r="I867" i="6" s="1"/>
  <c r="O872" i="6"/>
  <c r="L873" i="6"/>
  <c r="J930" i="6"/>
  <c r="I930" i="6" s="1"/>
  <c r="J835" i="6"/>
  <c r="I835" i="6" s="1"/>
  <c r="J848" i="6"/>
  <c r="I848" i="6" s="1"/>
  <c r="J861" i="6"/>
  <c r="I861" i="6" s="1"/>
  <c r="L919" i="6"/>
  <c r="J923" i="6"/>
  <c r="I923" i="6" s="1"/>
  <c r="J937" i="6"/>
  <c r="I937" i="6" s="1"/>
  <c r="O933" i="6"/>
  <c r="J940" i="6"/>
  <c r="I940" i="6" s="1"/>
  <c r="J926" i="6"/>
  <c r="I926" i="6" s="1"/>
  <c r="L823" i="6"/>
  <c r="J875" i="6"/>
  <c r="I875" i="6" s="1"/>
  <c r="L925" i="6"/>
  <c r="J929" i="6"/>
  <c r="I929" i="6" s="1"/>
  <c r="J939" i="6"/>
  <c r="I939" i="6" s="1"/>
  <c r="J869" i="6"/>
  <c r="I869" i="6" s="1"/>
  <c r="R881" i="6"/>
  <c r="L883" i="6"/>
  <c r="O898" i="6"/>
  <c r="J932" i="6"/>
  <c r="I932" i="6" s="1"/>
  <c r="L928" i="6"/>
  <c r="J863" i="6"/>
  <c r="I863" i="6" s="1"/>
  <c r="J811" i="6"/>
  <c r="I811" i="6" s="1"/>
  <c r="J857" i="6"/>
  <c r="I857" i="6" s="1"/>
  <c r="L877" i="6"/>
  <c r="J884" i="6"/>
  <c r="I884" i="6" s="1"/>
  <c r="J925" i="6"/>
  <c r="I925" i="6" s="1"/>
  <c r="L931" i="6"/>
  <c r="J935" i="6"/>
  <c r="I935" i="6" s="1"/>
  <c r="O20" i="9"/>
  <c r="Q20" i="9"/>
  <c r="W20" i="9"/>
  <c r="D23" i="2" l="1"/>
  <c r="E23" i="2" s="1"/>
  <c r="D29" i="2"/>
  <c r="E29" i="2" s="1"/>
  <c r="K16" i="2"/>
  <c r="D48" i="2"/>
  <c r="E48" i="2" s="1"/>
  <c r="D45" i="2"/>
  <c r="E45" i="2" s="1"/>
  <c r="M21" i="2"/>
  <c r="C16" i="2"/>
  <c r="C21" i="2"/>
  <c r="F10" i="8" s="1"/>
  <c r="C4" i="2"/>
  <c r="F9" i="8" s="1"/>
  <c r="G15" i="7"/>
  <c r="H15" i="7" s="1"/>
  <c r="G11" i="7"/>
  <c r="H11" i="7" s="1"/>
  <c r="L50" i="2"/>
  <c r="J50" i="2"/>
  <c r="J5" i="6"/>
  <c r="F11" i="8"/>
  <c r="D15" i="2"/>
  <c r="E15" i="2" s="1"/>
  <c r="I16" i="2"/>
  <c r="D37" i="2"/>
  <c r="E37" i="2" s="1"/>
  <c r="D26" i="2"/>
  <c r="E26" i="2" s="1"/>
  <c r="J10" i="7"/>
  <c r="K10" i="7" s="1"/>
  <c r="Q10" i="7" s="1"/>
  <c r="J477" i="6"/>
  <c r="I477" i="6" s="1"/>
  <c r="G9" i="7"/>
  <c r="H9" i="7" s="1"/>
  <c r="L16" i="7"/>
  <c r="J549" i="6"/>
  <c r="I549" i="6" s="1"/>
  <c r="I16" i="7"/>
  <c r="F16" i="7"/>
  <c r="L144" i="6"/>
  <c r="J144" i="6"/>
  <c r="I144" i="6" s="1"/>
  <c r="L89" i="6"/>
  <c r="J89" i="6"/>
  <c r="I89" i="6" s="1"/>
  <c r="L25" i="6"/>
  <c r="J25" i="6"/>
  <c r="I25" i="6" s="1"/>
  <c r="L246" i="6"/>
  <c r="J246" i="6"/>
  <c r="I246" i="6" s="1"/>
  <c r="J275" i="6"/>
  <c r="I275" i="6" s="1"/>
  <c r="L275" i="6"/>
  <c r="J500" i="6"/>
  <c r="I500" i="6" s="1"/>
  <c r="L497" i="6"/>
  <c r="L217" i="6"/>
  <c r="J217" i="6"/>
  <c r="I217" i="6" s="1"/>
  <c r="L137" i="6"/>
  <c r="J137" i="6"/>
  <c r="I137" i="6" s="1"/>
  <c r="J294" i="6"/>
  <c r="I294" i="6" s="1"/>
  <c r="L294" i="6"/>
  <c r="L41" i="6"/>
  <c r="J41" i="6"/>
  <c r="I41" i="6" s="1"/>
  <c r="J50" i="6"/>
  <c r="I50" i="6" s="1"/>
  <c r="L50" i="6"/>
  <c r="L205" i="6"/>
  <c r="J205" i="6"/>
  <c r="I205" i="6" s="1"/>
  <c r="L218" i="6"/>
  <c r="J218" i="6"/>
  <c r="I218" i="6" s="1"/>
  <c r="K21" i="2"/>
  <c r="L160" i="6"/>
  <c r="J160" i="6"/>
  <c r="I160" i="6" s="1"/>
  <c r="L62" i="6"/>
  <c r="J62" i="6"/>
  <c r="I62" i="6" s="1"/>
  <c r="L67" i="6"/>
  <c r="J67" i="6"/>
  <c r="I67" i="6" s="1"/>
  <c r="L950" i="6"/>
  <c r="J950" i="6"/>
  <c r="I950" i="6" s="1"/>
  <c r="L448" i="6"/>
  <c r="J451" i="6"/>
  <c r="I451" i="6" s="1"/>
  <c r="J789" i="6"/>
  <c r="I789" i="6" s="1"/>
  <c r="L786" i="6"/>
  <c r="L10" i="6"/>
  <c r="J10" i="6"/>
  <c r="J812" i="6"/>
  <c r="I812" i="6" s="1"/>
  <c r="L808" i="6"/>
  <c r="L817" i="6"/>
  <c r="J821" i="6"/>
  <c r="I821" i="6" s="1"/>
  <c r="J60" i="6"/>
  <c r="I60" i="6" s="1"/>
  <c r="L60" i="6"/>
  <c r="L202" i="6"/>
  <c r="J202" i="6"/>
  <c r="I202" i="6" s="1"/>
  <c r="J282" i="6"/>
  <c r="I282" i="6" s="1"/>
  <c r="L282" i="6"/>
  <c r="L244" i="6"/>
  <c r="J244" i="6"/>
  <c r="I244" i="6" s="1"/>
  <c r="L960" i="6"/>
  <c r="J960" i="6"/>
  <c r="I960" i="6" s="1"/>
  <c r="L85" i="6"/>
  <c r="J85" i="6"/>
  <c r="I85" i="6" s="1"/>
  <c r="L470" i="6"/>
  <c r="J473" i="6"/>
  <c r="I473" i="6" s="1"/>
  <c r="L20" i="6"/>
  <c r="J20" i="6"/>
  <c r="I20" i="6" s="1"/>
  <c r="I4" i="2"/>
  <c r="L521" i="6"/>
  <c r="J524" i="6"/>
  <c r="I524" i="6" s="1"/>
  <c r="L165" i="6"/>
  <c r="J165" i="6"/>
  <c r="I165" i="6" s="1"/>
  <c r="J390" i="6"/>
  <c r="I390" i="6" s="1"/>
  <c r="L389" i="6"/>
  <c r="L973" i="6"/>
  <c r="J973" i="6"/>
  <c r="I973" i="6" s="1"/>
  <c r="J108" i="6"/>
  <c r="I108" i="6" s="1"/>
  <c r="L108" i="6"/>
  <c r="J949" i="6"/>
  <c r="I949" i="6" s="1"/>
  <c r="J46" i="6"/>
  <c r="I46" i="6" s="1"/>
  <c r="L46" i="6"/>
  <c r="J206" i="6"/>
  <c r="I206" i="6" s="1"/>
  <c r="L206" i="6"/>
  <c r="D20" i="2"/>
  <c r="E20" i="2" s="1"/>
  <c r="L187" i="6"/>
  <c r="J187" i="6"/>
  <c r="I187" i="6" s="1"/>
  <c r="L235" i="6"/>
  <c r="J235" i="6"/>
  <c r="I235" i="6" s="1"/>
  <c r="J37" i="6"/>
  <c r="I37" i="6" s="1"/>
  <c r="L37" i="6"/>
  <c r="L219" i="6"/>
  <c r="J219" i="6"/>
  <c r="I219" i="6" s="1"/>
  <c r="L302" i="6"/>
  <c r="J302" i="6"/>
  <c r="I302" i="6" s="1"/>
  <c r="J537" i="6"/>
  <c r="I537" i="6" s="1"/>
  <c r="L534" i="6"/>
  <c r="L188" i="6"/>
  <c r="J188" i="6"/>
  <c r="I188" i="6" s="1"/>
  <c r="L405" i="6"/>
  <c r="J406" i="6"/>
  <c r="I406" i="6" s="1"/>
  <c r="J31" i="6"/>
  <c r="I31" i="6" s="1"/>
  <c r="L142" i="6"/>
  <c r="J142" i="6"/>
  <c r="I142" i="6" s="1"/>
  <c r="J44" i="6"/>
  <c r="I44" i="6" s="1"/>
  <c r="L44" i="6"/>
  <c r="J276" i="6"/>
  <c r="I276" i="6" s="1"/>
  <c r="L276" i="6"/>
  <c r="L73" i="6"/>
  <c r="J73" i="6"/>
  <c r="I73" i="6" s="1"/>
  <c r="L238" i="6"/>
  <c r="J238" i="6"/>
  <c r="I238" i="6" s="1"/>
  <c r="J58" i="6"/>
  <c r="I58" i="6" s="1"/>
  <c r="L58" i="6"/>
  <c r="L129" i="6"/>
  <c r="J129" i="6"/>
  <c r="I129" i="6" s="1"/>
  <c r="L173" i="6"/>
  <c r="J173" i="6"/>
  <c r="I173" i="6" s="1"/>
  <c r="L172" i="6"/>
  <c r="J172" i="6"/>
  <c r="I172" i="6" s="1"/>
  <c r="L364" i="6"/>
  <c r="J365" i="6"/>
  <c r="I365" i="6" s="1"/>
  <c r="L380" i="6"/>
  <c r="J381" i="6"/>
  <c r="I381" i="6" s="1"/>
  <c r="L319" i="6"/>
  <c r="J319" i="6"/>
  <c r="I319" i="6" s="1"/>
  <c r="L334" i="6"/>
  <c r="J335" i="6"/>
  <c r="I335" i="6" s="1"/>
  <c r="L162" i="6"/>
  <c r="J162" i="6"/>
  <c r="I162" i="6" s="1"/>
  <c r="J283" i="6"/>
  <c r="I283" i="6" s="1"/>
  <c r="L283" i="6"/>
  <c r="L384" i="6"/>
  <c r="J385" i="6"/>
  <c r="I385" i="6" s="1"/>
  <c r="L962" i="6"/>
  <c r="J962" i="6"/>
  <c r="I962" i="6" s="1"/>
  <c r="L966" i="6"/>
  <c r="J966" i="6"/>
  <c r="I966" i="6" s="1"/>
  <c r="L24" i="6"/>
  <c r="J24" i="6"/>
  <c r="I24" i="6" s="1"/>
  <c r="G16" i="2"/>
  <c r="D17" i="2"/>
  <c r="E17" i="2" s="1"/>
  <c r="L252" i="6"/>
  <c r="J252" i="6"/>
  <c r="I252" i="6" s="1"/>
  <c r="L273" i="6"/>
  <c r="J273" i="6"/>
  <c r="I273" i="6" s="1"/>
  <c r="L269" i="6"/>
  <c r="J269" i="6"/>
  <c r="I269" i="6" s="1"/>
  <c r="J40" i="6"/>
  <c r="I40" i="6" s="1"/>
  <c r="L40" i="6"/>
  <c r="L38" i="6"/>
  <c r="J38" i="6"/>
  <c r="I38" i="6" s="1"/>
  <c r="L237" i="6"/>
  <c r="J237" i="6"/>
  <c r="I237" i="6" s="1"/>
  <c r="J819" i="6"/>
  <c r="I819" i="6" s="1"/>
  <c r="L815" i="6"/>
  <c r="L239" i="6"/>
  <c r="J239" i="6"/>
  <c r="I239" i="6" s="1"/>
  <c r="L387" i="6"/>
  <c r="J388" i="6"/>
  <c r="I388" i="6" s="1"/>
  <c r="L233" i="6"/>
  <c r="J233" i="6"/>
  <c r="I233" i="6" s="1"/>
  <c r="L969" i="6"/>
  <c r="J969" i="6"/>
  <c r="I969" i="6" s="1"/>
  <c r="J773" i="6"/>
  <c r="I773" i="6" s="1"/>
  <c r="L770" i="6"/>
  <c r="L9" i="6"/>
  <c r="J9" i="6"/>
  <c r="I9" i="6" s="1"/>
  <c r="K4" i="2"/>
  <c r="L69" i="6"/>
  <c r="J69" i="6"/>
  <c r="I69" i="6" s="1"/>
  <c r="J439" i="6"/>
  <c r="I439" i="6" s="1"/>
  <c r="L955" i="6"/>
  <c r="J955" i="6"/>
  <c r="I955" i="6" s="1"/>
  <c r="L208" i="6"/>
  <c r="J208" i="6"/>
  <c r="I208" i="6" s="1"/>
  <c r="L98" i="6"/>
  <c r="J98" i="6"/>
  <c r="I98" i="6" s="1"/>
  <c r="L34" i="6"/>
  <c r="J34" i="6"/>
  <c r="I34" i="6" s="1"/>
  <c r="G4" i="2"/>
  <c r="D5" i="2"/>
  <c r="E5" i="2" s="1"/>
  <c r="L254" i="6"/>
  <c r="J254" i="6"/>
  <c r="I254" i="6" s="1"/>
  <c r="M10" i="7"/>
  <c r="N10" i="7" s="1"/>
  <c r="J274" i="6"/>
  <c r="I274" i="6" s="1"/>
  <c r="L274" i="6"/>
  <c r="J270" i="6"/>
  <c r="I270" i="6" s="1"/>
  <c r="L270" i="6"/>
  <c r="J57" i="6"/>
  <c r="L57" i="6"/>
  <c r="L965" i="6"/>
  <c r="J965" i="6"/>
  <c r="I965" i="6" s="1"/>
  <c r="L535" i="6"/>
  <c r="J538" i="6"/>
  <c r="I538" i="6" s="1"/>
  <c r="L156" i="6"/>
  <c r="J156" i="6"/>
  <c r="I156" i="6" s="1"/>
  <c r="D9" i="2"/>
  <c r="E9" i="2" s="1"/>
  <c r="J53" i="6"/>
  <c r="I53" i="6" s="1"/>
  <c r="L53" i="6"/>
  <c r="L951" i="6"/>
  <c r="J951" i="6"/>
  <c r="I951" i="6" s="1"/>
  <c r="L125" i="6"/>
  <c r="J125" i="6"/>
  <c r="I125" i="6" s="1"/>
  <c r="L88" i="6"/>
  <c r="J88" i="6"/>
  <c r="I88" i="6" s="1"/>
  <c r="L32" i="6"/>
  <c r="J32" i="6"/>
  <c r="I32" i="6" s="1"/>
  <c r="L145" i="6"/>
  <c r="J145" i="6"/>
  <c r="I145" i="6" s="1"/>
  <c r="L223" i="6"/>
  <c r="J223" i="6"/>
  <c r="I223" i="6" s="1"/>
  <c r="L179" i="6"/>
  <c r="J179" i="6"/>
  <c r="I179" i="6" s="1"/>
  <c r="J120" i="6"/>
  <c r="I120" i="6" s="1"/>
  <c r="L120" i="6"/>
  <c r="J59" i="6"/>
  <c r="I59" i="6" s="1"/>
  <c r="L59" i="6"/>
  <c r="L415" i="6"/>
  <c r="J417" i="6"/>
  <c r="I417" i="6" s="1"/>
  <c r="L975" i="6"/>
  <c r="J975" i="6"/>
  <c r="I975" i="6" s="1"/>
  <c r="L785" i="6"/>
  <c r="J788" i="6"/>
  <c r="I788" i="6" s="1"/>
  <c r="L65" i="6"/>
  <c r="J65" i="6"/>
  <c r="I65" i="6" s="1"/>
  <c r="L14" i="6"/>
  <c r="J14" i="6"/>
  <c r="I14" i="6" s="1"/>
  <c r="J480" i="6"/>
  <c r="I480" i="6" s="1"/>
  <c r="L192" i="6"/>
  <c r="J192" i="6"/>
  <c r="I192" i="6" s="1"/>
  <c r="J292" i="6"/>
  <c r="I292" i="6" s="1"/>
  <c r="L292" i="6"/>
  <c r="J769" i="6"/>
  <c r="I769" i="6" s="1"/>
  <c r="L766" i="6"/>
  <c r="L90" i="6"/>
  <c r="J90" i="6"/>
  <c r="I90" i="6" s="1"/>
  <c r="L19" i="6"/>
  <c r="J19" i="6"/>
  <c r="L196" i="6"/>
  <c r="J196" i="6"/>
  <c r="I196" i="6" s="1"/>
  <c r="J248" i="6"/>
  <c r="I248" i="6" s="1"/>
  <c r="L248" i="6"/>
  <c r="L186" i="6"/>
  <c r="J186" i="6"/>
  <c r="I186" i="6" s="1"/>
  <c r="J102" i="6"/>
  <c r="I102" i="6" s="1"/>
  <c r="J11" i="7"/>
  <c r="K11" i="7" s="1"/>
  <c r="Q11" i="7" s="1"/>
  <c r="D30" i="2"/>
  <c r="E30" i="2" s="1"/>
  <c r="J379" i="6"/>
  <c r="I379" i="6" s="1"/>
  <c r="L378" i="6"/>
  <c r="D19" i="2"/>
  <c r="E19" i="2" s="1"/>
  <c r="J289" i="6"/>
  <c r="I289" i="6" s="1"/>
  <c r="L289" i="6"/>
  <c r="L107" i="6"/>
  <c r="J107" i="6"/>
  <c r="I107" i="6" s="1"/>
  <c r="L780" i="6"/>
  <c r="J783" i="6"/>
  <c r="I783" i="6" s="1"/>
  <c r="L17" i="6"/>
  <c r="J17" i="6"/>
  <c r="I17" i="6" s="1"/>
  <c r="L339" i="6"/>
  <c r="J340" i="6"/>
  <c r="I340" i="6" s="1"/>
  <c r="L115" i="6"/>
  <c r="J115" i="6"/>
  <c r="I115" i="6" s="1"/>
  <c r="J27" i="6"/>
  <c r="I27" i="6" s="1"/>
  <c r="L27" i="6"/>
  <c r="J434" i="6"/>
  <c r="I434" i="6" s="1"/>
  <c r="L432" i="6"/>
  <c r="L216" i="6"/>
  <c r="J216" i="6"/>
  <c r="I216" i="6" s="1"/>
  <c r="L140" i="6"/>
  <c r="J140" i="6"/>
  <c r="I140" i="6" s="1"/>
  <c r="M4" i="2"/>
  <c r="J952" i="6"/>
  <c r="I952" i="6" s="1"/>
  <c r="L981" i="6"/>
  <c r="L952" i="6"/>
  <c r="J362" i="6"/>
  <c r="I362" i="6" s="1"/>
  <c r="L361" i="6"/>
  <c r="J56" i="6"/>
  <c r="I56" i="6" s="1"/>
  <c r="L56" i="6"/>
  <c r="O981" i="6"/>
  <c r="O952" i="6"/>
  <c r="L201" i="6"/>
  <c r="J201" i="6"/>
  <c r="I201" i="6" s="1"/>
  <c r="L159" i="6"/>
  <c r="J159" i="6"/>
  <c r="I159" i="6" s="1"/>
  <c r="G10" i="7"/>
  <c r="H10" i="7" s="1"/>
  <c r="L226" i="6"/>
  <c r="J226" i="6"/>
  <c r="I226" i="6" s="1"/>
  <c r="L977" i="6"/>
  <c r="J977" i="6"/>
  <c r="I977" i="6" s="1"/>
  <c r="L82" i="6"/>
  <c r="J82" i="6"/>
  <c r="I82" i="6" s="1"/>
  <c r="J964" i="6"/>
  <c r="I964" i="6" s="1"/>
  <c r="L964" i="6"/>
  <c r="J422" i="6"/>
  <c r="I422" i="6" s="1"/>
  <c r="L420" i="6"/>
  <c r="L118" i="6"/>
  <c r="J118" i="6"/>
  <c r="I118" i="6" s="1"/>
  <c r="L106" i="6"/>
  <c r="J106" i="6"/>
  <c r="I106" i="6" s="1"/>
  <c r="L33" i="6"/>
  <c r="J33" i="6"/>
  <c r="I33" i="6" s="1"/>
  <c r="D8" i="2"/>
  <c r="E8" i="2" s="1"/>
  <c r="J509" i="6"/>
  <c r="I509" i="6" s="1"/>
  <c r="L506" i="6"/>
  <c r="J551" i="6"/>
  <c r="I551" i="6" s="1"/>
  <c r="L548" i="6"/>
  <c r="L184" i="6"/>
  <c r="J184" i="6"/>
  <c r="I184" i="6" s="1"/>
  <c r="J54" i="6"/>
  <c r="I54" i="6" s="1"/>
  <c r="L54" i="6"/>
  <c r="L972" i="6"/>
  <c r="J972" i="6"/>
  <c r="I972" i="6" s="1"/>
  <c r="J785" i="6"/>
  <c r="I785" i="6" s="1"/>
  <c r="L782" i="6"/>
  <c r="L271" i="6"/>
  <c r="J271" i="6"/>
  <c r="I271" i="6" s="1"/>
  <c r="J286" i="6"/>
  <c r="I286" i="6" s="1"/>
  <c r="L286" i="6"/>
  <c r="L203" i="6"/>
  <c r="J203" i="6"/>
  <c r="I203" i="6" s="1"/>
  <c r="L84" i="6"/>
  <c r="J84" i="6"/>
  <c r="I84" i="6" s="1"/>
  <c r="L325" i="6"/>
  <c r="J325" i="6"/>
  <c r="I325" i="6" s="1"/>
  <c r="J190" i="6"/>
  <c r="I190" i="6" s="1"/>
  <c r="L190" i="6"/>
  <c r="L262" i="6"/>
  <c r="J262" i="6"/>
  <c r="I262" i="6" s="1"/>
  <c r="J48" i="6"/>
  <c r="I48" i="6" s="1"/>
  <c r="L228" i="6"/>
  <c r="J228" i="6"/>
  <c r="I228" i="6" s="1"/>
  <c r="I3" i="6"/>
  <c r="L175" i="6"/>
  <c r="J175" i="6"/>
  <c r="I175" i="6" s="1"/>
  <c r="J114" i="6"/>
  <c r="I114" i="6" s="1"/>
  <c r="L114" i="6"/>
  <c r="L61" i="6"/>
  <c r="J61" i="6"/>
  <c r="I61" i="6" s="1"/>
  <c r="L43" i="6"/>
  <c r="J43" i="6"/>
  <c r="I43" i="6" s="1"/>
  <c r="L78" i="6"/>
  <c r="J78" i="6"/>
  <c r="I78" i="6" s="1"/>
  <c r="J64" i="6"/>
  <c r="I64" i="6" s="1"/>
  <c r="L64" i="6"/>
  <c r="M14" i="7"/>
  <c r="N14" i="7" s="1"/>
  <c r="L956" i="6"/>
  <c r="J956" i="6"/>
  <c r="I956" i="6" s="1"/>
  <c r="L47" i="6"/>
  <c r="J47" i="6"/>
  <c r="I47" i="6" s="1"/>
  <c r="D18" i="2"/>
  <c r="E18" i="2" s="1"/>
  <c r="L95" i="6"/>
  <c r="J95" i="6"/>
  <c r="I95" i="6" s="1"/>
  <c r="L28" i="6"/>
  <c r="J28" i="6"/>
  <c r="J227" i="6"/>
  <c r="I227" i="6" s="1"/>
  <c r="L227" i="6"/>
  <c r="J288" i="6"/>
  <c r="I288" i="6" s="1"/>
  <c r="L288" i="6"/>
  <c r="L395" i="6"/>
  <c r="J396" i="6"/>
  <c r="I396" i="6" s="1"/>
  <c r="J39" i="6"/>
  <c r="I39" i="6" s="1"/>
  <c r="L290" i="6"/>
  <c r="J290" i="6"/>
  <c r="I290" i="6" s="1"/>
  <c r="L212" i="6"/>
  <c r="J212" i="6"/>
  <c r="I212" i="6" s="1"/>
  <c r="L360" i="6"/>
  <c r="J361" i="6"/>
  <c r="I361" i="6" s="1"/>
  <c r="L76" i="6"/>
  <c r="J76" i="6"/>
  <c r="I76" i="6" s="1"/>
  <c r="L381" i="6"/>
  <c r="J382" i="6"/>
  <c r="I382" i="6" s="1"/>
  <c r="G13" i="7"/>
  <c r="H13" i="7" s="1"/>
  <c r="L253" i="6"/>
  <c r="J253" i="6"/>
  <c r="I253" i="6" s="1"/>
  <c r="J970" i="6"/>
  <c r="I970" i="6" s="1"/>
  <c r="L970" i="6"/>
  <c r="L979" i="6"/>
  <c r="J979" i="6"/>
  <c r="I979" i="6" s="1"/>
  <c r="G14" i="7"/>
  <c r="H14" i="7" s="1"/>
  <c r="L183" i="6"/>
  <c r="J183" i="6"/>
  <c r="I183" i="6" s="1"/>
  <c r="J976" i="6"/>
  <c r="I976" i="6" s="1"/>
  <c r="L976" i="6"/>
  <c r="L245" i="6"/>
  <c r="J245" i="6"/>
  <c r="I245" i="6" s="1"/>
  <c r="L300" i="6"/>
  <c r="J300" i="6"/>
  <c r="I300" i="6" s="1"/>
  <c r="D39" i="2"/>
  <c r="E39" i="2" s="1"/>
  <c r="L971" i="6"/>
  <c r="J971" i="6"/>
  <c r="I971" i="6" s="1"/>
  <c r="L74" i="6"/>
  <c r="J74" i="6"/>
  <c r="I74" i="6" s="1"/>
  <c r="L279" i="6"/>
  <c r="J279" i="6"/>
  <c r="I279" i="6" s="1"/>
  <c r="L194" i="6"/>
  <c r="J194" i="6"/>
  <c r="I194" i="6" s="1"/>
  <c r="J9" i="7"/>
  <c r="C16" i="7"/>
  <c r="J15" i="7"/>
  <c r="K15" i="7" s="1"/>
  <c r="Q15" i="7" s="1"/>
  <c r="L382" i="6"/>
  <c r="J383" i="6"/>
  <c r="I383" i="6" s="1"/>
  <c r="L174" i="6"/>
  <c r="J174" i="6"/>
  <c r="I174" i="6" s="1"/>
  <c r="L272" i="6"/>
  <c r="J272" i="6"/>
  <c r="I272" i="6" s="1"/>
  <c r="L469" i="6"/>
  <c r="J472" i="6"/>
  <c r="I472" i="6" s="1"/>
  <c r="J440" i="6"/>
  <c r="I440" i="6" s="1"/>
  <c r="L437" i="6"/>
  <c r="L91" i="6"/>
  <c r="J91" i="6"/>
  <c r="I91" i="6" s="1"/>
  <c r="J544" i="6"/>
  <c r="I544" i="6" s="1"/>
  <c r="L541" i="6"/>
  <c r="L182" i="6"/>
  <c r="J182" i="6"/>
  <c r="I182" i="6" s="1"/>
  <c r="L113" i="6"/>
  <c r="J113" i="6"/>
  <c r="I113" i="6" s="1"/>
  <c r="L22" i="6"/>
  <c r="J22" i="6"/>
  <c r="I22" i="6" s="1"/>
  <c r="L180" i="6"/>
  <c r="J180" i="6"/>
  <c r="I180" i="6" s="1"/>
  <c r="L152" i="6"/>
  <c r="J152" i="6"/>
  <c r="I152" i="6" s="1"/>
  <c r="J26" i="6"/>
  <c r="I26" i="6" s="1"/>
  <c r="L439" i="6"/>
  <c r="J442" i="6"/>
  <c r="I442" i="6" s="1"/>
  <c r="U952" i="6"/>
  <c r="U981" i="6"/>
  <c r="L482" i="6"/>
  <c r="J485" i="6"/>
  <c r="I485" i="6" s="1"/>
  <c r="J514" i="6"/>
  <c r="I514" i="6" s="1"/>
  <c r="J948" i="6"/>
  <c r="I948" i="6" s="1"/>
  <c r="L207" i="6"/>
  <c r="J207" i="6"/>
  <c r="I207" i="6" s="1"/>
  <c r="G12" i="7"/>
  <c r="H12" i="7" s="1"/>
  <c r="L177" i="6"/>
  <c r="J177" i="6"/>
  <c r="I177" i="6" s="1"/>
  <c r="L954" i="6"/>
  <c r="J954" i="6"/>
  <c r="I954" i="6" s="1"/>
  <c r="L42" i="6"/>
  <c r="J42" i="6"/>
  <c r="I42" i="6" s="1"/>
  <c r="L317" i="6"/>
  <c r="J317" i="6"/>
  <c r="I317" i="6" s="1"/>
  <c r="L307" i="6"/>
  <c r="J307" i="6"/>
  <c r="I307" i="6" s="1"/>
  <c r="J200" i="6"/>
  <c r="I200" i="6" s="1"/>
  <c r="L200" i="6"/>
  <c r="L109" i="6"/>
  <c r="J109" i="6"/>
  <c r="I109" i="6" s="1"/>
  <c r="L66" i="6"/>
  <c r="J66" i="6"/>
  <c r="I66" i="6" s="1"/>
  <c r="J378" i="6"/>
  <c r="I378" i="6" s="1"/>
  <c r="L377" i="6"/>
  <c r="L256" i="6"/>
  <c r="J256" i="6"/>
  <c r="I256" i="6" s="1"/>
  <c r="L185" i="6"/>
  <c r="J185" i="6"/>
  <c r="I185" i="6" s="1"/>
  <c r="M13" i="7"/>
  <c r="N13" i="7" s="1"/>
  <c r="M11" i="7"/>
  <c r="N11" i="7" s="1"/>
  <c r="L959" i="6"/>
  <c r="J959" i="6"/>
  <c r="I959" i="6" s="1"/>
  <c r="L953" i="6"/>
  <c r="J953" i="6"/>
  <c r="I953" i="6" s="1"/>
  <c r="L123" i="6"/>
  <c r="J123" i="6"/>
  <c r="I123" i="6" s="1"/>
  <c r="D7" i="2"/>
  <c r="E7" i="2" s="1"/>
  <c r="L87" i="6"/>
  <c r="J87" i="6"/>
  <c r="I87" i="6" s="1"/>
  <c r="L23" i="6"/>
  <c r="J23" i="6"/>
  <c r="J958" i="6"/>
  <c r="I958" i="6" s="1"/>
  <c r="L958" i="6"/>
  <c r="J45" i="6"/>
  <c r="I45" i="6" s="1"/>
  <c r="L45" i="6"/>
  <c r="L264" i="6"/>
  <c r="J264" i="6"/>
  <c r="I264" i="6" s="1"/>
  <c r="L72" i="6"/>
  <c r="J72" i="6"/>
  <c r="I72" i="6" s="1"/>
  <c r="L957" i="6"/>
  <c r="J957" i="6"/>
  <c r="I957" i="6" s="1"/>
  <c r="L963" i="6"/>
  <c r="J963" i="6"/>
  <c r="I963" i="6" s="1"/>
  <c r="J401" i="6"/>
  <c r="I401" i="6" s="1"/>
  <c r="J52" i="6"/>
  <c r="I52" i="6" s="1"/>
  <c r="L52" i="6"/>
  <c r="J287" i="6"/>
  <c r="I287" i="6" s="1"/>
  <c r="L287" i="6"/>
  <c r="L243" i="6"/>
  <c r="J243" i="6"/>
  <c r="I243" i="6" s="1"/>
  <c r="J280" i="6"/>
  <c r="I280" i="6" s="1"/>
  <c r="L280" i="6"/>
  <c r="J387" i="6"/>
  <c r="I387" i="6" s="1"/>
  <c r="L386" i="6"/>
  <c r="J337" i="6"/>
  <c r="I337" i="6" s="1"/>
  <c r="L336" i="6"/>
  <c r="L213" i="6"/>
  <c r="J213" i="6"/>
  <c r="I213" i="6" s="1"/>
  <c r="L967" i="6"/>
  <c r="J967" i="6"/>
  <c r="I967" i="6" s="1"/>
  <c r="L116" i="6"/>
  <c r="J116" i="6"/>
  <c r="I116" i="6" s="1"/>
  <c r="J403" i="6"/>
  <c r="I403" i="6" s="1"/>
  <c r="L402" i="6"/>
  <c r="L978" i="6"/>
  <c r="J978" i="6"/>
  <c r="I978" i="6" s="1"/>
  <c r="L110" i="6"/>
  <c r="J110" i="6"/>
  <c r="I110" i="6" s="1"/>
  <c r="L135" i="6"/>
  <c r="J135" i="6"/>
  <c r="I135" i="6" s="1"/>
  <c r="L149" i="6"/>
  <c r="J149" i="6"/>
  <c r="I149" i="6" s="1"/>
  <c r="L105" i="6"/>
  <c r="J105" i="6"/>
  <c r="I105" i="6" s="1"/>
  <c r="J51" i="6"/>
  <c r="I51" i="6" s="1"/>
  <c r="L51" i="6"/>
  <c r="L260" i="6"/>
  <c r="J260" i="6"/>
  <c r="I260" i="6" s="1"/>
  <c r="D40" i="2"/>
  <c r="E40" i="2" s="1"/>
  <c r="L281" i="6"/>
  <c r="J281" i="6"/>
  <c r="I281" i="6" s="1"/>
  <c r="J488" i="6"/>
  <c r="I488" i="6" s="1"/>
  <c r="L485" i="6"/>
  <c r="J513" i="6"/>
  <c r="I513" i="6" s="1"/>
  <c r="L510" i="6"/>
  <c r="J14" i="7"/>
  <c r="K14" i="7" s="1"/>
  <c r="Q14" i="7" s="1"/>
  <c r="J12" i="7"/>
  <c r="K12" i="7" s="1"/>
  <c r="Q12" i="7" s="1"/>
  <c r="M12" i="7"/>
  <c r="N12" i="7" s="1"/>
  <c r="L232" i="6"/>
  <c r="J232" i="6"/>
  <c r="I232" i="6" s="1"/>
  <c r="L83" i="6"/>
  <c r="J83" i="6"/>
  <c r="I83" i="6" s="1"/>
  <c r="J164" i="6"/>
  <c r="I164" i="6" s="1"/>
  <c r="L164" i="6"/>
  <c r="L809" i="6"/>
  <c r="J813" i="6"/>
  <c r="I813" i="6" s="1"/>
  <c r="J529" i="6"/>
  <c r="I529" i="6" s="1"/>
  <c r="L526" i="6"/>
  <c r="D33" i="2"/>
  <c r="E33" i="2" s="1"/>
  <c r="J268" i="6"/>
  <c r="I268" i="6" s="1"/>
  <c r="L268" i="6"/>
  <c r="L191" i="6"/>
  <c r="J191" i="6"/>
  <c r="I191" i="6" s="1"/>
  <c r="L148" i="6"/>
  <c r="J148" i="6"/>
  <c r="I148" i="6" s="1"/>
  <c r="J231" i="6"/>
  <c r="I231" i="6" s="1"/>
  <c r="L231" i="6"/>
  <c r="L456" i="6"/>
  <c r="J459" i="6"/>
  <c r="I459" i="6" s="1"/>
  <c r="L974" i="6"/>
  <c r="J974" i="6"/>
  <c r="I974" i="6" s="1"/>
  <c r="L209" i="6"/>
  <c r="J209" i="6"/>
  <c r="I209" i="6" s="1"/>
  <c r="J277" i="6"/>
  <c r="I277" i="6" s="1"/>
  <c r="L277" i="6"/>
  <c r="L980" i="6"/>
  <c r="J980" i="6"/>
  <c r="I980" i="6" s="1"/>
  <c r="L97" i="6"/>
  <c r="J97" i="6"/>
  <c r="I97" i="6" s="1"/>
  <c r="L376" i="6"/>
  <c r="J377" i="6"/>
  <c r="I377" i="6" s="1"/>
  <c r="J49" i="6"/>
  <c r="I49" i="6" s="1"/>
  <c r="L49" i="6"/>
  <c r="L35" i="6"/>
  <c r="J35" i="6"/>
  <c r="L363" i="6"/>
  <c r="J364" i="6"/>
  <c r="I364" i="6" s="1"/>
  <c r="L524" i="6"/>
  <c r="J527" i="6"/>
  <c r="I527" i="6" s="1"/>
  <c r="L133" i="6"/>
  <c r="J133" i="6"/>
  <c r="I133" i="6" s="1"/>
  <c r="D27" i="2"/>
  <c r="E27" i="2" s="1"/>
  <c r="L171" i="6"/>
  <c r="J171" i="6"/>
  <c r="I171" i="6" s="1"/>
  <c r="M9" i="7"/>
  <c r="J13" i="7"/>
  <c r="K13" i="7" s="1"/>
  <c r="Q13" i="7" s="1"/>
  <c r="J470" i="6"/>
  <c r="I470" i="6" s="1"/>
  <c r="L467" i="6"/>
  <c r="L221" i="6"/>
  <c r="J221" i="6"/>
  <c r="I221" i="6" s="1"/>
  <c r="L12" i="6"/>
  <c r="J12" i="6"/>
  <c r="I12" i="6" s="1"/>
  <c r="L79" i="6"/>
  <c r="J79" i="6"/>
  <c r="I79" i="6" s="1"/>
  <c r="L961" i="6"/>
  <c r="J961" i="6"/>
  <c r="I961" i="6" s="1"/>
  <c r="L278" i="6"/>
  <c r="J278" i="6"/>
  <c r="I278" i="6" s="1"/>
  <c r="D44" i="2"/>
  <c r="E44" i="2" s="1"/>
  <c r="L379" i="6"/>
  <c r="J380" i="6"/>
  <c r="I380" i="6" s="1"/>
  <c r="J535" i="6"/>
  <c r="I535" i="6" s="1"/>
  <c r="L532" i="6"/>
  <c r="J170" i="6"/>
  <c r="I170" i="6" s="1"/>
  <c r="L170" i="6"/>
  <c r="L968" i="6"/>
  <c r="J968" i="6"/>
  <c r="I968" i="6" s="1"/>
  <c r="L130" i="6"/>
  <c r="J130" i="6"/>
  <c r="I130" i="6" s="1"/>
  <c r="L124" i="6"/>
  <c r="J124" i="6"/>
  <c r="I124" i="6" s="1"/>
  <c r="L68" i="6"/>
  <c r="J68" i="6"/>
  <c r="I68" i="6" s="1"/>
  <c r="J943" i="6"/>
  <c r="I943" i="6" s="1"/>
  <c r="L939" i="6"/>
  <c r="J291" i="6"/>
  <c r="I291" i="6" s="1"/>
  <c r="L291" i="6"/>
  <c r="R952" i="6"/>
  <c r="R981" i="6"/>
  <c r="L93" i="6"/>
  <c r="J93" i="6"/>
  <c r="I93" i="6" s="1"/>
  <c r="L8" i="6"/>
  <c r="J8" i="6"/>
  <c r="I8" i="6" s="1"/>
  <c r="L388" i="6"/>
  <c r="J389" i="6"/>
  <c r="I389" i="6" s="1"/>
  <c r="J420" i="6"/>
  <c r="I420" i="6" s="1"/>
  <c r="L418" i="6"/>
  <c r="D14" i="2"/>
  <c r="L220" i="6"/>
  <c r="J220" i="6"/>
  <c r="I220" i="6" s="1"/>
  <c r="L30" i="6"/>
  <c r="J30" i="6"/>
  <c r="I30" i="6" s="1"/>
  <c r="L29" i="6"/>
  <c r="J29" i="6"/>
  <c r="M15" i="7"/>
  <c r="N15" i="7" s="1"/>
  <c r="J55" i="6"/>
  <c r="I55" i="6" s="1"/>
  <c r="L55" i="6"/>
  <c r="L320" i="6"/>
  <c r="J320" i="6"/>
  <c r="I320" i="6" s="1"/>
  <c r="J304" i="6"/>
  <c r="I304" i="6" s="1"/>
  <c r="L304" i="6"/>
  <c r="J458" i="6"/>
  <c r="I458" i="6" s="1"/>
  <c r="L128" i="6"/>
  <c r="J128" i="6"/>
  <c r="I128" i="6" s="1"/>
  <c r="L71" i="6"/>
  <c r="J71" i="6"/>
  <c r="I71" i="6" s="1"/>
  <c r="L5" i="6"/>
  <c r="I5" i="6"/>
  <c r="J421" i="6"/>
  <c r="I421" i="6" s="1"/>
  <c r="L419" i="6"/>
  <c r="L440" i="6"/>
  <c r="J443" i="6"/>
  <c r="I443" i="6" s="1"/>
  <c r="D32" i="2"/>
  <c r="E32" i="2" s="1"/>
  <c r="I21" i="2"/>
  <c r="I50" i="2" s="1"/>
  <c r="L166" i="6"/>
  <c r="J166" i="6"/>
  <c r="I166" i="6" s="1"/>
  <c r="J21" i="6"/>
  <c r="I21" i="6" s="1"/>
  <c r="J36" i="6"/>
  <c r="I36" i="6" s="1"/>
  <c r="G21" i="2"/>
  <c r="G50" i="2" s="1"/>
  <c r="M50" i="2" l="1"/>
  <c r="K50" i="2"/>
  <c r="C50" i="2"/>
  <c r="F12" i="8"/>
  <c r="F13" i="8"/>
  <c r="D16" i="2"/>
  <c r="N9" i="7"/>
  <c r="M16" i="7"/>
  <c r="N16" i="7" s="1"/>
  <c r="I29" i="6"/>
  <c r="D12" i="7"/>
  <c r="E12" i="7" s="1"/>
  <c r="O12" i="7" s="1"/>
  <c r="R12" i="7" s="1"/>
  <c r="D4" i="2"/>
  <c r="I19" i="6"/>
  <c r="D13" i="7"/>
  <c r="E13" i="7" s="1"/>
  <c r="O13" i="7" s="1"/>
  <c r="R13" i="7" s="1"/>
  <c r="I10" i="6"/>
  <c r="D9" i="7"/>
  <c r="J981" i="6"/>
  <c r="I981" i="6" s="1"/>
  <c r="I57" i="6"/>
  <c r="D14" i="7"/>
  <c r="E14" i="7" s="1"/>
  <c r="O14" i="7" s="1"/>
  <c r="R14" i="7" s="1"/>
  <c r="I28" i="6"/>
  <c r="D11" i="7"/>
  <c r="E11" i="7" s="1"/>
  <c r="O11" i="7" s="1"/>
  <c r="R11" i="7" s="1"/>
  <c r="G11" i="8"/>
  <c r="H11" i="8" s="1"/>
  <c r="K11" i="8" s="1"/>
  <c r="E16" i="2"/>
  <c r="D21" i="2"/>
  <c r="D50" i="2" s="1"/>
  <c r="I23" i="6"/>
  <c r="D10" i="7"/>
  <c r="E10" i="7" s="1"/>
  <c r="O10" i="7" s="1"/>
  <c r="R10" i="7" s="1"/>
  <c r="G16" i="7"/>
  <c r="H16" i="7" s="1"/>
  <c r="I35" i="6"/>
  <c r="D15" i="7"/>
  <c r="E15" i="7" s="1"/>
  <c r="O15" i="7" s="1"/>
  <c r="R15" i="7" s="1"/>
  <c r="K9" i="7"/>
  <c r="Q9" i="7" s="1"/>
  <c r="Q16" i="7" s="1"/>
  <c r="J16" i="7"/>
  <c r="K16" i="7" s="1"/>
  <c r="E9" i="7" l="1"/>
  <c r="O9" i="7" s="1"/>
  <c r="D16" i="7"/>
  <c r="E16" i="7" s="1"/>
  <c r="G10" i="8"/>
  <c r="H10" i="8" s="1"/>
  <c r="E21" i="2"/>
  <c r="E50" i="2"/>
  <c r="G9" i="8"/>
  <c r="E4" i="2"/>
  <c r="G12" i="8" l="1"/>
  <c r="H12" i="8" s="1"/>
  <c r="G13" i="8"/>
  <c r="H13" i="8" s="1"/>
  <c r="H9" i="8"/>
  <c r="K10" i="8"/>
  <c r="N10" i="8"/>
  <c r="M10" i="8"/>
  <c r="L10" i="8"/>
  <c r="R9" i="7"/>
  <c r="R16" i="7" s="1"/>
  <c r="O16" i="7"/>
  <c r="M9" i="8" l="1"/>
  <c r="M13" i="8" s="1"/>
  <c r="L9" i="8"/>
  <c r="L13" i="8" s="1"/>
  <c r="K9" i="8"/>
  <c r="K13" i="8" s="1"/>
  <c r="N9" i="8"/>
  <c r="L12" i="8"/>
  <c r="K12" i="8"/>
  <c r="N12" i="8"/>
  <c r="M12" i="8"/>
  <c r="N13" i="8" l="1"/>
</calcChain>
</file>

<file path=xl/sharedStrings.xml><?xml version="1.0" encoding="utf-8"?>
<sst xmlns="http://schemas.openxmlformats.org/spreadsheetml/2006/main" count="20194" uniqueCount="2607">
  <si>
    <t>SO HD</t>
  </si>
  <si>
    <t>NGAY</t>
  </si>
  <si>
    <t>MA KH</t>
  </si>
  <si>
    <t>TEN KH</t>
  </si>
  <si>
    <t>MÃ NV</t>
  </si>
  <si>
    <t xml:space="preserve"> </t>
  </si>
  <si>
    <t>MÃ HH</t>
  </si>
  <si>
    <t>TÊN SP</t>
  </si>
  <si>
    <t>SL</t>
  </si>
  <si>
    <t>ĐƠN GIÁ</t>
  </si>
  <si>
    <t>THÀNH TIỀN</t>
  </si>
  <si>
    <t>VAT</t>
  </si>
  <si>
    <t>NHÃN HÀNG</t>
  </si>
  <si>
    <t>CỬA HÀNG</t>
  </si>
  <si>
    <t>HỆ THỐNG</t>
  </si>
  <si>
    <t>COOP_F_LDONG</t>
  </si>
  <si>
    <t>COOP FOOD</t>
  </si>
  <si>
    <t>COOP_F_LTVINH</t>
  </si>
  <si>
    <t>VIN_KHO_TTIN</t>
  </si>
  <si>
    <t>VINMART</t>
  </si>
  <si>
    <t>VIN_HPHONG</t>
  </si>
  <si>
    <t>VINMART HAI PHONG</t>
  </si>
  <si>
    <t>VIN_BDUONG</t>
  </si>
  <si>
    <t>VINMART BINH DUONG</t>
  </si>
  <si>
    <t>VIN_BNINH</t>
  </si>
  <si>
    <t>VINMART BAC NINH</t>
  </si>
  <si>
    <t>VIN_KHO_HYEN</t>
  </si>
  <si>
    <t>VINMART HUNG YEN</t>
  </si>
  <si>
    <t>VIN_NAN</t>
  </si>
  <si>
    <t>VIMART NGHE AN</t>
  </si>
  <si>
    <t>VIN_KHO_DNANG</t>
  </si>
  <si>
    <t>VINMART KHO DA NANG</t>
  </si>
  <si>
    <t>VIN_CTHO</t>
  </si>
  <si>
    <t>VINMART CAN THO</t>
  </si>
  <si>
    <t>VIN_CTY</t>
  </si>
  <si>
    <t>VINMART KHO BINH DUONG</t>
  </si>
  <si>
    <t>VIN_PTHO</t>
  </si>
  <si>
    <t>VIN PHÚ THỌ</t>
  </si>
  <si>
    <t>NH_HLAM</t>
  </si>
  <si>
    <t>NHAT HUONG HOANG MAI</t>
  </si>
  <si>
    <t>NHAT HUONG</t>
  </si>
  <si>
    <t>MG_TLONG</t>
  </si>
  <si>
    <t>MEGA THANG LONG</t>
  </si>
  <si>
    <t>MEGA</t>
  </si>
  <si>
    <t>MG_HLONG</t>
  </si>
  <si>
    <t>MEGA HA LONG</t>
  </si>
  <si>
    <t>MG_HLOI</t>
  </si>
  <si>
    <t>MEGA CAN THO</t>
  </si>
  <si>
    <t>MG_26_71</t>
  </si>
  <si>
    <t>MEGA KHO1</t>
  </si>
  <si>
    <t>MG_LXUYEN</t>
  </si>
  <si>
    <t>MEGA LONG XUYEN</t>
  </si>
  <si>
    <t>MG_BPHU</t>
  </si>
  <si>
    <t>MEGA BINH PHU</t>
  </si>
  <si>
    <t>MG_APHU</t>
  </si>
  <si>
    <t>MEGA AN PHU</t>
  </si>
  <si>
    <t>MG_NTRANG</t>
  </si>
  <si>
    <t>MEGA NHA TRANG</t>
  </si>
  <si>
    <t>LOTTE_Q7</t>
  </si>
  <si>
    <t>LOTTE NAM SAI GON</t>
  </si>
  <si>
    <t>LOTTE</t>
  </si>
  <si>
    <t>LOTTE_BHOA</t>
  </si>
  <si>
    <t>LOTTE BIEN HOA</t>
  </si>
  <si>
    <t>LOTTE_NTRANG</t>
  </si>
  <si>
    <t>LOTTE NHA TRANG</t>
  </si>
  <si>
    <t>LOTTE_PTHIET</t>
  </si>
  <si>
    <t>LOTTE PHAN THIET</t>
  </si>
  <si>
    <t>LOTTE_BDINH</t>
  </si>
  <si>
    <t>LOTTE BA DINH HA NOI</t>
  </si>
  <si>
    <t>LOTTE_CTHO</t>
  </si>
  <si>
    <t>LOTTE CAN THO</t>
  </si>
  <si>
    <t>LOTTE_NTRANG2</t>
  </si>
  <si>
    <t>LOTTE NHA TRANG GOLD COAST</t>
  </si>
  <si>
    <t>LOTTE_BDUONG</t>
  </si>
  <si>
    <t>LOTTE BINH DUONG</t>
  </si>
  <si>
    <t>LOTTE_GVAP</t>
  </si>
  <si>
    <t>LOTTE GO VAP</t>
  </si>
  <si>
    <t>LOTTE_Q11</t>
  </si>
  <si>
    <t>LOTTE QUAN 11</t>
  </si>
  <si>
    <t>LOTTE_VTAU</t>
  </si>
  <si>
    <t>LOTTE VUNG TAU</t>
  </si>
  <si>
    <t>LOTTE_TBINH</t>
  </si>
  <si>
    <t>LOTTE TAN BINH</t>
  </si>
  <si>
    <t>LOTTE_VINH</t>
  </si>
  <si>
    <t>LOTTE VINH</t>
  </si>
  <si>
    <t>LOTTE_ZTLEX</t>
  </si>
  <si>
    <t>LOTTE ZTLEX</t>
  </si>
  <si>
    <t>LOTTE_DNANG</t>
  </si>
  <si>
    <t>LOTTE DA NANG</t>
  </si>
  <si>
    <t>LC_HCM</t>
  </si>
  <si>
    <t>LONG CHAU HCM</t>
  </si>
  <si>
    <t>LONG CHAU</t>
  </si>
  <si>
    <t>LC_HN</t>
  </si>
  <si>
    <t>LONG CHAU HA NOI</t>
  </si>
  <si>
    <t>6209</t>
  </si>
  <si>
    <t xml:space="preserve">KING FOOD </t>
  </si>
  <si>
    <t>KING FOOD</t>
  </si>
  <si>
    <t>4932</t>
  </si>
  <si>
    <t>K MART AN CAT</t>
  </si>
  <si>
    <t>K MART</t>
  </si>
  <si>
    <t>JM_BVD</t>
  </si>
  <si>
    <t>J MART</t>
  </si>
  <si>
    <t>LAC</t>
  </si>
  <si>
    <t>GUARDIAN KHO</t>
  </si>
  <si>
    <t>GUARDIAN</t>
  </si>
  <si>
    <t>HD_NXI</t>
  </si>
  <si>
    <t>GENSHAI RICHMOND</t>
  </si>
  <si>
    <t>GENSHAI</t>
  </si>
  <si>
    <t>HD_NTS</t>
  </si>
  <si>
    <t>GENSHAI NGUYEN THAI SON</t>
  </si>
  <si>
    <t>HD_XLHN</t>
  </si>
  <si>
    <t>GENSHAI VISTAR XA LO HA NOI</t>
  </si>
  <si>
    <t>HD_EMPIRE</t>
  </si>
  <si>
    <t>GENSHAI EMPIRE</t>
  </si>
  <si>
    <t>HD_RIVE</t>
  </si>
  <si>
    <t>GENSHAI RIVE</t>
  </si>
  <si>
    <t>HD_NHT</t>
  </si>
  <si>
    <t>GENSHAI THE PARK RESIDENCE</t>
  </si>
  <si>
    <t>HD_NHC</t>
  </si>
  <si>
    <t>GENSHAI PEARL NGUYEN HUU CANH</t>
  </si>
  <si>
    <t>SD_TDGREEN</t>
  </si>
  <si>
    <t>GENSHAI THAO DIEN GREEN</t>
  </si>
  <si>
    <t>6701</t>
  </si>
  <si>
    <t xml:space="preserve">CTY  CP VIETNAM FRUITS AND MORE </t>
  </si>
  <si>
    <t>FRUITS AND MORE</t>
  </si>
  <si>
    <t>6708</t>
  </si>
  <si>
    <t>FAMIMART</t>
  </si>
  <si>
    <t>4201</t>
  </si>
  <si>
    <t>FAMILY</t>
  </si>
  <si>
    <t>4812_THISO</t>
  </si>
  <si>
    <t>CÔNG TY TNHH THISO RETAIL</t>
  </si>
  <si>
    <t>EMART</t>
  </si>
  <si>
    <t>4812_PHI</t>
  </si>
  <si>
    <t>EMART PHAN HUY ICH</t>
  </si>
  <si>
    <t>6760</t>
  </si>
  <si>
    <t>CÔNG TY TNHH KINGKONG PQ</t>
  </si>
  <si>
    <t>COOP_PTHIEN</t>
  </si>
  <si>
    <t>COOP PHAM THE HIEN</t>
  </si>
  <si>
    <t>COOP MART</t>
  </si>
  <si>
    <t>COOP_DXOAI</t>
  </si>
  <si>
    <t>COOP DONG XOAI BINH PHUOC</t>
  </si>
  <si>
    <t>COOP_NLOC</t>
  </si>
  <si>
    <t>COOP NHIEU LOC</t>
  </si>
  <si>
    <t>COOP_STRANG</t>
  </si>
  <si>
    <t>COOP SOC TRANG</t>
  </si>
  <si>
    <t>COOP_PLAM</t>
  </si>
  <si>
    <t>COOP PHU LAM</t>
  </si>
  <si>
    <t>COOP_TNINH</t>
  </si>
  <si>
    <t>COOP TAY NINH 1</t>
  </si>
  <si>
    <t>COOP_AUC_CTHANG</t>
  </si>
  <si>
    <t>COOP CAO THANG</t>
  </si>
  <si>
    <t>COOP_HBINH</t>
  </si>
  <si>
    <t>COOP HOA BINH</t>
  </si>
  <si>
    <t>COOP_CVA</t>
  </si>
  <si>
    <t>COOP CHU VAN AN</t>
  </si>
  <si>
    <t>COOP_GDAU</t>
  </si>
  <si>
    <t>COOP GO DAU TAY NINH</t>
  </si>
  <si>
    <t>COOP_DVC</t>
  </si>
  <si>
    <t>COOP DONG VAN CONG</t>
  </si>
  <si>
    <t>COOP_KTUM</t>
  </si>
  <si>
    <t>COOP KONTUM</t>
  </si>
  <si>
    <t>COOP_VLONG</t>
  </si>
  <si>
    <t>COOP VINH LONG</t>
  </si>
  <si>
    <t>COOP_DNONG</t>
  </si>
  <si>
    <t>COOP DAK NONG</t>
  </si>
  <si>
    <t>COOP_COSA</t>
  </si>
  <si>
    <t>COOP QUANG TRUNG</t>
  </si>
  <si>
    <t>COOP_RMIEU</t>
  </si>
  <si>
    <t>COOP RACH MIEU</t>
  </si>
  <si>
    <t>COOP_TAMBINH</t>
  </si>
  <si>
    <t>COOP TAM BINH</t>
  </si>
  <si>
    <t>COOP_PYEN</t>
  </si>
  <si>
    <t>COOP TUY HOA PHU YEN</t>
  </si>
  <si>
    <t>COOP_HDONG</t>
  </si>
  <si>
    <t>COOP HA DONG</t>
  </si>
  <si>
    <t>COOP_GCONG</t>
  </si>
  <si>
    <t>COOP GO CONG</t>
  </si>
  <si>
    <t>COOP_THA</t>
  </si>
  <si>
    <t>COOP THANH HA NINH THUAN</t>
  </si>
  <si>
    <t>COOP_LBINH</t>
  </si>
  <si>
    <t>COOP MART LONG BINH</t>
  </si>
  <si>
    <t>COOP_STRA</t>
  </si>
  <si>
    <t>COOP SON TRA DA NANG</t>
  </si>
  <si>
    <t>COOP_TVINH</t>
  </si>
  <si>
    <t>COOP TRA VINH</t>
  </si>
  <si>
    <t>COOP_PRI</t>
  </si>
  <si>
    <t>COOP PHAN RI CUA</t>
  </si>
  <si>
    <t>COOP_VTRI</t>
  </si>
  <si>
    <t>COOP VIET TRI</t>
  </si>
  <si>
    <t>COOP_DNANG</t>
  </si>
  <si>
    <t>COOP DA NANG</t>
  </si>
  <si>
    <t>COOP_PTHO</t>
  </si>
  <si>
    <t>COOP PHU THO 1</t>
  </si>
  <si>
    <t>COOP_ADONG</t>
  </si>
  <si>
    <t>COOP HUNG VUONG</t>
  </si>
  <si>
    <t>COOP_SDEC</t>
  </si>
  <si>
    <t>COOP SA DEC</t>
  </si>
  <si>
    <t>COOP_BLOC</t>
  </si>
  <si>
    <t>COOP BAO LOC</t>
  </si>
  <si>
    <t>COOP_CLAY</t>
  </si>
  <si>
    <t>COOP CAI LAY</t>
  </si>
  <si>
    <t>COOP_BMT</t>
  </si>
  <si>
    <t>COOP BUON MA THUOT</t>
  </si>
  <si>
    <t>COOP_QBINH</t>
  </si>
  <si>
    <t>COOP QUANG BINH</t>
  </si>
  <si>
    <t>COOP_MGAR</t>
  </si>
  <si>
    <t>COOP CU MGAR</t>
  </si>
  <si>
    <t>COOP_CQUYNH</t>
  </si>
  <si>
    <t>COOP CONG QUYNH</t>
  </si>
  <si>
    <t>COOP_FL_URBANHILL</t>
  </si>
  <si>
    <t>COOP FINELIFE URBAN HILL</t>
  </si>
  <si>
    <t>COOP_F_ADVUONG</t>
  </si>
  <si>
    <t>COOPFOOD AN DUONG VUONG</t>
  </si>
  <si>
    <t>COOP_AGIANG</t>
  </si>
  <si>
    <t>COOP TAN CHAU AN GIANG</t>
  </si>
  <si>
    <t>COOP_FL_HADO</t>
  </si>
  <si>
    <t>COOP FINELIFE HA DO</t>
  </si>
  <si>
    <t>COOP_QNGAI</t>
  </si>
  <si>
    <t>COOP QUANG NGAI</t>
  </si>
  <si>
    <t>COOP_TLV</t>
  </si>
  <si>
    <t>COOP TUY LY VUONG</t>
  </si>
  <si>
    <t>COOP_PNHUAN</t>
  </si>
  <si>
    <t>COOP NGUYEN KIEM</t>
  </si>
  <si>
    <t>COOP_NDC</t>
  </si>
  <si>
    <t>COOP NGUYEN DINH CHIEU</t>
  </si>
  <si>
    <t>COOP_HGIANG</t>
  </si>
  <si>
    <t>COOP HAU GIANG</t>
  </si>
  <si>
    <t>COOP_BTAN</t>
  </si>
  <si>
    <t>COOP BINH TAN</t>
  </si>
  <si>
    <t>COOP_BLIEU2</t>
  </si>
  <si>
    <t>COOP BAC LIEU 2</t>
  </si>
  <si>
    <t>COOP_VTHANH</t>
  </si>
  <si>
    <t>COOP VAN THANH</t>
  </si>
  <si>
    <t>COOP_LTK</t>
  </si>
  <si>
    <t>COOP LY THUONG KIET</t>
  </si>
  <si>
    <t>COOP_HNOI</t>
  </si>
  <si>
    <t>COOP HA NOI</t>
  </si>
  <si>
    <t>COOP_PVTRI</t>
  </si>
  <si>
    <t>COOP PHAN VAN TRI</t>
  </si>
  <si>
    <t>COOP_TMTAY</t>
  </si>
  <si>
    <t>COOP NGUYEN ANH THU</t>
  </si>
  <si>
    <t>COOP_HNGU</t>
  </si>
  <si>
    <t>COOP HONG NGU DONG THAP</t>
  </si>
  <si>
    <t>COOP_CTHO</t>
  </si>
  <si>
    <t>COOP CAN THO</t>
  </si>
  <si>
    <t>COOP_TNOT</t>
  </si>
  <si>
    <t>COOP THOT NOT</t>
  </si>
  <si>
    <t>COOP_TQBUU</t>
  </si>
  <si>
    <t>COOP TA QUANG BUU</t>
  </si>
  <si>
    <t>COOP_CMAU</t>
  </si>
  <si>
    <t>COOP CA MAU</t>
  </si>
  <si>
    <t>COOP_BDUONG</t>
  </si>
  <si>
    <t>COOP BINH DUONG</t>
  </si>
  <si>
    <t>COOP_HTHANH</t>
  </si>
  <si>
    <t>COOP HIEP THANH QUAN 12</t>
  </si>
  <si>
    <t>COOP_CSE</t>
  </si>
  <si>
    <t>COOP CHU SE GIA LAI</t>
  </si>
  <si>
    <t>COOP_PTHIET</t>
  </si>
  <si>
    <t xml:space="preserve">COOP PHAN THIET </t>
  </si>
  <si>
    <t>COOP_BTAN2</t>
  </si>
  <si>
    <t>COOP BINH TAN 2</t>
  </si>
  <si>
    <t>COOP_TKY</t>
  </si>
  <si>
    <t>COOP TAM KY QUANG NAM</t>
  </si>
  <si>
    <t>COOP_TTHANH</t>
  </si>
  <si>
    <t>COOP TAN THANH VUNG TAU</t>
  </si>
  <si>
    <t>COOP_BLUC</t>
  </si>
  <si>
    <t>COOP BEN LUC</t>
  </si>
  <si>
    <t>COOP_CLANH</t>
  </si>
  <si>
    <t>COOP CAO LANH</t>
  </si>
  <si>
    <t>COOP_PLK</t>
  </si>
  <si>
    <t>COOP PLEIKU</t>
  </si>
  <si>
    <t>COOP_CGIO</t>
  </si>
  <si>
    <t>COOP CAN GIO</t>
  </si>
  <si>
    <t>COOP_TBANG</t>
  </si>
  <si>
    <t>COOP TRANG BANG</t>
  </si>
  <si>
    <t>COOP_BHO</t>
  </si>
  <si>
    <t>COOP BUON HO</t>
  </si>
  <si>
    <t>COOP_CCHI</t>
  </si>
  <si>
    <t>COOP CU CHI</t>
  </si>
  <si>
    <t>COOP_XLHN</t>
  </si>
  <si>
    <t>COOP XA LO HA NOI</t>
  </si>
  <si>
    <t>COOP_NTRANG</t>
  </si>
  <si>
    <t>COOP NHA TRANG</t>
  </si>
  <si>
    <t>COOP_QTRI</t>
  </si>
  <si>
    <t>COOP QUANG TRI</t>
  </si>
  <si>
    <t>COOP_HUE</t>
  </si>
  <si>
    <t>COOP HUE</t>
  </si>
  <si>
    <t>COOP_BRIA</t>
  </si>
  <si>
    <t>COOP BA RIA</t>
  </si>
  <si>
    <t>COOP_VITHANH</t>
  </si>
  <si>
    <t>COOP VI THANH HAU GIANG</t>
  </si>
  <si>
    <t>COOP_TAN</t>
  </si>
  <si>
    <t>COOP TAN AN</t>
  </si>
  <si>
    <t>COOP_KGIANG</t>
  </si>
  <si>
    <t>COOP KIEN GIANG</t>
  </si>
  <si>
    <t>COOP_AUC_LBIEN</t>
  </si>
  <si>
    <t>COOP LONG BIEN</t>
  </si>
  <si>
    <t>COOP_TLOI</t>
  </si>
  <si>
    <t>COOP THANG LOI</t>
  </si>
  <si>
    <t>COOP_TLTCHINH</t>
  </si>
  <si>
    <t>COOP THANG LOI TRUONG CHINH</t>
  </si>
  <si>
    <t>COOP_MTHO</t>
  </si>
  <si>
    <t>COOP MY THO TIEN GIANG</t>
  </si>
  <si>
    <t>COOP_BHOA</t>
  </si>
  <si>
    <t>COOP BIEN HOA</t>
  </si>
  <si>
    <t>COOP_QNHON</t>
  </si>
  <si>
    <t>COOP QUY NHON</t>
  </si>
  <si>
    <t>COOP_VTAU</t>
  </si>
  <si>
    <t>COOP VUNG TAU</t>
  </si>
  <si>
    <t>COOP_HPHONG</t>
  </si>
  <si>
    <t>COOP HAI PHONG</t>
  </si>
  <si>
    <t>COOP_F_QL13</t>
  </si>
  <si>
    <t>COOP FOOD QUOC LO 13 CU</t>
  </si>
  <si>
    <t>COOP_F_DREA_TQN</t>
  </si>
  <si>
    <t>COOP FOOD CC DREAM HOME PALACE</t>
  </si>
  <si>
    <t>COOP_F_TQDUNG</t>
  </si>
  <si>
    <t>COOPFOOD TRUONG QUOC DUNG</t>
  </si>
  <si>
    <t>COOP_F_TVQ</t>
  </si>
  <si>
    <t>COOPFOOD TRAN VAN QUANG</t>
  </si>
  <si>
    <t>COOP_F_RBOWNS3</t>
  </si>
  <si>
    <t>COOP_F_NVTIET</t>
  </si>
  <si>
    <t>COOP_F_TANKY</t>
  </si>
  <si>
    <t>COOP_F_VLAI53</t>
  </si>
  <si>
    <t>COOP_F_THDAO_BD</t>
  </si>
  <si>
    <t>COOP_HTPHAT</t>
  </si>
  <si>
    <t>COOPFOOD HUYNH TAN PHAT</t>
  </si>
  <si>
    <t>COOP_F_DOTHANH</t>
  </si>
  <si>
    <t>COOPFOOD DO THANH</t>
  </si>
  <si>
    <t>COOP_F_CHOLON</t>
  </si>
  <si>
    <t>COOPFOOD CHO LON</t>
  </si>
  <si>
    <t>COOP_F_PVTRI</t>
  </si>
  <si>
    <t>COOPFOOD PHAN VAN TRI</t>
  </si>
  <si>
    <t>COOP_F_QDBAO</t>
  </si>
  <si>
    <t>COOPFOOD QUACH DINH BAO</t>
  </si>
  <si>
    <t>COOP_F_VLAI</t>
  </si>
  <si>
    <t>COOPFOOD VUON LAI</t>
  </si>
  <si>
    <t>COOP_F_ANLOC</t>
  </si>
  <si>
    <t>COOP FOOD AN LOC</t>
  </si>
  <si>
    <t>COOP_F_LVTHINH</t>
  </si>
  <si>
    <t>COOPFOOD LE VAN THINH</t>
  </si>
  <si>
    <t>COOP_F_TLOC17</t>
  </si>
  <si>
    <t>COOPFOOD THANH LOC 17</t>
  </si>
  <si>
    <t>COOP_F_TTCO292</t>
  </si>
  <si>
    <t>COOPFOOD TRAN THI CO 292</t>
  </si>
  <si>
    <t>COOP_F_PAN</t>
  </si>
  <si>
    <t>COOP_F_PTLAND</t>
  </si>
  <si>
    <t>COOP_F_VPHU</t>
  </si>
  <si>
    <t>COOPFOOD VINH PHU</t>
  </si>
  <si>
    <t>COOP_F_TBINH</t>
  </si>
  <si>
    <t>COOPFOOD HOANG ANH THANH BINH</t>
  </si>
  <si>
    <t>COOP_F_PNTANG</t>
  </si>
  <si>
    <t>COOPFOOD PHAM NHU TANG</t>
  </si>
  <si>
    <t>COOP_F_NTB</t>
  </si>
  <si>
    <t>COOPFOOD NGUYEN THAI BINH</t>
  </si>
  <si>
    <t>COOP_F_HQUAN2</t>
  </si>
  <si>
    <t>COOPFOOD HOANG QUAN 2</t>
  </si>
  <si>
    <t>COOP_F_MTHIEN</t>
  </si>
  <si>
    <t>COOPFOOD MAN THIEN</t>
  </si>
  <si>
    <t>COOP_TTHO</t>
  </si>
  <si>
    <t>COOPFOOD TRUONG THO</t>
  </si>
  <si>
    <t>COOP_F_TCCHIEU</t>
  </si>
  <si>
    <t>COOP_F_CVAN</t>
  </si>
  <si>
    <t>COOPFOOD CHU VAN AN</t>
  </si>
  <si>
    <t>COOP_F_HBCHANH</t>
  </si>
  <si>
    <t>COOPFOOD HIEP BINH CHANH</t>
  </si>
  <si>
    <t>COOP_F_WEST</t>
  </si>
  <si>
    <t>COOPFOOD WEST</t>
  </si>
  <si>
    <t>COOP_F_BSAO</t>
  </si>
  <si>
    <t>COOPFOOD BONG SAO</t>
  </si>
  <si>
    <t>COOP_F_SAVIMEX</t>
  </si>
  <si>
    <t>COOPFOOD SAVIMEX</t>
  </si>
  <si>
    <t>COOP_F_PDPHUNG</t>
  </si>
  <si>
    <t>COOPFOOD PHAN DINH PHUNG</t>
  </si>
  <si>
    <t>COOP_F_NLONG</t>
  </si>
  <si>
    <t>COOP FOOD KHU NAM LONG</t>
  </si>
  <si>
    <t>COOP_F_BELLE</t>
  </si>
  <si>
    <t>COOPFOOD BELLE</t>
  </si>
  <si>
    <t>COOP_F_DS9LTAY</t>
  </si>
  <si>
    <t>COOPFOOD LINH TAY</t>
  </si>
  <si>
    <t>COOP_F_NKHOAI</t>
  </si>
  <si>
    <t>COOPFOOD NGUYEN KHOAI</t>
  </si>
  <si>
    <t>COOP_F_VSING</t>
  </si>
  <si>
    <t>COOP_F_ANHOA</t>
  </si>
  <si>
    <t>COOP_F_NTL17</t>
  </si>
  <si>
    <t>COOPFOOD NO TRANG LONG 17</t>
  </si>
  <si>
    <t>COOP_F_DCHAU</t>
  </si>
  <si>
    <t>COOPFOOD DINH CHAU</t>
  </si>
  <si>
    <t>COOP_F_DHT02</t>
  </si>
  <si>
    <t>COOP FOOD DONG HUNG THUAN 02</t>
  </si>
  <si>
    <t>COOP_F_KDIEN</t>
  </si>
  <si>
    <t>COOPFOOD KHANG DIEN</t>
  </si>
  <si>
    <t>COOP_F_KRISTA</t>
  </si>
  <si>
    <t>COOPFOOD KRISTA</t>
  </si>
  <si>
    <t>COOP_F_TDHOI</t>
  </si>
  <si>
    <t>COOPFOOD TRUONG DINH HOI</t>
  </si>
  <si>
    <t>COOP_F_LACASA</t>
  </si>
  <si>
    <t>COOPFOOD LACASA</t>
  </si>
  <si>
    <t>COOP_F_PXUAN</t>
  </si>
  <si>
    <t>COOPFOOD PHU XUAN</t>
  </si>
  <si>
    <t>COOP_F_HAGOLD</t>
  </si>
  <si>
    <t>COOPFOOD HOANG ANH GOLD</t>
  </si>
  <si>
    <t>COOP_F_RBOWN</t>
  </si>
  <si>
    <t>COOPFOOD BOWN</t>
  </si>
  <si>
    <t>COOP_F_LVTHO</t>
  </si>
  <si>
    <t>COOPFOOD LE VAN THO</t>
  </si>
  <si>
    <t>COOP_F_VHOI</t>
  </si>
  <si>
    <t>COOPFOOD VINH HOI</t>
  </si>
  <si>
    <t>COOP_F_NSSACH</t>
  </si>
  <si>
    <t>COOPFOOD NGUYEN SY SACH</t>
  </si>
  <si>
    <t>COOP_F_NKIEM</t>
  </si>
  <si>
    <t>COOP FOOD NGUYEN KIEM</t>
  </si>
  <si>
    <t>COOP_F_TQK</t>
  </si>
  <si>
    <t>COOPFOOD TRAN QUANG KHAI</t>
  </si>
  <si>
    <t>COOP_F_THEGIA</t>
  </si>
  <si>
    <t>COOPFOOD THE GIA</t>
  </si>
  <si>
    <t>COOP_F_TLUONG</t>
  </si>
  <si>
    <t>COOP FOOD KDC THAM LUONG</t>
  </si>
  <si>
    <t>COOP_F_TTHANH</t>
  </si>
  <si>
    <t>COOPFOOD TAN THANH</t>
  </si>
  <si>
    <t>COOP_SVH</t>
  </si>
  <si>
    <t>COOP EXTRA SU VAN HANH</t>
  </si>
  <si>
    <t>COOP EXTRA</t>
  </si>
  <si>
    <t>COOP_TPHONG</t>
  </si>
  <si>
    <t>COOP EXTRA TAN PHONG</t>
  </si>
  <si>
    <t>COOP_PVD</t>
  </si>
  <si>
    <t>COOP EXTRA PHAM VAN DONG</t>
  </si>
  <si>
    <t>COOP_LTRUNG</t>
  </si>
  <si>
    <t>COOP EXTRA LINH TRUNG</t>
  </si>
  <si>
    <t>COOP_CHEER</t>
  </si>
  <si>
    <t>COOP CHEERS</t>
  </si>
  <si>
    <t>BIGC_MDONG</t>
  </si>
  <si>
    <t>BIG C MIEN DONG</t>
  </si>
  <si>
    <t>BIG C</t>
  </si>
  <si>
    <t>BIGC_THIEP</t>
  </si>
  <si>
    <t>BIG C TAN HIEP</t>
  </si>
  <si>
    <t>BIGC_TCHINH</t>
  </si>
  <si>
    <t>BIG C TRUONG CHINH</t>
  </si>
  <si>
    <t>BIGC_DIAN</t>
  </si>
  <si>
    <t>BIG C DI AN</t>
  </si>
  <si>
    <t>BIGC_LAND</t>
  </si>
  <si>
    <t>BIG C QUAN 7</t>
  </si>
  <si>
    <t>BIGC_TDIEN</t>
  </si>
  <si>
    <t>BIG C THAO DIEN</t>
  </si>
  <si>
    <t>BIGC_AUCO</t>
  </si>
  <si>
    <t>BIG C AU CO</t>
  </si>
  <si>
    <t>BIGC_DNAI</t>
  </si>
  <si>
    <t>BIG C DONG NAI</t>
  </si>
  <si>
    <t>BIGC_CUCHI_1515</t>
  </si>
  <si>
    <t>BIG C CU CHI</t>
  </si>
  <si>
    <t>BIGC_NTHUAN</t>
  </si>
  <si>
    <t>BIG C NINH THUAN</t>
  </si>
  <si>
    <t>BIGC_HANAM</t>
  </si>
  <si>
    <t>BIG C HA NAM</t>
  </si>
  <si>
    <t>BIGC_GO_TNGUYEN</t>
  </si>
  <si>
    <t>BIG C THAI NGUYEN</t>
  </si>
  <si>
    <t>BIGC_GO_BRIA</t>
  </si>
  <si>
    <t>BIG C GO BA RIA</t>
  </si>
  <si>
    <t>BIGC_QNGAI</t>
  </si>
  <si>
    <t>BIG C QUANG NGAI</t>
  </si>
  <si>
    <t>BIGC_MTHO</t>
  </si>
  <si>
    <t>BIG C MY THO</t>
  </si>
  <si>
    <t>BIGC_NTRANG</t>
  </si>
  <si>
    <t>BIG C NHA TRANG</t>
  </si>
  <si>
    <t>BIGC_DLAT</t>
  </si>
  <si>
    <t>BIG C DA LAT</t>
  </si>
  <si>
    <t>BIGC_CTHO</t>
  </si>
  <si>
    <t>BIG C CAN THO</t>
  </si>
  <si>
    <t>BIGC_VPHUC</t>
  </si>
  <si>
    <t>BIG C VINH PHUC</t>
  </si>
  <si>
    <t>BIGC_TLONG</t>
  </si>
  <si>
    <t>BIG C THANG LONG</t>
  </si>
  <si>
    <t>BIGC_GO_TKY</t>
  </si>
  <si>
    <t>BIG C GO TAM KỲ</t>
  </si>
  <si>
    <t>BIGC_TANUYEN</t>
  </si>
  <si>
    <t>BIG C TAN UYEN</t>
  </si>
  <si>
    <t>BIGC_DBAN</t>
  </si>
  <si>
    <t>BIG C DIEN BAN</t>
  </si>
  <si>
    <t>BIGC_HTHANH</t>
  </si>
  <si>
    <t>BIG C HOA THANH</t>
  </si>
  <si>
    <t>BIGC_TBINH</t>
  </si>
  <si>
    <t>BIG C THANH BINH</t>
  </si>
  <si>
    <t>BIGC_ANNHON</t>
  </si>
  <si>
    <t>BIG C AN NHON</t>
  </si>
  <si>
    <t>BIGC_HLONG</t>
  </si>
  <si>
    <t>BIG C HA LONG</t>
  </si>
  <si>
    <t>BIGC_GO_BMT</t>
  </si>
  <si>
    <t>BIG C GO BUON MA THUOT</t>
  </si>
  <si>
    <t>BIGC_ANLAC</t>
  </si>
  <si>
    <t>BIG C AN LAC</t>
  </si>
  <si>
    <t>BIGC_GVAP</t>
  </si>
  <si>
    <t>BIG C GO VAP</t>
  </si>
  <si>
    <t>BIGC_BDUONG</t>
  </si>
  <si>
    <t>BIG C BINH DUONG</t>
  </si>
  <si>
    <t>BIGC_PTHANH</t>
  </si>
  <si>
    <t>BIG C PHU THANH</t>
  </si>
  <si>
    <t>BIGC_LNINH</t>
  </si>
  <si>
    <t>BIG C LOC NINH</t>
  </si>
  <si>
    <t>BIGC_HTRA</t>
  </si>
  <si>
    <t>BIG C HUONG TRA</t>
  </si>
  <si>
    <t>BIGC_NTRACH</t>
  </si>
  <si>
    <t>BIG C NHON TRACH</t>
  </si>
  <si>
    <t>BIGC_GO_GDAU</t>
  </si>
  <si>
    <t>BIG C GO DAU</t>
  </si>
  <si>
    <t>BIGC_BLIEU</t>
  </si>
  <si>
    <t>BIG C BAC LIEU</t>
  </si>
  <si>
    <t>BIGC_QNHON</t>
  </si>
  <si>
    <t>BIG C QUY NHON</t>
  </si>
  <si>
    <t>BIGC_THOA</t>
  </si>
  <si>
    <t>BIG C THANH HOA</t>
  </si>
  <si>
    <t>BIGC_HDUONG</t>
  </si>
  <si>
    <t>BIG C HAI DUONG</t>
  </si>
  <si>
    <t>BIGC_LBIEN</t>
  </si>
  <si>
    <t>BIG C LONG BIEN</t>
  </si>
  <si>
    <t>BIGC_VINH</t>
  </si>
  <si>
    <t>BIG C VINH</t>
  </si>
  <si>
    <t>BIGC_HUE</t>
  </si>
  <si>
    <t>BIG C HUE</t>
  </si>
  <si>
    <t>BIGC_DNANG</t>
  </si>
  <si>
    <t>BIG C DA NANG</t>
  </si>
  <si>
    <t>BIGC_HPHONG</t>
  </si>
  <si>
    <t>BIG C HAI PHONG</t>
  </si>
  <si>
    <t>BIGC_GO_BTRE</t>
  </si>
  <si>
    <t>BIG C BEN TRE</t>
  </si>
  <si>
    <t>BIGC_TDUC</t>
  </si>
  <si>
    <t>BIG C THU DUC</t>
  </si>
  <si>
    <t>BIGC_ANPHU</t>
  </si>
  <si>
    <t>BIG C AN PHU</t>
  </si>
  <si>
    <t>BIGC_GO_LAOCAI</t>
  </si>
  <si>
    <t>BIG C GO LAO CAI</t>
  </si>
  <si>
    <t>BIGC_YENBAI</t>
  </si>
  <si>
    <t>BIG C YEN BAI</t>
  </si>
  <si>
    <t>BIGC_HYEN</t>
  </si>
  <si>
    <t>BIG C HUNG YEN</t>
  </si>
  <si>
    <t>BIGC_GO_TBINH</t>
  </si>
  <si>
    <t>BIG C GO THAI BINH</t>
  </si>
  <si>
    <t>BIGC_HGUOM</t>
  </si>
  <si>
    <t>BIG C HO GUOM</t>
  </si>
  <si>
    <t>BIGC_BGIANG</t>
  </si>
  <si>
    <t>BIG C BAC GIANG</t>
  </si>
  <si>
    <t>BIGC_VTRI</t>
  </si>
  <si>
    <t>BIG C VIET TRI</t>
  </si>
  <si>
    <t>BIGC_NDINH</t>
  </si>
  <si>
    <t>BIG C NAM DINH</t>
  </si>
  <si>
    <t>BIGC_GARDEN</t>
  </si>
  <si>
    <t>BIG C GARDEN MALL</t>
  </si>
  <si>
    <t>BIGC_MLINH</t>
  </si>
  <si>
    <t>BIG C ME LINH</t>
  </si>
  <si>
    <t>BIGC_NBINH</t>
  </si>
  <si>
    <t>BIG C NINH BINH</t>
  </si>
  <si>
    <t>BIGC_LTT</t>
  </si>
  <si>
    <t>BIG C LE TRONG TAN</t>
  </si>
  <si>
    <t>BIGC_HNGU</t>
  </si>
  <si>
    <t>BIG C HONG NGU</t>
  </si>
  <si>
    <t>BIGC_RGIA</t>
  </si>
  <si>
    <t>BIG C RACH GIA</t>
  </si>
  <si>
    <t>BIGC_GO_PMY</t>
  </si>
  <si>
    <t>BIG C PHU MY</t>
  </si>
  <si>
    <t>BIGC_TVINH</t>
  </si>
  <si>
    <t>BIG C TRA VINH</t>
  </si>
  <si>
    <t>BHX_1522_VLOC</t>
  </si>
  <si>
    <t>BACH HOA XANH KHO VINH LOC</t>
  </si>
  <si>
    <t>BHX</t>
  </si>
  <si>
    <t>BHX_6655_NHBE</t>
  </si>
  <si>
    <t>BACH HOA XANH KHO NHA BE</t>
  </si>
  <si>
    <t>BHX_7200_DKHANH</t>
  </si>
  <si>
    <t>BACH HOA XANH DIEN KHANH</t>
  </si>
  <si>
    <t>BHX_10760_CDUOC</t>
  </si>
  <si>
    <t>BACH HOA XANH CAN DUOC</t>
  </si>
  <si>
    <t>BHX_13807_XUYENA</t>
  </si>
  <si>
    <t>BACH HOA XANH XUYEN A</t>
  </si>
  <si>
    <t>BHX_5060_CTHANHA</t>
  </si>
  <si>
    <t>BACH HOA XANH CHAU THANH A</t>
  </si>
  <si>
    <t>BHX_6911_KGIANG</t>
  </si>
  <si>
    <t>BACH HOA XANH TAN PHU TRUNG</t>
  </si>
  <si>
    <t>BHX_3240_TDN</t>
  </si>
  <si>
    <t>BACH HOA XANH KHO TRAN DAI NGHIA</t>
  </si>
  <si>
    <t>BHX_28097_NBINH</t>
  </si>
  <si>
    <t>BHX NINH BINH</t>
  </si>
  <si>
    <t>BHX_14365_QNHON</t>
  </si>
  <si>
    <t>BHX QUY NHON</t>
  </si>
  <si>
    <t>BHX_4089_LBINH</t>
  </si>
  <si>
    <t>BACH HOA XANH KHO LONG BINH</t>
  </si>
  <si>
    <t>BHX_14675_VINH</t>
  </si>
  <si>
    <t>BACH HOA XANH VINH</t>
  </si>
  <si>
    <t>BHX_15065_THOA</t>
  </si>
  <si>
    <t>BACH HOA XANH THANH HOA</t>
  </si>
  <si>
    <t>BHX_28585_QNGAI</t>
  </si>
  <si>
    <t>BHX_14960_QUANGTRI</t>
  </si>
  <si>
    <t>BACH HOA XANH QUANG TRI</t>
  </si>
  <si>
    <t>BHX_14158_DBAN</t>
  </si>
  <si>
    <t>BHX DIEN BAN</t>
  </si>
  <si>
    <t>BD_TPHU</t>
  </si>
  <si>
    <t>BUU DIEN TAN PHU</t>
  </si>
  <si>
    <t>BACH HOA BUU DIEN</t>
  </si>
  <si>
    <t>BD_HMON</t>
  </si>
  <si>
    <t>BUU DIEN HOC MON</t>
  </si>
  <si>
    <t>SD_NVT</t>
  </si>
  <si>
    <t>AN NAM NGUYEN VAN TROI</t>
  </si>
  <si>
    <t>AN NAM</t>
  </si>
  <si>
    <t>SD_LAND81</t>
  </si>
  <si>
    <t>AN NAM LANDMART 81</t>
  </si>
  <si>
    <t>SD_TDIEN</t>
  </si>
  <si>
    <t>AN NAM THAO DIEN</t>
  </si>
  <si>
    <t>SD_SH</t>
  </si>
  <si>
    <t>AN NAM SONG HANH</t>
  </si>
  <si>
    <t>SD_NLB</t>
  </si>
  <si>
    <t>AN NAM NGUYEN LUONG BANG</t>
  </si>
  <si>
    <t>SD_LLOI</t>
  </si>
  <si>
    <t>AN NAM LE LOI</t>
  </si>
  <si>
    <t>SD_TERRACE</t>
  </si>
  <si>
    <t>AN NAM TERACE</t>
  </si>
  <si>
    <t>SD_NHC</t>
  </si>
  <si>
    <t>AN NAM NGUYEN HUU CANH</t>
  </si>
  <si>
    <t>SD_SYRENA</t>
  </si>
  <si>
    <t>AN NAM SYRENA</t>
  </si>
  <si>
    <t>ACE_HOME_TDIEN</t>
  </si>
  <si>
    <t>ACE THAO DIEN</t>
  </si>
  <si>
    <t>ACE</t>
  </si>
  <si>
    <t>ACE_HOME_CEL</t>
  </si>
  <si>
    <t>ACE HOME CELADON</t>
  </si>
  <si>
    <t>ACE_HOME_VIVO</t>
  </si>
  <si>
    <t>ACE VIVOCITY</t>
  </si>
  <si>
    <t>ACE_HOME_DANANG</t>
  </si>
  <si>
    <t>ACE DA NANG</t>
  </si>
  <si>
    <t>ACE_HOME_SH</t>
  </si>
  <si>
    <t>ACE SONG HANH</t>
  </si>
  <si>
    <t>ACE_HOME_SVH</t>
  </si>
  <si>
    <t>ACE HOME SU VAN HANH</t>
  </si>
  <si>
    <t>COLEMAN</t>
  </si>
  <si>
    <t>FUJITSU</t>
  </si>
  <si>
    <t>AZARINE</t>
  </si>
  <si>
    <t>BAKING SODA</t>
  </si>
  <si>
    <t>SIÊU THỊ</t>
  </si>
  <si>
    <t>TỔNG TARGET</t>
  </si>
  <si>
    <t>THỰC ĐẠT</t>
  </si>
  <si>
    <t>%</t>
  </si>
  <si>
    <t>TARGET</t>
  </si>
  <si>
    <t>LE NAM PHUONG</t>
  </si>
  <si>
    <t>AEON</t>
  </si>
  <si>
    <t>ADIDAS</t>
  </si>
  <si>
    <t>HOMEMART</t>
  </si>
  <si>
    <t>SIEU THI AN PHU</t>
  </si>
  <si>
    <t>WELLNESS</t>
  </si>
  <si>
    <t>AEON CITI</t>
  </si>
  <si>
    <t>VAVANCY-VU MINH TUAN</t>
  </si>
  <si>
    <t>TRAN THI THAO NGUYEN</t>
  </si>
  <si>
    <t>HOMEFRESH MART</t>
  </si>
  <si>
    <t>CUA HANG NHAT</t>
  </si>
  <si>
    <t>CUA HANG TIEN LOI BUI</t>
  </si>
  <si>
    <t>JOLYMART</t>
  </si>
  <si>
    <t>MINISTOP G7</t>
  </si>
  <si>
    <t>FOODSMART</t>
  </si>
  <si>
    <t>FARMER</t>
  </si>
  <si>
    <t>SIEU THI HANG NHAP KHAU</t>
  </si>
  <si>
    <t>MEDICARE</t>
  </si>
  <si>
    <t>NHANH NHANH</t>
  </si>
  <si>
    <t>PHAM HUY ANH</t>
  </si>
  <si>
    <t>KING KONG MART</t>
  </si>
  <si>
    <t>CÔNG TY TNHH THƯƠNG MẠI DỊCH VỤ NNK</t>
  </si>
  <si>
    <t xml:space="preserve">Siêu Thị Bùi Mart </t>
  </si>
  <si>
    <t>TỔNG</t>
  </si>
  <si>
    <t>TEN DON VI</t>
  </si>
  <si>
    <t>HE THONG</t>
  </si>
  <si>
    <t>SYSTEM CODE</t>
  </si>
  <si>
    <t>KA</t>
  </si>
  <si>
    <t>SUP</t>
  </si>
  <si>
    <t>SALE</t>
  </si>
  <si>
    <t>PG</t>
  </si>
  <si>
    <t>QUAN</t>
  </si>
  <si>
    <t>VUNG MIEN</t>
  </si>
  <si>
    <t>TINH/THANH</t>
  </si>
  <si>
    <t>HO KINH DOANH 3S PHAN THIET</t>
  </si>
  <si>
    <t>3S PHAN THIET</t>
  </si>
  <si>
    <t>3S_PTHIET</t>
  </si>
  <si>
    <t>KA HCM1</t>
  </si>
  <si>
    <t>VACANCY</t>
  </si>
  <si>
    <t>"NO PG"</t>
  </si>
  <si>
    <t>A STORE AN GIANG</t>
  </si>
  <si>
    <t>A STORE</t>
  </si>
  <si>
    <t>6322</t>
  </si>
  <si>
    <t>AN GIANG</t>
  </si>
  <si>
    <t>DONG BANG SONG CUU LONG</t>
  </si>
  <si>
    <t>AB BEAUTY WORLD</t>
  </si>
  <si>
    <t>ABBW</t>
  </si>
  <si>
    <t>AB_PART</t>
  </si>
  <si>
    <t>TP HCM</t>
  </si>
  <si>
    <t>HCM</t>
  </si>
  <si>
    <t>AB BEAUTY WORLD LE DAI HANH</t>
  </si>
  <si>
    <t>AB_LDH</t>
  </si>
  <si>
    <t>AB BEAUTY WORLD LE VAN SY</t>
  </si>
  <si>
    <t>AB_LVS</t>
  </si>
  <si>
    <t>AB BEAUTY WORLD LUY BAN BICH</t>
  </si>
  <si>
    <t>AB_LBB</t>
  </si>
  <si>
    <t>AB BEAUTY WORLD MA LO</t>
  </si>
  <si>
    <t>AB_MALO</t>
  </si>
  <si>
    <t>AB BEAUTY WORLD NGUYEN THI THAP</t>
  </si>
  <si>
    <t>AB_NTTHAP</t>
  </si>
  <si>
    <t>AB BEAUTY WORLD PHAN DANG LUU</t>
  </si>
  <si>
    <t>AB_PDL</t>
  </si>
  <si>
    <t>ACE CELADON</t>
  </si>
  <si>
    <t>ACE_CELADON</t>
  </si>
  <si>
    <t>VU THUY MINH THAO</t>
  </si>
  <si>
    <t>ACE_SH</t>
  </si>
  <si>
    <t>ACE SU VAN HANH</t>
  </si>
  <si>
    <t>ACE_SVH</t>
  </si>
  <si>
    <t>ACE_VIVO</t>
  </si>
  <si>
    <t>AEON BINH DUONG</t>
  </si>
  <si>
    <t>AEON_BDUONG_RDC</t>
  </si>
  <si>
    <t>BINH DUONG</t>
  </si>
  <si>
    <t>MIEN DONG NAM BO</t>
  </si>
  <si>
    <t>AEON BINH TAN</t>
  </si>
  <si>
    <t>AEON_BTAN_RDC</t>
  </si>
  <si>
    <t>AEON HA DONG</t>
  </si>
  <si>
    <t>AEON_HDONG_RDC</t>
  </si>
  <si>
    <t>LE THI HONG DIEP</t>
  </si>
  <si>
    <t>HA NOI</t>
  </si>
  <si>
    <t>MIEN BAC</t>
  </si>
  <si>
    <t>AEON HAI PHONG</t>
  </si>
  <si>
    <t>AEON_HPHONG_RDC</t>
  </si>
  <si>
    <t>HAI PHONG</t>
  </si>
  <si>
    <t>AEON LONG BIEN</t>
  </si>
  <si>
    <t>AEON_LBIEN_RDC</t>
  </si>
  <si>
    <t>AEON NEWTON</t>
  </si>
  <si>
    <t>AEON_GBNEWTON_RDC</t>
  </si>
  <si>
    <t>AEON TAN PHU</t>
  </si>
  <si>
    <t>AEON_TPHU_RDC</t>
  </si>
  <si>
    <t>AEON CITI B&amp;B CONIC</t>
  </si>
  <si>
    <t>CITI_CONIC</t>
  </si>
  <si>
    <t>"NO SALE"</t>
  </si>
  <si>
    <t>AEON CITI BCA QUAN 2</t>
  </si>
  <si>
    <t>CITI_BCAN</t>
  </si>
  <si>
    <t>AEON CITI BINH DUONG</t>
  </si>
  <si>
    <t>CITI_BDUONG</t>
  </si>
  <si>
    <t>AEON CITI BINH TAN</t>
  </si>
  <si>
    <t>CITI_BTAN</t>
  </si>
  <si>
    <t>AEON CITI CAO THANG</t>
  </si>
  <si>
    <t>CITI_CTHANG</t>
  </si>
  <si>
    <t>AEON CITI ECOPARK</t>
  </si>
  <si>
    <t>CITI_ECP</t>
  </si>
  <si>
    <t>AEON CITI GARDEN PLAZA</t>
  </si>
  <si>
    <t>CITI_PLA</t>
  </si>
  <si>
    <t>AEON CITI GREEN VIEW</t>
  </si>
  <si>
    <t>CITI_NLB</t>
  </si>
  <si>
    <t>AEON CITI HA NOI TOWER</t>
  </si>
  <si>
    <t>CITI_TOW</t>
  </si>
  <si>
    <t>AEON CITI HIM LAM QUAN 6</t>
  </si>
  <si>
    <t>CITI_HLAM6</t>
  </si>
  <si>
    <t>AEON CITI HIM LAM QUAN 7</t>
  </si>
  <si>
    <t>CITI_HLAM7</t>
  </si>
  <si>
    <t>AEON CITI HUNG VUONG</t>
  </si>
  <si>
    <t>CITI_HVUONG</t>
  </si>
  <si>
    <t>AEON CITI INDOCHINA</t>
  </si>
  <si>
    <t>CITI_IND</t>
  </si>
  <si>
    <t>AEON CITI KHO PHAN PHOI SI MIEN NAM</t>
  </si>
  <si>
    <t>CITI_KHO</t>
  </si>
  <si>
    <t>AEON CITI NAM LONG</t>
  </si>
  <si>
    <t>CITI_NLONG</t>
  </si>
  <si>
    <t>AEON CITI NEW SAI GON</t>
  </si>
  <si>
    <t>CITI_NEWSG</t>
  </si>
  <si>
    <t>AEON CITI NHA TRANG</t>
  </si>
  <si>
    <t>CITI_NTRANG</t>
  </si>
  <si>
    <t>NHA TRANG</t>
  </si>
  <si>
    <t>DUYEN HAI NAM TRUNG BO</t>
  </si>
  <si>
    <t>AEON CITI NHA TRANG 2</t>
  </si>
  <si>
    <t>CITI_NTRANG2</t>
  </si>
  <si>
    <t>AEON CITI PARKSON QUAN 5</t>
  </si>
  <si>
    <t>CITI_PAR5</t>
  </si>
  <si>
    <t>AEON CITI PHUC YEN</t>
  </si>
  <si>
    <t>CITI_PYEN</t>
  </si>
  <si>
    <t>AEON CITI RES 11</t>
  </si>
  <si>
    <t>CITI_RES11</t>
  </si>
  <si>
    <t>AEON CITI SOMMERSET</t>
  </si>
  <si>
    <t>CITI_NTMK</t>
  </si>
  <si>
    <t>AEON CITI SUNRISE CITY</t>
  </si>
  <si>
    <t>CITI_SUNRISE</t>
  </si>
  <si>
    <t>AEON CITI TROPIC QUAN 2</t>
  </si>
  <si>
    <t>CITI_TROPIC</t>
  </si>
  <si>
    <t>AEON CITI  ORCH</t>
  </si>
  <si>
    <t>CITI_ORCH</t>
  </si>
  <si>
    <t>AN NAM FELIZ</t>
  </si>
  <si>
    <t>SD_FELIZ</t>
  </si>
  <si>
    <t>NGUYEN THI MUON</t>
  </si>
  <si>
    <t>AN NAM HAI BA TRUNG</t>
  </si>
  <si>
    <t>SD_HBT</t>
  </si>
  <si>
    <t>AN NAM LONG BIEN</t>
  </si>
  <si>
    <t>SD_LBIEN</t>
  </si>
  <si>
    <t>AN NAM NGUYEN DUC CANH</t>
  </si>
  <si>
    <t>SD_NDC</t>
  </si>
  <si>
    <t>AN NAM THU DUC</t>
  </si>
  <si>
    <t>SD_TDUC</t>
  </si>
  <si>
    <t>AN NAM TIMESCITY</t>
  </si>
  <si>
    <t>SD_TIMESCITY</t>
  </si>
  <si>
    <t>AN NAM VINSMART</t>
  </si>
  <si>
    <t>SD_VINSMART</t>
  </si>
  <si>
    <t>BACH HOA BUU DIEN BINH THANH</t>
  </si>
  <si>
    <t>BD_BTHANH</t>
  </si>
  <si>
    <t>NO SALE</t>
  </si>
  <si>
    <t>BACH HOA BUU DIEN PHU NHUAN</t>
  </si>
  <si>
    <t>BD_PNHUAN</t>
  </si>
  <si>
    <t>BACH HOA BUU DIEN CU CHI</t>
  </si>
  <si>
    <t>BD_CUCHI</t>
  </si>
  <si>
    <t>BACH HOA XANH TAY NINH</t>
  </si>
  <si>
    <t>BHX_13628_TNINH</t>
  </si>
  <si>
    <t>BACH HOA XANH AN KHANG</t>
  </si>
  <si>
    <t>BHX_ANKHANG</t>
  </si>
  <si>
    <t>BACH HOA XANH BAC LIEU</t>
  </si>
  <si>
    <t>BHX_7085_BLI</t>
  </si>
  <si>
    <t>MIEN TAY</t>
  </si>
  <si>
    <t>BACH HOA XANH BEN TRE</t>
  </si>
  <si>
    <t>BHX_7000_BTRE</t>
  </si>
  <si>
    <t>BACH HOA XANH BUON ME THUOT</t>
  </si>
  <si>
    <t>BHX_6450_BMT</t>
  </si>
  <si>
    <t>BHX_7234_CDUOC</t>
  </si>
  <si>
    <t>BACH HOA XANH DONG PHU</t>
  </si>
  <si>
    <t>BHX_7866_DPHU</t>
  </si>
  <si>
    <t>BACH HOA XANH DUC HOA</t>
  </si>
  <si>
    <t>BHX_10864_ONLDHOA</t>
  </si>
  <si>
    <t>BACH HOA XANH DUC TRONG</t>
  </si>
  <si>
    <t>BHX_8030_DTRONG</t>
  </si>
  <si>
    <t>MIEN DONG</t>
  </si>
  <si>
    <t>BACH HOA XANH GO VAP</t>
  </si>
  <si>
    <t>BHX_8681_GVAP</t>
  </si>
  <si>
    <t>TPHCM</t>
  </si>
  <si>
    <t>BACH HOA XANH HAM THUAN</t>
  </si>
  <si>
    <t>BHX_7211_HTA</t>
  </si>
  <si>
    <t>BACH HOA XANH HOA THANH</t>
  </si>
  <si>
    <t>BHX_6960_HTHANH</t>
  </si>
  <si>
    <t>DONG NAI</t>
  </si>
  <si>
    <t>BACH HOA XANH KHO TRAN DAI NGHIA ONLINE</t>
  </si>
  <si>
    <t>BHX_27889_ONLTDN</t>
  </si>
  <si>
    <t>BACH HOA XANH KIEN GIANG</t>
  </si>
  <si>
    <t>BHX_9899_TPHU</t>
  </si>
  <si>
    <t>BACH HOA XANH MAI DAM</t>
  </si>
  <si>
    <t>BHX_5664_MDAM</t>
  </si>
  <si>
    <t>BACH HOA XANH MY THO</t>
  </si>
  <si>
    <t>BHX_4014_MTHO</t>
  </si>
  <si>
    <t>BACH HOA XANH OL VINH LOC</t>
  </si>
  <si>
    <t>BHX_13935_ONLVLOC</t>
  </si>
  <si>
    <t>BACH HOA XANH PHU MY</t>
  </si>
  <si>
    <t>BHX_7161_PMY</t>
  </si>
  <si>
    <t>BACH HOA XANH THOT NOT</t>
  </si>
  <si>
    <t>BHX_5058_TNOT</t>
  </si>
  <si>
    <t>BACH HOA XANH THU DUC</t>
  </si>
  <si>
    <t>BHX_9814_TDUC</t>
  </si>
  <si>
    <t>BACH HOA XANH THUAN AN</t>
  </si>
  <si>
    <t>BHX_5851_THAN</t>
  </si>
  <si>
    <t>BIG C LAP VO</t>
  </si>
  <si>
    <t>BIGC_LVO</t>
  </si>
  <si>
    <t>NGUYEN THI OANH</t>
  </si>
  <si>
    <t>BAC GIANG</t>
  </si>
  <si>
    <t>MIEN DONG BAC BO</t>
  </si>
  <si>
    <t>BEN TRE</t>
  </si>
  <si>
    <t>HUYNH NGOC HIEU</t>
  </si>
  <si>
    <t>CAN THO</t>
  </si>
  <si>
    <t>LAM DONG</t>
  </si>
  <si>
    <t>TAY NGUYEN</t>
  </si>
  <si>
    <t>PHAM THI BINH</t>
  </si>
  <si>
    <t>DA NANG</t>
  </si>
  <si>
    <t>MIEN TRUNG</t>
  </si>
  <si>
    <t>NO PG</t>
  </si>
  <si>
    <t>TRAN THI NHAN</t>
  </si>
  <si>
    <t>BUON MA THUOT</t>
  </si>
  <si>
    <t>THAI NGUYEN</t>
  </si>
  <si>
    <t>MIEN BAC TRUNG BO</t>
  </si>
  <si>
    <t>NINH BINH</t>
  </si>
  <si>
    <t>DONG BANG SONG HONG</t>
  </si>
  <si>
    <t>HAI DUONG</t>
  </si>
  <si>
    <t>HUE</t>
  </si>
  <si>
    <t>BIG C KHO 802</t>
  </si>
  <si>
    <t>BIGC_KHO802</t>
  </si>
  <si>
    <t>TIEN GIANG</t>
  </si>
  <si>
    <t>NAM DINH</t>
  </si>
  <si>
    <t>BIG C NGUYEN XIEN</t>
  </si>
  <si>
    <t>BIGC_NXIEN</t>
  </si>
  <si>
    <t>TRAN THANH TUAN</t>
  </si>
  <si>
    <t>BIG C PARKCITY</t>
  </si>
  <si>
    <t>BIGC_PARKCITY</t>
  </si>
  <si>
    <t>QUANG NGAI</t>
  </si>
  <si>
    <t>BINH DINH</t>
  </si>
  <si>
    <t>THANH HOA</t>
  </si>
  <si>
    <t>TRA VINH</t>
  </si>
  <si>
    <t>PHU THO</t>
  </si>
  <si>
    <t>NGHE AN</t>
  </si>
  <si>
    <t>VINH PHUC</t>
  </si>
  <si>
    <t>BIG C GO CONG TAY</t>
  </si>
  <si>
    <t>BIGC_GCTAY</t>
  </si>
  <si>
    <t>BONIVA FOOD</t>
  </si>
  <si>
    <t>6469</t>
  </si>
  <si>
    <t>B'S MART</t>
  </si>
  <si>
    <t>4317</t>
  </si>
  <si>
    <t>CAO PHONG CACH MANG THANG 8</t>
  </si>
  <si>
    <t>CAO PHONG</t>
  </si>
  <si>
    <t>CP_CMT8</t>
  </si>
  <si>
    <t>CAO PHONG HOANG DIEU</t>
  </si>
  <si>
    <t>CP_HD</t>
  </si>
  <si>
    <t>CAO PHONG HUNG VUONG</t>
  </si>
  <si>
    <t>CP_HV</t>
  </si>
  <si>
    <t>CAO PHONG LUONG DINH CUA</t>
  </si>
  <si>
    <t>CP_LDC</t>
  </si>
  <si>
    <t>CAO PHONG TON DAT TIEN</t>
  </si>
  <si>
    <t>CP_TDT</t>
  </si>
  <si>
    <t>TRAN THI THANH TRUC</t>
  </si>
  <si>
    <t>COOP PHO QUANG</t>
  </si>
  <si>
    <t>COOP_NQ_PQ</t>
  </si>
  <si>
    <t>COOPFOOD LE VAN QUOI</t>
  </si>
  <si>
    <t>COOP_F_LVQ</t>
  </si>
  <si>
    <t>COOPFOOD VISION</t>
  </si>
  <si>
    <t>COOP_F_VISION</t>
  </si>
  <si>
    <t>COOPFOOD VAN KHE</t>
  </si>
  <si>
    <t>COOP_F_VKHE</t>
  </si>
  <si>
    <t>COOPFOOD NGUYEN THI DINH</t>
  </si>
  <si>
    <t>COOP_F_NTD</t>
  </si>
  <si>
    <t>COOPFOOD TAN SON NHI 387</t>
  </si>
  <si>
    <t>COOP_F_TSN387</t>
  </si>
  <si>
    <t>COOPFOOD XOM CHIEU</t>
  </si>
  <si>
    <t>COOP_F_XCHIEU</t>
  </si>
  <si>
    <t>COOPFOOD TINH LO 43</t>
  </si>
  <si>
    <t>COOP_F_TLO43</t>
  </si>
  <si>
    <t>COOPFOOD VESTA</t>
  </si>
  <si>
    <t>COOP_F_VESTA</t>
  </si>
  <si>
    <t>COOPFOOD BCONS GARDEN</t>
  </si>
  <si>
    <t>COOP_F_BCONS_GD</t>
  </si>
  <si>
    <t>COOPFOOD LINH XUAN</t>
  </si>
  <si>
    <t>COOP_F_LXUAN</t>
  </si>
  <si>
    <t>COOPFOOD HIEP BINH</t>
  </si>
  <si>
    <t>COOP_F_HBINH</t>
  </si>
  <si>
    <t>COOPFOOD LE LOI 160</t>
  </si>
  <si>
    <t>COOP_F_LLOI60</t>
  </si>
  <si>
    <t>COOPFOOD NGUYEN SON 325</t>
  </si>
  <si>
    <t>COOP_F_NSON325</t>
  </si>
  <si>
    <t>COOPFOOD LE VAN LUONG 302</t>
  </si>
  <si>
    <t>COOP_F_LVL302</t>
  </si>
  <si>
    <t>COOPFOOD HATECO</t>
  </si>
  <si>
    <t>COOP_F_HATECO</t>
  </si>
  <si>
    <t>COOPFOOD TRUNG MY TAY</t>
  </si>
  <si>
    <t>COOP_F_TMTAY</t>
  </si>
  <si>
    <t>COOPFOOD LE VAN SY</t>
  </si>
  <si>
    <t>COOP_F_LVSY</t>
  </si>
  <si>
    <t>COOPFOOD NGUYEN TRONG TUYEN 171</t>
  </si>
  <si>
    <t>COOP_F_NTT171</t>
  </si>
  <si>
    <t>COOPFOOD TRUONG PHUOC PHAN</t>
  </si>
  <si>
    <t>COOP_F_TPPHAN</t>
  </si>
  <si>
    <t>COOPFOOD HOANG HUU NAM</t>
  </si>
  <si>
    <t>COOP_F_HHNAM</t>
  </si>
  <si>
    <t>COOPFOOD NGO QUYEN 52</t>
  </si>
  <si>
    <t>COOP_F_NQ52</t>
  </si>
  <si>
    <t>COOPFOOD OPAL</t>
  </si>
  <si>
    <t>COOP_F_OPAL</t>
  </si>
  <si>
    <t>COOPFOOD PASTEUR</t>
  </si>
  <si>
    <t>COOP_F_PASTEUR</t>
  </si>
  <si>
    <t>COOPFOOD NGUYEN HONG</t>
  </si>
  <si>
    <t>COOP_F_NHONG</t>
  </si>
  <si>
    <t>COOPFOOD VINH VIEN</t>
  </si>
  <si>
    <t>COOP_F_VVIEN393</t>
  </si>
  <si>
    <t>COOPFOOD LINH TRUNG</t>
  </si>
  <si>
    <t>COOP_F_DS8LTRUNG</t>
  </si>
  <si>
    <t>COOPFOOD TANG NHON PHU</t>
  </si>
  <si>
    <t>COOP_F_TNPHU</t>
  </si>
  <si>
    <t>COOP_F_DS3_HBP</t>
  </si>
  <si>
    <t>COOPFOOD ECO</t>
  </si>
  <si>
    <t>COOP_F_ECO</t>
  </si>
  <si>
    <t>COOPFOOD THE MY</t>
  </si>
  <si>
    <t>COOP_F_THEMY31</t>
  </si>
  <si>
    <t>COOPFOOD LANG TANG PHU</t>
  </si>
  <si>
    <t>COOP_F_LTPHU</t>
  </si>
  <si>
    <t>COOPFOOD SAI GON</t>
  </si>
  <si>
    <t>COOP_F_SAIGON</t>
  </si>
  <si>
    <t>COOPFOOD HAU LAN</t>
  </si>
  <si>
    <t>COOP_F_HAULAN</t>
  </si>
  <si>
    <t>COOPFOOD TRAN QUOC THAO</t>
  </si>
  <si>
    <t>COOP_F_TQT</t>
  </si>
  <si>
    <t>COOPFOOD LUMIERE</t>
  </si>
  <si>
    <t>COOP_FL_LUMIERE</t>
  </si>
  <si>
    <t>COOPFOOD LE QUANG DINH</t>
  </si>
  <si>
    <t>COOP_F_LQDINH</t>
  </si>
  <si>
    <t>COOPFOOD HA DO</t>
  </si>
  <si>
    <t>COOP_F_HADO</t>
  </si>
  <si>
    <t>COOPFOOD NGUYEN DUY TRINH 192</t>
  </si>
  <si>
    <t>COOP_F_NDTRINH192</t>
  </si>
  <si>
    <t>COOPFOOD NGUYEN HUU TIEN  11</t>
  </si>
  <si>
    <t>COOP_F_NHTIEN11</t>
  </si>
  <si>
    <t>COOPFOOD LE VAN LUONG 1187</t>
  </si>
  <si>
    <t>COOP_F_LVLUONG1187</t>
  </si>
  <si>
    <t>COOPFOOD AN KHANG</t>
  </si>
  <si>
    <t>COOP_F_AKHANG</t>
  </si>
  <si>
    <t>COOPFOOD VANH DAI</t>
  </si>
  <si>
    <t>COOP_F_VDAI</t>
  </si>
  <si>
    <t>COOPFOOD LAVITA</t>
  </si>
  <si>
    <t>COOP_F_LAVITA</t>
  </si>
  <si>
    <t>COOPFOOD TINH LO 15</t>
  </si>
  <si>
    <t>COOP_F_TL15_275</t>
  </si>
  <si>
    <t>COOPFOOD LA XUAN OAI</t>
  </si>
  <si>
    <t>COOP_F_LXOAI</t>
  </si>
  <si>
    <t>COOPFOOD LAM AN BEN</t>
  </si>
  <si>
    <t>COOP_F_LVB</t>
  </si>
  <si>
    <t>COOPFOOD HO VAN LONG</t>
  </si>
  <si>
    <t>COOP_F_HVLONG</t>
  </si>
  <si>
    <t>COOPFOOD ROMAN</t>
  </si>
  <si>
    <t>COOP_F_ROMAN</t>
  </si>
  <si>
    <t>COOPFOOD GREEN HILLS</t>
  </si>
  <si>
    <t>COOP_F_GHILLS</t>
  </si>
  <si>
    <t>COOPFOOD VINH HUNG</t>
  </si>
  <si>
    <t>COOP_F_VHUNG</t>
  </si>
  <si>
    <t>COOPFOOD SAPHIRE</t>
  </si>
  <si>
    <t>COOP_F_SAPHIRE</t>
  </si>
  <si>
    <t>COOPFOOD HOANG ANH</t>
  </si>
  <si>
    <t>COOP_F_HOANGANH</t>
  </si>
  <si>
    <t>COOPFOOD QUOC LO 22</t>
  </si>
  <si>
    <t>COOP_F_QL22_726</t>
  </si>
  <si>
    <t>COOPFOOD GARDEN</t>
  </si>
  <si>
    <t>COOP_F_GARDEN</t>
  </si>
  <si>
    <t>COOPFOOD PHAM VAN HON</t>
  </si>
  <si>
    <t>COOP_F_PVHON151</t>
  </si>
  <si>
    <t>COOPFOOD PHAN VAN HON</t>
  </si>
  <si>
    <t>COOP_F_PVHON285</t>
  </si>
  <si>
    <t>COOPFOOD GIA PHU</t>
  </si>
  <si>
    <t>COOP_F_GIAPHU</t>
  </si>
  <si>
    <t>COOPFOOD TON THAT THUYET</t>
  </si>
  <si>
    <t>COOP_F_TTTHUYET</t>
  </si>
  <si>
    <t>COOP NGUYEN VAN DAU</t>
  </si>
  <si>
    <t>COOP_F_NVDAU</t>
  </si>
  <si>
    <t>COOPFOOD TRAN PHU</t>
  </si>
  <si>
    <t>COOP_F_TPHU71</t>
  </si>
  <si>
    <t>COOPFOOD EURO</t>
  </si>
  <si>
    <t>COOP_F_EURO</t>
  </si>
  <si>
    <t>COOPFOOD HAPPY</t>
  </si>
  <si>
    <t>COOP_F_HAPPY</t>
  </si>
  <si>
    <t>COOPFOOD HUYNH VAN NGHE</t>
  </si>
  <si>
    <t>COOP_F_HVNGHE</t>
  </si>
  <si>
    <t>COOPFOOD TINH LO 8</t>
  </si>
  <si>
    <t>COOP_F_TL8_628</t>
  </si>
  <si>
    <t>COOPFOOD TRIEU KHUC</t>
  </si>
  <si>
    <t>COOP_F_TKHUC</t>
  </si>
  <si>
    <t>COOPFOOD XUYEN A</t>
  </si>
  <si>
    <t>COOP_F_XUYENA</t>
  </si>
  <si>
    <t xml:space="preserve">COOPFOOD BACH MA </t>
  </si>
  <si>
    <t>COOP_F_BMA</t>
  </si>
  <si>
    <t>COOFOOD BINH THOI</t>
  </si>
  <si>
    <t>COOP_F_BTHOI</t>
  </si>
  <si>
    <t>COOPFOOD WEAL</t>
  </si>
  <si>
    <t>COOP_F_WEAL</t>
  </si>
  <si>
    <t>COOPFOOD HAUSNEO</t>
  </si>
  <si>
    <t>COOP_F_HAUSNEO</t>
  </si>
  <si>
    <t>COOPFOOD IDICO</t>
  </si>
  <si>
    <t>COOP_F_IDICO</t>
  </si>
  <si>
    <t>COOPFOOD PHAM THE HIEN 2649</t>
  </si>
  <si>
    <t>COOP_F_PTHIEN2649</t>
  </si>
  <si>
    <t>COOPFOOD THONG NHAT</t>
  </si>
  <si>
    <t>COOP_F_TNHAT</t>
  </si>
  <si>
    <t>COOPFOOD TRUONG CONG DINH</t>
  </si>
  <si>
    <t>COOP_F_TCDINH</t>
  </si>
  <si>
    <t>COOPFOOD CHO CAU</t>
  </si>
  <si>
    <t>COOP_F_CHOCAU</t>
  </si>
  <si>
    <t>COOPFOOD TRAN TRONG CUNG</t>
  </si>
  <si>
    <t>COOP_F_TTCUNG</t>
  </si>
  <si>
    <t>COOPFOOD AKARI</t>
  </si>
  <si>
    <t>COOP_F_AKARI</t>
  </si>
  <si>
    <t>COOPFOOD HO VAN TU</t>
  </si>
  <si>
    <t>COOP_F_HVTU</t>
  </si>
  <si>
    <t>COOPFOOD TRUONG VAN THANH</t>
  </si>
  <si>
    <t>COOP_F_TVTHANH</t>
  </si>
  <si>
    <t>COOPFOOD HIEP PHU</t>
  </si>
  <si>
    <t>COOP_F_HPHU</t>
  </si>
  <si>
    <t>COOPFOOD SAMSORA RIVERSIDE</t>
  </si>
  <si>
    <t>COOP_F_SAMSO</t>
  </si>
  <si>
    <t>COOPFOOD THANG LONG</t>
  </si>
  <si>
    <t>COOP_F_TLONG31</t>
  </si>
  <si>
    <t>COOPFOOD CAY TRAM</t>
  </si>
  <si>
    <t>COOP_F_CTRAM</t>
  </si>
  <si>
    <t>COOPFOOD TRAN VIET CHAU</t>
  </si>
  <si>
    <t>COOP_F_TVC</t>
  </si>
  <si>
    <t>COOPFOOD THOAI NGOC HAU</t>
  </si>
  <si>
    <t>COOP_F_TNHAU</t>
  </si>
  <si>
    <t>COOPFOOD BINH KHANH</t>
  </si>
  <si>
    <t>COOP_F_BINHKHANH</t>
  </si>
  <si>
    <t>COOPFOOD TAN QUY</t>
  </si>
  <si>
    <t>COOP_F_TANQUY</t>
  </si>
  <si>
    <t>COOPFOOD NGUYEN DUY TRINH</t>
  </si>
  <si>
    <t>COOP_F_NDTRINH</t>
  </si>
  <si>
    <t>COOPFOOD BINH GIA</t>
  </si>
  <si>
    <t>COOP_F_BGIA</t>
  </si>
  <si>
    <t>COOPFOOD PHU LOI</t>
  </si>
  <si>
    <t>COOP_F_PLOI</t>
  </si>
  <si>
    <t>COOPFOOD CARINA</t>
  </si>
  <si>
    <t>COOP_F_CARINA</t>
  </si>
  <si>
    <t>COOPFOOD VAN KIEP</t>
  </si>
  <si>
    <t>COOP_F_VKIEP</t>
  </si>
  <si>
    <t>COOPFOOD DAT MOI</t>
  </si>
  <si>
    <t>COOP_F_DMOI</t>
  </si>
  <si>
    <t>COOPFOOD NHA BE</t>
  </si>
  <si>
    <t>COOP_F_NBE</t>
  </si>
  <si>
    <t>COOPFOOD PHAM THE HIEN 2</t>
  </si>
  <si>
    <t>COOP_F_PTHIEN2</t>
  </si>
  <si>
    <t>COOPFOOD TAY BAC</t>
  </si>
  <si>
    <t>COOP_F_TBAC</t>
  </si>
  <si>
    <t>COOPFOOD KDC HOA THANH</t>
  </si>
  <si>
    <t>COOP_F_KDCHTHANHIII</t>
  </si>
  <si>
    <t>COOPFOOD MAN  THIEN 126</t>
  </si>
  <si>
    <t>COOP_F_MTHIEN126</t>
  </si>
  <si>
    <t>COOPFOOD HOANG QUAN</t>
  </si>
  <si>
    <t>COOP_F_HQUAN</t>
  </si>
  <si>
    <t>COOPFOOD TRAN VAN DANH</t>
  </si>
  <si>
    <t>COOP_F_TVDANH</t>
  </si>
  <si>
    <t>COOPFOOD DO XUAN HOP 100</t>
  </si>
  <si>
    <t>COOP_F_DXHOP729</t>
  </si>
  <si>
    <t>COOPFOOD PHONG PHU</t>
  </si>
  <si>
    <t>COOP_F_PPHU88</t>
  </si>
  <si>
    <t>COOPFOOD LY CHIEU HOANG</t>
  </si>
  <si>
    <t>COOP_F_LCHOANG113</t>
  </si>
  <si>
    <t>COOPFOOD  DRAGON HILL</t>
  </si>
  <si>
    <t>COOP_F_NHT</t>
  </si>
  <si>
    <t>COOPFOOD SUNRISE</t>
  </si>
  <si>
    <t>COOP_F_SUNRISE</t>
  </si>
  <si>
    <t>COOPFOOD TAN HOA</t>
  </si>
  <si>
    <t>COOP_F_TANHOA</t>
  </si>
  <si>
    <t>COOPFOOD TAN LAP 55</t>
  </si>
  <si>
    <t>COOP_F_TANLAP</t>
  </si>
  <si>
    <t>COOPFOOD QUANG PHUC</t>
  </si>
  <si>
    <t>COOP_F_QPHUC</t>
  </si>
  <si>
    <t>COOPFOOD BAC HA</t>
  </si>
  <si>
    <t>COOP_F_BACHA</t>
  </si>
  <si>
    <t>COOPFOOD PHUC AN LOC</t>
  </si>
  <si>
    <t>COOP_F_PALOC</t>
  </si>
  <si>
    <t>COOPFOOD LAC LONG QUAN</t>
  </si>
  <si>
    <t>COOP_F_LLQ542</t>
  </si>
  <si>
    <t>COOPFOOD BINH AN</t>
  </si>
  <si>
    <t>COOP_F_BINHAN</t>
  </si>
  <si>
    <t>COOPFOOD SKY 9</t>
  </si>
  <si>
    <t>COOP_F_SKY9</t>
  </si>
  <si>
    <t>COOPFOOD DO XUAN HOP</t>
  </si>
  <si>
    <t>COOP_F_DXHOP100</t>
  </si>
  <si>
    <t>COOPFOOD PHU HOANG ANH</t>
  </si>
  <si>
    <t>COOP_F_PHANH</t>
  </si>
  <si>
    <t>COOPFOOD BINH TRUNG</t>
  </si>
  <si>
    <t>COOP_F_BTRUNG</t>
  </si>
  <si>
    <t>COOPFOOD NGUYEN SON</t>
  </si>
  <si>
    <t>COOP_F_NSON</t>
  </si>
  <si>
    <t>COOPFOOD EHOMES</t>
  </si>
  <si>
    <t>COOP_F_EHOMES</t>
  </si>
  <si>
    <t>COOPFOOD PHAM VAN CHIEU</t>
  </si>
  <si>
    <t>COOP_F_PVC2</t>
  </si>
  <si>
    <t>COOPFOOD LIEN KHU 5</t>
  </si>
  <si>
    <t>COOP_F_LKHU5_6</t>
  </si>
  <si>
    <t>COOPFOOD AN LAC</t>
  </si>
  <si>
    <t>COOP_F_ANLAC</t>
  </si>
  <si>
    <t>COOPFOOD NGUYEN VAN DUNG</t>
  </si>
  <si>
    <t>COOP_F_NVDUNG</t>
  </si>
  <si>
    <t>COOPFOOD MINH DUC</t>
  </si>
  <si>
    <t>COOP_F_MDUC</t>
  </si>
  <si>
    <t>COOPFOOD NGUYEN LUONG BANG</t>
  </si>
  <si>
    <t>COOP_F_NLB</t>
  </si>
  <si>
    <t>COOPFOOD NGUYEN THONG 1</t>
  </si>
  <si>
    <t>COOP_NTHONG1</t>
  </si>
  <si>
    <t>COOPFOOD SONG HINH</t>
  </si>
  <si>
    <t>COOP_F_PYSHINH</t>
  </si>
  <si>
    <t>COOPFOOD NGUYEN CUU DAM</t>
  </si>
  <si>
    <t>COOP_F_NCDAM</t>
  </si>
  <si>
    <t>COOPFOOD TAN LAP</t>
  </si>
  <si>
    <t>COOP_F_TLAP55</t>
  </si>
  <si>
    <t>COOPFOOD NGUYEN OANH</t>
  </si>
  <si>
    <t>COOP_F_NOANH</t>
  </si>
  <si>
    <t>COOPFOOD CAO LO</t>
  </si>
  <si>
    <t>COOP_F_CLO</t>
  </si>
  <si>
    <t>COOPFOOD CAT LAI</t>
  </si>
  <si>
    <t>COOP_F_CLAI</t>
  </si>
  <si>
    <t>COOPFOOD DIAMOND</t>
  </si>
  <si>
    <t>COOP_F_DIAMOND</t>
  </si>
  <si>
    <t>COOPFOOD GREENSTAR</t>
  </si>
  <si>
    <t>COOP_F_GREENSTAR</t>
  </si>
  <si>
    <t>COOPFOOD BINH PHU</t>
  </si>
  <si>
    <t>COOP_F_BPHU</t>
  </si>
  <si>
    <t>COOPFOOD QUANG TRUNG</t>
  </si>
  <si>
    <t>COOP_F_QTRUNG100</t>
  </si>
  <si>
    <t>COOPFOOD TAY DO</t>
  </si>
  <si>
    <t>COOP_F_TAYDO</t>
  </si>
  <si>
    <t>COOPFOOD HIM LAM CHO LON</t>
  </si>
  <si>
    <t>COOP_F_HLCLON</t>
  </si>
  <si>
    <t>COOPFOOD KI DONG</t>
  </si>
  <si>
    <t>COOP_F_KDONG</t>
  </si>
  <si>
    <t>COOPFOOD LAM VAN BEN</t>
  </si>
  <si>
    <t>COOP_F_LVBEN</t>
  </si>
  <si>
    <t>COOPFOOD NGUYEN BA TONG</t>
  </si>
  <si>
    <t>COOP_F_NBTONG</t>
  </si>
  <si>
    <t>COOPFOOD PHU YEN</t>
  </si>
  <si>
    <t>COOP_F_PYNHTHO</t>
  </si>
  <si>
    <t>COOPFOOD QUOC LO 50</t>
  </si>
  <si>
    <t>COOP_F_QL50</t>
  </si>
  <si>
    <t>COOPFOOD SAFIRA KHANG DIEN</t>
  </si>
  <si>
    <t>COOP_SAFIRAKDIEN</t>
  </si>
  <si>
    <t>COOP_FOOD_TTTHUYET</t>
  </si>
  <si>
    <t>COOPFOOD TON DAN</t>
  </si>
  <si>
    <t>COOP_F_TONDAN</t>
  </si>
  <si>
    <t>COOPFOOD TRAN XUAN SOAN</t>
  </si>
  <si>
    <t>COOP_F_TXSOAN</t>
  </si>
  <si>
    <t>COOPFOOD PHAM THE HIEN</t>
  </si>
  <si>
    <t>COOP_F_PTHIEN</t>
  </si>
  <si>
    <t>COOPFOOD TRAN TAN</t>
  </si>
  <si>
    <t>COOP_F_TTAN</t>
  </si>
  <si>
    <t>COOPFOOD NGUYEN VAN TAO</t>
  </si>
  <si>
    <t>COOP_F_NVTAO</t>
  </si>
  <si>
    <t>COOPFOOD PHAM PHU THU</t>
  </si>
  <si>
    <t>COOP_F_PPTHU</t>
  </si>
  <si>
    <t>COOPFOOD NGUYEN XI</t>
  </si>
  <si>
    <t>COOP_F_NXI</t>
  </si>
  <si>
    <t>COOPFOOD MIZUKI</t>
  </si>
  <si>
    <t>COOP_F_MIZUKI</t>
  </si>
  <si>
    <t>COOPFOOD VO NGUYEN GIAP</t>
  </si>
  <si>
    <t>COOP_F_VNGIAP</t>
  </si>
  <si>
    <t>COOP FOOD VINH LOC</t>
  </si>
  <si>
    <t>COOP_F_VLOC</t>
  </si>
  <si>
    <t>COOP FOOD TAN THOI NHAT 02</t>
  </si>
  <si>
    <t>COOP_F_TTN02</t>
  </si>
  <si>
    <t>COOP FOOD CC THE PRIVIA KHANG DIEN</t>
  </si>
  <si>
    <t>COOP_F_PRI_KDIEN</t>
  </si>
  <si>
    <t>COOP FOOD PHAM VAN CHIEU</t>
  </si>
  <si>
    <t>COOP_F_PVC</t>
  </si>
  <si>
    <t>COOP FOOD DONG TANG LONG</t>
  </si>
  <si>
    <t>COOP_F_DTL</t>
  </si>
  <si>
    <t>COOP FOOD CT LE HONG PHONG</t>
  </si>
  <si>
    <t>COOP_F_CT_LHP</t>
  </si>
  <si>
    <t>COOP FOOD NGUYEN THI BUP 101M</t>
  </si>
  <si>
    <t>COOP_F_NTBUP</t>
  </si>
  <si>
    <t>COOP FOOD NGUYEN THI DANG 367</t>
  </si>
  <si>
    <t>COOP_F_NTDANG</t>
  </si>
  <si>
    <t>COOP FOOD HO VAN LONG 70</t>
  </si>
  <si>
    <t>COOP_F_HVLONG70</t>
  </si>
  <si>
    <t>COOP FOOD HUYNH TAN PHAT</t>
  </si>
  <si>
    <t>COOP_F_HTPHAT</t>
  </si>
  <si>
    <t>COOP FOOD LIEU BINH HUONG</t>
  </si>
  <si>
    <t>COOP_F_LBH</t>
  </si>
  <si>
    <t>COOP FOOD CC LUXGARDEN</t>
  </si>
  <si>
    <t>COOP_F_LUX</t>
  </si>
  <si>
    <t>COOP FOOD PHAM HUU LAU</t>
  </si>
  <si>
    <t>COOP_F_PHLAU</t>
  </si>
  <si>
    <t>COOP FOOD BD CHARM RUBY</t>
  </si>
  <si>
    <t>COOP_F_RUBY</t>
  </si>
  <si>
    <t>COOP VINH LOC B</t>
  </si>
  <si>
    <t>COOP_VLOCB</t>
  </si>
  <si>
    <t>KA HCM2</t>
  </si>
  <si>
    <t>COOP HAU GIANG 2</t>
  </si>
  <si>
    <t>COOP_576_HGIANG2</t>
  </si>
  <si>
    <t>COOP DONG VAN CONG 1</t>
  </si>
  <si>
    <t>COOP_DVC1</t>
  </si>
  <si>
    <t>COOP BINH LOI</t>
  </si>
  <si>
    <t>COOP_NQ_BLOI</t>
  </si>
  <si>
    <t>COOP AN NHON</t>
  </si>
  <si>
    <t>COOP_ANHON</t>
  </si>
  <si>
    <t>BA RIA VUNG TAU</t>
  </si>
  <si>
    <t>COOP BAC GIANG</t>
  </si>
  <si>
    <t>COOP_BGIANG</t>
  </si>
  <si>
    <t>BAC LIEU</t>
  </si>
  <si>
    <t>LONG AN</t>
  </si>
  <si>
    <t>COOP BEN TRE</t>
  </si>
  <si>
    <t>COOP_BTRE</t>
  </si>
  <si>
    <t>COOP BINH DUONG 2</t>
  </si>
  <si>
    <t>COOP_BDUONG2</t>
  </si>
  <si>
    <t>COOP BINH THUY CAN THO</t>
  </si>
  <si>
    <t>COOP_BTHUY</t>
  </si>
  <si>
    <t>COOP BINH TRIEU</t>
  </si>
  <si>
    <t>COOP_BTRIEU</t>
  </si>
  <si>
    <t>DAK LAK</t>
  </si>
  <si>
    <t>CA MAU</t>
  </si>
  <si>
    <t>COOP CAM RANH</t>
  </si>
  <si>
    <t>COOP_CRANH</t>
  </si>
  <si>
    <t>KHANH HOA</t>
  </si>
  <si>
    <t>COOP CAN GIUOC</t>
  </si>
  <si>
    <t>COOP_CGUOC</t>
  </si>
  <si>
    <t>DONG THAP</t>
  </si>
  <si>
    <t>COOP CHAU DOC</t>
  </si>
  <si>
    <t>COOP_CDOC</t>
  </si>
  <si>
    <t>COOP CHAU THANH</t>
  </si>
  <si>
    <t>COOP_CTHANH</t>
  </si>
  <si>
    <t>TAY NINH</t>
  </si>
  <si>
    <t>COOP CAI BE</t>
  </si>
  <si>
    <t>COOP_CAIBE</t>
  </si>
  <si>
    <t>KA HCM5</t>
  </si>
  <si>
    <t>COOPFOOD CHO MOI</t>
  </si>
  <si>
    <t>COOP_CHOMOI</t>
  </si>
  <si>
    <t>KA HCM6</t>
  </si>
  <si>
    <t>GIA LAI</t>
  </si>
  <si>
    <t>DAK NONG</t>
  </si>
  <si>
    <t>COOP DO VAN DAY</t>
  </si>
  <si>
    <t>COOP_DVD</t>
  </si>
  <si>
    <t>COOP DONG HA QUANG TRI</t>
  </si>
  <si>
    <t>COOP_DHA</t>
  </si>
  <si>
    <t>QUANG TRI</t>
  </si>
  <si>
    <t>COOP DONG PHU BINH PHUOC</t>
  </si>
  <si>
    <t>COOP_DPHU</t>
  </si>
  <si>
    <t>BINH PHUOC</t>
  </si>
  <si>
    <t>COOP DUC PHO QUANG NGAI</t>
  </si>
  <si>
    <t>COOP_DPHO</t>
  </si>
  <si>
    <t>COOP DUONG MINH CHAU</t>
  </si>
  <si>
    <t>COOP_DMCHAU</t>
  </si>
  <si>
    <t>COOP DUYEN HAI TRA VINH</t>
  </si>
  <si>
    <t>COOP_DHAI</t>
  </si>
  <si>
    <t>COOP FINELIFE RIVIERA POINT</t>
  </si>
  <si>
    <t>COOP_FL_RIVIERA</t>
  </si>
  <si>
    <t>COOP FINELIFE SAIGON MIA</t>
  </si>
  <si>
    <t>COOP_FL_MIA</t>
  </si>
  <si>
    <t>COOP GOLDENSILK</t>
  </si>
  <si>
    <t>COOP_AUC_GOLDEN</t>
  </si>
  <si>
    <t>COOP GOLDSILK</t>
  </si>
  <si>
    <t>COOP_AUC_GOLDSILK</t>
  </si>
  <si>
    <t>COOP HA DO</t>
  </si>
  <si>
    <t>COOP_HDO</t>
  </si>
  <si>
    <t>COOP HA TIEN</t>
  </si>
  <si>
    <t>COOP_HTIEN</t>
  </si>
  <si>
    <t>KIEN GIANG</t>
  </si>
  <si>
    <t>COOP HA TINH</t>
  </si>
  <si>
    <t>COOP_HTINH</t>
  </si>
  <si>
    <t>HA TINH</t>
  </si>
  <si>
    <t>COOP HOANG VAN THU</t>
  </si>
  <si>
    <t>COOP_HVT_AUC</t>
  </si>
  <si>
    <t>COOP HOC MON</t>
  </si>
  <si>
    <t>COOP_HMON</t>
  </si>
  <si>
    <t>COOP HUYNH TAN PHAT</t>
  </si>
  <si>
    <t>COOP_PMH</t>
  </si>
  <si>
    <t>KON TUM</t>
  </si>
  <si>
    <t>COOP LAGI BINH THUAN</t>
  </si>
  <si>
    <t>COOP_LAGI</t>
  </si>
  <si>
    <t>BINH THUAN</t>
  </si>
  <si>
    <t>COOP LONG XUYEN AN GIANG</t>
  </si>
  <si>
    <t>COOP_LX</t>
  </si>
  <si>
    <t>COOP_TTAM</t>
  </si>
  <si>
    <t>COOP NAM DINH</t>
  </si>
  <si>
    <t>COOP_NDINH</t>
  </si>
  <si>
    <t>COOP NGA BAY HAU GIANG</t>
  </si>
  <si>
    <t>COOP_N7HG</t>
  </si>
  <si>
    <t>HAU GIANG</t>
  </si>
  <si>
    <t>COOP NGUYEN BINH</t>
  </si>
  <si>
    <t>COOP_NBINH</t>
  </si>
  <si>
    <t>COOP NGUYEN LUONG BANG</t>
  </si>
  <si>
    <t>COOP_NLB</t>
  </si>
  <si>
    <t>COOP PHAN VAN HON</t>
  </si>
  <si>
    <t>COOP_PVHON</t>
  </si>
  <si>
    <t>COOP PHUOC DONG TAY NINH</t>
  </si>
  <si>
    <t>COOP_PDONG</t>
  </si>
  <si>
    <t>QUANG BINH</t>
  </si>
  <si>
    <t>COOP QUOC LO 50</t>
  </si>
  <si>
    <t>COOP_QLO50</t>
  </si>
  <si>
    <t>COOP RACH GIA KIEN GIANG</t>
  </si>
  <si>
    <t>COOP_RGIA</t>
  </si>
  <si>
    <t>SOC TRANG</t>
  </si>
  <si>
    <t>QUANG NAM</t>
  </si>
  <si>
    <t>COOP TAN BIEN</t>
  </si>
  <si>
    <t>COOP_TBIEN</t>
  </si>
  <si>
    <t>COOP TAN CHAU TAY NINH</t>
  </si>
  <si>
    <t>COOP_TCTN</t>
  </si>
  <si>
    <t>COOP TAY NINH</t>
  </si>
  <si>
    <t>COOP_AUC_TNINH</t>
  </si>
  <si>
    <t>NINH THUAN</t>
  </si>
  <si>
    <t>COOP THANH HOA</t>
  </si>
  <si>
    <t>COOP_THOA</t>
  </si>
  <si>
    <t>COOP THAP MUOI</t>
  </si>
  <si>
    <t>COOP_TMUOI</t>
  </si>
  <si>
    <t>COOPFOOD THOAI NGOC HAU 1</t>
  </si>
  <si>
    <t>COOP_F_TNHAU1</t>
  </si>
  <si>
    <t>COOP THOAI SON AN GIANG</t>
  </si>
  <si>
    <t>COOP_TSON</t>
  </si>
  <si>
    <t>COOP TIEU CAN TRA VINH</t>
  </si>
  <si>
    <t>COOP_TCAN</t>
  </si>
  <si>
    <t>COOP TO KY</t>
  </si>
  <si>
    <t>COOP_TOKY</t>
  </si>
  <si>
    <t>COOP TRAN QUOC THAO</t>
  </si>
  <si>
    <t>COOP_TQT</t>
  </si>
  <si>
    <t>PHU YEN</t>
  </si>
  <si>
    <t>COOP VICTORIA</t>
  </si>
  <si>
    <t>COOP_AUC_VICTORIA</t>
  </si>
  <si>
    <t>COOP VINH LOC</t>
  </si>
  <si>
    <t>COOP_VLOC</t>
  </si>
  <si>
    <t>VINH LONG</t>
  </si>
  <si>
    <t>COOP VINH PHUC</t>
  </si>
  <si>
    <t>COOP_VPHUC</t>
  </si>
  <si>
    <t>COOP MART VU YEN</t>
  </si>
  <si>
    <t>COOP_VYEN</t>
  </si>
  <si>
    <t>6710</t>
  </si>
  <si>
    <t>3707</t>
  </si>
  <si>
    <t>HO KINH DOANH CUA HANG TIEN LOI BUI</t>
  </si>
  <si>
    <t>6675</t>
  </si>
  <si>
    <t>CÔNG TY TNHH THISO RETAIL SALA</t>
  </si>
  <si>
    <t>4812_SALA</t>
  </si>
  <si>
    <t>EMIVEST FEEDMILL</t>
  </si>
  <si>
    <t>6522</t>
  </si>
  <si>
    <t>FAHASHA GIA DINH</t>
  </si>
  <si>
    <t>FAHASHA</t>
  </si>
  <si>
    <t>FA_GDTN</t>
  </si>
  <si>
    <t>FAHASHA NGUYEN HUE</t>
  </si>
  <si>
    <t>FA_NHNH</t>
  </si>
  <si>
    <t>FAHASHA PHU NHUAN</t>
  </si>
  <si>
    <t>FA_PNPN</t>
  </si>
  <si>
    <t>FAHASHA TRUONG CHINH</t>
  </si>
  <si>
    <t>FA_TCTC</t>
  </si>
  <si>
    <t>FAHASHA XUAN THU</t>
  </si>
  <si>
    <t>FA_XTSG</t>
  </si>
  <si>
    <t>CTY TNHH THUONG MAI LARIA</t>
  </si>
  <si>
    <t>6672</t>
  </si>
  <si>
    <t xml:space="preserve">FLASHGROCERY </t>
  </si>
  <si>
    <t>6494</t>
  </si>
  <si>
    <t>6442</t>
  </si>
  <si>
    <t>FUNNYLAND</t>
  </si>
  <si>
    <t>TEV_KD</t>
  </si>
  <si>
    <t>GENSHAI NGUYEN THI THAP</t>
  </si>
  <si>
    <t>HD_NTT</t>
  </si>
  <si>
    <t>GENSHAI VINMART 3</t>
  </si>
  <si>
    <t>HD_VIN3T2</t>
  </si>
  <si>
    <t>GENSHAI CELADON</t>
  </si>
  <si>
    <t>HD_CELADON</t>
  </si>
  <si>
    <t>GENSHAI AU CO</t>
  </si>
  <si>
    <t>HD_AUCO</t>
  </si>
  <si>
    <t>GENSHAI LAVITA</t>
  </si>
  <si>
    <t>HD_LAVITA</t>
  </si>
  <si>
    <t>GENSHAI VERD DONG VAN CONG</t>
  </si>
  <si>
    <t>HD_DVC</t>
  </si>
  <si>
    <t>GENSHAI PICITY</t>
  </si>
  <si>
    <t>HD_PICITY</t>
  </si>
  <si>
    <t>CÔNG TY GRELI</t>
  </si>
  <si>
    <t>GRELI</t>
  </si>
  <si>
    <t>6504</t>
  </si>
  <si>
    <t>GROVE FRESH LE HONG PHONG</t>
  </si>
  <si>
    <t xml:space="preserve">GROVE FRESH </t>
  </si>
  <si>
    <t>GROVE_3109_LHP</t>
  </si>
  <si>
    <t>GROVE FRESH QUOC LO 1A</t>
  </si>
  <si>
    <t>GROVE_3110_QL1A</t>
  </si>
  <si>
    <t>GS25</t>
  </si>
  <si>
    <t>6351</t>
  </si>
  <si>
    <t>CTY CP HASHTAG ECOS</t>
  </si>
  <si>
    <t>HASHTAG ECOS</t>
  </si>
  <si>
    <t>6441</t>
  </si>
  <si>
    <t>CTY CP HASHTAG ECOS PEGASUITE</t>
  </si>
  <si>
    <t>6441_PEGASUITE</t>
  </si>
  <si>
    <t>KA HCM3</t>
  </si>
  <si>
    <t>HELLO BEAUTY BINH DUONG</t>
  </si>
  <si>
    <t>HELLOBEAUTY</t>
  </si>
  <si>
    <t>BIGC_BEAUTY</t>
  </si>
  <si>
    <t>HELLO BEAUTY NHA TRANG</t>
  </si>
  <si>
    <t>BIGC_HELLO_NTRA</t>
  </si>
  <si>
    <t>4032</t>
  </si>
  <si>
    <t>HOME MART AU CO</t>
  </si>
  <si>
    <t>BIGC_HOME_AUCO</t>
  </si>
  <si>
    <t>HOME MART DI AN</t>
  </si>
  <si>
    <t>BIGC_HOME_DIAN</t>
  </si>
  <si>
    <t>HOME MART MY THO</t>
  </si>
  <si>
    <t>BIGC_HOME_MYTHO</t>
  </si>
  <si>
    <t>HOME MART NGUYEN THI THAP</t>
  </si>
  <si>
    <t>HOME MART NGUYEN VAN DAU</t>
  </si>
  <si>
    <t>HOME MART NGUYEN XIEN</t>
  </si>
  <si>
    <t>BIGC_HOME_ECO</t>
  </si>
  <si>
    <t>6208</t>
  </si>
  <si>
    <t>K MART NGUYET HOA</t>
  </si>
  <si>
    <t>3733</t>
  </si>
  <si>
    <t>KING FOOD QUOC LO 50</t>
  </si>
  <si>
    <t>6209_QL50</t>
  </si>
  <si>
    <t>KING FOOD DO XUAN HOP</t>
  </si>
  <si>
    <t>6209_DXHOP</t>
  </si>
  <si>
    <t>KING FOOD BINH QUOI</t>
  </si>
  <si>
    <t>6209_BQUOI</t>
  </si>
  <si>
    <t>KING FOOD NGUYEN THI DINH</t>
  </si>
  <si>
    <t>6209_NTD</t>
  </si>
  <si>
    <t>KING FOOD THONG NHAT</t>
  </si>
  <si>
    <t>6209_TNHAT</t>
  </si>
  <si>
    <t>KING FOOD VIN</t>
  </si>
  <si>
    <t>6209_VIN2</t>
  </si>
  <si>
    <t>KING FOOD VINHOMES</t>
  </si>
  <si>
    <t>6209_VINHOMES</t>
  </si>
  <si>
    <t>KING FOOD ECO</t>
  </si>
  <si>
    <t>6209_ECO</t>
  </si>
  <si>
    <t>KING FOOD CN1</t>
  </si>
  <si>
    <t>6209_CN1</t>
  </si>
  <si>
    <t>KING FOOD HUYNH TAN PHAT</t>
  </si>
  <si>
    <t>6209_HTP</t>
  </si>
  <si>
    <t>KING FOOD LE VAN SY</t>
  </si>
  <si>
    <t>6209_LVS</t>
  </si>
  <si>
    <t>KING FOOD NGUYEN THI TU</t>
  </si>
  <si>
    <t>6209_NTTU</t>
  </si>
  <si>
    <t>KING FOOD NGUYEN ANH THU</t>
  </si>
  <si>
    <t>6209_NAT</t>
  </si>
  <si>
    <t>KING FOOD PHAM HUNG</t>
  </si>
  <si>
    <t>6209_PH</t>
  </si>
  <si>
    <t>KING FOOD PHAM HUU LAU</t>
  </si>
  <si>
    <t>6209_PHL</t>
  </si>
  <si>
    <t>KING FOOD TAN HOA DONG</t>
  </si>
  <si>
    <t>6209_THD</t>
  </si>
  <si>
    <t>KING FOOD TRUONG SON</t>
  </si>
  <si>
    <t>6209_TSON</t>
  </si>
  <si>
    <t>KING FOOD ERA TOWN</t>
  </si>
  <si>
    <t>6209_ERA</t>
  </si>
  <si>
    <t>KING FOOD LAM VAN BEN</t>
  </si>
  <si>
    <t>6209_LVB</t>
  </si>
  <si>
    <t>6698</t>
  </si>
  <si>
    <t>CTY TNHH THANH NAM THUAN PHAT</t>
  </si>
  <si>
    <t>6627</t>
  </si>
  <si>
    <t>6732</t>
  </si>
  <si>
    <t>KOHNAN BINH DUONG</t>
  </si>
  <si>
    <t>KOHNAN</t>
  </si>
  <si>
    <t>KOHNAN_BDUONG</t>
  </si>
  <si>
    <t>KOHNAN BINH TAN</t>
  </si>
  <si>
    <t>KOHNAN_BT</t>
  </si>
  <si>
    <t>KOHNAN DONG NAI</t>
  </si>
  <si>
    <t>KOHNAN_DNAI</t>
  </si>
  <si>
    <t>KOHNAN HA DONG</t>
  </si>
  <si>
    <t>KOHNAN_HDONG</t>
  </si>
  <si>
    <t>KOHNAN HAI PHONG</t>
  </si>
  <si>
    <t>KOHNAN_HPHONG</t>
  </si>
  <si>
    <t>KOHNAN LE THANH TON</t>
  </si>
  <si>
    <t>KOHNAN_LTT</t>
  </si>
  <si>
    <t>KOHNAN LONG BIEN</t>
  </si>
  <si>
    <t>KOHNAN_LBIEN</t>
  </si>
  <si>
    <t>KOHNAN NGUYEN THI THAP</t>
  </si>
  <si>
    <t>KOHNAN_NTT</t>
  </si>
  <si>
    <t>KOHNAN SMART CITY</t>
  </si>
  <si>
    <t>KOHNAN_SMARTCITY</t>
  </si>
  <si>
    <t>KOHNAN TAN PHU</t>
  </si>
  <si>
    <t>KOHNAN_TP</t>
  </si>
  <si>
    <t>KOHNAN THU DUC</t>
  </si>
  <si>
    <t>KOHNAN_TD</t>
  </si>
  <si>
    <t>LOTTE CAU GIAY</t>
  </si>
  <si>
    <t>LOTTE_CGIAY</t>
  </si>
  <si>
    <t>LOTTE DONG DA HA NOI</t>
  </si>
  <si>
    <t>LOTTE_DDA</t>
  </si>
  <si>
    <t>LOTTE SPEED L</t>
  </si>
  <si>
    <t>LOTTE_S_Q11</t>
  </si>
  <si>
    <t>MEDICARE AEON BINH TAN</t>
  </si>
  <si>
    <t>ME_CH69</t>
  </si>
  <si>
    <t>MEDICARE AEON CANARY</t>
  </si>
  <si>
    <t>ME_CH46</t>
  </si>
  <si>
    <t>MEDICARE AEON HA DONG</t>
  </si>
  <si>
    <t>ME_CH130</t>
  </si>
  <si>
    <t>MEDICARE AEON HA NOI</t>
  </si>
  <si>
    <t>ME_CH116</t>
  </si>
  <si>
    <t>MEDICARE AEON TAN PHU</t>
  </si>
  <si>
    <t>ME_CH123</t>
  </si>
  <si>
    <t>MEDICARE AN PHU</t>
  </si>
  <si>
    <t>ME_CH7</t>
  </si>
  <si>
    <t>MEDICARE AU CO</t>
  </si>
  <si>
    <t>ME_CH18</t>
  </si>
  <si>
    <t>MEDICARE BACH DANG</t>
  </si>
  <si>
    <t>ME_CH15</t>
  </si>
  <si>
    <t>MEDICARE BEN TRE</t>
  </si>
  <si>
    <t>ME_CH86</t>
  </si>
  <si>
    <t>MEDICARE BIG C CAN THO</t>
  </si>
  <si>
    <t>ME_CH33</t>
  </si>
  <si>
    <t>MEDICARE BIG C DA LAT</t>
  </si>
  <si>
    <t>ME_CH38</t>
  </si>
  <si>
    <t>MEDICARE BIG C DA NANG</t>
  </si>
  <si>
    <t>ME_CH52</t>
  </si>
  <si>
    <t>MEDICARE BIG C HA LONG</t>
  </si>
  <si>
    <t>ME_CH53</t>
  </si>
  <si>
    <t>QUANG NINH</t>
  </si>
  <si>
    <t>MEDICARE BIG C NHA TRANG</t>
  </si>
  <si>
    <t>ME_CH47</t>
  </si>
  <si>
    <t>MEDICARE BIG C PHU THANH</t>
  </si>
  <si>
    <t>ME_CH64</t>
  </si>
  <si>
    <t>MEDICARE BIG C QUY NHON</t>
  </si>
  <si>
    <t>ME_CH40</t>
  </si>
  <si>
    <t>MEDICARE CAO THANG MALL</t>
  </si>
  <si>
    <t>ME_CH84</t>
  </si>
  <si>
    <t>MEDICARE CENTRE MALL CU CHI</t>
  </si>
  <si>
    <t>ME_CH107</t>
  </si>
  <si>
    <t>MEDICARE COOP XTRA PLUS</t>
  </si>
  <si>
    <t>ME_CH37</t>
  </si>
  <si>
    <t>MEDICARE DONG DEN</t>
  </si>
  <si>
    <t>ME_CH56</t>
  </si>
  <si>
    <t>MEDICARE DUONG D2</t>
  </si>
  <si>
    <t>ME_CH55</t>
  </si>
  <si>
    <t>MEDICARE HOANG HOA THAM</t>
  </si>
  <si>
    <t>ME_CH5</t>
  </si>
  <si>
    <t>MEDICARE JOYCITIPOINT</t>
  </si>
  <si>
    <t>ME_CH70</t>
  </si>
  <si>
    <t>MEDICARE KHO BINH CHANH</t>
  </si>
  <si>
    <t>ME_KHO</t>
  </si>
  <si>
    <t>MEDICARE LANDMARK 81</t>
  </si>
  <si>
    <t>ME_CH111</t>
  </si>
  <si>
    <t>MEDICARE LOTTE BIEN HOA</t>
  </si>
  <si>
    <t>ME_CH28</t>
  </si>
  <si>
    <t>MEDICARE LOTTE BINH DUONG</t>
  </si>
  <si>
    <t>ME_CH26</t>
  </si>
  <si>
    <t>MEDICARE LOTTE CAN THO</t>
  </si>
  <si>
    <t>ME_CH58</t>
  </si>
  <si>
    <t>MEDICARE LOTTE CAU GIAY</t>
  </si>
  <si>
    <t>ME_CH122</t>
  </si>
  <si>
    <t>MEDICARE LOTTE DA NANG</t>
  </si>
  <si>
    <t>ME_CH45</t>
  </si>
  <si>
    <t>MEDICARE LOTTE GO VAP</t>
  </si>
  <si>
    <t>ME_CH63</t>
  </si>
  <si>
    <t>MEDICARE LOTTE NAM SAI GON</t>
  </si>
  <si>
    <t>ME_CH41</t>
  </si>
  <si>
    <t>MEDICARE LOTTE NHA TRANG</t>
  </si>
  <si>
    <t>ME_CH67</t>
  </si>
  <si>
    <t>MEDICARE LOTTE PHAN THIET</t>
  </si>
  <si>
    <t>ME_CH30</t>
  </si>
  <si>
    <t>MEDICARE LOTTE VUNG TAU</t>
  </si>
  <si>
    <t>ME_CH50</t>
  </si>
  <si>
    <t>MEDICARE MEGA HIEP PHU</t>
  </si>
  <si>
    <t>ME_CH137</t>
  </si>
  <si>
    <t>MEDICARE MUI NE</t>
  </si>
  <si>
    <t>ME_CH90</t>
  </si>
  <si>
    <t>MEDICARE NGUYEN TRI PHUONG</t>
  </si>
  <si>
    <t>ME_CH14</t>
  </si>
  <si>
    <t>MEDICARE PHAM HUNG</t>
  </si>
  <si>
    <t>ME_CH142</t>
  </si>
  <si>
    <t>MEDICARE TAY NINH</t>
  </si>
  <si>
    <t>ME_CH82</t>
  </si>
  <si>
    <t>MEDICARE THOAI NGOC HAU</t>
  </si>
  <si>
    <t>ME_CH72</t>
  </si>
  <si>
    <t>MEDICARE TRAN HUNG DAO</t>
  </si>
  <si>
    <t>ME_CH2</t>
  </si>
  <si>
    <t>MEDICARE TRAN KHAC CHAN</t>
  </si>
  <si>
    <t>ME_CH66</t>
  </si>
  <si>
    <t>MEDICARE VINCOM BAC CAN</t>
  </si>
  <si>
    <t>ME_CH68</t>
  </si>
  <si>
    <t>BAC CAN</t>
  </si>
  <si>
    <t>MEDICARE VINCOM BAC LIEU</t>
  </si>
  <si>
    <t>ME_CH89</t>
  </si>
  <si>
    <t>MEDICARE VINCOM BAC NINH</t>
  </si>
  <si>
    <t>ME_CH108</t>
  </si>
  <si>
    <t>BAC NINH</t>
  </si>
  <si>
    <t>MEDICARE VINCOM BIEN HOA</t>
  </si>
  <si>
    <t>ME_CH73</t>
  </si>
  <si>
    <t>MEDICARE VINCOM CA MAU</t>
  </si>
  <si>
    <t>ME_CH118</t>
  </si>
  <si>
    <t>MEDICARE VINCOM CAM PHA</t>
  </si>
  <si>
    <t>ME_CH132</t>
  </si>
  <si>
    <t>MEDICARE VINCOM CAN THO</t>
  </si>
  <si>
    <t>ME_CH113</t>
  </si>
  <si>
    <t>MEDICARE VINCOM CAN THO 2</t>
  </si>
  <si>
    <t>ME_CH121</t>
  </si>
  <si>
    <t>MEDICARE VINCOM CAO LANH</t>
  </si>
  <si>
    <t>ME_CH128</t>
  </si>
  <si>
    <t>MEDICARE VINCOM DA NANG</t>
  </si>
  <si>
    <t>ME_CH127</t>
  </si>
  <si>
    <t>MEDICARE VINCOM DI AN</t>
  </si>
  <si>
    <t>ME_CH129</t>
  </si>
  <si>
    <t>MEDICARE VINCOM HA TINH</t>
  </si>
  <si>
    <t>ME_CH83</t>
  </si>
  <si>
    <t>MEDICARE VINCOM HAU GIANG</t>
  </si>
  <si>
    <t>ME_CH81</t>
  </si>
  <si>
    <t>MEDICARE VINCOM HOA BINH</t>
  </si>
  <si>
    <t>ME_CH126</t>
  </si>
  <si>
    <t>HOA BINH</t>
  </si>
  <si>
    <t>MIEN TAY BAC BO</t>
  </si>
  <si>
    <t>MEDICARE VINCOM HUE</t>
  </si>
  <si>
    <t>MEDICARE VINCOM HUNG VUONG</t>
  </si>
  <si>
    <t>MEDICARE VINCOM KIEN GIANG</t>
  </si>
  <si>
    <t>MEDICARE VINCOM KON TUM</t>
  </si>
  <si>
    <t>ME_CH135</t>
  </si>
  <si>
    <t>MEDICARE VINCOM LANG SON</t>
  </si>
  <si>
    <t>ME_CH109</t>
  </si>
  <si>
    <t>LANG SON</t>
  </si>
  <si>
    <t>MEDICARE VINCOM LE THANH TON</t>
  </si>
  <si>
    <t>MEDICARE VINCOM LE VAN VIET</t>
  </si>
  <si>
    <t>ME_CH61</t>
  </si>
  <si>
    <t>MEDICARE VINCOM LONG XUYEN</t>
  </si>
  <si>
    <t>LONG XUYEN</t>
  </si>
  <si>
    <t>MEDICARE VINCOM LY BON</t>
  </si>
  <si>
    <t>THAI BINH</t>
  </si>
  <si>
    <t>MEDICARE VINCOM MONG CAI</t>
  </si>
  <si>
    <t>ME_CH125</t>
  </si>
  <si>
    <t>MEDICARE VINCOM NAM LONG</t>
  </si>
  <si>
    <t>ME_CH80</t>
  </si>
  <si>
    <t>MEDICARE VINCOM NHA TRANG</t>
  </si>
  <si>
    <t>ME_CH93</t>
  </si>
  <si>
    <t>MEDICARE VINCOM NHA TRANG 2</t>
  </si>
  <si>
    <t>ME_CH104</t>
  </si>
  <si>
    <t>MEDICARE VINCOM PHAN RANG</t>
  </si>
  <si>
    <t>ME_CH120</t>
  </si>
  <si>
    <t>MEDICARE VINCOM PHU LY</t>
  </si>
  <si>
    <t>ME_CH110</t>
  </si>
  <si>
    <t>HA NAM</t>
  </si>
  <si>
    <t>MEDICARE VINCOM PLAZA BAO LOC</t>
  </si>
  <si>
    <t>ME_CH98</t>
  </si>
  <si>
    <t>MEDICARE VINCOM PLAZA DONG HOI</t>
  </si>
  <si>
    <t>ME_CH101</t>
  </si>
  <si>
    <t>MEDICARE VINCOM PLAZA HA LONG</t>
  </si>
  <si>
    <t>ME_CH88</t>
  </si>
  <si>
    <t>MEDICARE VINCOM PLUS UONG BI</t>
  </si>
  <si>
    <t>MEDICARE VINCOM QUANG NGAI</t>
  </si>
  <si>
    <t>MEDICARE VINCOM SOC TRANG</t>
  </si>
  <si>
    <t>MEDICARE VINCOM SON LA</t>
  </si>
  <si>
    <t>SON LA</t>
  </si>
  <si>
    <t>MEDICARE VINCOM TAN AN LONG AN</t>
  </si>
  <si>
    <t>MEDICARE VINCOM TAY NINH</t>
  </si>
  <si>
    <t>MEDICARE VINCOM THAI NGUYEN</t>
  </si>
  <si>
    <t>MEDICARE VINCOM THAO DIEN</t>
  </si>
  <si>
    <t>ME_CH112</t>
  </si>
  <si>
    <t>MEDICARE VINCOM TRA VINH</t>
  </si>
  <si>
    <t>MEDICARE VINCOM TRAN DUY HUNG</t>
  </si>
  <si>
    <t>MEDICARE VINCOM TRAN PHU</t>
  </si>
  <si>
    <t>MEDICARE VINCOM TUY HOA</t>
  </si>
  <si>
    <t>MEDICARE VINCOM TUYEN QUANG</t>
  </si>
  <si>
    <t>TUYEN QUANG</t>
  </si>
  <si>
    <t>MEDICARE VINCOM VIET TRI</t>
  </si>
  <si>
    <t>VIET TRI</t>
  </si>
  <si>
    <t>MEDICARE VINCOM VINH LONG</t>
  </si>
  <si>
    <t>MEDICARE VINCOM XUAN KHANH</t>
  </si>
  <si>
    <t>MEDICARE VINCOM YEN BAI</t>
  </si>
  <si>
    <t>YEN BAI</t>
  </si>
  <si>
    <t>MEGA BIEN HOA</t>
  </si>
  <si>
    <t>MG_BHOA</t>
  </si>
  <si>
    <t>MEGA BINH DUONG</t>
  </si>
  <si>
    <t>MG_BDUONG</t>
  </si>
  <si>
    <t>MEGA BUON MA THUOT</t>
  </si>
  <si>
    <t>MG_BMT</t>
  </si>
  <si>
    <t>MEGA DA NANG</t>
  </si>
  <si>
    <t>MG_DNANG</t>
  </si>
  <si>
    <t>MEGA HA DONG</t>
  </si>
  <si>
    <t>MG_HDONG</t>
  </si>
  <si>
    <t>MEGA HIEP PHU</t>
  </si>
  <si>
    <t>MG_HPHU</t>
  </si>
  <si>
    <t>MEGA HOANG MAI</t>
  </si>
  <si>
    <t>MG_HMAI</t>
  </si>
  <si>
    <t>MEGA HONG BANG</t>
  </si>
  <si>
    <t>MG_HBANG</t>
  </si>
  <si>
    <t>MEGA KHO2</t>
  </si>
  <si>
    <t>MG_31_71</t>
  </si>
  <si>
    <t>MEGA QUY NHON</t>
  </si>
  <si>
    <t>MG_QNHON</t>
  </si>
  <si>
    <t>MEGA RACH GIA</t>
  </si>
  <si>
    <t>MG_RGIA</t>
  </si>
  <si>
    <t>MEGA THANG XUAN</t>
  </si>
  <si>
    <t>MG_TXUAN</t>
  </si>
  <si>
    <t>MEGA VINH</t>
  </si>
  <si>
    <t>MG_VINH</t>
  </si>
  <si>
    <t>MEGA VUNG TAU</t>
  </si>
  <si>
    <t>MG_VTAU</t>
  </si>
  <si>
    <t>MINISTOP</t>
  </si>
  <si>
    <t>ST_G7</t>
  </si>
  <si>
    <t>NHA CUA BE</t>
  </si>
  <si>
    <t>6468</t>
  </si>
  <si>
    <t>NHA SACH MINH KHAI</t>
  </si>
  <si>
    <t>2243</t>
  </si>
  <si>
    <t>NHA SACH NHAN VAN</t>
  </si>
  <si>
    <t xml:space="preserve"> NHANH NHANH MART</t>
  </si>
  <si>
    <t>6445</t>
  </si>
  <si>
    <t>NHAT HUONG BINH DUONG</t>
  </si>
  <si>
    <t>NH_BDUONG</t>
  </si>
  <si>
    <t>NH_HMAI</t>
  </si>
  <si>
    <t>NHAT HUONG HA NAM</t>
  </si>
  <si>
    <t>NH_HNAM</t>
  </si>
  <si>
    <t>NH_NHUONG</t>
  </si>
  <si>
    <t xml:space="preserve">Công Ty TNHH Phạm Huy Anh </t>
  </si>
  <si>
    <t>6527</t>
  </si>
  <si>
    <t>PHARMACITY</t>
  </si>
  <si>
    <t>6166</t>
  </si>
  <si>
    <t>ROMEA</t>
  </si>
  <si>
    <t>5972</t>
  </si>
  <si>
    <t>SATRA CU CHI</t>
  </si>
  <si>
    <t>SATRA</t>
  </si>
  <si>
    <t>SATRA_CCH</t>
  </si>
  <si>
    <t>SATRA PHAM HUNG</t>
  </si>
  <si>
    <t>SATRA_PH</t>
  </si>
  <si>
    <t>SATRA SAI GON</t>
  </si>
  <si>
    <t>SATRA_SG</t>
  </si>
  <si>
    <t>SATRA TAX</t>
  </si>
  <si>
    <t>SATRA_TAX</t>
  </si>
  <si>
    <t>SATRAFOOD 1001 HUNG VUONG</t>
  </si>
  <si>
    <t>SATRA FOOD</t>
  </si>
  <si>
    <t>SATRA_F1001HV</t>
  </si>
  <si>
    <t>SATRAFOOD 1003 TRAN QUY</t>
  </si>
  <si>
    <t>SATRA_F1003TQ</t>
  </si>
  <si>
    <t>SATRAFOOD 1004 XO VIET NGHE TINH</t>
  </si>
  <si>
    <t>SATRA_F1004XVNT</t>
  </si>
  <si>
    <t>SATRAFOOD 1005 PHAM VAN HAI</t>
  </si>
  <si>
    <t>SATRA_F1005PVH</t>
  </si>
  <si>
    <t>SATRAFOOD 1006 TRAN HUNG DAO</t>
  </si>
  <si>
    <t>SATRA_F1006THD</t>
  </si>
  <si>
    <t>SATRAFOOD 1008 QUANG TRUNG</t>
  </si>
  <si>
    <t>SATRA_F1008QT</t>
  </si>
  <si>
    <t>SATRAFOOD 1009 LAC LONG QUAN</t>
  </si>
  <si>
    <t>SATRA_F1009LLQ</t>
  </si>
  <si>
    <t>SATRAFOOD 1010 DO XUAN HOP</t>
  </si>
  <si>
    <t>SATRA_F1010DXH</t>
  </si>
  <si>
    <t>SATRAFOOD 1011 KHA VAN CAN</t>
  </si>
  <si>
    <t>SATRA_F1011KVC</t>
  </si>
  <si>
    <t>SATRAFOOD 1012 HUYNH TAN PHAT</t>
  </si>
  <si>
    <t>SATRA_F1012HTP</t>
  </si>
  <si>
    <t>SATRAFOOD 1013 TON DAN</t>
  </si>
  <si>
    <t>SATRA_F1013TD</t>
  </si>
  <si>
    <t>SATRAFOOD 1014 NO TRANG LONG</t>
  </si>
  <si>
    <t>SATRA_F1014NTL</t>
  </si>
  <si>
    <t>SATRAFOOD 1015 LE TRONG TAN</t>
  </si>
  <si>
    <t>SATRA_F1015LTT</t>
  </si>
  <si>
    <t>SATRAFOOD 1017 PHAN HUY ICH</t>
  </si>
  <si>
    <t>SATRA_F1017PHI</t>
  </si>
  <si>
    <t>SATRAFOOD 1018 KP2 VINH LOC</t>
  </si>
  <si>
    <t>SATRA_F1018KP2VL</t>
  </si>
  <si>
    <t>SATRAFOOD 1019 DUONG SO 41</t>
  </si>
  <si>
    <t>SATRA_F1019DS41</t>
  </si>
  <si>
    <t>SATRAFOOD 1020 PHAN DANG LUU</t>
  </si>
  <si>
    <t>SATRA_F1020PDL</t>
  </si>
  <si>
    <t>SATRAFOOD 1021 LE VAN THO</t>
  </si>
  <si>
    <t>SATRA_F1021LVT</t>
  </si>
  <si>
    <t>SATRAFOOD 1022 LE THI RIENG</t>
  </si>
  <si>
    <t>SATRA_F1022LTR</t>
  </si>
  <si>
    <t>SATRAFOOD 1023 DUONG BA TRAC</t>
  </si>
  <si>
    <t>SATRA_F1023DBT</t>
  </si>
  <si>
    <t>SATRAFOOD 1024  PHAM THE HIEN</t>
  </si>
  <si>
    <t>SATRA_F1024PTH</t>
  </si>
  <si>
    <t>SATRAFOOD 1025 LAC LONG QUAN</t>
  </si>
  <si>
    <t>SATRA_F1025LLQ</t>
  </si>
  <si>
    <t>SATRAFOOD 1026 HUNG PHU</t>
  </si>
  <si>
    <t>SATRA_F1026HP</t>
  </si>
  <si>
    <t>SATRAFOOD 1027 THACH LAM</t>
  </si>
  <si>
    <t>SATRA_F1027TL</t>
  </si>
  <si>
    <t>SATRAFOOD 1028 BA HOM</t>
  </si>
  <si>
    <t>SATRA_F1028BH</t>
  </si>
  <si>
    <t>SATRAFOOD 1029 AU CO</t>
  </si>
  <si>
    <t>SATRA_F1029AC</t>
  </si>
  <si>
    <t>SATRAFOOD 1030 VO VAN TAN</t>
  </si>
  <si>
    <t>SATRA_F1030VVT</t>
  </si>
  <si>
    <t>SATRAFOOD 1031 BINH THOI</t>
  </si>
  <si>
    <t>SATRA_F1031BTH</t>
  </si>
  <si>
    <t>SATRAFOOD 1032 THONG NHAT</t>
  </si>
  <si>
    <t>SATRA_F1032TN</t>
  </si>
  <si>
    <t>SATRAFOOD 1033 CAY DA SA</t>
  </si>
  <si>
    <t>SATRA_F1033CDS</t>
  </si>
  <si>
    <t>SATRAFOOD 1034 NGUYEN VAN LUONG</t>
  </si>
  <si>
    <t>SATRA_F1034NVL</t>
  </si>
  <si>
    <t>SATRAFOOD 1035 NO TRANG LONG</t>
  </si>
  <si>
    <t>SATRA_F1035NTL</t>
  </si>
  <si>
    <t>SATRAFOOD 1036 DUONG SO 17</t>
  </si>
  <si>
    <t>SATRA_F1036D17</t>
  </si>
  <si>
    <t>SATRAFOOD 1037 HAI THUONG LAN ONG</t>
  </si>
  <si>
    <t>SATRA_F1037HTLO</t>
  </si>
  <si>
    <t>SATRAFOOD 1039 LE VAN KHUONG</t>
  </si>
  <si>
    <t>SATRA_F1039LVK</t>
  </si>
  <si>
    <t>SATRAFOOD 1040 LE VAN LUONG</t>
  </si>
  <si>
    <t>SATRA_F1040LVL</t>
  </si>
  <si>
    <t>SATRAFOOD 1041 DA NAM</t>
  </si>
  <si>
    <t>SATRA_F1041DN</t>
  </si>
  <si>
    <t>SATRAFOOD 1042 CHAU VAN LIEM</t>
  </si>
  <si>
    <t>SATRA_F1042CVL</t>
  </si>
  <si>
    <t>SATRAFOOD 1043 NGUYEN HONG</t>
  </si>
  <si>
    <t>SATRA_F1043NH</t>
  </si>
  <si>
    <t>SATRAFOOD 1046 NGOC LAN</t>
  </si>
  <si>
    <t>SATRA_F1046NL</t>
  </si>
  <si>
    <t>SATRAFOOD 1047 LUONG HUU KHANH</t>
  </si>
  <si>
    <t>SATRA_F1047LHK</t>
  </si>
  <si>
    <t>SATRAFOOD 1048 LE THANH TON</t>
  </si>
  <si>
    <t>SATRA_F1048LTT</t>
  </si>
  <si>
    <t>SATRAFOOD 1049 HOA SEN</t>
  </si>
  <si>
    <t>SATRA_F1049HS</t>
  </si>
  <si>
    <t>SATRAFOOD 1050 TAN HOA DONG</t>
  </si>
  <si>
    <t>SATRA_F1050THD</t>
  </si>
  <si>
    <t>SATRAFOOD 1051 PHAN CHU TRINH</t>
  </si>
  <si>
    <t>SATRA_F1051PCT</t>
  </si>
  <si>
    <t>SATRAFOOD 1052 CU CHI</t>
  </si>
  <si>
    <t>SATRA_F1052CC</t>
  </si>
  <si>
    <t>SATRAFOOD 1053 NGUYEN VAN CONG</t>
  </si>
  <si>
    <t>SATRA_F1053NVC</t>
  </si>
  <si>
    <t>SATRAFOOD 1054 NGUYEN VAN QUA</t>
  </si>
  <si>
    <t>SATRA_F1054NVQ</t>
  </si>
  <si>
    <t>SATRAFOOD 1055 NGUYEN DUY TRINH</t>
  </si>
  <si>
    <t>SATRA_F1055NDT</t>
  </si>
  <si>
    <t>SATRAFOOD 1056 LE DUC THO</t>
  </si>
  <si>
    <t>SATRA_F1056LDT</t>
  </si>
  <si>
    <t>SATRAFOOD 1057 BA TRIEU</t>
  </si>
  <si>
    <t>SATRA_F1057BT</t>
  </si>
  <si>
    <t>SATRAFOOD 1058 DUONG SO 1</t>
  </si>
  <si>
    <t>SATRA_F1058DS1</t>
  </si>
  <si>
    <t>SATRAFOOD 1059 LE VAN LINH</t>
  </si>
  <si>
    <t>SATRA_F1059LVL</t>
  </si>
  <si>
    <t>SATRAFOOD 1060 LE VAN VIET</t>
  </si>
  <si>
    <t>SATRA_F1060LVV</t>
  </si>
  <si>
    <t>SATRAFOOD 1061 VUON LAI</t>
  </si>
  <si>
    <t>SATRA_F1061VL</t>
  </si>
  <si>
    <t>SATRAFOOD 1063 UNG VAN KHIEM</t>
  </si>
  <si>
    <t>SATRA_F1063UVK</t>
  </si>
  <si>
    <t>SATRAFOOD 1064 HO VAN TU</t>
  </si>
  <si>
    <t>SATRA_F1064HVT</t>
  </si>
  <si>
    <t>SATRAFOOD 1065 LY THUONG KIET</t>
  </si>
  <si>
    <t>SATRA_F1065LTK</t>
  </si>
  <si>
    <t>SATRAFOOD 1066 PHAN DINH PHUNG</t>
  </si>
  <si>
    <t>SATRA_F1066PDP</t>
  </si>
  <si>
    <t>SATRAFOOD 1067 PHAM THE HIEN 2</t>
  </si>
  <si>
    <t>SATRA_F1067PTH</t>
  </si>
  <si>
    <t>SATRAFOOD 1068 TO KY</t>
  </si>
  <si>
    <t>SATRA_F1068TK</t>
  </si>
  <si>
    <t>SATRAFOOD 1069 NGUYEN THI DINH</t>
  </si>
  <si>
    <t>SATRA_F1069NTD</t>
  </si>
  <si>
    <t>SATRAFOOD 1070 CU CHI 2</t>
  </si>
  <si>
    <t>SATRA_F1070CC2</t>
  </si>
  <si>
    <t>SATRAFOOD 1071 PHAN VAN KHOE</t>
  </si>
  <si>
    <t>SATRA_F1071PVK</t>
  </si>
  <si>
    <t>SATRAFOOD 1072 DINH TIEN HOANG</t>
  </si>
  <si>
    <t>SATRA_F1072DTH</t>
  </si>
  <si>
    <t>SATRAFOOD 1074 PHU MY HUNG</t>
  </si>
  <si>
    <t>SATRA_F1074STAR</t>
  </si>
  <si>
    <t>SATRAFOOD 1075 CU CHI 3</t>
  </si>
  <si>
    <t>SATRA_F1075CC</t>
  </si>
  <si>
    <t>SATRAFOOD 1076 DUONG SO 5</t>
  </si>
  <si>
    <t>SATRA_F1076DS5</t>
  </si>
  <si>
    <t>SATRAFOOD 1077 THAP MUOI</t>
  </si>
  <si>
    <t>SATRA_F1077TM</t>
  </si>
  <si>
    <t>SATRAFOOD 1078 DAN CHU</t>
  </si>
  <si>
    <t>SATRA_F1078DC</t>
  </si>
  <si>
    <t>SATRAFOOD 1079 DO XUAN HOP 2</t>
  </si>
  <si>
    <t>SATRA_F1079DXH</t>
  </si>
  <si>
    <t>SATRAFOOD 1080 LE DUC THO 2</t>
  </si>
  <si>
    <t>SATRA_F1080LDT</t>
  </si>
  <si>
    <t>SATRAFOOD 1081 NGUYEN OANH</t>
  </si>
  <si>
    <t>SATRA_F1081NO</t>
  </si>
  <si>
    <t>SATRAFOOD 1082 NGUYEN DUY TRINH 2</t>
  </si>
  <si>
    <t>SATRA_F1082NDT</t>
  </si>
  <si>
    <t>SATRAFOOD 1083 NGUYEN VAN DAU</t>
  </si>
  <si>
    <t>SATRA_F1083NVD</t>
  </si>
  <si>
    <t>SATRAFOOD 1084 DIEN BIEN PHU</t>
  </si>
  <si>
    <t>SATRA_F1084DBP</t>
  </si>
  <si>
    <t>SATRAFOOD 1085 KCN DONG NAM</t>
  </si>
  <si>
    <t>SATRA_F1085CC</t>
  </si>
  <si>
    <t>SATRAFOOD 1086 GO XOAI</t>
  </si>
  <si>
    <t>SATRA_F1086GX</t>
  </si>
  <si>
    <t>SATRAFOOD 1087 TAN HUONG</t>
  </si>
  <si>
    <t>SATRA_F1087TH</t>
  </si>
  <si>
    <t>SATRAFOOD 1088 BINH DIEN</t>
  </si>
  <si>
    <t>SATRA_F1088BD</t>
  </si>
  <si>
    <t>SATRAFOOD 1089 DANG VAN BI</t>
  </si>
  <si>
    <t>SATRA_F1089DVB</t>
  </si>
  <si>
    <t>SATRAFOOD 1090 TO NGOC VAN</t>
  </si>
  <si>
    <t>SATRA_F1090TNV</t>
  </si>
  <si>
    <t>SATRAFOOD 1091 AN DUONG VUONG</t>
  </si>
  <si>
    <t>SATRA_F1091ADV</t>
  </si>
  <si>
    <t>SATRAFOOD 1092 HOANG HOA THAM</t>
  </si>
  <si>
    <t>SATRA_F1092HHT</t>
  </si>
  <si>
    <t>SATRAFOOD 1093 TAY HOA</t>
  </si>
  <si>
    <t>SATRA_F1093THOA</t>
  </si>
  <si>
    <t>SATRAFOOD 1094 NGUYEN VAN QUA 2</t>
  </si>
  <si>
    <t>SATRA_F1094NVQ</t>
  </si>
  <si>
    <t>SATRAFOOD 1095 DINH DUC THIEN</t>
  </si>
  <si>
    <t>SATRA_F1095DDT</t>
  </si>
  <si>
    <t>SATRAFOOD 1096 NGUYEN ANH THU 2</t>
  </si>
  <si>
    <t>SATRA_F1096NAT</t>
  </si>
  <si>
    <t>SATRAFOOD 1097 HOANG BAT DAT</t>
  </si>
  <si>
    <t>SATRA_F1097HBD</t>
  </si>
  <si>
    <t>SATRAFOOD 1099 LE VINH HOA</t>
  </si>
  <si>
    <t>SATRA_F1099LVH</t>
  </si>
  <si>
    <t>SATRAFOOD 1100 DINH BO LINH</t>
  </si>
  <si>
    <t>SATRA_F1100DBL</t>
  </si>
  <si>
    <t>SATRAFOOD 1101 PHAM THE HIEN 3</t>
  </si>
  <si>
    <t>SATRA_F1101PTH</t>
  </si>
  <si>
    <t>SATRAFOOD 1102 PHAM VAN BACH</t>
  </si>
  <si>
    <t>SATRA_F1102PVB</t>
  </si>
  <si>
    <t>SATRAFOOD 1103 DUONG DUC HIEN</t>
  </si>
  <si>
    <t>SATRA_F1103DDH</t>
  </si>
  <si>
    <t>SATRAFOOD 1104 DUONG SO 1 QUAN 7</t>
  </si>
  <si>
    <t>SATRA_F1104DS1</t>
  </si>
  <si>
    <t>SATRAFOOD 1105 LE VAN QUOI</t>
  </si>
  <si>
    <t>SATRA_F1105LVQ</t>
  </si>
  <si>
    <t>SATRAFOOD 1106 NGUYEN VAN DAU 2</t>
  </si>
  <si>
    <t>SATRA_F1106NVD</t>
  </si>
  <si>
    <t>SATRAFOOD 1107 CU XA PHU LAM</t>
  </si>
  <si>
    <t>SATRA_F1107PL</t>
  </si>
  <si>
    <t>SATRAFOOD 1108 NGUYEN THI DANG</t>
  </si>
  <si>
    <t>SATRA_F1108NTD</t>
  </si>
  <si>
    <t>SATRAFOOD 1109 NGUYEN THUONG HIEN</t>
  </si>
  <si>
    <t>SATRA_F1109NTH</t>
  </si>
  <si>
    <t>SATRAFOOD 1110 NGUYEN XUAN KHOAT</t>
  </si>
  <si>
    <t>SATRA_F1110NXK</t>
  </si>
  <si>
    <t>SATRAFOOD 1111 QUOC LO 50</t>
  </si>
  <si>
    <t>SATRA_F1111QL50</t>
  </si>
  <si>
    <t>SATRAFOOD 1112 NGUYEN THI KIEU</t>
  </si>
  <si>
    <t>SATRA_F1112NTK</t>
  </si>
  <si>
    <t>SATRAFOOD 1113 PHAM VAN CHIEU</t>
  </si>
  <si>
    <t>SATRA_F1113PVC</t>
  </si>
  <si>
    <t>SATRAFOOD 1114 LE THI HA</t>
  </si>
  <si>
    <t>SATRA_F1114LTH</t>
  </si>
  <si>
    <t>SATRAFOOD 1116 DANG THUC VINH</t>
  </si>
  <si>
    <t>SATRA_F1116DTV</t>
  </si>
  <si>
    <t>SATRAFOOD 1117 NGUYEN VAN KHA 1</t>
  </si>
  <si>
    <t>SATRA_F1117NVK</t>
  </si>
  <si>
    <t>SATRAFOOD 1118 NGUYEN THI TU</t>
  </si>
  <si>
    <t>SATRA_F1118NTT</t>
  </si>
  <si>
    <t>SATRAFOOD 1119 TRAN THI CO</t>
  </si>
  <si>
    <t>SATRA_F1119TTC</t>
  </si>
  <si>
    <t>SATRAFOOD 1120 TRAN VAN MUOI</t>
  </si>
  <si>
    <t>SATRA_F1120TVM</t>
  </si>
  <si>
    <t>SATRAFOOD 1121 THICH QUANG DUC</t>
  </si>
  <si>
    <t>SATRA_F1121TQD</t>
  </si>
  <si>
    <t>SATRAFOOD 1123 HA HUY GIAP</t>
  </si>
  <si>
    <t>SATRA_F1123HHG</t>
  </si>
  <si>
    <t>SATRAFOOD 1124 HUONG LO 2</t>
  </si>
  <si>
    <t>SATRA_F1124HL2</t>
  </si>
  <si>
    <t>SATRAFOOD 1125 THOAI NGOC HAU</t>
  </si>
  <si>
    <t>SATRA_F1125TNH</t>
  </si>
  <si>
    <t>SATRAFOOD 1126 QUOC LO 22 CU CHI 6</t>
  </si>
  <si>
    <t>SATRA_F1126QL22</t>
  </si>
  <si>
    <t>SATRAFOOD 1127 NGUYEN VAN KHA 2</t>
  </si>
  <si>
    <t>SATRA_F1127NVK2</t>
  </si>
  <si>
    <t>SATRAFOOD 1128 NGUYEN VAN NI</t>
  </si>
  <si>
    <t>SATRA_F1128NVN</t>
  </si>
  <si>
    <t>SATRAFOOD 1129 DINH PHONG PHU</t>
  </si>
  <si>
    <t>SATRA_F1129DPP</t>
  </si>
  <si>
    <t>SATRAFOOD 1130 DUONG DINH HOI</t>
  </si>
  <si>
    <t>SATRA_F1130DDH</t>
  </si>
  <si>
    <t>SATRAFOOD 1131 NGUYEN THI KIEU</t>
  </si>
  <si>
    <t>SATRA_F1131NTK</t>
  </si>
  <si>
    <t>SATRAFOOD 1132 DUONG 5C</t>
  </si>
  <si>
    <t>SATRA_F1132D5C</t>
  </si>
  <si>
    <t>SATRAFOOD 1133 TRAN NHAN TON</t>
  </si>
  <si>
    <t>SATRA_F1133TNT</t>
  </si>
  <si>
    <t>SATRAFOOD 1134 PHAN VAN TRI</t>
  </si>
  <si>
    <t>SATRA_F1134PVT</t>
  </si>
  <si>
    <t>SATRAFOOD 1135 NGUYEN HUU TRI</t>
  </si>
  <si>
    <t>SATRA_F1135NHT</t>
  </si>
  <si>
    <t>SATRAFOOD 1136 DUONG SO 8</t>
  </si>
  <si>
    <t>SATRA_F1136DS8</t>
  </si>
  <si>
    <t>SATRAFOOD 1137 TINH LO 8</t>
  </si>
  <si>
    <t>SATRA_F1137TL8</t>
  </si>
  <si>
    <t>SATRAFOOD 1138 LIEU BINH HUONG</t>
  </si>
  <si>
    <t>SATRA_F1138LBH</t>
  </si>
  <si>
    <t>SATRAFOOD 1139 DUONG SO 2</t>
  </si>
  <si>
    <t>SATRA_F1139DS2</t>
  </si>
  <si>
    <t>SATRAFOOD 1140 TO VINH DIEN</t>
  </si>
  <si>
    <t>SATRA_F1140TVD</t>
  </si>
  <si>
    <t>SATRAFOOD 1141 TAN CHANH HIEP</t>
  </si>
  <si>
    <t>SATRA_F1141TCH</t>
  </si>
  <si>
    <t>SATRAFOOD 1142 BUI CONG TRUNG</t>
  </si>
  <si>
    <t>SATRA_F1142BCT</t>
  </si>
  <si>
    <t>SATRAFOOD 1143 CUU LONG</t>
  </si>
  <si>
    <t>SATRA_F1143CL</t>
  </si>
  <si>
    <t>SATRAFOOD 1144 NGUYEN BINH</t>
  </si>
  <si>
    <t>SATRA_F1144NB</t>
  </si>
  <si>
    <t>SATRAFOOD 1145 LAM VAN BEN</t>
  </si>
  <si>
    <t>SATRA_F1145LVB</t>
  </si>
  <si>
    <t>SATRAFOOD 1146 AN DUONG VUONG 2</t>
  </si>
  <si>
    <t>SATRA_F1146ADV2</t>
  </si>
  <si>
    <t>SATRAFOOD 1147 DUONG CONG KHI</t>
  </si>
  <si>
    <t>SATRA_F1147DCK</t>
  </si>
  <si>
    <t>SATRAFOOD 1148 LAC LONG QUAN 3</t>
  </si>
  <si>
    <t>SATRA_F1148LLQ</t>
  </si>
  <si>
    <t>SATRAFOOD 1149 NGUYEN DUY TRINH 3</t>
  </si>
  <si>
    <t>SATRA_F1149NDT</t>
  </si>
  <si>
    <t>SATRAFOOD 1150 NGUYEN THI DINH 2</t>
  </si>
  <si>
    <t>SATRA_F1150NTD</t>
  </si>
  <si>
    <t>SATRAFOOD 1151 BUI HUU NGHIA</t>
  </si>
  <si>
    <t>SATRA_F1151BHN</t>
  </si>
  <si>
    <t>SATRAFOOD 1152 TINH LO 8</t>
  </si>
  <si>
    <t>SATRA_F1152TL8</t>
  </si>
  <si>
    <t>SATRAFOOD 1153 QUOC LO 22 CU CHI 12</t>
  </si>
  <si>
    <t>SATRA_F1153QL22</t>
  </si>
  <si>
    <t>SATRAFOOD 1154 NGUYEN KHOAI</t>
  </si>
  <si>
    <t>SATRA_F1154NK</t>
  </si>
  <si>
    <t>SATRAFOOD 1155 VAN PHUC 1</t>
  </si>
  <si>
    <t>SATRA_F1155VP</t>
  </si>
  <si>
    <t>SATRAFOOD 1156 TAN HOA</t>
  </si>
  <si>
    <t>SATRA_F1156TH</t>
  </si>
  <si>
    <t>SATRAFOOD 1157 BAU CAT</t>
  </si>
  <si>
    <t>SATRA_F1157BC8</t>
  </si>
  <si>
    <t>SATRAFOOD 1158 DUONG SO 6</t>
  </si>
  <si>
    <t>SATRA_F1158DS6</t>
  </si>
  <si>
    <t>SATRAFOOD 1159 NGUYEN THI HUE</t>
  </si>
  <si>
    <t>SATRA_F1159NTH</t>
  </si>
  <si>
    <t>SATRAFOOD 1160 QUOC LO 22</t>
  </si>
  <si>
    <t>SATRA_F1160QL22</t>
  </si>
  <si>
    <t>SATRAFOOD 1161 A3 TO KY</t>
  </si>
  <si>
    <t>SATRA_F1161A3TK</t>
  </si>
  <si>
    <t>SATRAFOOD 1162 BINH LOI</t>
  </si>
  <si>
    <t>SATRA_F1162BL</t>
  </si>
  <si>
    <t>SATRAFOOD 1163 VO VAN VAN</t>
  </si>
  <si>
    <t>SATRA_F1163VVV</t>
  </si>
  <si>
    <t>SATRAFOOD 1164 QUOC LO 50</t>
  </si>
  <si>
    <t>SATRA_F1164QL50</t>
  </si>
  <si>
    <t>SATRAFOOD 1165 TRAN MAI NINH</t>
  </si>
  <si>
    <t>SATRA_F1165TMN</t>
  </si>
  <si>
    <t>SATRAFOOD 1166 CAY TRAM</t>
  </si>
  <si>
    <t>SATRA_F1166CT</t>
  </si>
  <si>
    <t>SATRAFOOD 1167 NGUYEN VAN TAO</t>
  </si>
  <si>
    <t>SATRA_F1167NVT</t>
  </si>
  <si>
    <t>SATRAFOOD 1169 PHAN VAN HAN</t>
  </si>
  <si>
    <t>SATRA_F1169PVH</t>
  </si>
  <si>
    <t>SATRAFOOD 1170 LE THI HOA</t>
  </si>
  <si>
    <t>SATRA_F1170LTH</t>
  </si>
  <si>
    <t>SATRAFOOD 1171 AN PHU TAY</t>
  </si>
  <si>
    <t>SATRA_F1171APT</t>
  </si>
  <si>
    <t>SATRAFOOD 1172 AN DUONG VUONG 3</t>
  </si>
  <si>
    <t>SATRA_F1172ADV</t>
  </si>
  <si>
    <t>SATRAFOOD 1173 HUONG LO 2</t>
  </si>
  <si>
    <t>SATRA_F1173HL2</t>
  </si>
  <si>
    <t>SATRAFOOD 1174 HO VAN LONG</t>
  </si>
  <si>
    <t>SATRA_F1174HVL</t>
  </si>
  <si>
    <t>SATRAFOOD 1175 LIEN KHU 5-6</t>
  </si>
  <si>
    <t>SATRA_F1175LK56</t>
  </si>
  <si>
    <t>SATRAFOOD 1176 BENH VIEN NHI DONG 2</t>
  </si>
  <si>
    <t>SATRA_F1176BVND2</t>
  </si>
  <si>
    <t>SATRAFOOD 1177 HO VAN LONG 2</t>
  </si>
  <si>
    <t>SATRA_F1177HVL2</t>
  </si>
  <si>
    <t>SATRAFOOD 1178 XOM CHIEU</t>
  </si>
  <si>
    <t>SATRA_F1178XC</t>
  </si>
  <si>
    <t>SATRAFOOD 1179 HA HUY GIAP</t>
  </si>
  <si>
    <t>SATRA_F1179HHG2</t>
  </si>
  <si>
    <t>SATRAFOOD 1180 AP CHIEN LUOC</t>
  </si>
  <si>
    <t>SATRA_F1180ACL</t>
  </si>
  <si>
    <t>SATRAFOOD 1181 NGO QUYEN</t>
  </si>
  <si>
    <t>SATRA_F1181NQ</t>
  </si>
  <si>
    <t>SATRAFOOD 1182 PHAM THE HIEN 4</t>
  </si>
  <si>
    <t>SATRA_F1182PTH4</t>
  </si>
  <si>
    <t>SATRAFOOD 1184 LO LU</t>
  </si>
  <si>
    <t>SATRA_F1184LL</t>
  </si>
  <si>
    <t>SATRAFOOD 1185 HIEP BINH</t>
  </si>
  <si>
    <t>SATRA_F1185HB</t>
  </si>
  <si>
    <t>SATRAFOOD 1186 LE VAN LUONG 2</t>
  </si>
  <si>
    <t>SATRA_F1186LVL</t>
  </si>
  <si>
    <t>SATRAFOOD 1187 LE VAN LUONG</t>
  </si>
  <si>
    <t>SATRA_F1187LVL</t>
  </si>
  <si>
    <t>SATRAFOOD 1188 LUY BAN BICH</t>
  </si>
  <si>
    <t>SATRA_F1188LBB</t>
  </si>
  <si>
    <t>SATRAFOOD 1189 NGUYEN THI BUP</t>
  </si>
  <si>
    <t>SATRA_F1189NTB</t>
  </si>
  <si>
    <t>SATRAFOOD 1190 TUNG THIEN VUONG</t>
  </si>
  <si>
    <t>SATRA_F1190TTV</t>
  </si>
  <si>
    <t>SATRAFOOD 1191 LY PHUC MAN</t>
  </si>
  <si>
    <t>SATRA_F1191LPM</t>
  </si>
  <si>
    <t>SATRAFOOD 1192 DINH PHONG PHU 2</t>
  </si>
  <si>
    <t>SATRA_F1192DPP</t>
  </si>
  <si>
    <t>SATRAFOOD 1193 BUI VAN BA</t>
  </si>
  <si>
    <t>SATRA_F1193BVB</t>
  </si>
  <si>
    <t>SATRAFOOD 1194 NGUYEN VAN BUA</t>
  </si>
  <si>
    <t>SATRA_F1194NVB</t>
  </si>
  <si>
    <t>SATRAFOOD 1195 DINH DUC THIEN</t>
  </si>
  <si>
    <t>SATRA_F1195DDT</t>
  </si>
  <si>
    <t>SATRAFOOD 1196 QUOC LO 50</t>
  </si>
  <si>
    <t>SATRA_F1196QL50</t>
  </si>
  <si>
    <t>SATRAFOOD 1197 DUONG SO 1 QUAN 8</t>
  </si>
  <si>
    <t>SATRA_F1197DS1</t>
  </si>
  <si>
    <t>SATRAFOOD 1198 THONG NHAT 2</t>
  </si>
  <si>
    <t>SATRA_F1198TN2</t>
  </si>
  <si>
    <t>SATRAFOOD 1199 HUYNH TAN PHAT 2</t>
  </si>
  <si>
    <t>SATRA_F1199HTP</t>
  </si>
  <si>
    <t>SATRAFOOD 1200 NGUYEN DUY TRINH</t>
  </si>
  <si>
    <t>SATRA_F1200NDT</t>
  </si>
  <si>
    <t>SATRAFOOD 1201 DUONG DINH HOI 2</t>
  </si>
  <si>
    <t>SATRA_F1201DDH</t>
  </si>
  <si>
    <t>SATRAFOOD 1202 NGUYEN XIEN</t>
  </si>
  <si>
    <t>SATRA_F1202NX</t>
  </si>
  <si>
    <t>SATRAFOOD 1203 TINH LO 43</t>
  </si>
  <si>
    <t>SATRA_F1203TL43</t>
  </si>
  <si>
    <t>SATRAFOOD 1204 TRINH THI MIENG</t>
  </si>
  <si>
    <t>SATRA_F1204TTM</t>
  </si>
  <si>
    <t>SATRAFOOD 1205 TRAN VAN QUANG</t>
  </si>
  <si>
    <t>SATRA_F1205TVQ</t>
  </si>
  <si>
    <t>SATRAFOOD 1207 DUONG 8</t>
  </si>
  <si>
    <t>SATRA_F1207D8</t>
  </si>
  <si>
    <t>SATRAFOOD 1208 LE VAN LUONG 4</t>
  </si>
  <si>
    <t>SATRA_F1208LVL</t>
  </si>
  <si>
    <t>SATRAFOOD 1209 NGUYEN VAN TAO 2</t>
  </si>
  <si>
    <t>SATRA_F1209NVT2</t>
  </si>
  <si>
    <t>SATRAFOOD 1210 THANH LOC 27</t>
  </si>
  <si>
    <t>SATRA_F1210TL27</t>
  </si>
  <si>
    <t>SATRAFOOD 1211 LE MINH NHUT</t>
  </si>
  <si>
    <t>SATRA_F1211LMN</t>
  </si>
  <si>
    <t>SATRAFOOD 1212 MAN THIEN</t>
  </si>
  <si>
    <t>SATRA_F1212MT</t>
  </si>
  <si>
    <t>SATRAFOOD 1213 NGUYEN THI KIEU 2</t>
  </si>
  <si>
    <t>SATRA_F1213NTK2</t>
  </si>
  <si>
    <t>SATRAFOOD 1214 QUOC LO 50</t>
  </si>
  <si>
    <t>SATRA_F1214QL50</t>
  </si>
  <si>
    <t>SATRAFOOD 1215 DONG HUNG THUAN</t>
  </si>
  <si>
    <t>SATRA_F1215DHT</t>
  </si>
  <si>
    <t>SATRAFOOD 1216 VINH LOC 2</t>
  </si>
  <si>
    <t>SATRA_F1216VL2</t>
  </si>
  <si>
    <t>SATRAFOOD 1217 TAN CANG</t>
  </si>
  <si>
    <t>SATRA_F1217TC</t>
  </si>
  <si>
    <t>SATRAFOOD 1218 PHAN CHU TRINH</t>
  </si>
  <si>
    <t>SATRA_F1218PCT</t>
  </si>
  <si>
    <t>SATRAFOOD 1220 XO VIET NGHE TINH 2</t>
  </si>
  <si>
    <t>SATRA_F1220XVNT2</t>
  </si>
  <si>
    <t>SATRAFOOD 1221 PHAN VAN TRI 2</t>
  </si>
  <si>
    <t>SATRA_F1221PVT2</t>
  </si>
  <si>
    <t>SATRAFOOD 151 DIEN BIEN PHU</t>
  </si>
  <si>
    <t>SATRA_F151DBP</t>
  </si>
  <si>
    <t>SATRAFOOD1199 HUYNH TAN PHAT</t>
  </si>
  <si>
    <t>SATRA_F1199HTP2</t>
  </si>
  <si>
    <t>SATRAFOOD 14 LY TU TRONG</t>
  </si>
  <si>
    <t>SATRAFOOD</t>
  </si>
  <si>
    <t>SATRA_F14LTT</t>
  </si>
  <si>
    <t>SATRAFOOD TRAN NAO</t>
  </si>
  <si>
    <t>SATRA_260TNAO</t>
  </si>
  <si>
    <t>2059</t>
  </si>
  <si>
    <t>6415</t>
  </si>
  <si>
    <t>SIEU THI WEFRESH</t>
  </si>
  <si>
    <t>WEFRESH_1</t>
  </si>
  <si>
    <t>HO KINH DOANH SK GOURMET</t>
  </si>
  <si>
    <t>SK GOURMET</t>
  </si>
  <si>
    <t>6498</t>
  </si>
  <si>
    <t>THIEU NHI MOI LY THUONG KIET</t>
  </si>
  <si>
    <t>THIEU NHI MOI</t>
  </si>
  <si>
    <t>TNM_LTK</t>
  </si>
  <si>
    <t>THIEU NHI MOI AEON BINH DUONG</t>
  </si>
  <si>
    <t>TNM_AEONBDUONG</t>
  </si>
  <si>
    <t>THIEU NHI MOI AEON BINH TAN</t>
  </si>
  <si>
    <t>TNM_AEONBT</t>
  </si>
  <si>
    <t>THIEU NHI MOI AEON HA DONG</t>
  </si>
  <si>
    <t>TNM_AEONHDONG</t>
  </si>
  <si>
    <t>THIEU NHI MOI AEON LONG BIEN</t>
  </si>
  <si>
    <t>TNM_AEONLBIEN</t>
  </si>
  <si>
    <t>THIEU NHI MOI AEON TAN PHU</t>
  </si>
  <si>
    <t>TNM_AEONTP</t>
  </si>
  <si>
    <t>THIEU NHI MOI BIG C MY THO</t>
  </si>
  <si>
    <t>TNM_BIGCMTHO</t>
  </si>
  <si>
    <t>THIEU NHI MOI BIG C THANG LONG</t>
  </si>
  <si>
    <t>TNM_BIGCTL</t>
  </si>
  <si>
    <t>THIEU NHI MOI COOP AU CO</t>
  </si>
  <si>
    <t>TNM_COOPACO</t>
  </si>
  <si>
    <t>THIEU NHI MOI COOP BIEN HOA</t>
  </si>
  <si>
    <t>THIEU NHI MOI COOP BINH DUONG</t>
  </si>
  <si>
    <t>THIEU NHI MOI COOP BUON MA THUOT</t>
  </si>
  <si>
    <t>THIEU NHI MOI COOP CAO LANH</t>
  </si>
  <si>
    <t>THIEU NHI MOI COOP LY THUONG KIET</t>
  </si>
  <si>
    <t>THIEU NHI MOI COOP PHAN VAN HON</t>
  </si>
  <si>
    <t>TNM_COOPPVH</t>
  </si>
  <si>
    <t>THIEU NHI MOI COOP TAM BINH</t>
  </si>
  <si>
    <t>TNM_COOPTB</t>
  </si>
  <si>
    <t>THIEU NHI MOI COOP TUY HOA</t>
  </si>
  <si>
    <t>THIEU NHI MOI CRESCENT MALL</t>
  </si>
  <si>
    <t>TNM_CRESMALL</t>
  </si>
  <si>
    <t>THIEU NHI MOI DIAMON VUNG TAU</t>
  </si>
  <si>
    <t>TNM_VTAU</t>
  </si>
  <si>
    <t>THIEU NHI MOI ESTELLA</t>
  </si>
  <si>
    <t>TNM_ESTELLA</t>
  </si>
  <si>
    <t>THIEU NHI MOI GIGA MALL</t>
  </si>
  <si>
    <t>TNM_GIGA</t>
  </si>
  <si>
    <t>THIEU NHI MOI GRAND THUY KHE</t>
  </si>
  <si>
    <t>TNM_THUYKHE</t>
  </si>
  <si>
    <t>THIEU NHI MOI HO GUOM</t>
  </si>
  <si>
    <t>TNM_HGOM</t>
  </si>
  <si>
    <t>THIEU NHI MOI IPH HA NOI</t>
  </si>
  <si>
    <t>TNM_IPH</t>
  </si>
  <si>
    <t>THIEU NHI MOI KIM CENTER GIA LAI</t>
  </si>
  <si>
    <t>THIEU NHI MOI LANDMARK 81</t>
  </si>
  <si>
    <t>TNM_LAND81</t>
  </si>
  <si>
    <t>THIEU NHI MOI LION MALL XUAN DIEU</t>
  </si>
  <si>
    <t>TNM_XDIEU</t>
  </si>
  <si>
    <t>THIEU NHI MOI LOTTE CAN THO</t>
  </si>
  <si>
    <t>TNM_LOTTECT</t>
  </si>
  <si>
    <t>THIEU NHI MOI LOTTE CONG HOA</t>
  </si>
  <si>
    <t>THIEU NHI MOI MIPEC HA NOI</t>
  </si>
  <si>
    <t>TNM_MIPECHN</t>
  </si>
  <si>
    <t>THIEU NHI MOI MY THO</t>
  </si>
  <si>
    <t>THIEU NHI MOI NOWZONE</t>
  </si>
  <si>
    <t>TNM_NOWZONE</t>
  </si>
  <si>
    <t>THIEU NHI MOI PANDORA TAN BINH</t>
  </si>
  <si>
    <t>TNM_PANDORA</t>
  </si>
  <si>
    <t>THIEU NHI MOI PARKSON TAN BINH</t>
  </si>
  <si>
    <t>TNM_PARKSON</t>
  </si>
  <si>
    <t>THIEU NHI MOI SAI GON CENTER</t>
  </si>
  <si>
    <t>TNM_CENTERLL</t>
  </si>
  <si>
    <t>THIEU NHI MOI SATRA CU CHI</t>
  </si>
  <si>
    <t>THIEU NHI MOI SATRA PHAM HUNG</t>
  </si>
  <si>
    <t>TNM_SATRAPH</t>
  </si>
  <si>
    <t>THIEU NHI MOI VINCOM AN GIANG</t>
  </si>
  <si>
    <t>TNM_VINAG</t>
  </si>
  <si>
    <t>THIEU NHI MOI VINCOM BA TRIEU</t>
  </si>
  <si>
    <t>TNM_VINBTRIEU</t>
  </si>
  <si>
    <t>THIEU NHI MOI VINCOM BAC NINH</t>
  </si>
  <si>
    <t>TNM_VINBNINH</t>
  </si>
  <si>
    <t>THIEU NHI MOI VINCOM BAC TU LIEM</t>
  </si>
  <si>
    <t>TNM_VINBTLIEM</t>
  </si>
  <si>
    <t>THIEU NHI MOI VINCOM BIEN HOA</t>
  </si>
  <si>
    <t>TNM_VINBHOA</t>
  </si>
  <si>
    <t>THIEU NHI MOI VINCOM BINH DUONG</t>
  </si>
  <si>
    <t>THIEU NHI MOI VINCOM CAN THO</t>
  </si>
  <si>
    <t>TNM_VINCT</t>
  </si>
  <si>
    <t>THIEU NHI MOI VINCOM DA NANG</t>
  </si>
  <si>
    <t>TNM_VINDN</t>
  </si>
  <si>
    <t>THIEU NHI MOI VINCOM DONG KHOI</t>
  </si>
  <si>
    <t>TNM_VINDK</t>
  </si>
  <si>
    <t>THIEU NHI MOI VINCOM HAI PHONG</t>
  </si>
  <si>
    <t>TNM_VINHPHONG</t>
  </si>
  <si>
    <t>THIEU NHI MOI VINCOM LONG AN</t>
  </si>
  <si>
    <t>TNM_VINLAN</t>
  </si>
  <si>
    <t>THIEU NHI MOI VINCOM LONG BIEN</t>
  </si>
  <si>
    <t>THIEU NHI MOI VINCOM NAM LONG</t>
  </si>
  <si>
    <t>TNM_VINNL</t>
  </si>
  <si>
    <t>THIEU NHI MOI VINCOM NGUYEN CHI THANH</t>
  </si>
  <si>
    <t>TNM_VINNCT</t>
  </si>
  <si>
    <t>THIEU NHI MOI VINCOM ROYAL PLAZA</t>
  </si>
  <si>
    <t>TNM_VINROYAL</t>
  </si>
  <si>
    <t>THIEU NHI MOI VINCOM THAO DIEN</t>
  </si>
  <si>
    <t>TNM_VINTD</t>
  </si>
  <si>
    <t>THIEU NHI MOI VINCOM TIMES CITY</t>
  </si>
  <si>
    <t>TNM_TIMESCITY</t>
  </si>
  <si>
    <t>THIEU NHI MOI VINCOM TRAN DUY HUNG</t>
  </si>
  <si>
    <t>TNM_VINTDH</t>
  </si>
  <si>
    <t>THIEU NHI MOI VINCOM VIET TRI</t>
  </si>
  <si>
    <t>TNM_VIN_VTRI</t>
  </si>
  <si>
    <t>THIEU NHI MOI VINH CENTER</t>
  </si>
  <si>
    <t>TNM_VINH</t>
  </si>
  <si>
    <t>THIEU NHI MOI VINMART CAN THO</t>
  </si>
  <si>
    <t>TNM_VINCTHO</t>
  </si>
  <si>
    <t>THIEU NHI MOI VINMART LE VAN VIET</t>
  </si>
  <si>
    <t>TNM_VINLVV</t>
  </si>
  <si>
    <t>THIEU NHI MOI VINMART QUANG TRUNG</t>
  </si>
  <si>
    <t>TNM_VINQT</t>
  </si>
  <si>
    <t>THIEU NHI MOI VINMART THU DUC</t>
  </si>
  <si>
    <t>TNM_VINTDUC</t>
  </si>
  <si>
    <t>THIEU NHI MOI AEON HAI PHONG</t>
  </si>
  <si>
    <t xml:space="preserve">THIEU NHI MOI </t>
  </si>
  <si>
    <t>TNM_AEONHPHONG</t>
  </si>
  <si>
    <t>CÔNG TY CỔ PHẦN ĐẦU TƯ QUỐC TẾ UBG</t>
  </si>
  <si>
    <t>UBG</t>
  </si>
  <si>
    <t>6485</t>
  </si>
  <si>
    <t>US MART GIGA MALL</t>
  </si>
  <si>
    <t>US MART</t>
  </si>
  <si>
    <t>US_GIGA</t>
  </si>
  <si>
    <t>US MART NGUYEN DUC CANH</t>
  </si>
  <si>
    <t>US_NDC</t>
  </si>
  <si>
    <t>US MART TRAN HUNG DAO</t>
  </si>
  <si>
    <t>US_THD</t>
  </si>
  <si>
    <t>VINMART 3 THANG 2</t>
  </si>
  <si>
    <t>VIN_MX3/2</t>
  </si>
  <si>
    <t>VINMART ADAYROI</t>
  </si>
  <si>
    <t>VIN_ADROI</t>
  </si>
  <si>
    <t>VINMART BAU CAT</t>
  </si>
  <si>
    <t>VIN_CTYBCAT</t>
  </si>
  <si>
    <t>VINMART BIEN HOA</t>
  </si>
  <si>
    <t>VIN_BHOA</t>
  </si>
  <si>
    <t>VINMART BINH TRUNG</t>
  </si>
  <si>
    <t>VIN_CTYBTRUNG</t>
  </si>
  <si>
    <t>VINMART CONG HOA</t>
  </si>
  <si>
    <t>VIN_MXCH</t>
  </si>
  <si>
    <t>VINMART DIAMOND</t>
  </si>
  <si>
    <t>VIN_CTYDIAMOND</t>
  </si>
  <si>
    <t>VINMART DONG KHOI</t>
  </si>
  <si>
    <t>VIN_CTYDK</t>
  </si>
  <si>
    <t>VINMART HA TINH</t>
  </si>
  <si>
    <t>VIN_KHO_HTINH</t>
  </si>
  <si>
    <t>VINMART HUNG GIA</t>
  </si>
  <si>
    <t>VIN_CTYPVN</t>
  </si>
  <si>
    <t>VINMART KHANH HOA</t>
  </si>
  <si>
    <t>VIN_KHOA</t>
  </si>
  <si>
    <t>VINMART KHO BAC NINH</t>
  </si>
  <si>
    <t>VIN_KHO_BNINH</t>
  </si>
  <si>
    <t>VIN_KHO_BDUONG</t>
  </si>
  <si>
    <t>VINMART LANDMARK 81</t>
  </si>
  <si>
    <t>VIN_CTYLAND</t>
  </si>
  <si>
    <t>VINMART LE VAN VIET</t>
  </si>
  <si>
    <t>VIN_CTYLVV</t>
  </si>
  <si>
    <t>VINMART LONG BIEN</t>
  </si>
  <si>
    <t>VIN_LBIEN</t>
  </si>
  <si>
    <t>VINMART NAM LONG</t>
  </si>
  <si>
    <t>VIN_CTYNL</t>
  </si>
  <si>
    <t>VINMART NGUY DUY TRINH</t>
  </si>
  <si>
    <t>VIN_CTYNDT</t>
  </si>
  <si>
    <t>VINMART NGUYEN XI</t>
  </si>
  <si>
    <t>VIN_CTYSGRES</t>
  </si>
  <si>
    <t>VINMART NHA TRANG</t>
  </si>
  <si>
    <t>VIN_NTRANG</t>
  </si>
  <si>
    <t>VINMART NINH BINH</t>
  </si>
  <si>
    <t>VIN_NBINH</t>
  </si>
  <si>
    <t>VINMART NINH THUAN</t>
  </si>
  <si>
    <t>VIN_NTHUAN</t>
  </si>
  <si>
    <t>VINMART PHAN VAN TRI</t>
  </si>
  <si>
    <t>VIN_CTYPVT</t>
  </si>
  <si>
    <t>VINMART BINH PHUOC</t>
  </si>
  <si>
    <t>VIN_BPHUOC</t>
  </si>
  <si>
    <t>VINMART BA RIA VUNG TAU</t>
  </si>
  <si>
    <t>VIN_BRVT</t>
  </si>
  <si>
    <t>VINMART GIA LAI</t>
  </si>
  <si>
    <t>VIN_GLAI</t>
  </si>
  <si>
    <t>VINMART KONTUM</t>
  </si>
  <si>
    <t>VIN_KTUM</t>
  </si>
  <si>
    <t>VINMART SOC TRANG</t>
  </si>
  <si>
    <t>VIN_STRANG</t>
  </si>
  <si>
    <t>VINMART TAY NINH</t>
  </si>
  <si>
    <t>VIN_TNINH</t>
  </si>
  <si>
    <t>VINMART BINH DINH</t>
  </si>
  <si>
    <t>VIN_BDINH</t>
  </si>
  <si>
    <t>VINMART PHO QUANG</t>
  </si>
  <si>
    <t>VIN_CTYPQUANG</t>
  </si>
  <si>
    <t>VINMART QUANG NINH</t>
  </si>
  <si>
    <t>VIN_QNINH</t>
  </si>
  <si>
    <t>VINMART QUANG TRUNG</t>
  </si>
  <si>
    <t>VIN_CTYQT</t>
  </si>
  <si>
    <t>VINMART THAO DIEN</t>
  </si>
  <si>
    <t>VIN_CTYTDIEN</t>
  </si>
  <si>
    <t>VINMART THU DUC</t>
  </si>
  <si>
    <t>VIN_CTYTDUC</t>
  </si>
  <si>
    <t>VINMART VINH LONG</t>
  </si>
  <si>
    <t>VIN_KHO_VLONG</t>
  </si>
  <si>
    <t>VINMART+ CẦNTHƠ(2572/46)</t>
  </si>
  <si>
    <t>VINMART+</t>
  </si>
  <si>
    <t>VIN+CTHO</t>
  </si>
  <si>
    <t>VINMART+ ĐÀ NẴNG(1127/171)</t>
  </si>
  <si>
    <t>VIN+DNANG</t>
  </si>
  <si>
    <t>VINMART+ ĐỒNG NAI(2572/60)</t>
  </si>
  <si>
    <t>VIN+DNAI</t>
  </si>
  <si>
    <t>VINMART+ GRAND RIVERSIDE</t>
  </si>
  <si>
    <t>VIN_CTYBVD</t>
  </si>
  <si>
    <t>VINMART+ KHO BAC NINH</t>
  </si>
  <si>
    <t>VIN_KHO_BNINH+</t>
  </si>
  <si>
    <t>VINMART+ KHO BINH DUONG</t>
  </si>
  <si>
    <t>VIN_KHO_BDUONG+</t>
  </si>
  <si>
    <t>VIN_CTY1</t>
  </si>
  <si>
    <t>VINMART+ KHO DA NANG</t>
  </si>
  <si>
    <t>VIN_KHO_DNANG+</t>
  </si>
  <si>
    <t>VINMART+ NHA TRANG(2572/26)</t>
  </si>
  <si>
    <t>VIN+NTRANG</t>
  </si>
  <si>
    <t>VINMART+ TP HCM1(2572/521)</t>
  </si>
  <si>
    <t>VIN+TPHCM1</t>
  </si>
  <si>
    <t>VINMART+ TP HCM2(1127/404)</t>
  </si>
  <si>
    <t>VIN+TPHCM2</t>
  </si>
  <si>
    <t>WELLNESS BINH DUONG</t>
  </si>
  <si>
    <t>AEON_W_BDUONG_RDC</t>
  </si>
  <si>
    <t>WELLNESS BINH TAN</t>
  </si>
  <si>
    <t>AEON_W_BTAN_RDC</t>
  </si>
  <si>
    <t>WELLNESS GIGA MALL</t>
  </si>
  <si>
    <t>AEON_W_GIGA_RDC</t>
  </si>
  <si>
    <t>WELLNESS HA DONG</t>
  </si>
  <si>
    <t>AEON_W_HDONG_RDC</t>
  </si>
  <si>
    <t>WELLNESS HAI PHONG</t>
  </si>
  <si>
    <t>AEON_W_HPHONG_RDC</t>
  </si>
  <si>
    <t>WELLNESS LONG BIEN</t>
  </si>
  <si>
    <t>AEON_W_LBIEN_RDC</t>
  </si>
  <si>
    <t>WELLNESS TAN PHU</t>
  </si>
  <si>
    <t>AEON_W_TPHU_RDC</t>
  </si>
  <si>
    <t>WELLNESS VAN HANH MALL</t>
  </si>
  <si>
    <t>AEON_VHANH_RDC</t>
  </si>
  <si>
    <t>COOP FOOD TAN THANH DONG</t>
  </si>
  <si>
    <t>COOP_F_TTDONG</t>
  </si>
  <si>
    <t>COOP FOOD PHAM VAN BACH</t>
  </si>
  <si>
    <t>COOP_F_PVB</t>
  </si>
  <si>
    <t>COOP FOOD TINH LO 15-1031</t>
  </si>
  <si>
    <t>COOP_F_TL15_1031</t>
  </si>
  <si>
    <t>COOP FOOD NGO CHI QUOC</t>
  </si>
  <si>
    <t>COOP_F_NCQ</t>
  </si>
  <si>
    <t>COOP FOOD LE VAN LUONG 219-221</t>
  </si>
  <si>
    <t>COOP_F_LVL219</t>
  </si>
  <si>
    <t>COOP FOOD DANG THUY TRAM</t>
  </si>
  <si>
    <t>COOP_F_DTT</t>
  </si>
  <si>
    <t>COOP FOOD BINH  CHIEU</t>
  </si>
  <si>
    <t>COOP_F_BCHIEU</t>
  </si>
  <si>
    <t>COOP FOOD CC HOANGANH RIVERVIEW</t>
  </si>
  <si>
    <t>COOP_F_RVVIEW</t>
  </si>
  <si>
    <t>COOP FOOD BD CC BCONS GREEN VIEW</t>
  </si>
  <si>
    <t>COOP_F_BCONS_GV</t>
  </si>
  <si>
    <t>BHX_15058_GLAI</t>
  </si>
  <si>
    <t>COOP MART THONG NHAT</t>
  </si>
  <si>
    <t>COOP_TNHAT</t>
  </si>
  <si>
    <t>BUU DIEN TAN PHU TRUNG</t>
  </si>
  <si>
    <t>BD_TTRUNG</t>
  </si>
  <si>
    <t>HOME FRESH CUA HANG TIEN LOI GIA DINH</t>
  </si>
  <si>
    <t>4032_TLGD</t>
  </si>
  <si>
    <t xml:space="preserve">BHBĐ Bình Giang </t>
  </si>
  <si>
    <t>BD_HD_BGIANG</t>
  </si>
  <si>
    <t xml:space="preserve">BHBĐ Kinh Môn </t>
  </si>
  <si>
    <t>BD_HD_KMON</t>
  </si>
  <si>
    <t>BHBĐ Chí Linh</t>
  </si>
  <si>
    <t>BD_HD_CLINH</t>
  </si>
  <si>
    <t>BHBĐ Giảng Võ</t>
  </si>
  <si>
    <t>BD_GVO</t>
  </si>
  <si>
    <t xml:space="preserve">BHBĐ Hà Đông </t>
  </si>
  <si>
    <t>BD_HDONG</t>
  </si>
  <si>
    <t xml:space="preserve">BHBĐ Đông Anh </t>
  </si>
  <si>
    <t>BD_DANH</t>
  </si>
  <si>
    <t>BHBĐ Thanh Trì</t>
  </si>
  <si>
    <t>BD_TTRI</t>
  </si>
  <si>
    <t xml:space="preserve">BHBĐ Sóc Sơn </t>
  </si>
  <si>
    <t>BD_SSON</t>
  </si>
  <si>
    <t xml:space="preserve">BHBĐ Sơn Lộc </t>
  </si>
  <si>
    <t>BD_SLOC</t>
  </si>
  <si>
    <t xml:space="preserve">BHBĐ Cầu Diễn </t>
  </si>
  <si>
    <t>BD_CDIEN</t>
  </si>
  <si>
    <t xml:space="preserve">BHBĐ Thăng Long </t>
  </si>
  <si>
    <t>BD_TLONG</t>
  </si>
  <si>
    <t xml:space="preserve">BHBĐ Tràng Tiền </t>
  </si>
  <si>
    <t>BD_TTIEN</t>
  </si>
  <si>
    <t>BHBĐ Cẩm Giàng</t>
  </si>
  <si>
    <t>BD_HP_CGIANG</t>
  </si>
  <si>
    <t>COOP_F_PXL37</t>
  </si>
  <si>
    <t>COOP_F_KPARK</t>
  </si>
  <si>
    <t>COOP_F_TTTAY</t>
  </si>
  <si>
    <t>COOP_F_TLOC</t>
  </si>
  <si>
    <t>COOP_FL_ZEIT</t>
  </si>
  <si>
    <t>COOP_FL_LXTON</t>
  </si>
  <si>
    <t>COOP_F_HIEPBINH</t>
  </si>
  <si>
    <t>COOP_F_PKIEN</t>
  </si>
  <si>
    <t>COOP_F_CGIUOC</t>
  </si>
  <si>
    <t>COOP_F_NVTANG</t>
  </si>
  <si>
    <t>COOP_F_LDT</t>
  </si>
  <si>
    <t>COOP_F_TVESTA</t>
  </si>
  <si>
    <t>COOP_F_GDUA112</t>
  </si>
  <si>
    <t>6763</t>
  </si>
  <si>
    <t>COOP_F_NDU</t>
  </si>
  <si>
    <t>COOP_F_PHUU</t>
  </si>
  <si>
    <t>CÔNG TY CP SÀI GÒN HD</t>
  </si>
  <si>
    <t>NB113</t>
  </si>
  <si>
    <t>javascript:GotoSubLeger_</t>
  </si>
  <si>
    <t>HỆ THỐNG</t>
  </si>
  <si>
    <t>STORE</t>
  </si>
  <si>
    <t>COOPFOOD</t>
  </si>
  <si>
    <t>ACE  HOME SU VAN HANH</t>
  </si>
  <si>
    <t>KINGFOOD NGUYEN THI DINH</t>
  </si>
  <si>
    <t>COOP_FL_BACHA</t>
  </si>
  <si>
    <t>COOFOOD NGUYEN CUU DAM</t>
  </si>
  <si>
    <t>KINGFOOD THONG NHAT</t>
  </si>
  <si>
    <t>BACH HOA XANH</t>
  </si>
  <si>
    <t>VINMART NGHE AN</t>
  </si>
  <si>
    <t>KING  FOOD</t>
  </si>
  <si>
    <t>COOPFOO AN DUONG VUONG</t>
  </si>
  <si>
    <t>KINGFOOD QUOC LO 50</t>
  </si>
  <si>
    <t>KINGFOOD DO XUAN HOP</t>
  </si>
  <si>
    <t>COOP NGUYEN THONG 1</t>
  </si>
  <si>
    <t>KINGFOOD BINH QUOI</t>
  </si>
  <si>
    <t>COOP_FOOD_NXI</t>
  </si>
  <si>
    <t>COOP_TNHAU1</t>
  </si>
  <si>
    <t>COOP THOAI NGOC HAU</t>
  </si>
  <si>
    <t>TNH_VINCOMVTRI</t>
  </si>
  <si>
    <t>BCH HOA XANH THU DUC</t>
  </si>
  <si>
    <t>COOP_MDUC</t>
  </si>
  <si>
    <t>COOP MINH DUC</t>
  </si>
  <si>
    <t>COOP_AUC_AC856</t>
  </si>
  <si>
    <t>COOP AU CO</t>
  </si>
  <si>
    <t>COOP_CGIUOC</t>
  </si>
  <si>
    <t>COOP CAN GIUOC LONG AN</t>
  </si>
  <si>
    <t>COOP_GIANT</t>
  </si>
  <si>
    <t>COOP CRESCENT MALL</t>
  </si>
  <si>
    <t>COOP_HHAO</t>
  </si>
  <si>
    <t>COOP HOA HAO</t>
  </si>
  <si>
    <t>COOP_AUC_PVC</t>
  </si>
  <si>
    <t>COOP PHAM VAN CHIEU</t>
  </si>
  <si>
    <t>COOP_DSEN</t>
  </si>
  <si>
    <t>COOP PHU THO</t>
  </si>
  <si>
    <t>COOP</t>
  </si>
  <si>
    <t>AN NAM TERRACE</t>
  </si>
  <si>
    <t>KINGFOOD VINHOMES</t>
  </si>
  <si>
    <t>KINGFOOD ECO</t>
  </si>
  <si>
    <t>AEON CITI ORCH</t>
  </si>
  <si>
    <t>2184</t>
  </si>
  <si>
    <t>VINMART KHO VINH LONG</t>
  </si>
  <si>
    <t>CONG TY GRELI</t>
  </si>
  <si>
    <t>COOP_TLOC17</t>
  </si>
  <si>
    <t xml:space="preserve">COOP CAN GIUOC </t>
  </si>
  <si>
    <t>GENSHAI TERACE</t>
  </si>
  <si>
    <t>SATRAFOOD 1218 TAN CANG</t>
  </si>
  <si>
    <t>VIN KHO VINH LONG</t>
  </si>
  <si>
    <t>KINGFOOD LAM VAN BEN</t>
  </si>
  <si>
    <t>KINGFOOD</t>
  </si>
  <si>
    <t>TOTAL TARGET</t>
  </si>
  <si>
    <t>SALE IN</t>
  </si>
  <si>
    <t>COOPFOOD BINH THOI</t>
  </si>
  <si>
    <t>TOTAL</t>
  </si>
  <si>
    <t>CÔNG TY TNHH VIỆT LIÊN</t>
  </si>
  <si>
    <t>Lầu 4, P.9, 105 Tôn Dật Tiên, P. Tân Phú, Q.7</t>
  </si>
  <si>
    <t>ĐT: 08.54136608 - Fax: 08. 54136607</t>
  </si>
  <si>
    <t>No.</t>
  </si>
  <si>
    <t>NAME</t>
  </si>
  <si>
    <t>Commission</t>
  </si>
  <si>
    <t>TOTAL BONUS</t>
  </si>
  <si>
    <t>NOTE</t>
  </si>
  <si>
    <t>Cập nhật</t>
  </si>
  <si>
    <t>Trưởng Phòng Kế Toán</t>
  </si>
  <si>
    <t>Giám đốc</t>
  </si>
  <si>
    <t>Lê Nam Phương</t>
  </si>
  <si>
    <t>Chung Thanh Huệ</t>
  </si>
  <si>
    <t>Nguyễn Thị Thu Hằng</t>
  </si>
  <si>
    <t>TEAM</t>
  </si>
  <si>
    <t>POSITION</t>
  </si>
  <si>
    <t>STAFF CODE</t>
  </si>
  <si>
    <t>TOTAL SALES</t>
  </si>
  <si>
    <t>Tổng doanh số bán ra của NVBH</t>
  </si>
  <si>
    <t>% đạt được</t>
  </si>
  <si>
    <t>COMMISSION</t>
  </si>
  <si>
    <t>Attendance Bonus</t>
  </si>
  <si>
    <t>Doanh số Dealer</t>
  </si>
  <si>
    <t>Level 0
&gt;= 70% &lt;=80%</t>
  </si>
  <si>
    <t>Level 1
&gt; 80% &lt;=90%</t>
  </si>
  <si>
    <t>Level 2
&gt;90% -&lt;=100%</t>
  </si>
  <si>
    <t>Level 3
từ 100% trở lên</t>
  </si>
  <si>
    <t>MT</t>
  </si>
  <si>
    <t>NV130</t>
  </si>
  <si>
    <t>AD</t>
  </si>
  <si>
    <t>TP Kế Toán</t>
  </si>
  <si>
    <t>Lê Nam  Phương</t>
  </si>
  <si>
    <t>THÁNG</t>
  </si>
  <si>
    <t>FUJITSU 
VM/VM+</t>
  </si>
  <si>
    <t>FUJITSU 
LONG CHAU</t>
  </si>
  <si>
    <t xml:space="preserve">FUJITSU </t>
  </si>
  <si>
    <t>BAKING</t>
  </si>
  <si>
    <t xml:space="preserve">BAKING </t>
  </si>
  <si>
    <t xml:space="preserve">AZARINE </t>
  </si>
  <si>
    <t xml:space="preserve">MEGA </t>
  </si>
  <si>
    <t xml:space="preserve">Aeon City </t>
  </si>
  <si>
    <t xml:space="preserve">Big C  </t>
  </si>
  <si>
    <t xml:space="preserve">Lotte </t>
  </si>
  <si>
    <t xml:space="preserve">Emart </t>
  </si>
  <si>
    <t xml:space="preserve">LONG CHÂU </t>
  </si>
  <si>
    <t xml:space="preserve">BHX </t>
  </si>
  <si>
    <t xml:space="preserve">COOP  </t>
  </si>
  <si>
    <t xml:space="preserve">BIG C  </t>
  </si>
  <si>
    <t xml:space="preserve">MEGA  </t>
  </si>
  <si>
    <t xml:space="preserve">LOTTE </t>
  </si>
  <si>
    <t xml:space="preserve">VIN   </t>
  </si>
  <si>
    <t xml:space="preserve">KINGFOOD   </t>
  </si>
  <si>
    <t xml:space="preserve">ÂN NAM </t>
  </si>
  <si>
    <t>GHENSHAI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</si>
  <si>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</si>
  <si>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</si>
  <si>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</si>
  <si>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</si>
  <si>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</si>
  <si>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</si>
  <si>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</si>
  <si>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</si>
  <si>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</si>
  <si>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</si>
  <si>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</si>
  <si>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</si>
  <si>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mật khẩu :1234546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</si>
</sst>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\ _₫_-;\-* #,##0\ _₫_-;_-* &quot;-&quot;??\ _₫_-;_-@_-"/>
    <numFmt numFmtId="165" formatCode="_(* #,##0_);_(* \(#,##0\);_(* &quot;-&quot;??_);_(@_)"/>
    <numFmt numFmtId="166" formatCode="[$-101042A]d\ mmmm\ yyyy;@"/>
    <numFmt numFmtId="167" formatCode="#,##0;\(#,##0\);\ "/>
    <numFmt numFmtId="168" formatCode="_-* #,##0\ [$₫-42A]_-;\-* #,##0\ [$₫-42A]_-;_-* &quot;-&quot;??\ [$₫-42A]_-;_-@_-"/>
  </numFmts>
  <fonts count="8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.75"/>
      <color rgb="FF000000"/>
      <name val="Times New Roman"/>
      <family val="1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6"/>
      <color theme="0"/>
      <name val="Times New Roman"/>
      <family val="1"/>
    </font>
    <font>
      <b/>
      <sz val="14"/>
      <color theme="0"/>
      <name val="Times New Roman"/>
      <family val="1"/>
    </font>
    <font>
      <b/>
      <sz val="14"/>
      <name val="Times New Roman"/>
      <family val="1"/>
    </font>
    <font>
      <sz val="11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rgb="FFFF0000"/>
      <name val="Times New Roman"/>
      <family val="1"/>
    </font>
    <font>
      <b/>
      <sz val="12"/>
      <color rgb="FFFFFF00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VNI-Times"/>
    </font>
    <font>
      <b/>
      <sz val="12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1"/>
      <name val="Times New Roman"/>
      <family val="1"/>
    </font>
    <font>
      <sz val="10"/>
      <name val="VNI-Aptima"/>
    </font>
    <font>
      <b/>
      <sz val="16"/>
      <name val="Times New Roman"/>
      <family val="1"/>
    </font>
    <font>
      <b/>
      <sz val="11"/>
      <name val="Times New Roman"/>
      <family val="1"/>
    </font>
    <font>
      <sz val="10"/>
      <color theme="0"/>
      <name val="VNI-Aptima"/>
    </font>
    <font>
      <sz val="11"/>
      <color theme="0"/>
      <name val="Calibri"/>
      <family val="2"/>
      <charset val="163"/>
      <scheme val="minor"/>
    </font>
    <font>
      <b/>
      <sz val="11"/>
      <color theme="0" tint="-4.9989318521683403E-2"/>
      <name val="Times New Roman"/>
      <family val="1"/>
    </font>
    <font>
      <b/>
      <sz val="11"/>
      <color theme="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rgb="FFFF0000"/>
      <name val="Times New Roman"/>
      <family val="1"/>
    </font>
    <font>
      <b/>
      <sz val="10"/>
      <color theme="0" tint="-4.9989318521683403E-2"/>
      <name val="Times New Roman"/>
      <family val="1"/>
    </font>
    <font>
      <b/>
      <sz val="10"/>
      <color rgb="FFFFFF00"/>
      <name val="Times New Roman"/>
      <family val="1"/>
    </font>
    <font>
      <b/>
      <sz val="9"/>
      <color theme="0" tint="-4.9989318521683403E-2"/>
      <name val="Times New Roman"/>
      <family val="1"/>
    </font>
    <font>
      <b/>
      <sz val="11"/>
      <color theme="1"/>
      <name val="Calibri"/>
      <family val="2"/>
      <charset val="163"/>
      <scheme val="minor"/>
    </font>
    <font>
      <sz val="14"/>
      <color theme="1"/>
      <name val="Calibri"/>
      <family val="2"/>
      <scheme val="minor"/>
    </font>
    <font>
      <sz val="12"/>
      <color theme="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4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4"/>
      <color rgb="FFC00000"/>
      <name val="Times New Roman"/>
      <family val="1"/>
    </font>
    <font>
      <sz val="14"/>
      <color rgb="FFC00000"/>
      <name val="Times New Roman"/>
      <family val="1"/>
    </font>
    <font>
      <sz val="11"/>
      <color rgb="FFC0000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4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FF0000"/>
      <name val="Times New Roman"/>
      <family val="1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96969"/>
      </left>
      <right/>
      <top/>
      <bottom style="thin">
        <color rgb="FF69696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696969"/>
      </left>
      <right style="thin">
        <color rgb="FF696969"/>
      </right>
      <top style="hair">
        <color rgb="FF696969"/>
      </top>
      <bottom style="hair">
        <color rgb="FF696969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rgb="FF69696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9">
    <xf numFmtId="0" fontId="0" fillId="0" borderId="0"/>
    <xf numFmtId="43" fontId="1" fillId="0" borderId="0"/>
    <xf numFmtId="9" fontId="1" fillId="0" borderId="0"/>
    <xf numFmtId="0" fontId="23" fillId="0" borderId="0"/>
    <xf numFmtId="0" fontId="26" fillId="0" borderId="0"/>
    <xf numFmtId="43" fontId="31" fillId="0" borderId="0"/>
    <xf numFmtId="0" fontId="31" fillId="0" borderId="0"/>
    <xf numFmtId="0" fontId="23" fillId="0" borderId="0"/>
    <xf numFmtId="9" fontId="31" fillId="0" borderId="0"/>
  </cellStyleXfs>
  <cellXfs count="36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quotePrefix="1"/>
    <xf numFmtId="0" fontId="0" fillId="0" borderId="1" xfId="0" applyBorder="1"/>
    <xf numFmtId="49" fontId="4" fillId="0" borderId="2" xfId="0" applyNumberFormat="1" applyFont="1" applyBorder="1" applyAlignment="1">
      <alignment horizontal="left" vertical="center" readingOrder="1"/>
    </xf>
    <xf numFmtId="0" fontId="0" fillId="0" borderId="0" xfId="0" applyAlignment="1">
      <alignment vertical="center"/>
    </xf>
    <xf numFmtId="0" fontId="5" fillId="0" borderId="0" xfId="0" applyFont="1"/>
    <xf numFmtId="49" fontId="4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6" fillId="0" borderId="1" xfId="0" applyFont="1" applyBorder="1"/>
    <xf numFmtId="49" fontId="4" fillId="0" borderId="1" xfId="0" applyNumberFormat="1" applyFont="1" applyBorder="1" applyAlignment="1">
      <alignment horizontal="left" vertical="center" readingOrder="1"/>
    </xf>
    <xf numFmtId="0" fontId="7" fillId="0" borderId="0" xfId="0" applyFont="1"/>
    <xf numFmtId="0" fontId="7" fillId="0" borderId="0" xfId="0" applyFont="1" applyAlignment="1">
      <alignment horizontal="left"/>
    </xf>
    <xf numFmtId="49" fontId="4" fillId="0" borderId="2" xfId="0" applyNumberFormat="1" applyFont="1" applyBorder="1" applyAlignment="1">
      <alignment horizontal="left" vertical="center" wrapText="1" readingOrder="1"/>
    </xf>
    <xf numFmtId="0" fontId="6" fillId="0" borderId="1" xfId="0" quotePrefix="1" applyFont="1" applyBorder="1"/>
    <xf numFmtId="0" fontId="8" fillId="0" borderId="0" xfId="0" applyFont="1" applyAlignment="1">
      <alignment horizontal="center" vertical="center"/>
    </xf>
    <xf numFmtId="0" fontId="7" fillId="4" borderId="0" xfId="0" applyFont="1" applyFill="1"/>
    <xf numFmtId="0" fontId="7" fillId="0" borderId="0" xfId="0" quotePrefix="1" applyFont="1"/>
    <xf numFmtId="0" fontId="11" fillId="0" borderId="0" xfId="0" applyFont="1"/>
    <xf numFmtId="9" fontId="11" fillId="0" borderId="0" xfId="2" applyFont="1"/>
    <xf numFmtId="0" fontId="12" fillId="0" borderId="0" xfId="0" applyFont="1"/>
    <xf numFmtId="164" fontId="7" fillId="0" borderId="0" xfId="1" applyNumberFormat="1" applyFont="1"/>
    <xf numFmtId="164" fontId="13" fillId="0" borderId="0" xfId="1" applyNumberFormat="1" applyFont="1" applyAlignment="1">
      <alignment horizontal="right"/>
    </xf>
    <xf numFmtId="164" fontId="7" fillId="0" borderId="0" xfId="1" applyNumberFormat="1" applyFont="1" applyAlignment="1">
      <alignment vertical="center"/>
    </xf>
    <xf numFmtId="43" fontId="7" fillId="0" borderId="0" xfId="1" applyFont="1"/>
    <xf numFmtId="0" fontId="8" fillId="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/>
    <xf numFmtId="0" fontId="12" fillId="0" borderId="0" xfId="0" applyFont="1" applyAlignment="1">
      <alignment horizontal="left" vertical="center"/>
    </xf>
    <xf numFmtId="0" fontId="6" fillId="0" borderId="0" xfId="0" applyFont="1"/>
    <xf numFmtId="0" fontId="21" fillId="0" borderId="0" xfId="0" applyFont="1" applyAlignment="1">
      <alignment vertical="center"/>
    </xf>
    <xf numFmtId="164" fontId="6" fillId="0" borderId="0" xfId="1" applyNumberFormat="1" applyFont="1"/>
    <xf numFmtId="164" fontId="20" fillId="0" borderId="0" xfId="1" applyNumberFormat="1" applyFont="1"/>
    <xf numFmtId="9" fontId="6" fillId="0" borderId="0" xfId="2" applyFont="1"/>
    <xf numFmtId="0" fontId="24" fillId="0" borderId="0" xfId="3" applyFont="1"/>
    <xf numFmtId="0" fontId="25" fillId="0" borderId="0" xfId="3" applyFont="1"/>
    <xf numFmtId="165" fontId="25" fillId="0" borderId="0" xfId="1" applyNumberFormat="1" applyFont="1"/>
    <xf numFmtId="10" fontId="25" fillId="0" borderId="0" xfId="2" applyNumberFormat="1" applyFont="1"/>
    <xf numFmtId="9" fontId="25" fillId="0" borderId="0" xfId="2" applyFont="1"/>
    <xf numFmtId="3" fontId="25" fillId="0" borderId="0" xfId="3" applyNumberFormat="1" applyFont="1" applyAlignment="1">
      <alignment horizontal="center" vertical="center"/>
    </xf>
    <xf numFmtId="0" fontId="28" fillId="0" borderId="0" xfId="4" applyFont="1" applyAlignment="1">
      <alignment horizontal="center"/>
    </xf>
    <xf numFmtId="14" fontId="28" fillId="0" borderId="0" xfId="4" applyNumberFormat="1" applyFont="1" applyAlignment="1">
      <alignment horizontal="center"/>
    </xf>
    <xf numFmtId="165" fontId="28" fillId="0" borderId="0" xfId="1" applyNumberFormat="1" applyFont="1" applyAlignment="1">
      <alignment horizontal="center"/>
    </xf>
    <xf numFmtId="9" fontId="28" fillId="0" borderId="0" xfId="2" applyFont="1" applyAlignment="1">
      <alignment horizontal="center"/>
    </xf>
    <xf numFmtId="165" fontId="29" fillId="0" borderId="0" xfId="1" applyNumberFormat="1" applyFont="1"/>
    <xf numFmtId="0" fontId="29" fillId="0" borderId="0" xfId="3" applyFont="1"/>
    <xf numFmtId="0" fontId="14" fillId="0" borderId="0" xfId="3" applyFont="1" applyAlignment="1">
      <alignment horizontal="center" wrapText="1"/>
    </xf>
    <xf numFmtId="165" fontId="19" fillId="6" borderId="5" xfId="1" applyNumberFormat="1" applyFont="1" applyFill="1" applyBorder="1" applyAlignment="1">
      <alignment horizontal="center" vertical="center" wrapText="1"/>
    </xf>
    <xf numFmtId="10" fontId="19" fillId="6" borderId="5" xfId="2" applyNumberFormat="1" applyFont="1" applyFill="1" applyBorder="1" applyAlignment="1">
      <alignment horizontal="center" vertical="center" wrapText="1"/>
    </xf>
    <xf numFmtId="0" fontId="28" fillId="6" borderId="5" xfId="4" applyFont="1" applyFill="1" applyBorder="1" applyAlignment="1">
      <alignment horizontal="center" vertical="center" wrapText="1"/>
    </xf>
    <xf numFmtId="165" fontId="28" fillId="6" borderId="5" xfId="1" applyNumberFormat="1" applyFont="1" applyFill="1" applyBorder="1" applyAlignment="1">
      <alignment horizontal="center" vertical="center" wrapText="1"/>
    </xf>
    <xf numFmtId="0" fontId="14" fillId="0" borderId="5" xfId="4" applyFont="1" applyBorder="1" applyAlignment="1">
      <alignment horizontal="center" vertical="center"/>
    </xf>
    <xf numFmtId="0" fontId="14" fillId="0" borderId="5" xfId="3" applyFont="1" applyBorder="1" applyAlignment="1">
      <alignment horizontal="center" vertical="center"/>
    </xf>
    <xf numFmtId="165" fontId="14" fillId="0" borderId="5" xfId="1" applyNumberFormat="1" applyFont="1" applyBorder="1" applyAlignment="1">
      <alignment horizontal="center" vertical="center"/>
    </xf>
    <xf numFmtId="9" fontId="14" fillId="0" borderId="5" xfId="2" applyFont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27" fillId="0" borderId="0" xfId="3" applyFont="1"/>
    <xf numFmtId="0" fontId="19" fillId="6" borderId="5" xfId="4" applyFont="1" applyFill="1" applyBorder="1" applyAlignment="1">
      <alignment horizontal="center" vertical="center"/>
    </xf>
    <xf numFmtId="0" fontId="19" fillId="6" borderId="5" xfId="4" applyFont="1" applyFill="1" applyBorder="1" applyAlignment="1">
      <alignment vertical="center"/>
    </xf>
    <xf numFmtId="165" fontId="19" fillId="6" borderId="5" xfId="1" applyNumberFormat="1" applyFont="1" applyFill="1" applyBorder="1" applyAlignment="1">
      <alignment horizontal="center" vertical="center"/>
    </xf>
    <xf numFmtId="9" fontId="19" fillId="6" borderId="5" xfId="2" applyFont="1" applyFill="1" applyBorder="1" applyAlignment="1">
      <alignment horizontal="center" vertical="center"/>
    </xf>
    <xf numFmtId="0" fontId="24" fillId="4" borderId="0" xfId="3" applyFont="1" applyFill="1"/>
    <xf numFmtId="0" fontId="24" fillId="4" borderId="0" xfId="4" applyFont="1" applyFill="1"/>
    <xf numFmtId="165" fontId="24" fillId="4" borderId="0" xfId="1" applyNumberFormat="1" applyFont="1" applyFill="1"/>
    <xf numFmtId="10" fontId="24" fillId="4" borderId="0" xfId="2" applyNumberFormat="1" applyFont="1" applyFill="1"/>
    <xf numFmtId="9" fontId="24" fillId="4" borderId="0" xfId="2" applyFont="1" applyFill="1"/>
    <xf numFmtId="43" fontId="24" fillId="4" borderId="0" xfId="1" applyFont="1" applyFill="1"/>
    <xf numFmtId="166" fontId="24" fillId="4" borderId="0" xfId="4" applyNumberFormat="1" applyFont="1" applyFill="1" applyAlignment="1">
      <alignment horizontal="left"/>
    </xf>
    <xf numFmtId="14" fontId="24" fillId="4" borderId="0" xfId="4" applyNumberFormat="1" applyFont="1" applyFill="1" applyAlignment="1">
      <alignment horizontal="left"/>
    </xf>
    <xf numFmtId="0" fontId="24" fillId="0" borderId="0" xfId="4" applyFont="1" applyAlignment="1">
      <alignment vertical="center"/>
    </xf>
    <xf numFmtId="0" fontId="24" fillId="0" borderId="0" xfId="3" applyFont="1" applyAlignment="1">
      <alignment horizontal="center" vertical="center"/>
    </xf>
    <xf numFmtId="0" fontId="31" fillId="0" borderId="0" xfId="6"/>
    <xf numFmtId="165" fontId="25" fillId="0" borderId="0" xfId="5" applyNumberFormat="1" applyFont="1"/>
    <xf numFmtId="165" fontId="25" fillId="0" borderId="0" xfId="5" applyNumberFormat="1" applyFont="1" applyAlignment="1">
      <alignment horizontal="left"/>
    </xf>
    <xf numFmtId="165" fontId="24" fillId="0" borderId="0" xfId="6" applyNumberFormat="1" applyFont="1"/>
    <xf numFmtId="165" fontId="28" fillId="0" borderId="0" xfId="5" applyNumberFormat="1" applyFont="1" applyAlignment="1">
      <alignment horizontal="center"/>
    </xf>
    <xf numFmtId="165" fontId="28" fillId="0" borderId="0" xfId="5" applyNumberFormat="1" applyFont="1" applyAlignment="1">
      <alignment horizontal="left"/>
    </xf>
    <xf numFmtId="0" fontId="34" fillId="0" borderId="0" xfId="6" applyFont="1"/>
    <xf numFmtId="0" fontId="35" fillId="0" borderId="0" xfId="0" applyFont="1"/>
    <xf numFmtId="165" fontId="28" fillId="6" borderId="12" xfId="5" applyNumberFormat="1" applyFont="1" applyFill="1" applyBorder="1" applyAlignment="1">
      <alignment horizontal="center" vertical="center" wrapText="1"/>
    </xf>
    <xf numFmtId="9" fontId="28" fillId="6" borderId="11" xfId="5" applyNumberFormat="1" applyFont="1" applyFill="1" applyBorder="1" applyAlignment="1">
      <alignment horizontal="center" vertical="center" wrapText="1"/>
    </xf>
    <xf numFmtId="165" fontId="28" fillId="6" borderId="13" xfId="5" applyNumberFormat="1" applyFont="1" applyFill="1" applyBorder="1" applyAlignment="1">
      <alignment horizontal="center" vertical="center" wrapText="1"/>
    </xf>
    <xf numFmtId="3" fontId="38" fillId="0" borderId="16" xfId="5" applyNumberFormat="1" applyFont="1" applyBorder="1" applyAlignment="1">
      <alignment horizontal="center" vertical="center"/>
    </xf>
    <xf numFmtId="3" fontId="38" fillId="0" borderId="4" xfId="5" applyNumberFormat="1" applyFont="1" applyBorder="1" applyAlignment="1">
      <alignment horizontal="left" vertical="center"/>
    </xf>
    <xf numFmtId="3" fontId="40" fillId="0" borderId="0" xfId="5" applyNumberFormat="1" applyFont="1" applyAlignment="1">
      <alignment horizontal="center" vertical="center"/>
    </xf>
    <xf numFmtId="9" fontId="40" fillId="0" borderId="4" xfId="5" applyNumberFormat="1" applyFont="1" applyBorder="1" applyAlignment="1">
      <alignment horizontal="center" vertical="center"/>
    </xf>
    <xf numFmtId="165" fontId="38" fillId="0" borderId="0" xfId="5" applyNumberFormat="1" applyFont="1" applyAlignment="1">
      <alignment horizontal="center" vertical="center"/>
    </xf>
    <xf numFmtId="9" fontId="38" fillId="0" borderId="4" xfId="5" applyNumberFormat="1" applyFont="1" applyBorder="1" applyAlignment="1">
      <alignment horizontal="center" vertical="center"/>
    </xf>
    <xf numFmtId="165" fontId="38" fillId="0" borderId="17" xfId="5" applyNumberFormat="1" applyFont="1" applyBorder="1" applyAlignment="1">
      <alignment horizontal="center" vertical="center"/>
    </xf>
    <xf numFmtId="165" fontId="38" fillId="0" borderId="4" xfId="5" applyNumberFormat="1" applyFont="1" applyBorder="1" applyAlignment="1">
      <alignment horizontal="center" vertical="center"/>
    </xf>
    <xf numFmtId="3" fontId="39" fillId="0" borderId="18" xfId="5" applyNumberFormat="1" applyFont="1" applyBorder="1" applyAlignment="1">
      <alignment horizontal="center" vertical="center"/>
    </xf>
    <xf numFmtId="3" fontId="28" fillId="6" borderId="12" xfId="5" applyNumberFormat="1" applyFont="1" applyFill="1" applyBorder="1" applyAlignment="1">
      <alignment horizontal="center" vertical="center"/>
    </xf>
    <xf numFmtId="3" fontId="42" fillId="6" borderId="12" xfId="5" applyNumberFormat="1" applyFont="1" applyFill="1" applyBorder="1" applyAlignment="1">
      <alignment horizontal="center" vertical="center"/>
    </xf>
    <xf numFmtId="9" fontId="28" fillId="6" borderId="11" xfId="5" applyNumberFormat="1" applyFont="1" applyFill="1" applyBorder="1" applyAlignment="1">
      <alignment horizontal="center" vertical="center"/>
    </xf>
    <xf numFmtId="165" fontId="41" fillId="6" borderId="12" xfId="5" applyNumberFormat="1" applyFont="1" applyFill="1" applyBorder="1" applyAlignment="1">
      <alignment horizontal="center" vertical="center"/>
    </xf>
    <xf numFmtId="9" fontId="41" fillId="6" borderId="11" xfId="5" applyNumberFormat="1" applyFont="1" applyFill="1" applyBorder="1" applyAlignment="1">
      <alignment horizontal="center" vertical="center"/>
    </xf>
    <xf numFmtId="165" fontId="41" fillId="6" borderId="14" xfId="5" applyNumberFormat="1" applyFont="1" applyFill="1" applyBorder="1" applyAlignment="1">
      <alignment horizontal="center" vertical="center"/>
    </xf>
    <xf numFmtId="165" fontId="41" fillId="6" borderId="11" xfId="5" applyNumberFormat="1" applyFont="1" applyFill="1" applyBorder="1" applyAlignment="1">
      <alignment horizontal="center" vertical="center"/>
    </xf>
    <xf numFmtId="3" fontId="43" fillId="6" borderId="15" xfId="5" applyNumberFormat="1" applyFont="1" applyFill="1" applyBorder="1" applyAlignment="1">
      <alignment horizontal="center" vertical="center"/>
    </xf>
    <xf numFmtId="0" fontId="44" fillId="0" borderId="0" xfId="0" applyFont="1"/>
    <xf numFmtId="165" fontId="24" fillId="0" borderId="0" xfId="5" quotePrefix="1" applyNumberFormat="1" applyFont="1" applyAlignment="1">
      <alignment horizontal="center" vertical="center"/>
    </xf>
    <xf numFmtId="165" fontId="24" fillId="0" borderId="0" xfId="5" quotePrefix="1" applyNumberFormat="1" applyFont="1" applyAlignment="1">
      <alignment horizontal="left" vertical="center"/>
    </xf>
    <xf numFmtId="165" fontId="24" fillId="0" borderId="0" xfId="5" applyNumberFormat="1" applyFont="1" applyAlignment="1">
      <alignment horizontal="center" vertical="center"/>
    </xf>
    <xf numFmtId="165" fontId="25" fillId="0" borderId="0" xfId="5" applyNumberFormat="1" applyFont="1" applyAlignment="1">
      <alignment horizontal="center" vertical="center"/>
    </xf>
    <xf numFmtId="9" fontId="25" fillId="0" borderId="0" xfId="5" applyNumberFormat="1" applyFont="1" applyAlignment="1">
      <alignment horizontal="center" vertical="center"/>
    </xf>
    <xf numFmtId="165" fontId="24" fillId="0" borderId="0" xfId="5" quotePrefix="1" applyNumberFormat="1" applyFont="1" applyAlignment="1">
      <alignment vertical="center"/>
    </xf>
    <xf numFmtId="165" fontId="24" fillId="0" borderId="0" xfId="5" applyNumberFormat="1" applyFont="1" applyAlignment="1">
      <alignment horizontal="left" vertical="center"/>
    </xf>
    <xf numFmtId="9" fontId="24" fillId="0" borderId="0" xfId="5" applyNumberFormat="1" applyFont="1" applyAlignment="1">
      <alignment horizontal="center" vertical="center"/>
    </xf>
    <xf numFmtId="165" fontId="24" fillId="0" borderId="0" xfId="5" applyNumberFormat="1" applyFont="1" applyAlignment="1">
      <alignment vertical="center"/>
    </xf>
    <xf numFmtId="165" fontId="25" fillId="0" borderId="0" xfId="5" applyNumberFormat="1" applyFont="1" applyAlignment="1">
      <alignment horizontal="left" vertical="center"/>
    </xf>
    <xf numFmtId="165" fontId="39" fillId="0" borderId="0" xfId="5" applyNumberFormat="1" applyFont="1" applyAlignment="1">
      <alignment horizontal="center" vertical="center"/>
    </xf>
    <xf numFmtId="0" fontId="25" fillId="0" borderId="0" xfId="7" applyFont="1" applyAlignment="1">
      <alignment horizontal="center" vertical="center"/>
    </xf>
    <xf numFmtId="0" fontId="31" fillId="0" borderId="0" xfId="6" applyAlignment="1">
      <alignment horizontal="left"/>
    </xf>
    <xf numFmtId="0" fontId="25" fillId="0" borderId="0" xfId="7" applyFont="1"/>
    <xf numFmtId="165" fontId="33" fillId="0" borderId="0" xfId="5" applyNumberFormat="1" applyFont="1" applyAlignment="1">
      <alignment horizontal="left"/>
    </xf>
    <xf numFmtId="165" fontId="33" fillId="0" borderId="0" xfId="5" applyNumberFormat="1" applyFont="1"/>
    <xf numFmtId="9" fontId="33" fillId="0" borderId="0" xfId="5" applyNumberFormat="1" applyFont="1"/>
    <xf numFmtId="165" fontId="33" fillId="0" borderId="0" xfId="5" applyNumberFormat="1" applyFont="1" applyAlignment="1">
      <alignment horizontal="center"/>
    </xf>
    <xf numFmtId="9" fontId="24" fillId="0" borderId="0" xfId="5" applyNumberFormat="1" applyFont="1"/>
    <xf numFmtId="0" fontId="0" fillId="0" borderId="0" xfId="0" applyAlignment="1">
      <alignment horizontal="left"/>
    </xf>
    <xf numFmtId="0" fontId="22" fillId="0" borderId="1" xfId="0" applyFont="1" applyBorder="1"/>
    <xf numFmtId="164" fontId="0" fillId="0" borderId="0" xfId="1" applyNumberFormat="1" applyFont="1"/>
    <xf numFmtId="1" fontId="0" fillId="0" borderId="0" xfId="0" applyNumberFormat="1"/>
    <xf numFmtId="165" fontId="46" fillId="6" borderId="5" xfId="1" applyNumberFormat="1" applyFont="1" applyFill="1" applyBorder="1" applyAlignment="1">
      <alignment horizontal="center" vertical="center"/>
    </xf>
    <xf numFmtId="49" fontId="47" fillId="0" borderId="2" xfId="0" applyNumberFormat="1" applyFont="1" applyBorder="1" applyAlignment="1">
      <alignment horizontal="left" vertical="center" readingOrder="1"/>
    </xf>
    <xf numFmtId="49" fontId="48" fillId="0" borderId="2" xfId="0" applyNumberFormat="1" applyFont="1" applyBorder="1" applyAlignment="1">
      <alignment horizontal="left" vertical="center" readingOrder="1"/>
    </xf>
    <xf numFmtId="0" fontId="49" fillId="0" borderId="1" xfId="0" applyFont="1" applyBorder="1"/>
    <xf numFmtId="0" fontId="49" fillId="0" borderId="0" xfId="0" applyFont="1"/>
    <xf numFmtId="49" fontId="48" fillId="0" borderId="2" xfId="0" applyNumberFormat="1" applyFont="1" applyBorder="1" applyAlignment="1">
      <alignment horizontal="left" vertical="center"/>
    </xf>
    <xf numFmtId="49" fontId="48" fillId="0" borderId="0" xfId="0" applyNumberFormat="1" applyFont="1" applyAlignment="1">
      <alignment horizontal="left" vertical="center"/>
    </xf>
    <xf numFmtId="49" fontId="50" fillId="0" borderId="2" xfId="0" applyNumberFormat="1" applyFont="1" applyBorder="1" applyAlignment="1">
      <alignment horizontal="left" vertical="center" readingOrder="1"/>
    </xf>
    <xf numFmtId="49" fontId="4" fillId="0" borderId="0" xfId="0" applyNumberFormat="1" applyFont="1" applyAlignment="1">
      <alignment horizontal="left" vertical="center" readingOrder="1"/>
    </xf>
    <xf numFmtId="49" fontId="51" fillId="0" borderId="2" xfId="0" applyNumberFormat="1" applyFont="1" applyBorder="1" applyAlignment="1">
      <alignment horizontal="left" vertical="center" readingOrder="1"/>
    </xf>
    <xf numFmtId="49" fontId="47" fillId="0" borderId="0" xfId="0" applyNumberFormat="1" applyFont="1" applyAlignment="1">
      <alignment horizontal="left" vertical="center" readingOrder="1"/>
    </xf>
    <xf numFmtId="0" fontId="0" fillId="0" borderId="2" xfId="0" applyBorder="1"/>
    <xf numFmtId="0" fontId="5" fillId="0" borderId="2" xfId="0" applyFont="1" applyBorder="1"/>
    <xf numFmtId="49" fontId="48" fillId="0" borderId="0" xfId="0" applyNumberFormat="1" applyFont="1" applyAlignment="1">
      <alignment horizontal="left" vertical="center" readingOrder="1"/>
    </xf>
    <xf numFmtId="0" fontId="6" fillId="0" borderId="2" xfId="0" applyFont="1" applyBorder="1"/>
    <xf numFmtId="0" fontId="7" fillId="0" borderId="1" xfId="0" applyFont="1" applyBorder="1"/>
    <xf numFmtId="49" fontId="52" fillId="0" borderId="2" xfId="0" applyNumberFormat="1" applyFont="1" applyBorder="1" applyAlignment="1">
      <alignment horizontal="left" vertical="center" readingOrder="1"/>
    </xf>
    <xf numFmtId="49" fontId="53" fillId="0" borderId="2" xfId="0" applyNumberFormat="1" applyFont="1" applyBorder="1" applyAlignment="1">
      <alignment horizontal="left" vertical="center"/>
    </xf>
    <xf numFmtId="49" fontId="53" fillId="0" borderId="0" xfId="0" applyNumberFormat="1" applyFont="1" applyAlignment="1">
      <alignment horizontal="left" vertical="center"/>
    </xf>
    <xf numFmtId="49" fontId="48" fillId="0" borderId="2" xfId="0" applyNumberFormat="1" applyFont="1" applyBorder="1" applyAlignment="1">
      <alignment horizontal="left" vertical="center" wrapText="1" readingOrder="1"/>
    </xf>
    <xf numFmtId="49" fontId="54" fillId="0" borderId="2" xfId="0" applyNumberFormat="1" applyFont="1" applyBorder="1" applyAlignment="1">
      <alignment horizontal="left" vertical="center"/>
    </xf>
    <xf numFmtId="0" fontId="7" fillId="0" borderId="0" xfId="0" applyFont="1" applyAlignment="1">
      <alignment vertical="top"/>
    </xf>
    <xf numFmtId="49" fontId="55" fillId="0" borderId="2" xfId="0" applyNumberFormat="1" applyFont="1" applyBorder="1" applyAlignment="1">
      <alignment horizontal="left" vertical="center" wrapText="1" readingOrder="1"/>
    </xf>
    <xf numFmtId="49" fontId="55" fillId="0" borderId="0" xfId="0" applyNumberFormat="1" applyFont="1" applyAlignment="1">
      <alignment horizontal="left" vertical="center" wrapText="1" readingOrder="1"/>
    </xf>
    <xf numFmtId="49" fontId="48" fillId="0" borderId="0" xfId="0" applyNumberFormat="1" applyFont="1" applyAlignment="1">
      <alignment horizontal="left" vertical="center" wrapText="1" readingOrder="1"/>
    </xf>
    <xf numFmtId="49" fontId="48" fillId="0" borderId="2" xfId="0" applyNumberFormat="1" applyFont="1" applyBorder="1" applyAlignment="1">
      <alignment horizontal="center" vertical="center"/>
    </xf>
    <xf numFmtId="49" fontId="56" fillId="0" borderId="2" xfId="0" applyNumberFormat="1" applyFont="1" applyBorder="1" applyAlignment="1">
      <alignment horizontal="left" vertical="center"/>
    </xf>
    <xf numFmtId="0" fontId="16" fillId="6" borderId="0" xfId="0" applyFont="1" applyFill="1" applyAlignment="1">
      <alignment vertical="top"/>
    </xf>
    <xf numFmtId="0" fontId="16" fillId="6" borderId="0" xfId="0" applyFont="1" applyFill="1" applyAlignment="1">
      <alignment horizontal="center" vertical="center"/>
    </xf>
    <xf numFmtId="164" fontId="16" fillId="6" borderId="0" xfId="1" applyNumberFormat="1" applyFont="1" applyFill="1" applyAlignment="1">
      <alignment horizontal="right"/>
    </xf>
    <xf numFmtId="0" fontId="57" fillId="6" borderId="0" xfId="0" applyFont="1" applyFill="1" applyAlignment="1">
      <alignment horizontal="center"/>
    </xf>
    <xf numFmtId="14" fontId="16" fillId="6" borderId="0" xfId="0" applyNumberFormat="1" applyFont="1" applyFill="1" applyAlignment="1">
      <alignment vertical="top"/>
    </xf>
    <xf numFmtId="0" fontId="7" fillId="0" borderId="2" xfId="0" applyFont="1" applyBorder="1" applyAlignment="1">
      <alignment horizontal="left"/>
    </xf>
    <xf numFmtId="49" fontId="60" fillId="0" borderId="2" xfId="0" applyNumberFormat="1" applyFont="1" applyBorder="1" applyAlignment="1">
      <alignment horizontal="left" vertical="center"/>
    </xf>
    <xf numFmtId="0" fontId="59" fillId="0" borderId="0" xfId="0" applyFont="1"/>
    <xf numFmtId="165" fontId="58" fillId="0" borderId="0" xfId="1" applyNumberFormat="1" applyFont="1"/>
    <xf numFmtId="49" fontId="61" fillId="0" borderId="2" xfId="0" applyNumberFormat="1" applyFont="1" applyBorder="1" applyAlignment="1">
      <alignment horizontal="left" vertical="center" readingOrder="1"/>
    </xf>
    <xf numFmtId="0" fontId="45" fillId="0" borderId="0" xfId="0" applyFont="1" applyAlignment="1">
      <alignment horizontal="left" vertical="top"/>
    </xf>
    <xf numFmtId="0" fontId="62" fillId="6" borderId="0" xfId="0" applyFont="1" applyFill="1" applyAlignment="1">
      <alignment horizontal="center"/>
    </xf>
    <xf numFmtId="0" fontId="63" fillId="6" borderId="0" xfId="0" applyFont="1" applyFill="1"/>
    <xf numFmtId="0" fontId="64" fillId="0" borderId="0" xfId="0" applyFont="1"/>
    <xf numFmtId="49" fontId="65" fillId="0" borderId="2" xfId="0" applyNumberFormat="1" applyFont="1" applyBorder="1" applyAlignment="1">
      <alignment horizontal="left" vertical="center"/>
    </xf>
    <xf numFmtId="49" fontId="65" fillId="0" borderId="2" xfId="0" applyNumberFormat="1" applyFont="1" applyBorder="1" applyAlignment="1">
      <alignment horizontal="left" vertical="center" readingOrder="1"/>
    </xf>
    <xf numFmtId="49" fontId="66" fillId="0" borderId="2" xfId="0" applyNumberFormat="1" applyFont="1" applyBorder="1" applyAlignment="1">
      <alignment horizontal="left" vertical="center"/>
    </xf>
    <xf numFmtId="165" fontId="0" fillId="0" borderId="0" xfId="0" applyNumberFormat="1"/>
    <xf numFmtId="0" fontId="1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9" fontId="9" fillId="5" borderId="1" xfId="2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4" fontId="8" fillId="3" borderId="1" xfId="1" applyNumberFormat="1" applyFont="1" applyFill="1" applyBorder="1" applyAlignment="1">
      <alignment horizontal="center" vertical="center"/>
    </xf>
    <xf numFmtId="164" fontId="9" fillId="3" borderId="1" xfId="1" applyNumberFormat="1" applyFont="1" applyFill="1" applyBorder="1" applyAlignment="1">
      <alignment horizontal="center" vertical="center"/>
    </xf>
    <xf numFmtId="43" fontId="8" fillId="3" borderId="1" xfId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164" fontId="11" fillId="5" borderId="1" xfId="0" applyNumberFormat="1" applyFont="1" applyFill="1" applyBorder="1"/>
    <xf numFmtId="9" fontId="11" fillId="5" borderId="1" xfId="2" applyFont="1" applyFill="1" applyBorder="1"/>
    <xf numFmtId="164" fontId="12" fillId="5" borderId="1" xfId="0" applyNumberFormat="1" applyFont="1" applyFill="1" applyBorder="1"/>
    <xf numFmtId="164" fontId="7" fillId="0" borderId="1" xfId="1" applyNumberFormat="1" applyFont="1" applyBorder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49" fontId="67" fillId="0" borderId="2" xfId="0" applyNumberFormat="1" applyFont="1" applyBorder="1" applyAlignment="1">
      <alignment horizontal="left" vertical="center"/>
    </xf>
    <xf numFmtId="14" fontId="15" fillId="6" borderId="1" xfId="0" applyNumberFormat="1" applyFont="1" applyFill="1" applyBorder="1" applyAlignment="1">
      <alignment horizontal="left" vertical="center"/>
    </xf>
    <xf numFmtId="9" fontId="15" fillId="6" borderId="1" xfId="2" applyFont="1" applyFill="1" applyBorder="1" applyAlignment="1">
      <alignment vertical="center"/>
    </xf>
    <xf numFmtId="164" fontId="19" fillId="6" borderId="1" xfId="1" applyNumberFormat="1" applyFont="1" applyFill="1" applyBorder="1" applyAlignment="1">
      <alignment horizontal="center" vertical="center"/>
    </xf>
    <xf numFmtId="164" fontId="11" fillId="6" borderId="1" xfId="1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vertical="center"/>
    </xf>
    <xf numFmtId="3" fontId="11" fillId="8" borderId="1" xfId="1" applyNumberFormat="1" applyFont="1" applyFill="1" applyBorder="1" applyAlignment="1">
      <alignment horizontal="right" vertical="center"/>
    </xf>
    <xf numFmtId="9" fontId="11" fillId="8" borderId="1" xfId="2" applyFont="1" applyFill="1" applyBorder="1" applyAlignment="1">
      <alignment horizontal="right" vertical="center"/>
    </xf>
    <xf numFmtId="165" fontId="12" fillId="7" borderId="1" xfId="1" applyNumberFormat="1" applyFont="1" applyFill="1" applyBorder="1" applyAlignment="1">
      <alignment horizontal="right" vertical="center"/>
    </xf>
    <xf numFmtId="9" fontId="12" fillId="7" borderId="1" xfId="2" applyFont="1" applyFill="1" applyBorder="1" applyAlignment="1">
      <alignment horizontal="right" vertical="center"/>
    </xf>
    <xf numFmtId="0" fontId="12" fillId="3" borderId="1" xfId="0" applyFont="1" applyFill="1" applyBorder="1" applyAlignment="1">
      <alignment vertical="center"/>
    </xf>
    <xf numFmtId="165" fontId="11" fillId="3" borderId="1" xfId="1" applyNumberFormat="1" applyFont="1" applyFill="1" applyBorder="1" applyAlignment="1">
      <alignment horizontal="right" vertical="center"/>
    </xf>
    <xf numFmtId="9" fontId="11" fillId="3" borderId="1" xfId="2" applyFont="1" applyFill="1" applyBorder="1" applyAlignment="1">
      <alignment horizontal="right" vertical="center"/>
    </xf>
    <xf numFmtId="49" fontId="68" fillId="0" borderId="2" xfId="0" applyNumberFormat="1" applyFont="1" applyBorder="1" applyAlignment="1">
      <alignment horizontal="left" vertical="center"/>
    </xf>
    <xf numFmtId="49" fontId="47" fillId="0" borderId="1" xfId="0" applyNumberFormat="1" applyFont="1" applyBorder="1" applyAlignment="1">
      <alignment horizontal="left" vertical="center"/>
    </xf>
    <xf numFmtId="49" fontId="48" fillId="0" borderId="1" xfId="0" applyNumberFormat="1" applyFont="1" applyBorder="1" applyAlignment="1">
      <alignment horizontal="left" vertical="center"/>
    </xf>
    <xf numFmtId="0" fontId="18" fillId="4" borderId="0" xfId="0" applyFont="1" applyFill="1"/>
    <xf numFmtId="165" fontId="12" fillId="4" borderId="1" xfId="1" applyNumberFormat="1" applyFont="1" applyFill="1" applyBorder="1" applyAlignment="1">
      <alignment horizontal="right" vertical="center"/>
    </xf>
    <xf numFmtId="49" fontId="70" fillId="0" borderId="2" xfId="0" applyNumberFormat="1" applyFont="1" applyBorder="1" applyAlignment="1">
      <alignment horizontal="left" vertical="center"/>
    </xf>
    <xf numFmtId="49" fontId="70" fillId="0" borderId="2" xfId="0" applyNumberFormat="1" applyFont="1" applyBorder="1" applyAlignment="1">
      <alignment horizontal="center" vertical="center"/>
    </xf>
    <xf numFmtId="0" fontId="14" fillId="0" borderId="27" xfId="4" applyFont="1" applyBorder="1" applyAlignment="1">
      <alignment horizontal="center" vertical="center"/>
    </xf>
    <xf numFmtId="0" fontId="14" fillId="0" borderId="28" xfId="4" applyFont="1" applyBorder="1" applyAlignment="1">
      <alignment horizontal="center" vertical="center"/>
    </xf>
    <xf numFmtId="0" fontId="30" fillId="0" borderId="1" xfId="4" applyFont="1" applyBorder="1" applyAlignment="1">
      <alignment horizontal="left" vertical="center"/>
    </xf>
    <xf numFmtId="49" fontId="70" fillId="0" borderId="0" xfId="0" applyNumberFormat="1" applyFont="1" applyAlignment="1">
      <alignment horizontal="center" vertical="center"/>
    </xf>
    <xf numFmtId="49" fontId="71" fillId="0" borderId="1" xfId="0" applyNumberFormat="1" applyFont="1" applyBorder="1" applyAlignment="1">
      <alignment horizontal="left" vertical="center"/>
    </xf>
    <xf numFmtId="49" fontId="70" fillId="0" borderId="0" xfId="0" applyNumberFormat="1" applyFont="1" applyAlignment="1">
      <alignment horizontal="left" vertical="center"/>
    </xf>
    <xf numFmtId="0" fontId="72" fillId="0" borderId="0" xfId="0" applyFont="1"/>
    <xf numFmtId="49" fontId="73" fillId="0" borderId="2" xfId="0" applyNumberFormat="1" applyFont="1" applyBorder="1" applyAlignment="1">
      <alignment horizontal="left" vertical="center"/>
    </xf>
    <xf numFmtId="49" fontId="74" fillId="0" borderId="2" xfId="0" applyNumberFormat="1" applyFont="1" applyBorder="1" applyAlignment="1">
      <alignment horizontal="left" vertical="center"/>
    </xf>
    <xf numFmtId="49" fontId="75" fillId="0" borderId="2" xfId="0" applyNumberFormat="1" applyFont="1" applyBorder="1" applyAlignment="1">
      <alignment horizontal="left" vertical="center"/>
    </xf>
    <xf numFmtId="49" fontId="76" fillId="0" borderId="2" xfId="0" applyNumberFormat="1" applyFont="1" applyBorder="1" applyAlignment="1">
      <alignment horizontal="left" vertical="center" wrapText="1" readingOrder="1"/>
    </xf>
    <xf numFmtId="49" fontId="77" fillId="0" borderId="2" xfId="0" applyNumberFormat="1" applyFont="1" applyBorder="1" applyAlignment="1">
      <alignment horizontal="left" vertical="center"/>
    </xf>
    <xf numFmtId="165" fontId="59" fillId="0" borderId="0" xfId="0" applyNumberFormat="1" applyFont="1"/>
    <xf numFmtId="165" fontId="9" fillId="3" borderId="1" xfId="1" applyNumberFormat="1" applyFont="1" applyFill="1" applyBorder="1" applyAlignment="1">
      <alignment horizontal="center" vertical="center"/>
    </xf>
    <xf numFmtId="165" fontId="13" fillId="0" borderId="1" xfId="1" applyNumberFormat="1" applyFont="1" applyBorder="1" applyAlignment="1">
      <alignment horizontal="right"/>
    </xf>
    <xf numFmtId="165" fontId="13" fillId="0" borderId="0" xfId="1" applyNumberFormat="1" applyFont="1" applyAlignment="1">
      <alignment horizontal="right"/>
    </xf>
    <xf numFmtId="49" fontId="78" fillId="0" borderId="2" xfId="0" applyNumberFormat="1" applyFont="1" applyBorder="1" applyAlignment="1">
      <alignment horizontal="left" vertical="center"/>
    </xf>
    <xf numFmtId="165" fontId="38" fillId="0" borderId="19" xfId="5" applyNumberFormat="1" applyFont="1" applyBorder="1" applyAlignment="1">
      <alignment horizontal="center" vertical="center"/>
    </xf>
    <xf numFmtId="165" fontId="41" fillId="6" borderId="23" xfId="5" applyNumberFormat="1" applyFont="1" applyFill="1" applyBorder="1" applyAlignment="1">
      <alignment horizontal="center" vertical="center"/>
    </xf>
    <xf numFmtId="164" fontId="10" fillId="5" borderId="25" xfId="1" applyNumberFormat="1" applyFont="1" applyFill="1" applyBorder="1" applyAlignment="1">
      <alignment horizontal="center"/>
    </xf>
    <xf numFmtId="1" fontId="10" fillId="5" borderId="21" xfId="0" applyNumberFormat="1" applyFont="1" applyFill="1" applyBorder="1" applyAlignment="1">
      <alignment horizontal="center" vertical="center" wrapText="1"/>
    </xf>
    <xf numFmtId="1" fontId="10" fillId="4" borderId="21" xfId="0" applyNumberFormat="1" applyFont="1" applyFill="1" applyBorder="1" applyAlignment="1">
      <alignment horizontal="center" vertical="center" wrapText="1"/>
    </xf>
    <xf numFmtId="1" fontId="79" fillId="4" borderId="21" xfId="0" applyNumberFormat="1" applyFont="1" applyFill="1" applyBorder="1" applyAlignment="1">
      <alignment horizontal="center" vertical="center" wrapText="1"/>
    </xf>
    <xf numFmtId="164" fontId="10" fillId="5" borderId="1" xfId="1" applyNumberFormat="1" applyFont="1" applyFill="1" applyBorder="1" applyAlignment="1">
      <alignment horizontal="center"/>
    </xf>
    <xf numFmtId="1" fontId="10" fillId="5" borderId="22" xfId="0" applyNumberFormat="1" applyFont="1" applyFill="1" applyBorder="1" applyAlignment="1">
      <alignment horizontal="center" vertical="center"/>
    </xf>
    <xf numFmtId="1" fontId="10" fillId="4" borderId="22" xfId="0" applyNumberFormat="1" applyFont="1" applyFill="1" applyBorder="1" applyAlignment="1">
      <alignment horizontal="center" vertical="center"/>
    </xf>
    <xf numFmtId="1" fontId="79" fillId="4" borderId="22" xfId="0" applyNumberFormat="1" applyFont="1" applyFill="1" applyBorder="1" applyAlignment="1">
      <alignment horizontal="center" vertical="center"/>
    </xf>
    <xf numFmtId="0" fontId="49" fillId="0" borderId="20" xfId="0" applyFont="1" applyBorder="1"/>
    <xf numFmtId="164" fontId="49" fillId="0" borderId="1" xfId="1" applyNumberFormat="1" applyFont="1" applyBorder="1"/>
    <xf numFmtId="9" fontId="10" fillId="0" borderId="1" xfId="2" applyFont="1" applyBorder="1" applyAlignment="1">
      <alignment horizontal="center"/>
    </xf>
    <xf numFmtId="164" fontId="49" fillId="0" borderId="1" xfId="1" applyNumberFormat="1" applyFont="1" applyBorder="1" applyAlignment="1">
      <alignment horizontal="center"/>
    </xf>
    <xf numFmtId="165" fontId="49" fillId="0" borderId="1" xfId="1" applyNumberFormat="1" applyFont="1" applyBorder="1" applyAlignment="1">
      <alignment horizontal="center"/>
    </xf>
    <xf numFmtId="164" fontId="49" fillId="4" borderId="1" xfId="0" applyNumberFormat="1" applyFont="1" applyFill="1" applyBorder="1" applyAlignment="1">
      <alignment vertical="center"/>
    </xf>
    <xf numFmtId="164" fontId="80" fillId="0" borderId="0" xfId="1" applyNumberFormat="1" applyFont="1"/>
    <xf numFmtId="164" fontId="25" fillId="0" borderId="1" xfId="1" applyNumberFormat="1" applyFont="1" applyBorder="1" applyAlignment="1">
      <alignment horizontal="center"/>
    </xf>
    <xf numFmtId="164" fontId="49" fillId="4" borderId="1" xfId="1" applyNumberFormat="1" applyFont="1" applyFill="1" applyBorder="1" applyAlignment="1">
      <alignment horizontal="center"/>
    </xf>
    <xf numFmtId="164" fontId="49" fillId="4" borderId="1" xfId="0" applyNumberFormat="1" applyFont="1" applyFill="1" applyBorder="1"/>
    <xf numFmtId="0" fontId="10" fillId="0" borderId="1" xfId="0" applyFont="1" applyBorder="1" applyAlignment="1">
      <alignment vertical="center"/>
    </xf>
    <xf numFmtId="164" fontId="10" fillId="0" borderId="1" xfId="1" applyNumberFormat="1" applyFont="1" applyBorder="1" applyAlignment="1">
      <alignment vertical="center"/>
    </xf>
    <xf numFmtId="0" fontId="80" fillId="0" borderId="0" xfId="0" applyFont="1" applyAlignment="1">
      <alignment vertical="center"/>
    </xf>
    <xf numFmtId="49" fontId="81" fillId="0" borderId="0" xfId="1" applyNumberFormat="1" applyFont="1" applyAlignment="1">
      <alignment horizontal="center" vertical="center"/>
    </xf>
    <xf numFmtId="164" fontId="81" fillId="0" borderId="0" xfId="1" applyNumberFormat="1" applyFont="1" applyAlignment="1">
      <alignment vertical="center"/>
    </xf>
    <xf numFmtId="164" fontId="58" fillId="0" borderId="0" xfId="1" applyNumberFormat="1" applyFont="1" applyAlignment="1">
      <alignment vertical="center"/>
    </xf>
    <xf numFmtId="1" fontId="72" fillId="0" borderId="0" xfId="0" applyNumberFormat="1" applyFont="1" applyAlignment="1">
      <alignment horizontal="center"/>
    </xf>
    <xf numFmtId="164" fontId="72" fillId="0" borderId="0" xfId="1" applyNumberFormat="1" applyFont="1" applyAlignment="1">
      <alignment vertical="center"/>
    </xf>
    <xf numFmtId="1" fontId="72" fillId="0" borderId="0" xfId="0" applyNumberFormat="1" applyFont="1"/>
    <xf numFmtId="165" fontId="0" fillId="0" borderId="0" xfId="1" applyNumberFormat="1" applyFont="1"/>
    <xf numFmtId="164" fontId="82" fillId="0" borderId="0" xfId="1" applyNumberFormat="1" applyFont="1"/>
    <xf numFmtId="164" fontId="82" fillId="0" borderId="0" xfId="1" applyNumberFormat="1" applyFont="1" applyAlignment="1">
      <alignment vertical="center"/>
    </xf>
    <xf numFmtId="9" fontId="0" fillId="0" borderId="0" xfId="2" applyFont="1"/>
    <xf numFmtId="9" fontId="59" fillId="0" borderId="0" xfId="2" applyFont="1"/>
    <xf numFmtId="165" fontId="83" fillId="0" borderId="0" xfId="1" applyNumberFormat="1" applyFont="1"/>
    <xf numFmtId="9" fontId="0" fillId="9" borderId="0" xfId="2" applyFont="1" applyFill="1"/>
    <xf numFmtId="43" fontId="0" fillId="0" borderId="0" xfId="1" applyFont="1"/>
    <xf numFmtId="49" fontId="4" fillId="0" borderId="0" xfId="0" quotePrefix="1" applyNumberFormat="1" applyFont="1" applyAlignment="1">
      <alignment horizontal="left" vertical="center" readingOrder="1"/>
    </xf>
    <xf numFmtId="49" fontId="84" fillId="0" borderId="2" xfId="0" applyNumberFormat="1" applyFont="1" applyBorder="1" applyAlignment="1">
      <alignment horizontal="left" vertical="center" readingOrder="1"/>
    </xf>
    <xf numFmtId="164" fontId="7" fillId="4" borderId="1" xfId="0" applyNumberFormat="1" applyFont="1" applyFill="1" applyBorder="1"/>
    <xf numFmtId="49" fontId="78" fillId="0" borderId="1" xfId="0" applyNumberFormat="1" applyFont="1" applyBorder="1" applyAlignment="1">
      <alignment horizontal="left" vertical="center"/>
    </xf>
    <xf numFmtId="49" fontId="74" fillId="0" borderId="0" xfId="0" applyNumberFormat="1" applyFont="1" applyAlignment="1">
      <alignment horizontal="left" vertical="center"/>
    </xf>
    <xf numFmtId="49" fontId="77" fillId="0" borderId="0" xfId="0" applyNumberFormat="1" applyFont="1" applyAlignment="1">
      <alignment horizontal="left" vertical="center"/>
    </xf>
    <xf numFmtId="49" fontId="76" fillId="0" borderId="0" xfId="0" applyNumberFormat="1" applyFont="1" applyAlignment="1">
      <alignment horizontal="left" vertical="center" wrapText="1" readingOrder="1"/>
    </xf>
    <xf numFmtId="49" fontId="84" fillId="0" borderId="0" xfId="0" applyNumberFormat="1" applyFont="1" applyAlignment="1">
      <alignment horizontal="left" vertical="center" readingOrder="1"/>
    </xf>
    <xf numFmtId="49" fontId="78" fillId="0" borderId="0" xfId="0" applyNumberFormat="1" applyFont="1" applyAlignment="1">
      <alignment horizontal="left" vertical="center"/>
    </xf>
    <xf numFmtId="49" fontId="75" fillId="0" borderId="0" xfId="0" applyNumberFormat="1" applyFont="1" applyAlignment="1">
      <alignment horizontal="left" vertical="center"/>
    </xf>
    <xf numFmtId="49" fontId="69" fillId="0" borderId="0" xfId="0" applyNumberFormat="1" applyFont="1" applyAlignment="1">
      <alignment horizontal="left" vertical="center"/>
    </xf>
    <xf numFmtId="0" fontId="0" fillId="0" borderId="26" xfId="0" applyBorder="1"/>
    <xf numFmtId="49" fontId="68" fillId="0" borderId="0" xfId="0" applyNumberFormat="1" applyFont="1" applyAlignment="1">
      <alignment horizontal="left" vertical="center"/>
    </xf>
    <xf numFmtId="49" fontId="73" fillId="0" borderId="0" xfId="0" applyNumberFormat="1" applyFont="1" applyAlignment="1">
      <alignment horizontal="left" vertical="center"/>
    </xf>
    <xf numFmtId="49" fontId="85" fillId="0" borderId="2" xfId="0" applyNumberFormat="1" applyFont="1" applyBorder="1" applyAlignment="1">
      <alignment horizontal="left" vertical="center" readingOrder="1"/>
    </xf>
    <xf numFmtId="0" fontId="7" fillId="0" borderId="2" xfId="0" applyFont="1" applyBorder="1"/>
    <xf numFmtId="164" fontId="8" fillId="0" borderId="0" xfId="0" applyNumberFormat="1" applyFont="1" applyAlignment="1">
      <alignment horizontal="center" vertical="center"/>
    </xf>
    <xf numFmtId="0" fontId="16" fillId="6" borderId="0" xfId="0" applyFont="1" applyFill="1" applyAlignment="1">
      <alignment horizontal="left" vertical="center"/>
    </xf>
    <xf numFmtId="49" fontId="85" fillId="0" borderId="0" xfId="0" applyNumberFormat="1" applyFont="1" applyAlignment="1">
      <alignment horizontal="left" vertical="center" readingOrder="1"/>
    </xf>
    <xf numFmtId="14" fontId="0" fillId="0" borderId="0" xfId="0" applyNumberFormat="1"/>
    <xf numFmtId="0" fontId="86" fillId="10" borderId="0" xfId="0" applyFont="1" applyFill="1"/>
    <xf numFmtId="0" fontId="0" fillId="0" borderId="35" xfId="0" applyBorder="1"/>
    <xf numFmtId="0" fontId="86" fillId="0" borderId="0" xfId="0" applyFont="1"/>
    <xf numFmtId="0" fontId="0" fillId="0" borderId="34" xfId="0" applyBorder="1"/>
    <xf numFmtId="0" fontId="86" fillId="10" borderId="2" xfId="0" applyFont="1" applyFill="1" applyBorder="1"/>
    <xf numFmtId="49" fontId="48" fillId="0" borderId="1" xfId="0" applyNumberFormat="1" applyFont="1" applyBorder="1" applyAlignment="1">
      <alignment horizontal="left" vertical="center" readingOrder="1"/>
    </xf>
    <xf numFmtId="0" fontId="12" fillId="11" borderId="1" xfId="0" applyFont="1" applyFill="1" applyBorder="1" applyAlignment="1">
      <alignment vertical="center"/>
    </xf>
    <xf numFmtId="0" fontId="6" fillId="11" borderId="1" xfId="0" applyFont="1" applyFill="1" applyBorder="1"/>
    <xf numFmtId="3" fontId="12" fillId="8" borderId="1" xfId="1" applyNumberFormat="1" applyFont="1" applyFill="1" applyBorder="1" applyAlignment="1">
      <alignment horizontal="right" vertical="center"/>
    </xf>
    <xf numFmtId="165" fontId="12" fillId="3" borderId="1" xfId="1" applyNumberFormat="1" applyFont="1" applyFill="1" applyBorder="1" applyAlignment="1">
      <alignment horizontal="right" vertical="center"/>
    </xf>
    <xf numFmtId="0" fontId="8" fillId="12" borderId="1" xfId="0" applyFont="1" applyFill="1" applyBorder="1" applyAlignment="1">
      <alignment vertical="center"/>
    </xf>
    <xf numFmtId="3" fontId="8" fillId="12" borderId="1" xfId="1" applyNumberFormat="1" applyFont="1" applyFill="1" applyBorder="1" applyAlignment="1">
      <alignment horizontal="right" vertical="center"/>
    </xf>
    <xf numFmtId="9" fontId="12" fillId="12" borderId="1" xfId="2" applyFont="1" applyFill="1" applyBorder="1" applyAlignment="1">
      <alignment horizontal="right" vertical="center"/>
    </xf>
    <xf numFmtId="165" fontId="19" fillId="11" borderId="1" xfId="1" applyNumberFormat="1" applyFont="1" applyFill="1" applyBorder="1" applyAlignment="1">
      <alignment horizontal="right" vertical="center"/>
    </xf>
    <xf numFmtId="9" fontId="19" fillId="11" borderId="1" xfId="2" applyFont="1" applyFill="1" applyBorder="1" applyAlignment="1">
      <alignment horizontal="right" vertical="center"/>
    </xf>
    <xf numFmtId="49" fontId="87" fillId="0" borderId="2" xfId="0" applyNumberFormat="1" applyFont="1" applyBorder="1" applyAlignment="1">
      <alignment horizontal="left" vertical="center" readingOrder="1"/>
    </xf>
    <xf numFmtId="49" fontId="88" fillId="0" borderId="2" xfId="0" applyNumberFormat="1" applyFont="1" applyBorder="1" applyAlignment="1">
      <alignment horizontal="left" vertical="center" readingOrder="1"/>
    </xf>
    <xf numFmtId="0" fontId="7" fillId="0" borderId="30" xfId="0" applyFont="1" applyBorder="1" applyAlignment="1">
      <alignment horizontal="left"/>
    </xf>
    <xf numFmtId="14" fontId="48" fillId="0" borderId="2" xfId="0" applyNumberFormat="1" applyFont="1" applyBorder="1" applyAlignment="1">
      <alignment horizontal="center" vertical="center" readingOrder="1"/>
    </xf>
    <xf numFmtId="167" fontId="48" fillId="0" borderId="2" xfId="0" applyNumberFormat="1" applyFont="1" applyBorder="1" applyAlignment="1">
      <alignment horizontal="right" vertical="center" readingOrder="1"/>
    </xf>
    <xf numFmtId="49" fontId="48" fillId="0" borderId="2" xfId="0" applyNumberFormat="1" applyFont="1" applyBorder="1" applyAlignment="1">
      <alignment horizontal="center" vertical="center" readingOrder="1"/>
    </xf>
    <xf numFmtId="0" fontId="8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7" fillId="0" borderId="26" xfId="0" applyFont="1" applyBorder="1" applyAlignment="1">
      <alignment horizontal="left"/>
    </xf>
    <xf numFmtId="0" fontId="12" fillId="5" borderId="0" xfId="0" applyFont="1" applyFill="1" applyAlignment="1">
      <alignment horizontal="center" vertical="center"/>
    </xf>
    <xf numFmtId="168" fontId="11" fillId="0" borderId="0" xfId="0" applyNumberFormat="1" applyFont="1"/>
    <xf numFmtId="0" fontId="15" fillId="6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36" xfId="0" applyBorder="1"/>
    <xf numFmtId="164" fontId="17" fillId="6" borderId="1" xfId="1" applyNumberFormat="1" applyFont="1" applyFill="1" applyBorder="1" applyAlignment="1">
      <alignment horizontal="center" vertical="center"/>
    </xf>
    <xf numFmtId="0" fontId="0" fillId="0" borderId="22" xfId="0" applyBorder="1"/>
    <xf numFmtId="164" fontId="16" fillId="6" borderId="1" xfId="1" applyNumberFormat="1" applyFont="1" applyFill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16" fillId="6" borderId="1" xfId="0" applyFont="1" applyFill="1" applyBorder="1" applyAlignment="1">
      <alignment horizontal="center" vertical="center"/>
    </xf>
    <xf numFmtId="164" fontId="8" fillId="6" borderId="1" xfId="1" applyNumberFormat="1" applyFont="1" applyFill="1" applyBorder="1" applyAlignment="1">
      <alignment horizontal="center" vertical="center"/>
    </xf>
    <xf numFmtId="9" fontId="17" fillId="6" borderId="1" xfId="2" applyFont="1" applyFill="1" applyBorder="1" applyAlignment="1">
      <alignment horizontal="center" vertical="center"/>
    </xf>
    <xf numFmtId="165" fontId="36" fillId="6" borderId="37" xfId="5" applyNumberFormat="1" applyFont="1" applyFill="1" applyBorder="1" applyAlignment="1">
      <alignment horizontal="center" vertical="center" wrapText="1"/>
    </xf>
    <xf numFmtId="0" fontId="0" fillId="0" borderId="10" xfId="0" applyBorder="1"/>
    <xf numFmtId="165" fontId="36" fillId="6" borderId="38" xfId="5" applyNumberFormat="1" applyFont="1" applyFill="1" applyBorder="1" applyAlignment="1">
      <alignment horizontal="center" vertical="center" wrapText="1"/>
    </xf>
    <xf numFmtId="0" fontId="0" fillId="0" borderId="11" xfId="0" applyBorder="1"/>
    <xf numFmtId="165" fontId="24" fillId="0" borderId="0" xfId="5" applyNumberFormat="1" applyFont="1" applyAlignment="1">
      <alignment horizontal="center"/>
    </xf>
    <xf numFmtId="0" fontId="0" fillId="0" borderId="0" xfId="0" applyAlignment="1">
      <alignment horizontal="left"/>
    </xf>
    <xf numFmtId="165" fontId="36" fillId="6" borderId="40" xfId="5" applyNumberFormat="1" applyFont="1" applyFill="1" applyBorder="1" applyAlignment="1">
      <alignment horizontal="center" vertical="center" wrapText="1"/>
    </xf>
    <xf numFmtId="0" fontId="0" fillId="0" borderId="15" xfId="0" applyBorder="1"/>
    <xf numFmtId="3" fontId="41" fillId="6" borderId="41" xfId="5" applyNumberFormat="1" applyFont="1" applyFill="1" applyBorder="1" applyAlignment="1">
      <alignment horizontal="center" vertical="center"/>
    </xf>
    <xf numFmtId="165" fontId="37" fillId="6" borderId="39" xfId="5" applyNumberFormat="1" applyFont="1" applyFill="1" applyBorder="1" applyAlignment="1">
      <alignment horizontal="center" vertical="center" wrapText="1"/>
    </xf>
    <xf numFmtId="0" fontId="0" fillId="0" borderId="12" xfId="0" applyBorder="1"/>
    <xf numFmtId="165" fontId="36" fillId="6" borderId="8" xfId="5" applyNumberFormat="1" applyFont="1" applyFill="1" applyBorder="1" applyAlignment="1">
      <alignment horizontal="center" vertical="center"/>
    </xf>
    <xf numFmtId="0" fontId="0" fillId="0" borderId="3" xfId="0" applyBorder="1"/>
    <xf numFmtId="165" fontId="25" fillId="0" borderId="0" xfId="5" applyNumberFormat="1" applyFont="1" applyAlignment="1">
      <alignment horizontal="center"/>
    </xf>
    <xf numFmtId="0" fontId="33" fillId="0" borderId="0" xfId="4" applyFont="1" applyAlignment="1">
      <alignment horizontal="center" vertical="center"/>
    </xf>
    <xf numFmtId="0" fontId="0" fillId="0" borderId="0" xfId="0"/>
    <xf numFmtId="165" fontId="32" fillId="0" borderId="0" xfId="5" applyNumberFormat="1" applyFont="1" applyAlignment="1">
      <alignment horizontal="center" vertical="center"/>
    </xf>
    <xf numFmtId="165" fontId="24" fillId="0" borderId="0" xfId="5" applyNumberFormat="1" applyFont="1" applyAlignment="1">
      <alignment horizontal="center" vertical="center"/>
    </xf>
    <xf numFmtId="165" fontId="33" fillId="0" borderId="0" xfId="5" applyNumberFormat="1" applyFont="1" applyAlignment="1">
      <alignment horizontal="center"/>
    </xf>
    <xf numFmtId="9" fontId="37" fillId="6" borderId="38" xfId="5" applyNumberFormat="1" applyFont="1" applyFill="1" applyBorder="1" applyAlignment="1">
      <alignment horizontal="center" vertical="center" wrapText="1"/>
    </xf>
    <xf numFmtId="165" fontId="36" fillId="6" borderId="42" xfId="5" applyNumberFormat="1" applyFont="1" applyFill="1" applyBorder="1" applyAlignment="1">
      <alignment horizontal="center" vertical="center"/>
    </xf>
    <xf numFmtId="0" fontId="0" fillId="0" borderId="14" xfId="0" applyBorder="1"/>
    <xf numFmtId="165" fontId="36" fillId="6" borderId="43" xfId="5" applyNumberFormat="1" applyFont="1" applyFill="1" applyBorder="1" applyAlignment="1">
      <alignment horizontal="center" vertical="center"/>
    </xf>
    <xf numFmtId="0" fontId="0" fillId="0" borderId="13" xfId="0" applyBorder="1"/>
    <xf numFmtId="165" fontId="37" fillId="6" borderId="9" xfId="5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6" xfId="0" applyBorder="1"/>
    <xf numFmtId="165" fontId="37" fillId="6" borderId="6" xfId="5" applyNumberFormat="1" applyFont="1" applyFill="1" applyBorder="1" applyAlignment="1">
      <alignment horizontal="center" vertical="center" wrapText="1"/>
    </xf>
    <xf numFmtId="0" fontId="24" fillId="0" borderId="0" xfId="4" applyFont="1" applyAlignment="1">
      <alignment horizontal="center" vertical="center"/>
    </xf>
    <xf numFmtId="165" fontId="25" fillId="0" borderId="0" xfId="1" applyNumberFormat="1" applyFont="1"/>
    <xf numFmtId="0" fontId="25" fillId="0" borderId="0" xfId="3" applyFont="1"/>
    <xf numFmtId="0" fontId="19" fillId="6" borderId="5" xfId="4" applyFont="1" applyFill="1" applyBorder="1" applyAlignment="1">
      <alignment horizontal="center" vertical="center" wrapText="1"/>
    </xf>
    <xf numFmtId="0" fontId="0" fillId="0" borderId="29" xfId="0" applyBorder="1"/>
    <xf numFmtId="0" fontId="24" fillId="0" borderId="0" xfId="3" applyFont="1"/>
    <xf numFmtId="9" fontId="19" fillId="6" borderId="5" xfId="2" applyFont="1" applyFill="1" applyBorder="1" applyAlignment="1">
      <alignment horizontal="center" vertical="center" wrapText="1"/>
    </xf>
    <xf numFmtId="165" fontId="19" fillId="6" borderId="5" xfId="1" applyNumberFormat="1" applyFont="1" applyFill="1" applyBorder="1" applyAlignment="1">
      <alignment horizontal="center" vertical="center" wrapText="1"/>
    </xf>
    <xf numFmtId="0" fontId="19" fillId="6" borderId="5" xfId="4" applyFont="1" applyFill="1" applyBorder="1" applyAlignment="1">
      <alignment horizontal="center" vertical="center"/>
    </xf>
    <xf numFmtId="0" fontId="0" fillId="0" borderId="44" xfId="0" applyBorder="1"/>
    <xf numFmtId="0" fontId="0" fillId="0" borderId="28" xfId="0" applyBorder="1"/>
    <xf numFmtId="0" fontId="24" fillId="0" borderId="0" xfId="3" applyFont="1" applyAlignment="1">
      <alignment horizontal="center" vertical="center"/>
    </xf>
    <xf numFmtId="0" fontId="19" fillId="6" borderId="5" xfId="3" applyFont="1" applyFill="1" applyBorder="1" applyAlignment="1">
      <alignment horizontal="center" vertical="center" wrapText="1"/>
    </xf>
    <xf numFmtId="9" fontId="25" fillId="0" borderId="0" xfId="2" applyFont="1"/>
    <xf numFmtId="0" fontId="27" fillId="0" borderId="0" xfId="4" applyFont="1" applyAlignment="1">
      <alignment horizontal="center" vertical="center"/>
    </xf>
    <xf numFmtId="10" fontId="25" fillId="0" borderId="0" xfId="2" applyNumberFormat="1" applyFont="1"/>
    <xf numFmtId="0" fontId="17" fillId="0" borderId="0" xfId="4" applyFont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164" fontId="10" fillId="5" borderId="1" xfId="1" applyNumberFormat="1" applyFont="1" applyFill="1" applyBorder="1" applyAlignment="1">
      <alignment horizontal="center" vertical="center"/>
    </xf>
    <xf numFmtId="1" fontId="10" fillId="5" borderId="1" xfId="0" applyNumberFormat="1" applyFont="1" applyFill="1" applyBorder="1" applyAlignment="1">
      <alignment horizontal="center" vertical="center" wrapText="1"/>
    </xf>
    <xf numFmtId="164" fontId="10" fillId="5" borderId="24" xfId="1" applyNumberFormat="1" applyFont="1" applyFill="1" applyBorder="1" applyAlignment="1">
      <alignment horizontal="center"/>
    </xf>
    <xf numFmtId="1" fontId="10" fillId="5" borderId="1" xfId="0" applyNumberFormat="1" applyFont="1" applyFill="1" applyBorder="1" applyAlignment="1">
      <alignment horizontal="center" vertical="center"/>
    </xf>
  </cellXfs>
  <cellStyles count="9">
    <cellStyle name="Comma" xfId="1" builtinId="3"/>
    <cellStyle name="Comma 2" xfId="5" xr:uid="{00000000-0005-0000-0000-000005000000}"/>
    <cellStyle name="Normal" xfId="0" builtinId="0"/>
    <cellStyle name="Normal 2" xfId="7" xr:uid="{00000000-0005-0000-0000-000007000000}"/>
    <cellStyle name="Normal 3" xfId="6" xr:uid="{00000000-0005-0000-0000-000006000000}"/>
    <cellStyle name="Normal_bang thuong PG" xfId="3" xr:uid="{00000000-0005-0000-0000-000003000000}"/>
    <cellStyle name="Normal_Sheet1" xfId="4" xr:uid="{00000000-0005-0000-0000-000004000000}"/>
    <cellStyle name="Percent" xfId="2" builtinId="5"/>
    <cellStyle name="Percent 2" xfId="8" xr:uid="{00000000-0005-0000-0000-000008000000}"/>
  </cellStyles>
  <dxfs count="11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GotoSubLeger_" TargetMode="External"/><Relationship Id="rId299" Type="http://schemas.openxmlformats.org/officeDocument/2006/relationships/hyperlink" Target="javascript:GotoSubLeger_" TargetMode="External"/><Relationship Id="rId21" Type="http://schemas.openxmlformats.org/officeDocument/2006/relationships/hyperlink" Target="javascript:GotoSubLeger_" TargetMode="External"/><Relationship Id="rId63" Type="http://schemas.openxmlformats.org/officeDocument/2006/relationships/hyperlink" Target="javascript:GotoSubLeger_" TargetMode="External"/><Relationship Id="rId159" Type="http://schemas.openxmlformats.org/officeDocument/2006/relationships/hyperlink" Target="javascript:GotoSubLeger_" TargetMode="External"/><Relationship Id="rId324" Type="http://schemas.openxmlformats.org/officeDocument/2006/relationships/hyperlink" Target="javascript:GotoSubLeger_" TargetMode="External"/><Relationship Id="rId366" Type="http://schemas.openxmlformats.org/officeDocument/2006/relationships/hyperlink" Target="javascript:GotoSubLeger_" TargetMode="External"/><Relationship Id="rId170" Type="http://schemas.openxmlformats.org/officeDocument/2006/relationships/hyperlink" Target="javascript:GotoSubLeger_" TargetMode="External"/><Relationship Id="rId226" Type="http://schemas.openxmlformats.org/officeDocument/2006/relationships/hyperlink" Target="javascript:GotoSubLeger_" TargetMode="External"/><Relationship Id="rId268" Type="http://schemas.openxmlformats.org/officeDocument/2006/relationships/hyperlink" Target="javascript:GotoSubLeger_" TargetMode="External"/><Relationship Id="rId32" Type="http://schemas.openxmlformats.org/officeDocument/2006/relationships/hyperlink" Target="javascript:GotoSubLeger_" TargetMode="External"/><Relationship Id="rId74" Type="http://schemas.openxmlformats.org/officeDocument/2006/relationships/hyperlink" Target="javascript:GotoSubLeger_" TargetMode="External"/><Relationship Id="rId128" Type="http://schemas.openxmlformats.org/officeDocument/2006/relationships/hyperlink" Target="javascript:GotoSubLeger_" TargetMode="External"/><Relationship Id="rId335" Type="http://schemas.openxmlformats.org/officeDocument/2006/relationships/hyperlink" Target="javascript:GotoSubLeger_" TargetMode="External"/><Relationship Id="rId377" Type="http://schemas.openxmlformats.org/officeDocument/2006/relationships/hyperlink" Target="javascript:GotoSubLeger_" TargetMode="External"/><Relationship Id="rId5" Type="http://schemas.openxmlformats.org/officeDocument/2006/relationships/hyperlink" Target="javascript:GotoSubLeger_" TargetMode="External"/><Relationship Id="rId181" Type="http://schemas.openxmlformats.org/officeDocument/2006/relationships/hyperlink" Target="javascript:GotoSubLeger_" TargetMode="External"/><Relationship Id="rId237" Type="http://schemas.openxmlformats.org/officeDocument/2006/relationships/hyperlink" Target="javascript:GotoSubLeger_" TargetMode="External"/><Relationship Id="rId279" Type="http://schemas.openxmlformats.org/officeDocument/2006/relationships/hyperlink" Target="javascript:GotoSubLeger_" TargetMode="External"/><Relationship Id="rId43" Type="http://schemas.openxmlformats.org/officeDocument/2006/relationships/hyperlink" Target="javascript:GotoSubLeger_" TargetMode="External"/><Relationship Id="rId139" Type="http://schemas.openxmlformats.org/officeDocument/2006/relationships/hyperlink" Target="javascript:GotoSubLeger_" TargetMode="External"/><Relationship Id="rId290" Type="http://schemas.openxmlformats.org/officeDocument/2006/relationships/hyperlink" Target="javascript:GotoSubLeger_" TargetMode="External"/><Relationship Id="rId304" Type="http://schemas.openxmlformats.org/officeDocument/2006/relationships/hyperlink" Target="javascript:GotoSubLeger_" TargetMode="External"/><Relationship Id="rId346" Type="http://schemas.openxmlformats.org/officeDocument/2006/relationships/hyperlink" Target="javascript:GotoSubLeger_" TargetMode="External"/><Relationship Id="rId85" Type="http://schemas.openxmlformats.org/officeDocument/2006/relationships/hyperlink" Target="javascript:GotoSubLeger_" TargetMode="External"/><Relationship Id="rId150" Type="http://schemas.openxmlformats.org/officeDocument/2006/relationships/hyperlink" Target="javascript:GotoSubLeger_" TargetMode="External"/><Relationship Id="rId192" Type="http://schemas.openxmlformats.org/officeDocument/2006/relationships/hyperlink" Target="javascript:GotoSubLeger_" TargetMode="External"/><Relationship Id="rId206" Type="http://schemas.openxmlformats.org/officeDocument/2006/relationships/hyperlink" Target="javascript:GotoSubLeger_" TargetMode="External"/><Relationship Id="rId248" Type="http://schemas.openxmlformats.org/officeDocument/2006/relationships/hyperlink" Target="javascript:GotoSubLeger_" TargetMode="External"/><Relationship Id="rId12" Type="http://schemas.openxmlformats.org/officeDocument/2006/relationships/hyperlink" Target="javascript:GotoSubLeger_" TargetMode="External"/><Relationship Id="rId108" Type="http://schemas.openxmlformats.org/officeDocument/2006/relationships/hyperlink" Target="javascript:GotoSubLeger_" TargetMode="External"/><Relationship Id="rId315" Type="http://schemas.openxmlformats.org/officeDocument/2006/relationships/hyperlink" Target="javascript:GotoSubLeger_" TargetMode="External"/><Relationship Id="rId357" Type="http://schemas.openxmlformats.org/officeDocument/2006/relationships/hyperlink" Target="javascript:GotoSubLeger_" TargetMode="External"/><Relationship Id="rId54" Type="http://schemas.openxmlformats.org/officeDocument/2006/relationships/hyperlink" Target="javascript:GotoSubLeger_" TargetMode="External"/><Relationship Id="rId96" Type="http://schemas.openxmlformats.org/officeDocument/2006/relationships/hyperlink" Target="javascript:GotoSubLeger_" TargetMode="External"/><Relationship Id="rId161" Type="http://schemas.openxmlformats.org/officeDocument/2006/relationships/hyperlink" Target="javascript:GotoSubLeger_" TargetMode="External"/><Relationship Id="rId217" Type="http://schemas.openxmlformats.org/officeDocument/2006/relationships/hyperlink" Target="javascript:GotoSubLeger_" TargetMode="External"/><Relationship Id="rId259" Type="http://schemas.openxmlformats.org/officeDocument/2006/relationships/hyperlink" Target="javascript:GotoSubLeger_" TargetMode="External"/><Relationship Id="rId23" Type="http://schemas.openxmlformats.org/officeDocument/2006/relationships/hyperlink" Target="javascript:GotoSubLeger_" TargetMode="External"/><Relationship Id="rId119" Type="http://schemas.openxmlformats.org/officeDocument/2006/relationships/hyperlink" Target="javascript:GotoSubLeger_" TargetMode="External"/><Relationship Id="rId270" Type="http://schemas.openxmlformats.org/officeDocument/2006/relationships/hyperlink" Target="javascript:GotoSubLeger_" TargetMode="External"/><Relationship Id="rId326" Type="http://schemas.openxmlformats.org/officeDocument/2006/relationships/hyperlink" Target="javascript:GotoSubLeger_" TargetMode="External"/><Relationship Id="rId65" Type="http://schemas.openxmlformats.org/officeDocument/2006/relationships/hyperlink" Target="javascript:GotoSubLeger_" TargetMode="External"/><Relationship Id="rId130" Type="http://schemas.openxmlformats.org/officeDocument/2006/relationships/hyperlink" Target="javascript:GotoSubLeger_" TargetMode="External"/><Relationship Id="rId368" Type="http://schemas.openxmlformats.org/officeDocument/2006/relationships/hyperlink" Target="javascript:GotoSubLeger_" TargetMode="External"/><Relationship Id="rId172" Type="http://schemas.openxmlformats.org/officeDocument/2006/relationships/hyperlink" Target="javascript:GotoSubLeger_" TargetMode="External"/><Relationship Id="rId228" Type="http://schemas.openxmlformats.org/officeDocument/2006/relationships/hyperlink" Target="javascript:GotoSubLeger_" TargetMode="External"/><Relationship Id="rId281" Type="http://schemas.openxmlformats.org/officeDocument/2006/relationships/hyperlink" Target="javascript:GotoSubLeger_" TargetMode="External"/><Relationship Id="rId337" Type="http://schemas.openxmlformats.org/officeDocument/2006/relationships/hyperlink" Target="javascript:GotoSubLeger_" TargetMode="External"/><Relationship Id="rId34" Type="http://schemas.openxmlformats.org/officeDocument/2006/relationships/hyperlink" Target="javascript:GotoSubLeger_" TargetMode="External"/><Relationship Id="rId76" Type="http://schemas.openxmlformats.org/officeDocument/2006/relationships/hyperlink" Target="javascript:GotoSubLeger_" TargetMode="External"/><Relationship Id="rId141" Type="http://schemas.openxmlformats.org/officeDocument/2006/relationships/hyperlink" Target="javascript:GotoSubLeger_" TargetMode="External"/><Relationship Id="rId379" Type="http://schemas.openxmlformats.org/officeDocument/2006/relationships/hyperlink" Target="javascript:GotoSubLeger_" TargetMode="External"/><Relationship Id="rId7" Type="http://schemas.openxmlformats.org/officeDocument/2006/relationships/hyperlink" Target="javascript:GotoSubLeger_" TargetMode="External"/><Relationship Id="rId183" Type="http://schemas.openxmlformats.org/officeDocument/2006/relationships/hyperlink" Target="javascript:GotoSubLeger_" TargetMode="External"/><Relationship Id="rId239" Type="http://schemas.openxmlformats.org/officeDocument/2006/relationships/hyperlink" Target="javascript:GotoSubLeger_" TargetMode="External"/><Relationship Id="rId250" Type="http://schemas.openxmlformats.org/officeDocument/2006/relationships/hyperlink" Target="javascript:GotoSubLeger_" TargetMode="External"/><Relationship Id="rId292" Type="http://schemas.openxmlformats.org/officeDocument/2006/relationships/hyperlink" Target="javascript:GotoSubLeger_" TargetMode="External"/><Relationship Id="rId306" Type="http://schemas.openxmlformats.org/officeDocument/2006/relationships/hyperlink" Target="javascript:GotoSubLeger_" TargetMode="External"/><Relationship Id="rId45" Type="http://schemas.openxmlformats.org/officeDocument/2006/relationships/hyperlink" Target="javascript:GotoSubLeger_" TargetMode="External"/><Relationship Id="rId87" Type="http://schemas.openxmlformats.org/officeDocument/2006/relationships/hyperlink" Target="javascript:GotoSubLeger_" TargetMode="External"/><Relationship Id="rId110" Type="http://schemas.openxmlformats.org/officeDocument/2006/relationships/hyperlink" Target="javascript:GotoSubLeger_" TargetMode="External"/><Relationship Id="rId348" Type="http://schemas.openxmlformats.org/officeDocument/2006/relationships/hyperlink" Target="javascript:GotoSubLeger_" TargetMode="External"/><Relationship Id="rId152" Type="http://schemas.openxmlformats.org/officeDocument/2006/relationships/hyperlink" Target="javascript:GotoSubLeger_" TargetMode="External"/><Relationship Id="rId194" Type="http://schemas.openxmlformats.org/officeDocument/2006/relationships/hyperlink" Target="javascript:GotoSubLeger_" TargetMode="External"/><Relationship Id="rId208" Type="http://schemas.openxmlformats.org/officeDocument/2006/relationships/hyperlink" Target="javascript:GotoSubLeger_" TargetMode="External"/><Relationship Id="rId261" Type="http://schemas.openxmlformats.org/officeDocument/2006/relationships/hyperlink" Target="javascript:GotoSubLeger_" TargetMode="External"/><Relationship Id="rId14" Type="http://schemas.openxmlformats.org/officeDocument/2006/relationships/hyperlink" Target="javascript:GotoSubLeger_" TargetMode="External"/><Relationship Id="rId56" Type="http://schemas.openxmlformats.org/officeDocument/2006/relationships/hyperlink" Target="javascript:GotoSubLeger_" TargetMode="External"/><Relationship Id="rId317" Type="http://schemas.openxmlformats.org/officeDocument/2006/relationships/hyperlink" Target="javascript:GotoSubLeger_" TargetMode="External"/><Relationship Id="rId359" Type="http://schemas.openxmlformats.org/officeDocument/2006/relationships/hyperlink" Target="javascript:GotoSubLeger_" TargetMode="External"/><Relationship Id="rId98" Type="http://schemas.openxmlformats.org/officeDocument/2006/relationships/hyperlink" Target="javascript:GotoSubLeger_" TargetMode="External"/><Relationship Id="rId121" Type="http://schemas.openxmlformats.org/officeDocument/2006/relationships/hyperlink" Target="javascript:GotoSubLeger_" TargetMode="External"/><Relationship Id="rId163" Type="http://schemas.openxmlformats.org/officeDocument/2006/relationships/hyperlink" Target="javascript:GotoSubLeger_" TargetMode="External"/><Relationship Id="rId219" Type="http://schemas.openxmlformats.org/officeDocument/2006/relationships/hyperlink" Target="javascript:GotoSubLeger_" TargetMode="External"/><Relationship Id="rId370" Type="http://schemas.openxmlformats.org/officeDocument/2006/relationships/hyperlink" Target="javascript:GotoSubLeger_" TargetMode="External"/><Relationship Id="rId230" Type="http://schemas.openxmlformats.org/officeDocument/2006/relationships/hyperlink" Target="javascript:GotoSubLeger_" TargetMode="External"/><Relationship Id="rId25" Type="http://schemas.openxmlformats.org/officeDocument/2006/relationships/hyperlink" Target="javascript:GotoSubLeger_" TargetMode="External"/><Relationship Id="rId67" Type="http://schemas.openxmlformats.org/officeDocument/2006/relationships/hyperlink" Target="javascript:GotoSubLeger_" TargetMode="External"/><Relationship Id="rId272" Type="http://schemas.openxmlformats.org/officeDocument/2006/relationships/hyperlink" Target="javascript:GotoSubLeger_" TargetMode="External"/><Relationship Id="rId328" Type="http://schemas.openxmlformats.org/officeDocument/2006/relationships/hyperlink" Target="javascript:GotoSubLeger_" TargetMode="External"/><Relationship Id="rId132" Type="http://schemas.openxmlformats.org/officeDocument/2006/relationships/hyperlink" Target="javascript:GotoSubLeger_" TargetMode="External"/><Relationship Id="rId174" Type="http://schemas.openxmlformats.org/officeDocument/2006/relationships/hyperlink" Target="javascript:GotoSubLeger_" TargetMode="External"/><Relationship Id="rId381" Type="http://schemas.openxmlformats.org/officeDocument/2006/relationships/hyperlink" Target="javascript:GotoSubLeger_" TargetMode="External"/><Relationship Id="rId241" Type="http://schemas.openxmlformats.org/officeDocument/2006/relationships/hyperlink" Target="javascript:GotoSubLeger_" TargetMode="External"/><Relationship Id="rId36" Type="http://schemas.openxmlformats.org/officeDocument/2006/relationships/hyperlink" Target="javascript:GotoSubLeger_" TargetMode="External"/><Relationship Id="rId283" Type="http://schemas.openxmlformats.org/officeDocument/2006/relationships/hyperlink" Target="javascript:GotoSubLeger_" TargetMode="External"/><Relationship Id="rId339" Type="http://schemas.openxmlformats.org/officeDocument/2006/relationships/hyperlink" Target="javascript:GotoSubLeger_" TargetMode="External"/><Relationship Id="rId78" Type="http://schemas.openxmlformats.org/officeDocument/2006/relationships/hyperlink" Target="javascript:GotoSubLeger_" TargetMode="External"/><Relationship Id="rId101" Type="http://schemas.openxmlformats.org/officeDocument/2006/relationships/hyperlink" Target="javascript:GotoSubLeger_" TargetMode="External"/><Relationship Id="rId143" Type="http://schemas.openxmlformats.org/officeDocument/2006/relationships/hyperlink" Target="javascript:GotoSubLeger_" TargetMode="External"/><Relationship Id="rId185" Type="http://schemas.openxmlformats.org/officeDocument/2006/relationships/hyperlink" Target="javascript:GotoSubLeger_" TargetMode="External"/><Relationship Id="rId350" Type="http://schemas.openxmlformats.org/officeDocument/2006/relationships/hyperlink" Target="javascript:GotoSubLeger_" TargetMode="External"/><Relationship Id="rId9" Type="http://schemas.openxmlformats.org/officeDocument/2006/relationships/hyperlink" Target="javascript:GotoSubLeger_" TargetMode="External"/><Relationship Id="rId210" Type="http://schemas.openxmlformats.org/officeDocument/2006/relationships/hyperlink" Target="javascript:GotoSubLeger_" TargetMode="External"/><Relationship Id="rId26" Type="http://schemas.openxmlformats.org/officeDocument/2006/relationships/hyperlink" Target="javascript:GotoSubLeger_" TargetMode="External"/><Relationship Id="rId231" Type="http://schemas.openxmlformats.org/officeDocument/2006/relationships/hyperlink" Target="javascript:GotoSubLeger_" TargetMode="External"/><Relationship Id="rId252" Type="http://schemas.openxmlformats.org/officeDocument/2006/relationships/hyperlink" Target="javascript:GotoSubLeger_" TargetMode="External"/><Relationship Id="rId273" Type="http://schemas.openxmlformats.org/officeDocument/2006/relationships/hyperlink" Target="javascript:GotoSubLeger_" TargetMode="External"/><Relationship Id="rId294" Type="http://schemas.openxmlformats.org/officeDocument/2006/relationships/hyperlink" Target="javascript:GotoSubLeger_" TargetMode="External"/><Relationship Id="rId308" Type="http://schemas.openxmlformats.org/officeDocument/2006/relationships/hyperlink" Target="javascript:GotoSubLeger_" TargetMode="External"/><Relationship Id="rId329" Type="http://schemas.openxmlformats.org/officeDocument/2006/relationships/hyperlink" Target="javascript:GotoSubLeger_" TargetMode="External"/><Relationship Id="rId47" Type="http://schemas.openxmlformats.org/officeDocument/2006/relationships/hyperlink" Target="javascript:GotoSubLeger_" TargetMode="External"/><Relationship Id="rId68" Type="http://schemas.openxmlformats.org/officeDocument/2006/relationships/hyperlink" Target="javascript:GotoSubLeger_" TargetMode="External"/><Relationship Id="rId89" Type="http://schemas.openxmlformats.org/officeDocument/2006/relationships/hyperlink" Target="javascript:GotoSubLeger_" TargetMode="External"/><Relationship Id="rId112" Type="http://schemas.openxmlformats.org/officeDocument/2006/relationships/hyperlink" Target="javascript:GotoSubLeger_" TargetMode="External"/><Relationship Id="rId133" Type="http://schemas.openxmlformats.org/officeDocument/2006/relationships/hyperlink" Target="javascript:GotoSubLeger_" TargetMode="External"/><Relationship Id="rId154" Type="http://schemas.openxmlformats.org/officeDocument/2006/relationships/hyperlink" Target="javascript:GotoSubLeger_" TargetMode="External"/><Relationship Id="rId175" Type="http://schemas.openxmlformats.org/officeDocument/2006/relationships/hyperlink" Target="javascript:GotoSubLeger_" TargetMode="External"/><Relationship Id="rId340" Type="http://schemas.openxmlformats.org/officeDocument/2006/relationships/hyperlink" Target="javascript:GotoSubLeger_" TargetMode="External"/><Relationship Id="rId361" Type="http://schemas.openxmlformats.org/officeDocument/2006/relationships/hyperlink" Target="javascript:GotoSubLeger_" TargetMode="External"/><Relationship Id="rId196" Type="http://schemas.openxmlformats.org/officeDocument/2006/relationships/hyperlink" Target="javascript:GotoSubLeger_" TargetMode="External"/><Relationship Id="rId200" Type="http://schemas.openxmlformats.org/officeDocument/2006/relationships/hyperlink" Target="javascript:GotoSubLeger_" TargetMode="External"/><Relationship Id="rId382" Type="http://schemas.openxmlformats.org/officeDocument/2006/relationships/hyperlink" Target="javascript:GotoSubLeger_" TargetMode="External"/><Relationship Id="rId16" Type="http://schemas.openxmlformats.org/officeDocument/2006/relationships/hyperlink" Target="javascript:GotoSubLeger_" TargetMode="External"/><Relationship Id="rId221" Type="http://schemas.openxmlformats.org/officeDocument/2006/relationships/hyperlink" Target="javascript:GotoSubLeger_" TargetMode="External"/><Relationship Id="rId242" Type="http://schemas.openxmlformats.org/officeDocument/2006/relationships/hyperlink" Target="javascript:GotoSubLeger_" TargetMode="External"/><Relationship Id="rId263" Type="http://schemas.openxmlformats.org/officeDocument/2006/relationships/hyperlink" Target="javascript:GotoSubLeger_" TargetMode="External"/><Relationship Id="rId284" Type="http://schemas.openxmlformats.org/officeDocument/2006/relationships/hyperlink" Target="javascript:GotoSubLeger_" TargetMode="External"/><Relationship Id="rId319" Type="http://schemas.openxmlformats.org/officeDocument/2006/relationships/hyperlink" Target="javascript:GotoSubLeger_" TargetMode="External"/><Relationship Id="rId37" Type="http://schemas.openxmlformats.org/officeDocument/2006/relationships/hyperlink" Target="javascript:GotoSubLeger_" TargetMode="External"/><Relationship Id="rId58" Type="http://schemas.openxmlformats.org/officeDocument/2006/relationships/hyperlink" Target="javascript:GotoSubLeger_" TargetMode="External"/><Relationship Id="rId79" Type="http://schemas.openxmlformats.org/officeDocument/2006/relationships/hyperlink" Target="javascript:GotoSubLeger_" TargetMode="External"/><Relationship Id="rId102" Type="http://schemas.openxmlformats.org/officeDocument/2006/relationships/hyperlink" Target="javascript:GotoSubLeger_" TargetMode="External"/><Relationship Id="rId123" Type="http://schemas.openxmlformats.org/officeDocument/2006/relationships/hyperlink" Target="javascript:GotoSubLeger_" TargetMode="External"/><Relationship Id="rId144" Type="http://schemas.openxmlformats.org/officeDocument/2006/relationships/hyperlink" Target="javascript:GotoSubLeger_" TargetMode="External"/><Relationship Id="rId330" Type="http://schemas.openxmlformats.org/officeDocument/2006/relationships/hyperlink" Target="javascript:GotoSubLeger_" TargetMode="External"/><Relationship Id="rId90" Type="http://schemas.openxmlformats.org/officeDocument/2006/relationships/hyperlink" Target="javascript:GotoSubLeger_" TargetMode="External"/><Relationship Id="rId165" Type="http://schemas.openxmlformats.org/officeDocument/2006/relationships/hyperlink" Target="javascript:GotoSubLeger_" TargetMode="External"/><Relationship Id="rId186" Type="http://schemas.openxmlformats.org/officeDocument/2006/relationships/hyperlink" Target="javascript:GotoSubLeger_" TargetMode="External"/><Relationship Id="rId351" Type="http://schemas.openxmlformats.org/officeDocument/2006/relationships/hyperlink" Target="javascript:GotoSubLeger_" TargetMode="External"/><Relationship Id="rId372" Type="http://schemas.openxmlformats.org/officeDocument/2006/relationships/hyperlink" Target="javascript:GotoSubLeger_" TargetMode="External"/><Relationship Id="rId211" Type="http://schemas.openxmlformats.org/officeDocument/2006/relationships/hyperlink" Target="javascript:GotoSubLeger_" TargetMode="External"/><Relationship Id="rId232" Type="http://schemas.openxmlformats.org/officeDocument/2006/relationships/hyperlink" Target="javascript:GotoSubLeger_" TargetMode="External"/><Relationship Id="rId253" Type="http://schemas.openxmlformats.org/officeDocument/2006/relationships/hyperlink" Target="javascript:GotoSubLeger_" TargetMode="External"/><Relationship Id="rId274" Type="http://schemas.openxmlformats.org/officeDocument/2006/relationships/hyperlink" Target="javascript:GotoSubLeger_" TargetMode="External"/><Relationship Id="rId295" Type="http://schemas.openxmlformats.org/officeDocument/2006/relationships/hyperlink" Target="javascript:GotoSubLeger_" TargetMode="External"/><Relationship Id="rId309" Type="http://schemas.openxmlformats.org/officeDocument/2006/relationships/hyperlink" Target="javascript:GotoSubLeger_" TargetMode="External"/><Relationship Id="rId27" Type="http://schemas.openxmlformats.org/officeDocument/2006/relationships/hyperlink" Target="javascript:GotoSubLeger_" TargetMode="External"/><Relationship Id="rId48" Type="http://schemas.openxmlformats.org/officeDocument/2006/relationships/hyperlink" Target="javascript:GotoSubLeger_" TargetMode="External"/><Relationship Id="rId69" Type="http://schemas.openxmlformats.org/officeDocument/2006/relationships/hyperlink" Target="javascript:GotoSubLeger_" TargetMode="External"/><Relationship Id="rId113" Type="http://schemas.openxmlformats.org/officeDocument/2006/relationships/hyperlink" Target="javascript:GotoSubLeger_" TargetMode="External"/><Relationship Id="rId134" Type="http://schemas.openxmlformats.org/officeDocument/2006/relationships/hyperlink" Target="javascript:GotoSubLeger_" TargetMode="External"/><Relationship Id="rId320" Type="http://schemas.openxmlformats.org/officeDocument/2006/relationships/hyperlink" Target="javascript:GotoSubLeger_" TargetMode="External"/><Relationship Id="rId80" Type="http://schemas.openxmlformats.org/officeDocument/2006/relationships/hyperlink" Target="javascript:GotoSubLeger_" TargetMode="External"/><Relationship Id="rId155" Type="http://schemas.openxmlformats.org/officeDocument/2006/relationships/hyperlink" Target="javascript:GotoSubLeger_" TargetMode="External"/><Relationship Id="rId176" Type="http://schemas.openxmlformats.org/officeDocument/2006/relationships/hyperlink" Target="javascript:GotoSubLeger_" TargetMode="External"/><Relationship Id="rId197" Type="http://schemas.openxmlformats.org/officeDocument/2006/relationships/hyperlink" Target="javascript:GotoSubLeger_" TargetMode="External"/><Relationship Id="rId341" Type="http://schemas.openxmlformats.org/officeDocument/2006/relationships/hyperlink" Target="javascript:GotoSubLeger_" TargetMode="External"/><Relationship Id="rId362" Type="http://schemas.openxmlformats.org/officeDocument/2006/relationships/hyperlink" Target="javascript:GotoSubLeger_" TargetMode="External"/><Relationship Id="rId383" Type="http://schemas.openxmlformats.org/officeDocument/2006/relationships/hyperlink" Target="javascript:GotoSubLeger_" TargetMode="External"/><Relationship Id="rId201" Type="http://schemas.openxmlformats.org/officeDocument/2006/relationships/hyperlink" Target="javascript:GotoSubLeger_" TargetMode="External"/><Relationship Id="rId222" Type="http://schemas.openxmlformats.org/officeDocument/2006/relationships/hyperlink" Target="javascript:GotoSubLeger_" TargetMode="External"/><Relationship Id="rId243" Type="http://schemas.openxmlformats.org/officeDocument/2006/relationships/hyperlink" Target="javascript:GotoSubLeger_" TargetMode="External"/><Relationship Id="rId264" Type="http://schemas.openxmlformats.org/officeDocument/2006/relationships/hyperlink" Target="javascript:GotoSubLeger_" TargetMode="External"/><Relationship Id="rId285" Type="http://schemas.openxmlformats.org/officeDocument/2006/relationships/hyperlink" Target="javascript:GotoSubLeger_" TargetMode="External"/><Relationship Id="rId17" Type="http://schemas.openxmlformats.org/officeDocument/2006/relationships/hyperlink" Target="javascript:GotoSubLeger_" TargetMode="External"/><Relationship Id="rId38" Type="http://schemas.openxmlformats.org/officeDocument/2006/relationships/hyperlink" Target="javascript:GotoSubLeger_" TargetMode="External"/><Relationship Id="rId59" Type="http://schemas.openxmlformats.org/officeDocument/2006/relationships/hyperlink" Target="javascript:GotoSubLeger_" TargetMode="External"/><Relationship Id="rId103" Type="http://schemas.openxmlformats.org/officeDocument/2006/relationships/hyperlink" Target="javascript:GotoSubLeger_" TargetMode="External"/><Relationship Id="rId124" Type="http://schemas.openxmlformats.org/officeDocument/2006/relationships/hyperlink" Target="javascript:GotoSubLeger_" TargetMode="External"/><Relationship Id="rId310" Type="http://schemas.openxmlformats.org/officeDocument/2006/relationships/hyperlink" Target="javascript:GotoSubLeger_" TargetMode="External"/><Relationship Id="rId70" Type="http://schemas.openxmlformats.org/officeDocument/2006/relationships/hyperlink" Target="javascript:GotoSubLeger_" TargetMode="External"/><Relationship Id="rId91" Type="http://schemas.openxmlformats.org/officeDocument/2006/relationships/hyperlink" Target="javascript:GotoSubLeger_" TargetMode="External"/><Relationship Id="rId145" Type="http://schemas.openxmlformats.org/officeDocument/2006/relationships/hyperlink" Target="javascript:GotoSubLeger_" TargetMode="External"/><Relationship Id="rId166" Type="http://schemas.openxmlformats.org/officeDocument/2006/relationships/hyperlink" Target="javascript:GotoSubLeger_" TargetMode="External"/><Relationship Id="rId187" Type="http://schemas.openxmlformats.org/officeDocument/2006/relationships/hyperlink" Target="javascript:GotoSubLeger_" TargetMode="External"/><Relationship Id="rId331" Type="http://schemas.openxmlformats.org/officeDocument/2006/relationships/hyperlink" Target="javascript:GotoSubLeger_" TargetMode="External"/><Relationship Id="rId352" Type="http://schemas.openxmlformats.org/officeDocument/2006/relationships/hyperlink" Target="javascript:GotoSubLeger_" TargetMode="External"/><Relationship Id="rId373" Type="http://schemas.openxmlformats.org/officeDocument/2006/relationships/hyperlink" Target="javascript:GotoSubLeger_" TargetMode="External"/><Relationship Id="rId1" Type="http://schemas.openxmlformats.org/officeDocument/2006/relationships/hyperlink" Target="javascript:GotoSubLeger_" TargetMode="External"/><Relationship Id="rId212" Type="http://schemas.openxmlformats.org/officeDocument/2006/relationships/hyperlink" Target="javascript:GotoSubLeger_" TargetMode="External"/><Relationship Id="rId233" Type="http://schemas.openxmlformats.org/officeDocument/2006/relationships/hyperlink" Target="javascript:GotoSubLeger_" TargetMode="External"/><Relationship Id="rId254" Type="http://schemas.openxmlformats.org/officeDocument/2006/relationships/hyperlink" Target="javascript:GotoSubLeger_" TargetMode="External"/><Relationship Id="rId28" Type="http://schemas.openxmlformats.org/officeDocument/2006/relationships/hyperlink" Target="javascript:GotoSubLeger_" TargetMode="External"/><Relationship Id="rId49" Type="http://schemas.openxmlformats.org/officeDocument/2006/relationships/hyperlink" Target="javascript:GotoSubLeger_" TargetMode="External"/><Relationship Id="rId114" Type="http://schemas.openxmlformats.org/officeDocument/2006/relationships/hyperlink" Target="javascript:GotoSubLeger_" TargetMode="External"/><Relationship Id="rId275" Type="http://schemas.openxmlformats.org/officeDocument/2006/relationships/hyperlink" Target="javascript:GotoSubLeger_" TargetMode="External"/><Relationship Id="rId296" Type="http://schemas.openxmlformats.org/officeDocument/2006/relationships/hyperlink" Target="javascript:GotoSubLeger_" TargetMode="External"/><Relationship Id="rId300" Type="http://schemas.openxmlformats.org/officeDocument/2006/relationships/hyperlink" Target="javascript:GotoSubLeger_" TargetMode="External"/><Relationship Id="rId60" Type="http://schemas.openxmlformats.org/officeDocument/2006/relationships/hyperlink" Target="javascript:GotoSubLeger_" TargetMode="External"/><Relationship Id="rId81" Type="http://schemas.openxmlformats.org/officeDocument/2006/relationships/hyperlink" Target="javascript:GotoSubLeger_" TargetMode="External"/><Relationship Id="rId135" Type="http://schemas.openxmlformats.org/officeDocument/2006/relationships/hyperlink" Target="javascript:GotoSubLeger_" TargetMode="External"/><Relationship Id="rId156" Type="http://schemas.openxmlformats.org/officeDocument/2006/relationships/hyperlink" Target="javascript:GotoSubLeger_" TargetMode="External"/><Relationship Id="rId177" Type="http://schemas.openxmlformats.org/officeDocument/2006/relationships/hyperlink" Target="javascript:GotoSubLeger_" TargetMode="External"/><Relationship Id="rId198" Type="http://schemas.openxmlformats.org/officeDocument/2006/relationships/hyperlink" Target="javascript:GotoSubLeger_" TargetMode="External"/><Relationship Id="rId321" Type="http://schemas.openxmlformats.org/officeDocument/2006/relationships/hyperlink" Target="javascript:GotoSubLeger_" TargetMode="External"/><Relationship Id="rId342" Type="http://schemas.openxmlformats.org/officeDocument/2006/relationships/hyperlink" Target="javascript:GotoSubLeger_" TargetMode="External"/><Relationship Id="rId363" Type="http://schemas.openxmlformats.org/officeDocument/2006/relationships/hyperlink" Target="javascript:GotoSubLeger_" TargetMode="External"/><Relationship Id="rId202" Type="http://schemas.openxmlformats.org/officeDocument/2006/relationships/hyperlink" Target="javascript:GotoSubLeger_" TargetMode="External"/><Relationship Id="rId223" Type="http://schemas.openxmlformats.org/officeDocument/2006/relationships/hyperlink" Target="javascript:GotoSubLeger_" TargetMode="External"/><Relationship Id="rId244" Type="http://schemas.openxmlformats.org/officeDocument/2006/relationships/hyperlink" Target="javascript:GotoSubLeger_" TargetMode="External"/><Relationship Id="rId18" Type="http://schemas.openxmlformats.org/officeDocument/2006/relationships/hyperlink" Target="javascript:GotoSubLeger_" TargetMode="External"/><Relationship Id="rId39" Type="http://schemas.openxmlformats.org/officeDocument/2006/relationships/hyperlink" Target="javascript:GotoSubLeger_" TargetMode="External"/><Relationship Id="rId265" Type="http://schemas.openxmlformats.org/officeDocument/2006/relationships/hyperlink" Target="javascript:GotoSubLeger_" TargetMode="External"/><Relationship Id="rId286" Type="http://schemas.openxmlformats.org/officeDocument/2006/relationships/hyperlink" Target="javascript:GotoSubLeger_" TargetMode="External"/><Relationship Id="rId50" Type="http://schemas.openxmlformats.org/officeDocument/2006/relationships/hyperlink" Target="javascript:GotoSubLeger_" TargetMode="External"/><Relationship Id="rId104" Type="http://schemas.openxmlformats.org/officeDocument/2006/relationships/hyperlink" Target="javascript:GotoSubLeger_" TargetMode="External"/><Relationship Id="rId125" Type="http://schemas.openxmlformats.org/officeDocument/2006/relationships/hyperlink" Target="javascript:GotoSubLeger_" TargetMode="External"/><Relationship Id="rId146" Type="http://schemas.openxmlformats.org/officeDocument/2006/relationships/hyperlink" Target="javascript:GotoSubLeger_" TargetMode="External"/><Relationship Id="rId167" Type="http://schemas.openxmlformats.org/officeDocument/2006/relationships/hyperlink" Target="javascript:GotoSubLeger_" TargetMode="External"/><Relationship Id="rId188" Type="http://schemas.openxmlformats.org/officeDocument/2006/relationships/hyperlink" Target="javascript:GotoSubLeger_" TargetMode="External"/><Relationship Id="rId311" Type="http://schemas.openxmlformats.org/officeDocument/2006/relationships/hyperlink" Target="javascript:GotoSubLeger_" TargetMode="External"/><Relationship Id="rId332" Type="http://schemas.openxmlformats.org/officeDocument/2006/relationships/hyperlink" Target="javascript:GotoSubLeger_" TargetMode="External"/><Relationship Id="rId353" Type="http://schemas.openxmlformats.org/officeDocument/2006/relationships/hyperlink" Target="javascript:GotoSubLeger_" TargetMode="External"/><Relationship Id="rId374" Type="http://schemas.openxmlformats.org/officeDocument/2006/relationships/hyperlink" Target="javascript:GotoSubLeger_" TargetMode="External"/><Relationship Id="rId71" Type="http://schemas.openxmlformats.org/officeDocument/2006/relationships/hyperlink" Target="javascript:GotoSubLeger_" TargetMode="External"/><Relationship Id="rId92" Type="http://schemas.openxmlformats.org/officeDocument/2006/relationships/hyperlink" Target="javascript:GotoSubLeger_" TargetMode="External"/><Relationship Id="rId213" Type="http://schemas.openxmlformats.org/officeDocument/2006/relationships/hyperlink" Target="javascript:GotoSubLeger_" TargetMode="External"/><Relationship Id="rId234" Type="http://schemas.openxmlformats.org/officeDocument/2006/relationships/hyperlink" Target="javascript:GotoSubLeger_" TargetMode="External"/><Relationship Id="rId2" Type="http://schemas.openxmlformats.org/officeDocument/2006/relationships/hyperlink" Target="javascript:GotoSubLeger_" TargetMode="External"/><Relationship Id="rId29" Type="http://schemas.openxmlformats.org/officeDocument/2006/relationships/hyperlink" Target="javascript:GotoSubLeger_" TargetMode="External"/><Relationship Id="rId255" Type="http://schemas.openxmlformats.org/officeDocument/2006/relationships/hyperlink" Target="javascript:GotoSubLeger_" TargetMode="External"/><Relationship Id="rId276" Type="http://schemas.openxmlformats.org/officeDocument/2006/relationships/hyperlink" Target="javascript:GotoSubLeger_" TargetMode="External"/><Relationship Id="rId297" Type="http://schemas.openxmlformats.org/officeDocument/2006/relationships/hyperlink" Target="javascript:GotoSubLeger_" TargetMode="External"/><Relationship Id="rId40" Type="http://schemas.openxmlformats.org/officeDocument/2006/relationships/hyperlink" Target="javascript:GotoSubLeger_" TargetMode="External"/><Relationship Id="rId115" Type="http://schemas.openxmlformats.org/officeDocument/2006/relationships/hyperlink" Target="javascript:GotoSubLeger_" TargetMode="External"/><Relationship Id="rId136" Type="http://schemas.openxmlformats.org/officeDocument/2006/relationships/hyperlink" Target="javascript:GotoSubLeger_" TargetMode="External"/><Relationship Id="rId157" Type="http://schemas.openxmlformats.org/officeDocument/2006/relationships/hyperlink" Target="javascript:GotoSubLeger_" TargetMode="External"/><Relationship Id="rId178" Type="http://schemas.openxmlformats.org/officeDocument/2006/relationships/hyperlink" Target="javascript:GotoSubLeger_" TargetMode="External"/><Relationship Id="rId301" Type="http://schemas.openxmlformats.org/officeDocument/2006/relationships/hyperlink" Target="javascript:GotoSubLeger_" TargetMode="External"/><Relationship Id="rId322" Type="http://schemas.openxmlformats.org/officeDocument/2006/relationships/hyperlink" Target="javascript:GotoSubLeger_" TargetMode="External"/><Relationship Id="rId343" Type="http://schemas.openxmlformats.org/officeDocument/2006/relationships/hyperlink" Target="javascript:GotoSubLeger_" TargetMode="External"/><Relationship Id="rId364" Type="http://schemas.openxmlformats.org/officeDocument/2006/relationships/hyperlink" Target="javascript:GotoSubLeger_" TargetMode="External"/><Relationship Id="rId61" Type="http://schemas.openxmlformats.org/officeDocument/2006/relationships/hyperlink" Target="javascript:GotoSubLeger_" TargetMode="External"/><Relationship Id="rId82" Type="http://schemas.openxmlformats.org/officeDocument/2006/relationships/hyperlink" Target="javascript:GotoSubLeger_" TargetMode="External"/><Relationship Id="rId199" Type="http://schemas.openxmlformats.org/officeDocument/2006/relationships/hyperlink" Target="javascript:GotoSubLeger_" TargetMode="External"/><Relationship Id="rId203" Type="http://schemas.openxmlformats.org/officeDocument/2006/relationships/hyperlink" Target="javascript:GotoSubLeger_" TargetMode="External"/><Relationship Id="rId19" Type="http://schemas.openxmlformats.org/officeDocument/2006/relationships/hyperlink" Target="javascript:GotoSubLeger_" TargetMode="External"/><Relationship Id="rId224" Type="http://schemas.openxmlformats.org/officeDocument/2006/relationships/hyperlink" Target="javascript:GotoSubLeger_" TargetMode="External"/><Relationship Id="rId245" Type="http://schemas.openxmlformats.org/officeDocument/2006/relationships/hyperlink" Target="javascript:GotoSubLeger_" TargetMode="External"/><Relationship Id="rId266" Type="http://schemas.openxmlformats.org/officeDocument/2006/relationships/hyperlink" Target="javascript:GotoSubLeger_" TargetMode="External"/><Relationship Id="rId287" Type="http://schemas.openxmlformats.org/officeDocument/2006/relationships/hyperlink" Target="javascript:GotoSubLeger_" TargetMode="External"/><Relationship Id="rId30" Type="http://schemas.openxmlformats.org/officeDocument/2006/relationships/hyperlink" Target="javascript:GotoSubLeger_" TargetMode="External"/><Relationship Id="rId105" Type="http://schemas.openxmlformats.org/officeDocument/2006/relationships/hyperlink" Target="javascript:GotoSubLeger_" TargetMode="External"/><Relationship Id="rId126" Type="http://schemas.openxmlformats.org/officeDocument/2006/relationships/hyperlink" Target="javascript:GotoSubLeger_" TargetMode="External"/><Relationship Id="rId147" Type="http://schemas.openxmlformats.org/officeDocument/2006/relationships/hyperlink" Target="javascript:GotoSubLeger_" TargetMode="External"/><Relationship Id="rId168" Type="http://schemas.openxmlformats.org/officeDocument/2006/relationships/hyperlink" Target="javascript:GotoSubLeger_" TargetMode="External"/><Relationship Id="rId312" Type="http://schemas.openxmlformats.org/officeDocument/2006/relationships/hyperlink" Target="javascript:GotoSubLeger_" TargetMode="External"/><Relationship Id="rId333" Type="http://schemas.openxmlformats.org/officeDocument/2006/relationships/hyperlink" Target="javascript:GotoSubLeger_" TargetMode="External"/><Relationship Id="rId354" Type="http://schemas.openxmlformats.org/officeDocument/2006/relationships/hyperlink" Target="javascript:GotoSubLeger_" TargetMode="External"/><Relationship Id="rId51" Type="http://schemas.openxmlformats.org/officeDocument/2006/relationships/hyperlink" Target="javascript:GotoSubLeger_" TargetMode="External"/><Relationship Id="rId72" Type="http://schemas.openxmlformats.org/officeDocument/2006/relationships/hyperlink" Target="javascript:GotoSubLeger_" TargetMode="External"/><Relationship Id="rId93" Type="http://schemas.openxmlformats.org/officeDocument/2006/relationships/hyperlink" Target="javascript:GotoSubLeger_" TargetMode="External"/><Relationship Id="rId189" Type="http://schemas.openxmlformats.org/officeDocument/2006/relationships/hyperlink" Target="javascript:GotoSubLeger_" TargetMode="External"/><Relationship Id="rId375" Type="http://schemas.openxmlformats.org/officeDocument/2006/relationships/hyperlink" Target="javascript:GotoSubLeger_" TargetMode="External"/><Relationship Id="rId3" Type="http://schemas.openxmlformats.org/officeDocument/2006/relationships/hyperlink" Target="javascript:GotoSubLeger_" TargetMode="External"/><Relationship Id="rId214" Type="http://schemas.openxmlformats.org/officeDocument/2006/relationships/hyperlink" Target="javascript:GotoSubLeger_" TargetMode="External"/><Relationship Id="rId235" Type="http://schemas.openxmlformats.org/officeDocument/2006/relationships/hyperlink" Target="javascript:GotoSubLeger_" TargetMode="External"/><Relationship Id="rId256" Type="http://schemas.openxmlformats.org/officeDocument/2006/relationships/hyperlink" Target="javascript:GotoSubLeger_" TargetMode="External"/><Relationship Id="rId277" Type="http://schemas.openxmlformats.org/officeDocument/2006/relationships/hyperlink" Target="javascript:GotoSubLeger_" TargetMode="External"/><Relationship Id="rId298" Type="http://schemas.openxmlformats.org/officeDocument/2006/relationships/hyperlink" Target="javascript:GotoSubLeger_" TargetMode="External"/><Relationship Id="rId116" Type="http://schemas.openxmlformats.org/officeDocument/2006/relationships/hyperlink" Target="javascript:GotoSubLeger_" TargetMode="External"/><Relationship Id="rId137" Type="http://schemas.openxmlformats.org/officeDocument/2006/relationships/hyperlink" Target="javascript:GotoSubLeger_" TargetMode="External"/><Relationship Id="rId158" Type="http://schemas.openxmlformats.org/officeDocument/2006/relationships/hyperlink" Target="javascript:GotoSubLeger_" TargetMode="External"/><Relationship Id="rId302" Type="http://schemas.openxmlformats.org/officeDocument/2006/relationships/hyperlink" Target="javascript:GotoSubLeger_" TargetMode="External"/><Relationship Id="rId323" Type="http://schemas.openxmlformats.org/officeDocument/2006/relationships/hyperlink" Target="javascript:GotoSubLeger_" TargetMode="External"/><Relationship Id="rId344" Type="http://schemas.openxmlformats.org/officeDocument/2006/relationships/hyperlink" Target="javascript:GotoSubLeger_" TargetMode="External"/><Relationship Id="rId20" Type="http://schemas.openxmlformats.org/officeDocument/2006/relationships/hyperlink" Target="javascript:GotoSubLeger_" TargetMode="External"/><Relationship Id="rId41" Type="http://schemas.openxmlformats.org/officeDocument/2006/relationships/hyperlink" Target="javascript:GotoSubLeger_" TargetMode="External"/><Relationship Id="rId62" Type="http://schemas.openxmlformats.org/officeDocument/2006/relationships/hyperlink" Target="javascript:GotoSubLeger_" TargetMode="External"/><Relationship Id="rId83" Type="http://schemas.openxmlformats.org/officeDocument/2006/relationships/hyperlink" Target="javascript:GotoSubLeger_" TargetMode="External"/><Relationship Id="rId179" Type="http://schemas.openxmlformats.org/officeDocument/2006/relationships/hyperlink" Target="javascript:GotoSubLeger_" TargetMode="External"/><Relationship Id="rId365" Type="http://schemas.openxmlformats.org/officeDocument/2006/relationships/hyperlink" Target="javascript:GotoSubLeger_" TargetMode="External"/><Relationship Id="rId190" Type="http://schemas.openxmlformats.org/officeDocument/2006/relationships/hyperlink" Target="javascript:GotoSubLeger_" TargetMode="External"/><Relationship Id="rId204" Type="http://schemas.openxmlformats.org/officeDocument/2006/relationships/hyperlink" Target="javascript:GotoSubLeger_" TargetMode="External"/><Relationship Id="rId225" Type="http://schemas.openxmlformats.org/officeDocument/2006/relationships/hyperlink" Target="javascript:GotoSubLeger_" TargetMode="External"/><Relationship Id="rId246" Type="http://schemas.openxmlformats.org/officeDocument/2006/relationships/hyperlink" Target="javascript:GotoSubLeger_" TargetMode="External"/><Relationship Id="rId267" Type="http://schemas.openxmlformats.org/officeDocument/2006/relationships/hyperlink" Target="javascript:GotoSubLeger_" TargetMode="External"/><Relationship Id="rId288" Type="http://schemas.openxmlformats.org/officeDocument/2006/relationships/hyperlink" Target="javascript:GotoSubLeger_" TargetMode="External"/><Relationship Id="rId106" Type="http://schemas.openxmlformats.org/officeDocument/2006/relationships/hyperlink" Target="javascript:GotoSubLeger_" TargetMode="External"/><Relationship Id="rId127" Type="http://schemas.openxmlformats.org/officeDocument/2006/relationships/hyperlink" Target="javascript:GotoSubLeger_" TargetMode="External"/><Relationship Id="rId313" Type="http://schemas.openxmlformats.org/officeDocument/2006/relationships/hyperlink" Target="javascript:GotoSubLeger_" TargetMode="External"/><Relationship Id="rId10" Type="http://schemas.openxmlformats.org/officeDocument/2006/relationships/hyperlink" Target="javascript:GotoSubLeger_" TargetMode="External"/><Relationship Id="rId31" Type="http://schemas.openxmlformats.org/officeDocument/2006/relationships/hyperlink" Target="javascript:GotoSubLeger_" TargetMode="External"/><Relationship Id="rId52" Type="http://schemas.openxmlformats.org/officeDocument/2006/relationships/hyperlink" Target="javascript:GotoSubLeger_" TargetMode="External"/><Relationship Id="rId73" Type="http://schemas.openxmlformats.org/officeDocument/2006/relationships/hyperlink" Target="javascript:GotoSubLeger_" TargetMode="External"/><Relationship Id="rId94" Type="http://schemas.openxmlformats.org/officeDocument/2006/relationships/hyperlink" Target="javascript:GotoSubLeger_" TargetMode="External"/><Relationship Id="rId148" Type="http://schemas.openxmlformats.org/officeDocument/2006/relationships/hyperlink" Target="javascript:GotoSubLeger_" TargetMode="External"/><Relationship Id="rId169" Type="http://schemas.openxmlformats.org/officeDocument/2006/relationships/hyperlink" Target="javascript:GotoSubLeger_" TargetMode="External"/><Relationship Id="rId334" Type="http://schemas.openxmlformats.org/officeDocument/2006/relationships/hyperlink" Target="javascript:GotoSubLeger_" TargetMode="External"/><Relationship Id="rId355" Type="http://schemas.openxmlformats.org/officeDocument/2006/relationships/hyperlink" Target="javascript:GotoSubLeger_" TargetMode="External"/><Relationship Id="rId376" Type="http://schemas.openxmlformats.org/officeDocument/2006/relationships/hyperlink" Target="javascript:GotoSubLeger_" TargetMode="External"/><Relationship Id="rId4" Type="http://schemas.openxmlformats.org/officeDocument/2006/relationships/hyperlink" Target="javascript:GotoSubLeger_" TargetMode="External"/><Relationship Id="rId180" Type="http://schemas.openxmlformats.org/officeDocument/2006/relationships/hyperlink" Target="javascript:GotoSubLeger_" TargetMode="External"/><Relationship Id="rId215" Type="http://schemas.openxmlformats.org/officeDocument/2006/relationships/hyperlink" Target="javascript:GotoSubLeger_" TargetMode="External"/><Relationship Id="rId236" Type="http://schemas.openxmlformats.org/officeDocument/2006/relationships/hyperlink" Target="javascript:GotoSubLeger_" TargetMode="External"/><Relationship Id="rId257" Type="http://schemas.openxmlformats.org/officeDocument/2006/relationships/hyperlink" Target="javascript:GotoSubLeger_" TargetMode="External"/><Relationship Id="rId278" Type="http://schemas.openxmlformats.org/officeDocument/2006/relationships/hyperlink" Target="javascript:GotoSubLeger_" TargetMode="External"/><Relationship Id="rId303" Type="http://schemas.openxmlformats.org/officeDocument/2006/relationships/hyperlink" Target="javascript:GotoSubLeger_" TargetMode="External"/><Relationship Id="rId42" Type="http://schemas.openxmlformats.org/officeDocument/2006/relationships/hyperlink" Target="javascript:GotoSubLeger_" TargetMode="External"/><Relationship Id="rId84" Type="http://schemas.openxmlformats.org/officeDocument/2006/relationships/hyperlink" Target="javascript:GotoSubLeger_" TargetMode="External"/><Relationship Id="rId138" Type="http://schemas.openxmlformats.org/officeDocument/2006/relationships/hyperlink" Target="javascript:GotoSubLeger_" TargetMode="External"/><Relationship Id="rId345" Type="http://schemas.openxmlformats.org/officeDocument/2006/relationships/hyperlink" Target="javascript:GotoSubLeger_" TargetMode="External"/><Relationship Id="rId191" Type="http://schemas.openxmlformats.org/officeDocument/2006/relationships/hyperlink" Target="javascript:GotoSubLeger_" TargetMode="External"/><Relationship Id="rId205" Type="http://schemas.openxmlformats.org/officeDocument/2006/relationships/hyperlink" Target="javascript:GotoSubLeger_" TargetMode="External"/><Relationship Id="rId247" Type="http://schemas.openxmlformats.org/officeDocument/2006/relationships/hyperlink" Target="javascript:GotoSubLeger_" TargetMode="External"/><Relationship Id="rId107" Type="http://schemas.openxmlformats.org/officeDocument/2006/relationships/hyperlink" Target="javascript:GotoSubLeger_" TargetMode="External"/><Relationship Id="rId289" Type="http://schemas.openxmlformats.org/officeDocument/2006/relationships/hyperlink" Target="javascript:GotoSubLeger_" TargetMode="External"/><Relationship Id="rId11" Type="http://schemas.openxmlformats.org/officeDocument/2006/relationships/hyperlink" Target="javascript:GotoSubLeger_" TargetMode="External"/><Relationship Id="rId53" Type="http://schemas.openxmlformats.org/officeDocument/2006/relationships/hyperlink" Target="javascript:GotoSubLeger_" TargetMode="External"/><Relationship Id="rId149" Type="http://schemas.openxmlformats.org/officeDocument/2006/relationships/hyperlink" Target="javascript:GotoSubLeger_" TargetMode="External"/><Relationship Id="rId314" Type="http://schemas.openxmlformats.org/officeDocument/2006/relationships/hyperlink" Target="javascript:GotoSubLeger_" TargetMode="External"/><Relationship Id="rId356" Type="http://schemas.openxmlformats.org/officeDocument/2006/relationships/hyperlink" Target="javascript:GotoSubLeger_" TargetMode="External"/><Relationship Id="rId95" Type="http://schemas.openxmlformats.org/officeDocument/2006/relationships/hyperlink" Target="javascript:GotoSubLeger_" TargetMode="External"/><Relationship Id="rId160" Type="http://schemas.openxmlformats.org/officeDocument/2006/relationships/hyperlink" Target="javascript:GotoSubLeger_" TargetMode="External"/><Relationship Id="rId216" Type="http://schemas.openxmlformats.org/officeDocument/2006/relationships/hyperlink" Target="javascript:GotoSubLeger_" TargetMode="External"/><Relationship Id="rId258" Type="http://schemas.openxmlformats.org/officeDocument/2006/relationships/hyperlink" Target="javascript:GotoSubLeger_" TargetMode="External"/><Relationship Id="rId22" Type="http://schemas.openxmlformats.org/officeDocument/2006/relationships/hyperlink" Target="javascript:GotoSubLeger_" TargetMode="External"/><Relationship Id="rId64" Type="http://schemas.openxmlformats.org/officeDocument/2006/relationships/hyperlink" Target="javascript:GotoSubLeger_" TargetMode="External"/><Relationship Id="rId118" Type="http://schemas.openxmlformats.org/officeDocument/2006/relationships/hyperlink" Target="javascript:GotoSubLeger_" TargetMode="External"/><Relationship Id="rId325" Type="http://schemas.openxmlformats.org/officeDocument/2006/relationships/hyperlink" Target="javascript:GotoSubLeger_" TargetMode="External"/><Relationship Id="rId367" Type="http://schemas.openxmlformats.org/officeDocument/2006/relationships/hyperlink" Target="javascript:GotoSubLeger_" TargetMode="External"/><Relationship Id="rId171" Type="http://schemas.openxmlformats.org/officeDocument/2006/relationships/hyperlink" Target="javascript:GotoSubLeger_" TargetMode="External"/><Relationship Id="rId227" Type="http://schemas.openxmlformats.org/officeDocument/2006/relationships/hyperlink" Target="javascript:GotoSubLeger_" TargetMode="External"/><Relationship Id="rId269" Type="http://schemas.openxmlformats.org/officeDocument/2006/relationships/hyperlink" Target="javascript:GotoSubLeger_" TargetMode="External"/><Relationship Id="rId33" Type="http://schemas.openxmlformats.org/officeDocument/2006/relationships/hyperlink" Target="javascript:GotoSubLeger_" TargetMode="External"/><Relationship Id="rId129" Type="http://schemas.openxmlformats.org/officeDocument/2006/relationships/hyperlink" Target="javascript:GotoSubLeger_" TargetMode="External"/><Relationship Id="rId280" Type="http://schemas.openxmlformats.org/officeDocument/2006/relationships/hyperlink" Target="javascript:GotoSubLeger_" TargetMode="External"/><Relationship Id="rId336" Type="http://schemas.openxmlformats.org/officeDocument/2006/relationships/hyperlink" Target="javascript:GotoSubLeger_" TargetMode="External"/><Relationship Id="rId75" Type="http://schemas.openxmlformats.org/officeDocument/2006/relationships/hyperlink" Target="javascript:GotoSubLeger_" TargetMode="External"/><Relationship Id="rId140" Type="http://schemas.openxmlformats.org/officeDocument/2006/relationships/hyperlink" Target="javascript:GotoSubLeger_" TargetMode="External"/><Relationship Id="rId182" Type="http://schemas.openxmlformats.org/officeDocument/2006/relationships/hyperlink" Target="javascript:GotoSubLeger_" TargetMode="External"/><Relationship Id="rId378" Type="http://schemas.openxmlformats.org/officeDocument/2006/relationships/hyperlink" Target="javascript:GotoSubLeger_" TargetMode="External"/><Relationship Id="rId6" Type="http://schemas.openxmlformats.org/officeDocument/2006/relationships/hyperlink" Target="javascript:GotoSubLeger_" TargetMode="External"/><Relationship Id="rId238" Type="http://schemas.openxmlformats.org/officeDocument/2006/relationships/hyperlink" Target="javascript:GotoSubLeger_" TargetMode="External"/><Relationship Id="rId291" Type="http://schemas.openxmlformats.org/officeDocument/2006/relationships/hyperlink" Target="javascript:GotoSubLeger_" TargetMode="External"/><Relationship Id="rId305" Type="http://schemas.openxmlformats.org/officeDocument/2006/relationships/hyperlink" Target="javascript:GotoSubLeger_" TargetMode="External"/><Relationship Id="rId347" Type="http://schemas.openxmlformats.org/officeDocument/2006/relationships/hyperlink" Target="javascript:GotoSubLeger_" TargetMode="External"/><Relationship Id="rId44" Type="http://schemas.openxmlformats.org/officeDocument/2006/relationships/hyperlink" Target="javascript:GotoSubLeger_" TargetMode="External"/><Relationship Id="rId86" Type="http://schemas.openxmlformats.org/officeDocument/2006/relationships/hyperlink" Target="javascript:GotoSubLeger_" TargetMode="External"/><Relationship Id="rId151" Type="http://schemas.openxmlformats.org/officeDocument/2006/relationships/hyperlink" Target="javascript:GotoSubLeger_" TargetMode="External"/><Relationship Id="rId193" Type="http://schemas.openxmlformats.org/officeDocument/2006/relationships/hyperlink" Target="javascript:GotoSubLeger_" TargetMode="External"/><Relationship Id="rId207" Type="http://schemas.openxmlformats.org/officeDocument/2006/relationships/hyperlink" Target="javascript:GotoSubLeger_" TargetMode="External"/><Relationship Id="rId249" Type="http://schemas.openxmlformats.org/officeDocument/2006/relationships/hyperlink" Target="javascript:GotoSubLeger_" TargetMode="External"/><Relationship Id="rId13" Type="http://schemas.openxmlformats.org/officeDocument/2006/relationships/hyperlink" Target="javascript:GotoSubLeger_" TargetMode="External"/><Relationship Id="rId109" Type="http://schemas.openxmlformats.org/officeDocument/2006/relationships/hyperlink" Target="javascript:GotoSubLeger_" TargetMode="External"/><Relationship Id="rId260" Type="http://schemas.openxmlformats.org/officeDocument/2006/relationships/hyperlink" Target="javascript:GotoSubLeger_" TargetMode="External"/><Relationship Id="rId316" Type="http://schemas.openxmlformats.org/officeDocument/2006/relationships/hyperlink" Target="javascript:GotoSubLeger_" TargetMode="External"/><Relationship Id="rId55" Type="http://schemas.openxmlformats.org/officeDocument/2006/relationships/hyperlink" Target="javascript:GotoSubLeger_" TargetMode="External"/><Relationship Id="rId97" Type="http://schemas.openxmlformats.org/officeDocument/2006/relationships/hyperlink" Target="javascript:GotoSubLeger_" TargetMode="External"/><Relationship Id="rId120" Type="http://schemas.openxmlformats.org/officeDocument/2006/relationships/hyperlink" Target="javascript:GotoSubLeger_" TargetMode="External"/><Relationship Id="rId358" Type="http://schemas.openxmlformats.org/officeDocument/2006/relationships/hyperlink" Target="javascript:GotoSubLeger_" TargetMode="External"/><Relationship Id="rId162" Type="http://schemas.openxmlformats.org/officeDocument/2006/relationships/hyperlink" Target="javascript:GotoSubLeger_" TargetMode="External"/><Relationship Id="rId218" Type="http://schemas.openxmlformats.org/officeDocument/2006/relationships/hyperlink" Target="javascript:GotoSubLeger_" TargetMode="External"/><Relationship Id="rId271" Type="http://schemas.openxmlformats.org/officeDocument/2006/relationships/hyperlink" Target="javascript:GotoSubLeger_" TargetMode="External"/><Relationship Id="rId24" Type="http://schemas.openxmlformats.org/officeDocument/2006/relationships/hyperlink" Target="javascript:GotoSubLeger_" TargetMode="External"/><Relationship Id="rId66" Type="http://schemas.openxmlformats.org/officeDocument/2006/relationships/hyperlink" Target="javascript:GotoSubLeger_" TargetMode="External"/><Relationship Id="rId131" Type="http://schemas.openxmlformats.org/officeDocument/2006/relationships/hyperlink" Target="javascript:GotoSubLeger_" TargetMode="External"/><Relationship Id="rId327" Type="http://schemas.openxmlformats.org/officeDocument/2006/relationships/hyperlink" Target="javascript:GotoSubLeger_" TargetMode="External"/><Relationship Id="rId369" Type="http://schemas.openxmlformats.org/officeDocument/2006/relationships/hyperlink" Target="javascript:GotoSubLeger_" TargetMode="External"/><Relationship Id="rId173" Type="http://schemas.openxmlformats.org/officeDocument/2006/relationships/hyperlink" Target="javascript:GotoSubLeger_" TargetMode="External"/><Relationship Id="rId229" Type="http://schemas.openxmlformats.org/officeDocument/2006/relationships/hyperlink" Target="javascript:GotoSubLeger_" TargetMode="External"/><Relationship Id="rId380" Type="http://schemas.openxmlformats.org/officeDocument/2006/relationships/hyperlink" Target="javascript:GotoSubLeger_" TargetMode="External"/><Relationship Id="rId240" Type="http://schemas.openxmlformats.org/officeDocument/2006/relationships/hyperlink" Target="javascript:GotoSubLeger_" TargetMode="External"/><Relationship Id="rId35" Type="http://schemas.openxmlformats.org/officeDocument/2006/relationships/hyperlink" Target="javascript:GotoSubLeger_" TargetMode="External"/><Relationship Id="rId77" Type="http://schemas.openxmlformats.org/officeDocument/2006/relationships/hyperlink" Target="javascript:GotoSubLeger_" TargetMode="External"/><Relationship Id="rId100" Type="http://schemas.openxmlformats.org/officeDocument/2006/relationships/hyperlink" Target="javascript:GotoSubLeger_" TargetMode="External"/><Relationship Id="rId282" Type="http://schemas.openxmlformats.org/officeDocument/2006/relationships/hyperlink" Target="javascript:GotoSubLeger_" TargetMode="External"/><Relationship Id="rId338" Type="http://schemas.openxmlformats.org/officeDocument/2006/relationships/hyperlink" Target="javascript:GotoSubLeger_" TargetMode="External"/><Relationship Id="rId8" Type="http://schemas.openxmlformats.org/officeDocument/2006/relationships/hyperlink" Target="javascript:GotoSubLeger_" TargetMode="External"/><Relationship Id="rId142" Type="http://schemas.openxmlformats.org/officeDocument/2006/relationships/hyperlink" Target="javascript:GotoSubLeger_" TargetMode="External"/><Relationship Id="rId184" Type="http://schemas.openxmlformats.org/officeDocument/2006/relationships/hyperlink" Target="javascript:GotoSubLeger_" TargetMode="External"/><Relationship Id="rId251" Type="http://schemas.openxmlformats.org/officeDocument/2006/relationships/hyperlink" Target="javascript:GotoSubLeger_" TargetMode="External"/><Relationship Id="rId46" Type="http://schemas.openxmlformats.org/officeDocument/2006/relationships/hyperlink" Target="javascript:GotoSubLeger_" TargetMode="External"/><Relationship Id="rId293" Type="http://schemas.openxmlformats.org/officeDocument/2006/relationships/hyperlink" Target="javascript:GotoSubLeger_" TargetMode="External"/><Relationship Id="rId307" Type="http://schemas.openxmlformats.org/officeDocument/2006/relationships/hyperlink" Target="javascript:GotoSubLeger_" TargetMode="External"/><Relationship Id="rId349" Type="http://schemas.openxmlformats.org/officeDocument/2006/relationships/hyperlink" Target="javascript:GotoSubLeger_" TargetMode="External"/><Relationship Id="rId88" Type="http://schemas.openxmlformats.org/officeDocument/2006/relationships/hyperlink" Target="javascript:GotoSubLeger_" TargetMode="External"/><Relationship Id="rId111" Type="http://schemas.openxmlformats.org/officeDocument/2006/relationships/hyperlink" Target="javascript:GotoSubLeger_" TargetMode="External"/><Relationship Id="rId153" Type="http://schemas.openxmlformats.org/officeDocument/2006/relationships/hyperlink" Target="javascript:GotoSubLeger_" TargetMode="External"/><Relationship Id="rId195" Type="http://schemas.openxmlformats.org/officeDocument/2006/relationships/hyperlink" Target="javascript:GotoSubLeger_" TargetMode="External"/><Relationship Id="rId209" Type="http://schemas.openxmlformats.org/officeDocument/2006/relationships/hyperlink" Target="javascript:GotoSubLeger_" TargetMode="External"/><Relationship Id="rId360" Type="http://schemas.openxmlformats.org/officeDocument/2006/relationships/hyperlink" Target="javascript:GotoSubLeger_" TargetMode="External"/><Relationship Id="rId220" Type="http://schemas.openxmlformats.org/officeDocument/2006/relationships/hyperlink" Target="javascript:GotoSubLeger_" TargetMode="External"/><Relationship Id="rId15" Type="http://schemas.openxmlformats.org/officeDocument/2006/relationships/hyperlink" Target="javascript:GotoSubLeger_" TargetMode="External"/><Relationship Id="rId57" Type="http://schemas.openxmlformats.org/officeDocument/2006/relationships/hyperlink" Target="javascript:GotoSubLeger_" TargetMode="External"/><Relationship Id="rId262" Type="http://schemas.openxmlformats.org/officeDocument/2006/relationships/hyperlink" Target="javascript:GotoSubLeger_" TargetMode="External"/><Relationship Id="rId318" Type="http://schemas.openxmlformats.org/officeDocument/2006/relationships/hyperlink" Target="javascript:GotoSubLeger_" TargetMode="External"/><Relationship Id="rId99" Type="http://schemas.openxmlformats.org/officeDocument/2006/relationships/hyperlink" Target="javascript:GotoSubLeger_" TargetMode="External"/><Relationship Id="rId122" Type="http://schemas.openxmlformats.org/officeDocument/2006/relationships/hyperlink" Target="javascript:GotoSubLeger_" TargetMode="External"/><Relationship Id="rId164" Type="http://schemas.openxmlformats.org/officeDocument/2006/relationships/hyperlink" Target="javascript:GotoSubLeger_" TargetMode="External"/><Relationship Id="rId371" Type="http://schemas.openxmlformats.org/officeDocument/2006/relationships/hyperlink" Target="javascript:GotoSubLeger_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GotoSubLeger_" TargetMode="External"/><Relationship Id="rId299" Type="http://schemas.openxmlformats.org/officeDocument/2006/relationships/hyperlink" Target="javascript:GotoSubLeger_" TargetMode="External"/><Relationship Id="rId21" Type="http://schemas.openxmlformats.org/officeDocument/2006/relationships/hyperlink" Target="javascript:GotoSubLeger_" TargetMode="External"/><Relationship Id="rId63" Type="http://schemas.openxmlformats.org/officeDocument/2006/relationships/hyperlink" Target="javascript:GotoSubLeger_" TargetMode="External"/><Relationship Id="rId159" Type="http://schemas.openxmlformats.org/officeDocument/2006/relationships/hyperlink" Target="javascript:GotoSubLeger_" TargetMode="External"/><Relationship Id="rId324" Type="http://schemas.openxmlformats.org/officeDocument/2006/relationships/hyperlink" Target="javascript:GotoSubLeger_" TargetMode="External"/><Relationship Id="rId170" Type="http://schemas.openxmlformats.org/officeDocument/2006/relationships/hyperlink" Target="javascript:GotoSubLeger_" TargetMode="External"/><Relationship Id="rId226" Type="http://schemas.openxmlformats.org/officeDocument/2006/relationships/hyperlink" Target="javascript:GotoSubLeger_" TargetMode="External"/><Relationship Id="rId268" Type="http://schemas.openxmlformats.org/officeDocument/2006/relationships/hyperlink" Target="javascript:GotoSubLeger_" TargetMode="External"/><Relationship Id="rId32" Type="http://schemas.openxmlformats.org/officeDocument/2006/relationships/hyperlink" Target="javascript:GotoSubLeger_" TargetMode="External"/><Relationship Id="rId74" Type="http://schemas.openxmlformats.org/officeDocument/2006/relationships/hyperlink" Target="javascript:GotoSubLeger_" TargetMode="External"/><Relationship Id="rId128" Type="http://schemas.openxmlformats.org/officeDocument/2006/relationships/hyperlink" Target="javascript:GotoSubLeger_" TargetMode="External"/><Relationship Id="rId335" Type="http://schemas.openxmlformats.org/officeDocument/2006/relationships/hyperlink" Target="javascript:GotoSubLeger_" TargetMode="External"/><Relationship Id="rId5" Type="http://schemas.openxmlformats.org/officeDocument/2006/relationships/hyperlink" Target="javascript:GotoSubLeger_" TargetMode="External"/><Relationship Id="rId181" Type="http://schemas.openxmlformats.org/officeDocument/2006/relationships/hyperlink" Target="javascript:GotoSubLeger_" TargetMode="External"/><Relationship Id="rId237" Type="http://schemas.openxmlformats.org/officeDocument/2006/relationships/hyperlink" Target="javascript:GotoSubLeger_" TargetMode="External"/><Relationship Id="rId279" Type="http://schemas.openxmlformats.org/officeDocument/2006/relationships/hyperlink" Target="javascript:GotoSubLeger_" TargetMode="External"/><Relationship Id="rId43" Type="http://schemas.openxmlformats.org/officeDocument/2006/relationships/hyperlink" Target="javascript:GotoSubLeger_" TargetMode="External"/><Relationship Id="rId139" Type="http://schemas.openxmlformats.org/officeDocument/2006/relationships/hyperlink" Target="javascript:GotoSubLeger_" TargetMode="External"/><Relationship Id="rId290" Type="http://schemas.openxmlformats.org/officeDocument/2006/relationships/hyperlink" Target="javascript:GotoSubLeger_" TargetMode="External"/><Relationship Id="rId304" Type="http://schemas.openxmlformats.org/officeDocument/2006/relationships/hyperlink" Target="javascript:GotoSubLeger_" TargetMode="External"/><Relationship Id="rId85" Type="http://schemas.openxmlformats.org/officeDocument/2006/relationships/hyperlink" Target="javascript:GotoSubLeger_" TargetMode="External"/><Relationship Id="rId150" Type="http://schemas.openxmlformats.org/officeDocument/2006/relationships/hyperlink" Target="javascript:GotoSubLeger_" TargetMode="External"/><Relationship Id="rId192" Type="http://schemas.openxmlformats.org/officeDocument/2006/relationships/hyperlink" Target="javascript:GotoSubLeger_" TargetMode="External"/><Relationship Id="rId206" Type="http://schemas.openxmlformats.org/officeDocument/2006/relationships/hyperlink" Target="javascript:GotoSubLeger_" TargetMode="External"/><Relationship Id="rId248" Type="http://schemas.openxmlformats.org/officeDocument/2006/relationships/hyperlink" Target="javascript:GotoSubLeger_" TargetMode="External"/><Relationship Id="rId12" Type="http://schemas.openxmlformats.org/officeDocument/2006/relationships/hyperlink" Target="javascript:GotoSubLeger_" TargetMode="External"/><Relationship Id="rId108" Type="http://schemas.openxmlformats.org/officeDocument/2006/relationships/hyperlink" Target="javascript:GotoSubLeger_" TargetMode="External"/><Relationship Id="rId315" Type="http://schemas.openxmlformats.org/officeDocument/2006/relationships/hyperlink" Target="javascript:GotoSubLeger_" TargetMode="External"/><Relationship Id="rId54" Type="http://schemas.openxmlformats.org/officeDocument/2006/relationships/hyperlink" Target="javascript:GotoSubLeger_" TargetMode="External"/><Relationship Id="rId96" Type="http://schemas.openxmlformats.org/officeDocument/2006/relationships/hyperlink" Target="javascript:GotoSubLeger_" TargetMode="External"/><Relationship Id="rId161" Type="http://schemas.openxmlformats.org/officeDocument/2006/relationships/hyperlink" Target="javascript:GotoSubLeger_" TargetMode="External"/><Relationship Id="rId217" Type="http://schemas.openxmlformats.org/officeDocument/2006/relationships/hyperlink" Target="javascript:GotoSubLeger_" TargetMode="External"/><Relationship Id="rId259" Type="http://schemas.openxmlformats.org/officeDocument/2006/relationships/hyperlink" Target="javascript:GotoSubLeger_" TargetMode="External"/><Relationship Id="rId23" Type="http://schemas.openxmlformats.org/officeDocument/2006/relationships/hyperlink" Target="javascript:GotoSubLeger_" TargetMode="External"/><Relationship Id="rId119" Type="http://schemas.openxmlformats.org/officeDocument/2006/relationships/hyperlink" Target="javascript:GotoSubLeger_" TargetMode="External"/><Relationship Id="rId270" Type="http://schemas.openxmlformats.org/officeDocument/2006/relationships/hyperlink" Target="javascript:GotoSubLeger_" TargetMode="External"/><Relationship Id="rId326" Type="http://schemas.openxmlformats.org/officeDocument/2006/relationships/hyperlink" Target="javascript:GotoSubLeger_" TargetMode="External"/><Relationship Id="rId65" Type="http://schemas.openxmlformats.org/officeDocument/2006/relationships/hyperlink" Target="javascript:GotoSubLeger_" TargetMode="External"/><Relationship Id="rId130" Type="http://schemas.openxmlformats.org/officeDocument/2006/relationships/hyperlink" Target="javascript:GotoSubLeger_" TargetMode="External"/><Relationship Id="rId172" Type="http://schemas.openxmlformats.org/officeDocument/2006/relationships/hyperlink" Target="javascript:GotoSubLeger_" TargetMode="External"/><Relationship Id="rId228" Type="http://schemas.openxmlformats.org/officeDocument/2006/relationships/hyperlink" Target="javascript:GotoSubLeger_" TargetMode="External"/><Relationship Id="rId281" Type="http://schemas.openxmlformats.org/officeDocument/2006/relationships/hyperlink" Target="javascript:GotoSubLeger_" TargetMode="External"/><Relationship Id="rId337" Type="http://schemas.openxmlformats.org/officeDocument/2006/relationships/hyperlink" Target="javascript:GotoSubLeger_" TargetMode="External"/><Relationship Id="rId34" Type="http://schemas.openxmlformats.org/officeDocument/2006/relationships/hyperlink" Target="javascript:GotoSubLeger_" TargetMode="External"/><Relationship Id="rId76" Type="http://schemas.openxmlformats.org/officeDocument/2006/relationships/hyperlink" Target="javascript:GotoSubLeger_" TargetMode="External"/><Relationship Id="rId141" Type="http://schemas.openxmlformats.org/officeDocument/2006/relationships/hyperlink" Target="javascript:GotoSubLeger_" TargetMode="External"/><Relationship Id="rId7" Type="http://schemas.openxmlformats.org/officeDocument/2006/relationships/hyperlink" Target="javascript:GotoSubLeger_" TargetMode="External"/><Relationship Id="rId183" Type="http://schemas.openxmlformats.org/officeDocument/2006/relationships/hyperlink" Target="javascript:GotoSubLeger_" TargetMode="External"/><Relationship Id="rId239" Type="http://schemas.openxmlformats.org/officeDocument/2006/relationships/hyperlink" Target="javascript:GotoSubLeger_" TargetMode="External"/><Relationship Id="rId250" Type="http://schemas.openxmlformats.org/officeDocument/2006/relationships/hyperlink" Target="javascript:GotoSubLeger_" TargetMode="External"/><Relationship Id="rId292" Type="http://schemas.openxmlformats.org/officeDocument/2006/relationships/hyperlink" Target="javascript:GotoSubLeger_" TargetMode="External"/><Relationship Id="rId306" Type="http://schemas.openxmlformats.org/officeDocument/2006/relationships/hyperlink" Target="javascript:GotoSubLeger_" TargetMode="External"/><Relationship Id="rId45" Type="http://schemas.openxmlformats.org/officeDocument/2006/relationships/hyperlink" Target="javascript:GotoSubLeger_" TargetMode="External"/><Relationship Id="rId87" Type="http://schemas.openxmlformats.org/officeDocument/2006/relationships/hyperlink" Target="javascript:GotoSubLeger_" TargetMode="External"/><Relationship Id="rId110" Type="http://schemas.openxmlformats.org/officeDocument/2006/relationships/hyperlink" Target="javascript:GotoSubLeger_" TargetMode="External"/><Relationship Id="rId152" Type="http://schemas.openxmlformats.org/officeDocument/2006/relationships/hyperlink" Target="javascript:GotoSubLeger_" TargetMode="External"/><Relationship Id="rId173" Type="http://schemas.openxmlformats.org/officeDocument/2006/relationships/hyperlink" Target="javascript:GotoSubLeger_" TargetMode="External"/><Relationship Id="rId194" Type="http://schemas.openxmlformats.org/officeDocument/2006/relationships/hyperlink" Target="javascript:GotoSubLeger_" TargetMode="External"/><Relationship Id="rId208" Type="http://schemas.openxmlformats.org/officeDocument/2006/relationships/hyperlink" Target="javascript:GotoSubLeger_" TargetMode="External"/><Relationship Id="rId229" Type="http://schemas.openxmlformats.org/officeDocument/2006/relationships/hyperlink" Target="javascript:GotoSubLeger_" TargetMode="External"/><Relationship Id="rId240" Type="http://schemas.openxmlformats.org/officeDocument/2006/relationships/hyperlink" Target="javascript:GotoSubLeger_" TargetMode="External"/><Relationship Id="rId261" Type="http://schemas.openxmlformats.org/officeDocument/2006/relationships/hyperlink" Target="javascript:GotoSubLeger_" TargetMode="External"/><Relationship Id="rId14" Type="http://schemas.openxmlformats.org/officeDocument/2006/relationships/hyperlink" Target="javascript:GotoSubLeger_" TargetMode="External"/><Relationship Id="rId35" Type="http://schemas.openxmlformats.org/officeDocument/2006/relationships/hyperlink" Target="javascript:GotoSubLeger_" TargetMode="External"/><Relationship Id="rId56" Type="http://schemas.openxmlformats.org/officeDocument/2006/relationships/hyperlink" Target="javascript:GotoSubLeger_" TargetMode="External"/><Relationship Id="rId77" Type="http://schemas.openxmlformats.org/officeDocument/2006/relationships/hyperlink" Target="javascript:GotoSubLeger_" TargetMode="External"/><Relationship Id="rId100" Type="http://schemas.openxmlformats.org/officeDocument/2006/relationships/hyperlink" Target="javascript:GotoSubLeger_" TargetMode="External"/><Relationship Id="rId282" Type="http://schemas.openxmlformats.org/officeDocument/2006/relationships/hyperlink" Target="javascript:GotoSubLeger_" TargetMode="External"/><Relationship Id="rId317" Type="http://schemas.openxmlformats.org/officeDocument/2006/relationships/hyperlink" Target="javascript:GotoSubLeger_" TargetMode="External"/><Relationship Id="rId8" Type="http://schemas.openxmlformats.org/officeDocument/2006/relationships/hyperlink" Target="javascript:GotoSubLeger_" TargetMode="External"/><Relationship Id="rId98" Type="http://schemas.openxmlformats.org/officeDocument/2006/relationships/hyperlink" Target="javascript:GotoSubLeger_" TargetMode="External"/><Relationship Id="rId121" Type="http://schemas.openxmlformats.org/officeDocument/2006/relationships/hyperlink" Target="javascript:GotoSubLeger_" TargetMode="External"/><Relationship Id="rId142" Type="http://schemas.openxmlformats.org/officeDocument/2006/relationships/hyperlink" Target="javascript:GotoSubLeger_" TargetMode="External"/><Relationship Id="rId163" Type="http://schemas.openxmlformats.org/officeDocument/2006/relationships/hyperlink" Target="javascript:GotoSubLeger_" TargetMode="External"/><Relationship Id="rId184" Type="http://schemas.openxmlformats.org/officeDocument/2006/relationships/hyperlink" Target="javascript:GotoSubLeger_" TargetMode="External"/><Relationship Id="rId219" Type="http://schemas.openxmlformats.org/officeDocument/2006/relationships/hyperlink" Target="javascript:GotoSubLeger_" TargetMode="External"/><Relationship Id="rId230" Type="http://schemas.openxmlformats.org/officeDocument/2006/relationships/hyperlink" Target="javascript:GotoSubLeger_" TargetMode="External"/><Relationship Id="rId251" Type="http://schemas.openxmlformats.org/officeDocument/2006/relationships/hyperlink" Target="javascript:GotoSubLeger_" TargetMode="External"/><Relationship Id="rId25" Type="http://schemas.openxmlformats.org/officeDocument/2006/relationships/hyperlink" Target="javascript:GotoSubLeger_" TargetMode="External"/><Relationship Id="rId46" Type="http://schemas.openxmlformats.org/officeDocument/2006/relationships/hyperlink" Target="javascript:GotoSubLeger_" TargetMode="External"/><Relationship Id="rId67" Type="http://schemas.openxmlformats.org/officeDocument/2006/relationships/hyperlink" Target="javascript:GotoSubLeger_" TargetMode="External"/><Relationship Id="rId272" Type="http://schemas.openxmlformats.org/officeDocument/2006/relationships/hyperlink" Target="javascript:GotoSubLeger_" TargetMode="External"/><Relationship Id="rId293" Type="http://schemas.openxmlformats.org/officeDocument/2006/relationships/hyperlink" Target="javascript:GotoSubLeger_" TargetMode="External"/><Relationship Id="rId307" Type="http://schemas.openxmlformats.org/officeDocument/2006/relationships/hyperlink" Target="javascript:GotoSubLeger_" TargetMode="External"/><Relationship Id="rId328" Type="http://schemas.openxmlformats.org/officeDocument/2006/relationships/hyperlink" Target="javascript:GotoSubLeger_" TargetMode="External"/><Relationship Id="rId88" Type="http://schemas.openxmlformats.org/officeDocument/2006/relationships/hyperlink" Target="javascript:GotoSubLeger_" TargetMode="External"/><Relationship Id="rId111" Type="http://schemas.openxmlformats.org/officeDocument/2006/relationships/hyperlink" Target="javascript:GotoSubLeger_" TargetMode="External"/><Relationship Id="rId132" Type="http://schemas.openxmlformats.org/officeDocument/2006/relationships/hyperlink" Target="javascript:GotoSubLeger_" TargetMode="External"/><Relationship Id="rId153" Type="http://schemas.openxmlformats.org/officeDocument/2006/relationships/hyperlink" Target="javascript:GotoSubLeger_" TargetMode="External"/><Relationship Id="rId174" Type="http://schemas.openxmlformats.org/officeDocument/2006/relationships/hyperlink" Target="javascript:GotoSubLeger_" TargetMode="External"/><Relationship Id="rId195" Type="http://schemas.openxmlformats.org/officeDocument/2006/relationships/hyperlink" Target="javascript:GotoSubLeger_" TargetMode="External"/><Relationship Id="rId209" Type="http://schemas.openxmlformats.org/officeDocument/2006/relationships/hyperlink" Target="javascript:GotoSubLeger_" TargetMode="External"/><Relationship Id="rId220" Type="http://schemas.openxmlformats.org/officeDocument/2006/relationships/hyperlink" Target="javascript:GotoSubLeger_" TargetMode="External"/><Relationship Id="rId241" Type="http://schemas.openxmlformats.org/officeDocument/2006/relationships/hyperlink" Target="javascript:GotoSubLeger_" TargetMode="External"/><Relationship Id="rId15" Type="http://schemas.openxmlformats.org/officeDocument/2006/relationships/hyperlink" Target="javascript:GotoSubLeger_" TargetMode="External"/><Relationship Id="rId36" Type="http://schemas.openxmlformats.org/officeDocument/2006/relationships/hyperlink" Target="javascript:GotoSubLeger_" TargetMode="External"/><Relationship Id="rId57" Type="http://schemas.openxmlformats.org/officeDocument/2006/relationships/hyperlink" Target="javascript:GotoSubLeger_" TargetMode="External"/><Relationship Id="rId262" Type="http://schemas.openxmlformats.org/officeDocument/2006/relationships/hyperlink" Target="javascript:GotoSubLeger_" TargetMode="External"/><Relationship Id="rId283" Type="http://schemas.openxmlformats.org/officeDocument/2006/relationships/hyperlink" Target="javascript:GotoSubLeger_" TargetMode="External"/><Relationship Id="rId318" Type="http://schemas.openxmlformats.org/officeDocument/2006/relationships/hyperlink" Target="javascript:GotoSubLeger_" TargetMode="External"/><Relationship Id="rId78" Type="http://schemas.openxmlformats.org/officeDocument/2006/relationships/hyperlink" Target="javascript:GotoSubLeger_" TargetMode="External"/><Relationship Id="rId99" Type="http://schemas.openxmlformats.org/officeDocument/2006/relationships/hyperlink" Target="javascript:GotoSubLeger_" TargetMode="External"/><Relationship Id="rId101" Type="http://schemas.openxmlformats.org/officeDocument/2006/relationships/hyperlink" Target="javascript:GotoSubLeger_" TargetMode="External"/><Relationship Id="rId122" Type="http://schemas.openxmlformats.org/officeDocument/2006/relationships/hyperlink" Target="javascript:GotoSubLeger_" TargetMode="External"/><Relationship Id="rId143" Type="http://schemas.openxmlformats.org/officeDocument/2006/relationships/hyperlink" Target="javascript:GotoSubLeger_" TargetMode="External"/><Relationship Id="rId164" Type="http://schemas.openxmlformats.org/officeDocument/2006/relationships/hyperlink" Target="javascript:GotoSubLeger_" TargetMode="External"/><Relationship Id="rId185" Type="http://schemas.openxmlformats.org/officeDocument/2006/relationships/hyperlink" Target="javascript:GotoSubLeger_" TargetMode="External"/><Relationship Id="rId9" Type="http://schemas.openxmlformats.org/officeDocument/2006/relationships/hyperlink" Target="javascript:GotoSubLeger_" TargetMode="External"/><Relationship Id="rId210" Type="http://schemas.openxmlformats.org/officeDocument/2006/relationships/hyperlink" Target="javascript:GotoSubLeger_" TargetMode="External"/><Relationship Id="rId26" Type="http://schemas.openxmlformats.org/officeDocument/2006/relationships/hyperlink" Target="javascript:GotoSubLeger_" TargetMode="External"/><Relationship Id="rId231" Type="http://schemas.openxmlformats.org/officeDocument/2006/relationships/hyperlink" Target="javascript:GotoSubLeger_" TargetMode="External"/><Relationship Id="rId252" Type="http://schemas.openxmlformats.org/officeDocument/2006/relationships/hyperlink" Target="javascript:GotoSubLeger_" TargetMode="External"/><Relationship Id="rId273" Type="http://schemas.openxmlformats.org/officeDocument/2006/relationships/hyperlink" Target="javascript:GotoSubLeger_" TargetMode="External"/><Relationship Id="rId294" Type="http://schemas.openxmlformats.org/officeDocument/2006/relationships/hyperlink" Target="javascript:GotoSubLeger_" TargetMode="External"/><Relationship Id="rId308" Type="http://schemas.openxmlformats.org/officeDocument/2006/relationships/hyperlink" Target="javascript:GotoSubLeger_" TargetMode="External"/><Relationship Id="rId329" Type="http://schemas.openxmlformats.org/officeDocument/2006/relationships/hyperlink" Target="javascript:GotoSubLeger_" TargetMode="External"/><Relationship Id="rId47" Type="http://schemas.openxmlformats.org/officeDocument/2006/relationships/hyperlink" Target="javascript:GotoSubLeger_" TargetMode="External"/><Relationship Id="rId68" Type="http://schemas.openxmlformats.org/officeDocument/2006/relationships/hyperlink" Target="javascript:GotoSubLeger_" TargetMode="External"/><Relationship Id="rId89" Type="http://schemas.openxmlformats.org/officeDocument/2006/relationships/hyperlink" Target="javascript:GotoSubLeger_" TargetMode="External"/><Relationship Id="rId112" Type="http://schemas.openxmlformats.org/officeDocument/2006/relationships/hyperlink" Target="javascript:GotoSubLeger_" TargetMode="External"/><Relationship Id="rId133" Type="http://schemas.openxmlformats.org/officeDocument/2006/relationships/hyperlink" Target="javascript:GotoSubLeger_" TargetMode="External"/><Relationship Id="rId154" Type="http://schemas.openxmlformats.org/officeDocument/2006/relationships/hyperlink" Target="javascript:GotoSubLeger_" TargetMode="External"/><Relationship Id="rId175" Type="http://schemas.openxmlformats.org/officeDocument/2006/relationships/hyperlink" Target="javascript:GotoSubLeger_" TargetMode="External"/><Relationship Id="rId196" Type="http://schemas.openxmlformats.org/officeDocument/2006/relationships/hyperlink" Target="javascript:GotoSubLeger_" TargetMode="External"/><Relationship Id="rId200" Type="http://schemas.openxmlformats.org/officeDocument/2006/relationships/hyperlink" Target="javascript:GotoSubLeger_" TargetMode="External"/><Relationship Id="rId16" Type="http://schemas.openxmlformats.org/officeDocument/2006/relationships/hyperlink" Target="javascript:GotoSubLeger_" TargetMode="External"/><Relationship Id="rId221" Type="http://schemas.openxmlformats.org/officeDocument/2006/relationships/hyperlink" Target="javascript:GotoSubLeger_" TargetMode="External"/><Relationship Id="rId242" Type="http://schemas.openxmlformats.org/officeDocument/2006/relationships/hyperlink" Target="javascript:GotoSubLeger_" TargetMode="External"/><Relationship Id="rId263" Type="http://schemas.openxmlformats.org/officeDocument/2006/relationships/hyperlink" Target="javascript:GotoSubLeger_" TargetMode="External"/><Relationship Id="rId284" Type="http://schemas.openxmlformats.org/officeDocument/2006/relationships/hyperlink" Target="javascript:GotoSubLeger_" TargetMode="External"/><Relationship Id="rId319" Type="http://schemas.openxmlformats.org/officeDocument/2006/relationships/hyperlink" Target="javascript:GotoSubLeger_" TargetMode="External"/><Relationship Id="rId37" Type="http://schemas.openxmlformats.org/officeDocument/2006/relationships/hyperlink" Target="javascript:GotoSubLeger_" TargetMode="External"/><Relationship Id="rId58" Type="http://schemas.openxmlformats.org/officeDocument/2006/relationships/hyperlink" Target="javascript:GotoSubLeger_" TargetMode="External"/><Relationship Id="rId79" Type="http://schemas.openxmlformats.org/officeDocument/2006/relationships/hyperlink" Target="javascript:GotoSubLeger_" TargetMode="External"/><Relationship Id="rId102" Type="http://schemas.openxmlformats.org/officeDocument/2006/relationships/hyperlink" Target="javascript:GotoSubLeger_" TargetMode="External"/><Relationship Id="rId123" Type="http://schemas.openxmlformats.org/officeDocument/2006/relationships/hyperlink" Target="javascript:GotoSubLeger_" TargetMode="External"/><Relationship Id="rId144" Type="http://schemas.openxmlformats.org/officeDocument/2006/relationships/hyperlink" Target="javascript:GotoSubLeger_" TargetMode="External"/><Relationship Id="rId330" Type="http://schemas.openxmlformats.org/officeDocument/2006/relationships/hyperlink" Target="javascript:GotoSubLeger_" TargetMode="External"/><Relationship Id="rId90" Type="http://schemas.openxmlformats.org/officeDocument/2006/relationships/hyperlink" Target="javascript:GotoSubLeger_" TargetMode="External"/><Relationship Id="rId165" Type="http://schemas.openxmlformats.org/officeDocument/2006/relationships/hyperlink" Target="javascript:GotoSubLeger_" TargetMode="External"/><Relationship Id="rId186" Type="http://schemas.openxmlformats.org/officeDocument/2006/relationships/hyperlink" Target="javascript:GotoSubLeger_" TargetMode="External"/><Relationship Id="rId211" Type="http://schemas.openxmlformats.org/officeDocument/2006/relationships/hyperlink" Target="javascript:GotoSubLeger_" TargetMode="External"/><Relationship Id="rId232" Type="http://schemas.openxmlformats.org/officeDocument/2006/relationships/hyperlink" Target="javascript:GotoSubLeger_" TargetMode="External"/><Relationship Id="rId253" Type="http://schemas.openxmlformats.org/officeDocument/2006/relationships/hyperlink" Target="javascript:GotoSubLeger_" TargetMode="External"/><Relationship Id="rId274" Type="http://schemas.openxmlformats.org/officeDocument/2006/relationships/hyperlink" Target="javascript:GotoSubLeger_" TargetMode="External"/><Relationship Id="rId295" Type="http://schemas.openxmlformats.org/officeDocument/2006/relationships/hyperlink" Target="javascript:GotoSubLeger_" TargetMode="External"/><Relationship Id="rId309" Type="http://schemas.openxmlformats.org/officeDocument/2006/relationships/hyperlink" Target="javascript:GotoSubLeger_" TargetMode="External"/><Relationship Id="rId27" Type="http://schemas.openxmlformats.org/officeDocument/2006/relationships/hyperlink" Target="javascript:GotoSubLeger_" TargetMode="External"/><Relationship Id="rId48" Type="http://schemas.openxmlformats.org/officeDocument/2006/relationships/hyperlink" Target="javascript:GotoSubLeger_" TargetMode="External"/><Relationship Id="rId69" Type="http://schemas.openxmlformats.org/officeDocument/2006/relationships/hyperlink" Target="javascript:GotoSubLeger_" TargetMode="External"/><Relationship Id="rId113" Type="http://schemas.openxmlformats.org/officeDocument/2006/relationships/hyperlink" Target="javascript:GotoSubLeger_" TargetMode="External"/><Relationship Id="rId134" Type="http://schemas.openxmlformats.org/officeDocument/2006/relationships/hyperlink" Target="javascript:GotoSubLeger_" TargetMode="External"/><Relationship Id="rId320" Type="http://schemas.openxmlformats.org/officeDocument/2006/relationships/hyperlink" Target="javascript:GotoSubLeger_" TargetMode="External"/><Relationship Id="rId80" Type="http://schemas.openxmlformats.org/officeDocument/2006/relationships/hyperlink" Target="javascript:GotoSubLeger_" TargetMode="External"/><Relationship Id="rId155" Type="http://schemas.openxmlformats.org/officeDocument/2006/relationships/hyperlink" Target="javascript:GotoSubLeger_" TargetMode="External"/><Relationship Id="rId176" Type="http://schemas.openxmlformats.org/officeDocument/2006/relationships/hyperlink" Target="javascript:GotoSubLeger_" TargetMode="External"/><Relationship Id="rId197" Type="http://schemas.openxmlformats.org/officeDocument/2006/relationships/hyperlink" Target="javascript:GotoSubLeger_" TargetMode="External"/><Relationship Id="rId201" Type="http://schemas.openxmlformats.org/officeDocument/2006/relationships/hyperlink" Target="javascript:GotoSubLeger_" TargetMode="External"/><Relationship Id="rId222" Type="http://schemas.openxmlformats.org/officeDocument/2006/relationships/hyperlink" Target="javascript:GotoSubLeger_" TargetMode="External"/><Relationship Id="rId243" Type="http://schemas.openxmlformats.org/officeDocument/2006/relationships/hyperlink" Target="javascript:GotoSubLeger_" TargetMode="External"/><Relationship Id="rId264" Type="http://schemas.openxmlformats.org/officeDocument/2006/relationships/hyperlink" Target="javascript:GotoSubLeger_" TargetMode="External"/><Relationship Id="rId285" Type="http://schemas.openxmlformats.org/officeDocument/2006/relationships/hyperlink" Target="javascript:GotoSubLeger_" TargetMode="External"/><Relationship Id="rId17" Type="http://schemas.openxmlformats.org/officeDocument/2006/relationships/hyperlink" Target="javascript:GotoSubLeger_" TargetMode="External"/><Relationship Id="rId38" Type="http://schemas.openxmlformats.org/officeDocument/2006/relationships/hyperlink" Target="javascript:GotoSubLeger_" TargetMode="External"/><Relationship Id="rId59" Type="http://schemas.openxmlformats.org/officeDocument/2006/relationships/hyperlink" Target="javascript:GotoSubLeger_" TargetMode="External"/><Relationship Id="rId103" Type="http://schemas.openxmlformats.org/officeDocument/2006/relationships/hyperlink" Target="javascript:GotoSubLeger_" TargetMode="External"/><Relationship Id="rId124" Type="http://schemas.openxmlformats.org/officeDocument/2006/relationships/hyperlink" Target="javascript:GotoSubLeger_" TargetMode="External"/><Relationship Id="rId310" Type="http://schemas.openxmlformats.org/officeDocument/2006/relationships/hyperlink" Target="javascript:GotoSubLeger_" TargetMode="External"/><Relationship Id="rId70" Type="http://schemas.openxmlformats.org/officeDocument/2006/relationships/hyperlink" Target="javascript:GotoSubLeger_" TargetMode="External"/><Relationship Id="rId91" Type="http://schemas.openxmlformats.org/officeDocument/2006/relationships/hyperlink" Target="javascript:GotoSubLeger_" TargetMode="External"/><Relationship Id="rId145" Type="http://schemas.openxmlformats.org/officeDocument/2006/relationships/hyperlink" Target="javascript:GotoSubLeger_" TargetMode="External"/><Relationship Id="rId166" Type="http://schemas.openxmlformats.org/officeDocument/2006/relationships/hyperlink" Target="javascript:GotoSubLeger_" TargetMode="External"/><Relationship Id="rId187" Type="http://schemas.openxmlformats.org/officeDocument/2006/relationships/hyperlink" Target="javascript:GotoSubLeger_" TargetMode="External"/><Relationship Id="rId331" Type="http://schemas.openxmlformats.org/officeDocument/2006/relationships/hyperlink" Target="javascript:GotoSubLeger_" TargetMode="External"/><Relationship Id="rId1" Type="http://schemas.openxmlformats.org/officeDocument/2006/relationships/hyperlink" Target="javascript:GotoSubLeger_" TargetMode="External"/><Relationship Id="rId212" Type="http://schemas.openxmlformats.org/officeDocument/2006/relationships/hyperlink" Target="javascript:GotoSubLeger_" TargetMode="External"/><Relationship Id="rId233" Type="http://schemas.openxmlformats.org/officeDocument/2006/relationships/hyperlink" Target="javascript:GotoSubLeger_" TargetMode="External"/><Relationship Id="rId254" Type="http://schemas.openxmlformats.org/officeDocument/2006/relationships/hyperlink" Target="javascript:GotoSubLeger_" TargetMode="External"/><Relationship Id="rId28" Type="http://schemas.openxmlformats.org/officeDocument/2006/relationships/hyperlink" Target="javascript:GotoSubLeger_" TargetMode="External"/><Relationship Id="rId49" Type="http://schemas.openxmlformats.org/officeDocument/2006/relationships/hyperlink" Target="javascript:GotoSubLeger_" TargetMode="External"/><Relationship Id="rId114" Type="http://schemas.openxmlformats.org/officeDocument/2006/relationships/hyperlink" Target="javascript:GotoSubLeger_" TargetMode="External"/><Relationship Id="rId275" Type="http://schemas.openxmlformats.org/officeDocument/2006/relationships/hyperlink" Target="javascript:GotoSubLeger_" TargetMode="External"/><Relationship Id="rId296" Type="http://schemas.openxmlformats.org/officeDocument/2006/relationships/hyperlink" Target="javascript:GotoSubLeger_" TargetMode="External"/><Relationship Id="rId300" Type="http://schemas.openxmlformats.org/officeDocument/2006/relationships/hyperlink" Target="javascript:GotoSubLeger_" TargetMode="External"/><Relationship Id="rId60" Type="http://schemas.openxmlformats.org/officeDocument/2006/relationships/hyperlink" Target="javascript:GotoSubLeger_" TargetMode="External"/><Relationship Id="rId81" Type="http://schemas.openxmlformats.org/officeDocument/2006/relationships/hyperlink" Target="javascript:GotoSubLeger_" TargetMode="External"/><Relationship Id="rId135" Type="http://schemas.openxmlformats.org/officeDocument/2006/relationships/hyperlink" Target="javascript:GotoSubLeger_" TargetMode="External"/><Relationship Id="rId156" Type="http://schemas.openxmlformats.org/officeDocument/2006/relationships/hyperlink" Target="javascript:GotoSubLeger_" TargetMode="External"/><Relationship Id="rId177" Type="http://schemas.openxmlformats.org/officeDocument/2006/relationships/hyperlink" Target="javascript:GotoSubLeger_" TargetMode="External"/><Relationship Id="rId198" Type="http://schemas.openxmlformats.org/officeDocument/2006/relationships/hyperlink" Target="javascript:GotoSubLeger_" TargetMode="External"/><Relationship Id="rId321" Type="http://schemas.openxmlformats.org/officeDocument/2006/relationships/hyperlink" Target="javascript:GotoSubLeger_" TargetMode="External"/><Relationship Id="rId202" Type="http://schemas.openxmlformats.org/officeDocument/2006/relationships/hyperlink" Target="javascript:GotoSubLeger_" TargetMode="External"/><Relationship Id="rId223" Type="http://schemas.openxmlformats.org/officeDocument/2006/relationships/hyperlink" Target="javascript:GotoSubLeger_" TargetMode="External"/><Relationship Id="rId244" Type="http://schemas.openxmlformats.org/officeDocument/2006/relationships/hyperlink" Target="javascript:GotoSubLeger_" TargetMode="External"/><Relationship Id="rId18" Type="http://schemas.openxmlformats.org/officeDocument/2006/relationships/hyperlink" Target="javascript:GotoSubLeger_" TargetMode="External"/><Relationship Id="rId39" Type="http://schemas.openxmlformats.org/officeDocument/2006/relationships/hyperlink" Target="javascript:GotoSubLeger_" TargetMode="External"/><Relationship Id="rId265" Type="http://schemas.openxmlformats.org/officeDocument/2006/relationships/hyperlink" Target="javascript:GotoSubLeger_" TargetMode="External"/><Relationship Id="rId286" Type="http://schemas.openxmlformats.org/officeDocument/2006/relationships/hyperlink" Target="javascript:GotoSubLeger_" TargetMode="External"/><Relationship Id="rId50" Type="http://schemas.openxmlformats.org/officeDocument/2006/relationships/hyperlink" Target="javascript:GotoSubLeger_" TargetMode="External"/><Relationship Id="rId104" Type="http://schemas.openxmlformats.org/officeDocument/2006/relationships/hyperlink" Target="javascript:GotoSubLeger_" TargetMode="External"/><Relationship Id="rId125" Type="http://schemas.openxmlformats.org/officeDocument/2006/relationships/hyperlink" Target="javascript:GotoSubLeger_" TargetMode="External"/><Relationship Id="rId146" Type="http://schemas.openxmlformats.org/officeDocument/2006/relationships/hyperlink" Target="javascript:GotoSubLeger_" TargetMode="External"/><Relationship Id="rId167" Type="http://schemas.openxmlformats.org/officeDocument/2006/relationships/hyperlink" Target="javascript:GotoSubLeger_" TargetMode="External"/><Relationship Id="rId188" Type="http://schemas.openxmlformats.org/officeDocument/2006/relationships/hyperlink" Target="javascript:GotoSubLeger_" TargetMode="External"/><Relationship Id="rId311" Type="http://schemas.openxmlformats.org/officeDocument/2006/relationships/hyperlink" Target="javascript:GotoSubLeger_" TargetMode="External"/><Relationship Id="rId332" Type="http://schemas.openxmlformats.org/officeDocument/2006/relationships/hyperlink" Target="javascript:GotoSubLeger_" TargetMode="External"/><Relationship Id="rId71" Type="http://schemas.openxmlformats.org/officeDocument/2006/relationships/hyperlink" Target="javascript:GotoSubLeger_" TargetMode="External"/><Relationship Id="rId92" Type="http://schemas.openxmlformats.org/officeDocument/2006/relationships/hyperlink" Target="javascript:GotoSubLeger_" TargetMode="External"/><Relationship Id="rId213" Type="http://schemas.openxmlformats.org/officeDocument/2006/relationships/hyperlink" Target="javascript:GotoSubLeger_" TargetMode="External"/><Relationship Id="rId234" Type="http://schemas.openxmlformats.org/officeDocument/2006/relationships/hyperlink" Target="javascript:GotoSubLeger_" TargetMode="External"/><Relationship Id="rId2" Type="http://schemas.openxmlformats.org/officeDocument/2006/relationships/hyperlink" Target="javascript:GotoSubLeger_" TargetMode="External"/><Relationship Id="rId29" Type="http://schemas.openxmlformats.org/officeDocument/2006/relationships/hyperlink" Target="javascript:GotoSubLeger_" TargetMode="External"/><Relationship Id="rId255" Type="http://schemas.openxmlformats.org/officeDocument/2006/relationships/hyperlink" Target="javascript:GotoSubLeger_" TargetMode="External"/><Relationship Id="rId276" Type="http://schemas.openxmlformats.org/officeDocument/2006/relationships/hyperlink" Target="javascript:GotoSubLeger_" TargetMode="External"/><Relationship Id="rId297" Type="http://schemas.openxmlformats.org/officeDocument/2006/relationships/hyperlink" Target="javascript:GotoSubLeger_" TargetMode="External"/><Relationship Id="rId40" Type="http://schemas.openxmlformats.org/officeDocument/2006/relationships/hyperlink" Target="javascript:GotoSubLeger_" TargetMode="External"/><Relationship Id="rId115" Type="http://schemas.openxmlformats.org/officeDocument/2006/relationships/hyperlink" Target="javascript:GotoSubLeger_" TargetMode="External"/><Relationship Id="rId136" Type="http://schemas.openxmlformats.org/officeDocument/2006/relationships/hyperlink" Target="javascript:GotoSubLeger_" TargetMode="External"/><Relationship Id="rId157" Type="http://schemas.openxmlformats.org/officeDocument/2006/relationships/hyperlink" Target="javascript:GotoSubLeger_" TargetMode="External"/><Relationship Id="rId178" Type="http://schemas.openxmlformats.org/officeDocument/2006/relationships/hyperlink" Target="javascript:GotoSubLeger_" TargetMode="External"/><Relationship Id="rId301" Type="http://schemas.openxmlformats.org/officeDocument/2006/relationships/hyperlink" Target="javascript:GotoSubLeger_" TargetMode="External"/><Relationship Id="rId322" Type="http://schemas.openxmlformats.org/officeDocument/2006/relationships/hyperlink" Target="javascript:GotoSubLeger_" TargetMode="External"/><Relationship Id="rId61" Type="http://schemas.openxmlformats.org/officeDocument/2006/relationships/hyperlink" Target="javascript:GotoSubLeger_" TargetMode="External"/><Relationship Id="rId82" Type="http://schemas.openxmlformats.org/officeDocument/2006/relationships/hyperlink" Target="javascript:GotoSubLeger_" TargetMode="External"/><Relationship Id="rId199" Type="http://schemas.openxmlformats.org/officeDocument/2006/relationships/hyperlink" Target="javascript:GotoSubLeger_" TargetMode="External"/><Relationship Id="rId203" Type="http://schemas.openxmlformats.org/officeDocument/2006/relationships/hyperlink" Target="javascript:GotoSubLeger_" TargetMode="External"/><Relationship Id="rId19" Type="http://schemas.openxmlformats.org/officeDocument/2006/relationships/hyperlink" Target="javascript:GotoSubLeger_" TargetMode="External"/><Relationship Id="rId224" Type="http://schemas.openxmlformats.org/officeDocument/2006/relationships/hyperlink" Target="javascript:GotoSubLeger_" TargetMode="External"/><Relationship Id="rId245" Type="http://schemas.openxmlformats.org/officeDocument/2006/relationships/hyperlink" Target="javascript:GotoSubLeger_" TargetMode="External"/><Relationship Id="rId266" Type="http://schemas.openxmlformats.org/officeDocument/2006/relationships/hyperlink" Target="javascript:GotoSubLeger_" TargetMode="External"/><Relationship Id="rId287" Type="http://schemas.openxmlformats.org/officeDocument/2006/relationships/hyperlink" Target="javascript:GotoSubLeger_" TargetMode="External"/><Relationship Id="rId30" Type="http://schemas.openxmlformats.org/officeDocument/2006/relationships/hyperlink" Target="javascript:GotoSubLeger_" TargetMode="External"/><Relationship Id="rId105" Type="http://schemas.openxmlformats.org/officeDocument/2006/relationships/hyperlink" Target="javascript:GotoSubLeger_" TargetMode="External"/><Relationship Id="rId126" Type="http://schemas.openxmlformats.org/officeDocument/2006/relationships/hyperlink" Target="javascript:GotoSubLeger_" TargetMode="External"/><Relationship Id="rId147" Type="http://schemas.openxmlformats.org/officeDocument/2006/relationships/hyperlink" Target="javascript:GotoSubLeger_" TargetMode="External"/><Relationship Id="rId168" Type="http://schemas.openxmlformats.org/officeDocument/2006/relationships/hyperlink" Target="javascript:GotoSubLeger_" TargetMode="External"/><Relationship Id="rId312" Type="http://schemas.openxmlformats.org/officeDocument/2006/relationships/hyperlink" Target="javascript:GotoSubLeger_" TargetMode="External"/><Relationship Id="rId333" Type="http://schemas.openxmlformats.org/officeDocument/2006/relationships/hyperlink" Target="javascript:GotoSubLeger_" TargetMode="External"/><Relationship Id="rId51" Type="http://schemas.openxmlformats.org/officeDocument/2006/relationships/hyperlink" Target="javascript:GotoSubLeger_" TargetMode="External"/><Relationship Id="rId72" Type="http://schemas.openxmlformats.org/officeDocument/2006/relationships/hyperlink" Target="javascript:GotoSubLeger_" TargetMode="External"/><Relationship Id="rId93" Type="http://schemas.openxmlformats.org/officeDocument/2006/relationships/hyperlink" Target="javascript:GotoSubLeger_" TargetMode="External"/><Relationship Id="rId189" Type="http://schemas.openxmlformats.org/officeDocument/2006/relationships/hyperlink" Target="javascript:GotoSubLeger_" TargetMode="External"/><Relationship Id="rId3" Type="http://schemas.openxmlformats.org/officeDocument/2006/relationships/hyperlink" Target="javascript:GotoSubLeger_" TargetMode="External"/><Relationship Id="rId214" Type="http://schemas.openxmlformats.org/officeDocument/2006/relationships/hyperlink" Target="javascript:GotoSubLeger_" TargetMode="External"/><Relationship Id="rId235" Type="http://schemas.openxmlformats.org/officeDocument/2006/relationships/hyperlink" Target="javascript:GotoSubLeger_" TargetMode="External"/><Relationship Id="rId256" Type="http://schemas.openxmlformats.org/officeDocument/2006/relationships/hyperlink" Target="javascript:GotoSubLeger_" TargetMode="External"/><Relationship Id="rId277" Type="http://schemas.openxmlformats.org/officeDocument/2006/relationships/hyperlink" Target="javascript:GotoSubLeger_" TargetMode="External"/><Relationship Id="rId298" Type="http://schemas.openxmlformats.org/officeDocument/2006/relationships/hyperlink" Target="javascript:GotoSubLeger_" TargetMode="External"/><Relationship Id="rId116" Type="http://schemas.openxmlformats.org/officeDocument/2006/relationships/hyperlink" Target="javascript:GotoSubLeger_" TargetMode="External"/><Relationship Id="rId137" Type="http://schemas.openxmlformats.org/officeDocument/2006/relationships/hyperlink" Target="javascript:GotoSubLeger_" TargetMode="External"/><Relationship Id="rId158" Type="http://schemas.openxmlformats.org/officeDocument/2006/relationships/hyperlink" Target="javascript:GotoSubLeger_" TargetMode="External"/><Relationship Id="rId302" Type="http://schemas.openxmlformats.org/officeDocument/2006/relationships/hyperlink" Target="javascript:GotoSubLeger_" TargetMode="External"/><Relationship Id="rId323" Type="http://schemas.openxmlformats.org/officeDocument/2006/relationships/hyperlink" Target="javascript:GotoSubLeger_" TargetMode="External"/><Relationship Id="rId20" Type="http://schemas.openxmlformats.org/officeDocument/2006/relationships/hyperlink" Target="javascript:GotoSubLeger_" TargetMode="External"/><Relationship Id="rId41" Type="http://schemas.openxmlformats.org/officeDocument/2006/relationships/hyperlink" Target="javascript:GotoSubLeger_" TargetMode="External"/><Relationship Id="rId62" Type="http://schemas.openxmlformats.org/officeDocument/2006/relationships/hyperlink" Target="javascript:GotoSubLeger_" TargetMode="External"/><Relationship Id="rId83" Type="http://schemas.openxmlformats.org/officeDocument/2006/relationships/hyperlink" Target="javascript:GotoSubLeger_" TargetMode="External"/><Relationship Id="rId179" Type="http://schemas.openxmlformats.org/officeDocument/2006/relationships/hyperlink" Target="javascript:GotoSubLeger_" TargetMode="External"/><Relationship Id="rId190" Type="http://schemas.openxmlformats.org/officeDocument/2006/relationships/hyperlink" Target="javascript:GotoSubLeger_" TargetMode="External"/><Relationship Id="rId204" Type="http://schemas.openxmlformats.org/officeDocument/2006/relationships/hyperlink" Target="javascript:GotoSubLeger_" TargetMode="External"/><Relationship Id="rId225" Type="http://schemas.openxmlformats.org/officeDocument/2006/relationships/hyperlink" Target="javascript:GotoSubLeger_" TargetMode="External"/><Relationship Id="rId246" Type="http://schemas.openxmlformats.org/officeDocument/2006/relationships/hyperlink" Target="javascript:GotoSubLeger_" TargetMode="External"/><Relationship Id="rId267" Type="http://schemas.openxmlformats.org/officeDocument/2006/relationships/hyperlink" Target="javascript:GotoSubLeger_" TargetMode="External"/><Relationship Id="rId288" Type="http://schemas.openxmlformats.org/officeDocument/2006/relationships/hyperlink" Target="javascript:GotoSubLeger_" TargetMode="External"/><Relationship Id="rId106" Type="http://schemas.openxmlformats.org/officeDocument/2006/relationships/hyperlink" Target="javascript:GotoSubLeger_" TargetMode="External"/><Relationship Id="rId127" Type="http://schemas.openxmlformats.org/officeDocument/2006/relationships/hyperlink" Target="javascript:GotoSubLeger_" TargetMode="External"/><Relationship Id="rId313" Type="http://schemas.openxmlformats.org/officeDocument/2006/relationships/hyperlink" Target="javascript:GotoSubLeger_" TargetMode="External"/><Relationship Id="rId10" Type="http://schemas.openxmlformats.org/officeDocument/2006/relationships/hyperlink" Target="javascript:GotoSubLeger_" TargetMode="External"/><Relationship Id="rId31" Type="http://schemas.openxmlformats.org/officeDocument/2006/relationships/hyperlink" Target="javascript:GotoSubLeger_" TargetMode="External"/><Relationship Id="rId52" Type="http://schemas.openxmlformats.org/officeDocument/2006/relationships/hyperlink" Target="javascript:GotoSubLeger_" TargetMode="External"/><Relationship Id="rId73" Type="http://schemas.openxmlformats.org/officeDocument/2006/relationships/hyperlink" Target="javascript:GotoSubLeger_" TargetMode="External"/><Relationship Id="rId94" Type="http://schemas.openxmlformats.org/officeDocument/2006/relationships/hyperlink" Target="javascript:GotoSubLeger_" TargetMode="External"/><Relationship Id="rId148" Type="http://schemas.openxmlformats.org/officeDocument/2006/relationships/hyperlink" Target="javascript:GotoSubLeger_" TargetMode="External"/><Relationship Id="rId169" Type="http://schemas.openxmlformats.org/officeDocument/2006/relationships/hyperlink" Target="javascript:GotoSubLeger_" TargetMode="External"/><Relationship Id="rId334" Type="http://schemas.openxmlformats.org/officeDocument/2006/relationships/hyperlink" Target="javascript:GotoSubLeger_" TargetMode="External"/><Relationship Id="rId4" Type="http://schemas.openxmlformats.org/officeDocument/2006/relationships/hyperlink" Target="javascript:GotoSubLeger_" TargetMode="External"/><Relationship Id="rId180" Type="http://schemas.openxmlformats.org/officeDocument/2006/relationships/hyperlink" Target="javascript:GotoSubLeger_" TargetMode="External"/><Relationship Id="rId215" Type="http://schemas.openxmlformats.org/officeDocument/2006/relationships/hyperlink" Target="javascript:GotoSubLeger_" TargetMode="External"/><Relationship Id="rId236" Type="http://schemas.openxmlformats.org/officeDocument/2006/relationships/hyperlink" Target="javascript:GotoSubLeger_" TargetMode="External"/><Relationship Id="rId257" Type="http://schemas.openxmlformats.org/officeDocument/2006/relationships/hyperlink" Target="javascript:GotoSubLeger_" TargetMode="External"/><Relationship Id="rId278" Type="http://schemas.openxmlformats.org/officeDocument/2006/relationships/hyperlink" Target="javascript:GotoSubLeger_" TargetMode="External"/><Relationship Id="rId303" Type="http://schemas.openxmlformats.org/officeDocument/2006/relationships/hyperlink" Target="javascript:GotoSubLeger_" TargetMode="External"/><Relationship Id="rId42" Type="http://schemas.openxmlformats.org/officeDocument/2006/relationships/hyperlink" Target="javascript:GotoSubLeger_" TargetMode="External"/><Relationship Id="rId84" Type="http://schemas.openxmlformats.org/officeDocument/2006/relationships/hyperlink" Target="javascript:GotoSubLeger_" TargetMode="External"/><Relationship Id="rId138" Type="http://schemas.openxmlformats.org/officeDocument/2006/relationships/hyperlink" Target="javascript:GotoSubLeger_" TargetMode="External"/><Relationship Id="rId191" Type="http://schemas.openxmlformats.org/officeDocument/2006/relationships/hyperlink" Target="javascript:GotoSubLeger_" TargetMode="External"/><Relationship Id="rId205" Type="http://schemas.openxmlformats.org/officeDocument/2006/relationships/hyperlink" Target="javascript:GotoSubLeger_" TargetMode="External"/><Relationship Id="rId247" Type="http://schemas.openxmlformats.org/officeDocument/2006/relationships/hyperlink" Target="javascript:GotoSubLeger_" TargetMode="External"/><Relationship Id="rId107" Type="http://schemas.openxmlformats.org/officeDocument/2006/relationships/hyperlink" Target="javascript:GotoSubLeger_" TargetMode="External"/><Relationship Id="rId289" Type="http://schemas.openxmlformats.org/officeDocument/2006/relationships/hyperlink" Target="javascript:GotoSubLeger_" TargetMode="External"/><Relationship Id="rId11" Type="http://schemas.openxmlformats.org/officeDocument/2006/relationships/hyperlink" Target="javascript:GotoSubLeger_" TargetMode="External"/><Relationship Id="rId53" Type="http://schemas.openxmlformats.org/officeDocument/2006/relationships/hyperlink" Target="javascript:GotoSubLeger_" TargetMode="External"/><Relationship Id="rId149" Type="http://schemas.openxmlformats.org/officeDocument/2006/relationships/hyperlink" Target="javascript:GotoSubLeger_" TargetMode="External"/><Relationship Id="rId314" Type="http://schemas.openxmlformats.org/officeDocument/2006/relationships/hyperlink" Target="javascript:GotoSubLeger_" TargetMode="External"/><Relationship Id="rId95" Type="http://schemas.openxmlformats.org/officeDocument/2006/relationships/hyperlink" Target="javascript:GotoSubLeger_" TargetMode="External"/><Relationship Id="rId160" Type="http://schemas.openxmlformats.org/officeDocument/2006/relationships/hyperlink" Target="javascript:GotoSubLeger_" TargetMode="External"/><Relationship Id="rId216" Type="http://schemas.openxmlformats.org/officeDocument/2006/relationships/hyperlink" Target="javascript:GotoSubLeger_" TargetMode="External"/><Relationship Id="rId258" Type="http://schemas.openxmlformats.org/officeDocument/2006/relationships/hyperlink" Target="javascript:GotoSubLeger_" TargetMode="External"/><Relationship Id="rId22" Type="http://schemas.openxmlformats.org/officeDocument/2006/relationships/hyperlink" Target="javascript:GotoSubLeger_" TargetMode="External"/><Relationship Id="rId64" Type="http://schemas.openxmlformats.org/officeDocument/2006/relationships/hyperlink" Target="javascript:GotoSubLeger_" TargetMode="External"/><Relationship Id="rId118" Type="http://schemas.openxmlformats.org/officeDocument/2006/relationships/hyperlink" Target="javascript:GotoSubLeger_" TargetMode="External"/><Relationship Id="rId325" Type="http://schemas.openxmlformats.org/officeDocument/2006/relationships/hyperlink" Target="javascript:GotoSubLeger_" TargetMode="External"/><Relationship Id="rId171" Type="http://schemas.openxmlformats.org/officeDocument/2006/relationships/hyperlink" Target="javascript:GotoSubLeger_" TargetMode="External"/><Relationship Id="rId227" Type="http://schemas.openxmlformats.org/officeDocument/2006/relationships/hyperlink" Target="javascript:GotoSubLeger_" TargetMode="External"/><Relationship Id="rId269" Type="http://schemas.openxmlformats.org/officeDocument/2006/relationships/hyperlink" Target="javascript:GotoSubLeger_" TargetMode="External"/><Relationship Id="rId33" Type="http://schemas.openxmlformats.org/officeDocument/2006/relationships/hyperlink" Target="javascript:GotoSubLeger_" TargetMode="External"/><Relationship Id="rId129" Type="http://schemas.openxmlformats.org/officeDocument/2006/relationships/hyperlink" Target="javascript:GotoSubLeger_" TargetMode="External"/><Relationship Id="rId280" Type="http://schemas.openxmlformats.org/officeDocument/2006/relationships/hyperlink" Target="javascript:GotoSubLeger_" TargetMode="External"/><Relationship Id="rId336" Type="http://schemas.openxmlformats.org/officeDocument/2006/relationships/hyperlink" Target="javascript:GotoSubLeger_" TargetMode="External"/><Relationship Id="rId75" Type="http://schemas.openxmlformats.org/officeDocument/2006/relationships/hyperlink" Target="javascript:GotoSubLeger_" TargetMode="External"/><Relationship Id="rId140" Type="http://schemas.openxmlformats.org/officeDocument/2006/relationships/hyperlink" Target="javascript:GotoSubLeger_" TargetMode="External"/><Relationship Id="rId182" Type="http://schemas.openxmlformats.org/officeDocument/2006/relationships/hyperlink" Target="javascript:GotoSubLeger_" TargetMode="External"/><Relationship Id="rId6" Type="http://schemas.openxmlformats.org/officeDocument/2006/relationships/hyperlink" Target="javascript:GotoSubLeger_" TargetMode="External"/><Relationship Id="rId238" Type="http://schemas.openxmlformats.org/officeDocument/2006/relationships/hyperlink" Target="javascript:GotoSubLeger_" TargetMode="External"/><Relationship Id="rId291" Type="http://schemas.openxmlformats.org/officeDocument/2006/relationships/hyperlink" Target="javascript:GotoSubLeger_" TargetMode="External"/><Relationship Id="rId305" Type="http://schemas.openxmlformats.org/officeDocument/2006/relationships/hyperlink" Target="javascript:GotoSubLeger_" TargetMode="External"/><Relationship Id="rId44" Type="http://schemas.openxmlformats.org/officeDocument/2006/relationships/hyperlink" Target="javascript:GotoSubLeger_" TargetMode="External"/><Relationship Id="rId86" Type="http://schemas.openxmlformats.org/officeDocument/2006/relationships/hyperlink" Target="javascript:GotoSubLeger_" TargetMode="External"/><Relationship Id="rId151" Type="http://schemas.openxmlformats.org/officeDocument/2006/relationships/hyperlink" Target="javascript:GotoSubLeger_" TargetMode="External"/><Relationship Id="rId193" Type="http://schemas.openxmlformats.org/officeDocument/2006/relationships/hyperlink" Target="javascript:GotoSubLeger_" TargetMode="External"/><Relationship Id="rId207" Type="http://schemas.openxmlformats.org/officeDocument/2006/relationships/hyperlink" Target="javascript:GotoSubLeger_" TargetMode="External"/><Relationship Id="rId249" Type="http://schemas.openxmlformats.org/officeDocument/2006/relationships/hyperlink" Target="javascript:GotoSubLeger_" TargetMode="External"/><Relationship Id="rId13" Type="http://schemas.openxmlformats.org/officeDocument/2006/relationships/hyperlink" Target="javascript:GotoSubLeger_" TargetMode="External"/><Relationship Id="rId109" Type="http://schemas.openxmlformats.org/officeDocument/2006/relationships/hyperlink" Target="javascript:GotoSubLeger_" TargetMode="External"/><Relationship Id="rId260" Type="http://schemas.openxmlformats.org/officeDocument/2006/relationships/hyperlink" Target="javascript:GotoSubLeger_" TargetMode="External"/><Relationship Id="rId316" Type="http://schemas.openxmlformats.org/officeDocument/2006/relationships/hyperlink" Target="javascript:GotoSubLeger_" TargetMode="External"/><Relationship Id="rId55" Type="http://schemas.openxmlformats.org/officeDocument/2006/relationships/hyperlink" Target="javascript:GotoSubLeger_" TargetMode="External"/><Relationship Id="rId97" Type="http://schemas.openxmlformats.org/officeDocument/2006/relationships/hyperlink" Target="javascript:GotoSubLeger_" TargetMode="External"/><Relationship Id="rId120" Type="http://schemas.openxmlformats.org/officeDocument/2006/relationships/hyperlink" Target="javascript:GotoSubLeger_" TargetMode="External"/><Relationship Id="rId162" Type="http://schemas.openxmlformats.org/officeDocument/2006/relationships/hyperlink" Target="javascript:GotoSubLeger_" TargetMode="External"/><Relationship Id="rId218" Type="http://schemas.openxmlformats.org/officeDocument/2006/relationships/hyperlink" Target="javascript:GotoSubLeger_" TargetMode="External"/><Relationship Id="rId271" Type="http://schemas.openxmlformats.org/officeDocument/2006/relationships/hyperlink" Target="javascript:GotoSubLeger_" TargetMode="External"/><Relationship Id="rId24" Type="http://schemas.openxmlformats.org/officeDocument/2006/relationships/hyperlink" Target="javascript:GotoSubLeger_" TargetMode="External"/><Relationship Id="rId66" Type="http://schemas.openxmlformats.org/officeDocument/2006/relationships/hyperlink" Target="javascript:GotoSubLeger_" TargetMode="External"/><Relationship Id="rId131" Type="http://schemas.openxmlformats.org/officeDocument/2006/relationships/hyperlink" Target="javascript:GotoSubLeger_" TargetMode="External"/><Relationship Id="rId327" Type="http://schemas.openxmlformats.org/officeDocument/2006/relationships/hyperlink" Target="javascript:GotoSubLeger_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GotoSubLeger_" TargetMode="External"/><Relationship Id="rId299" Type="http://schemas.openxmlformats.org/officeDocument/2006/relationships/hyperlink" Target="javascript:GotoSubLeger_" TargetMode="External"/><Relationship Id="rId21" Type="http://schemas.openxmlformats.org/officeDocument/2006/relationships/hyperlink" Target="javascript:GotoSubLeger_" TargetMode="External"/><Relationship Id="rId63" Type="http://schemas.openxmlformats.org/officeDocument/2006/relationships/hyperlink" Target="javascript:GotoSubLeger_" TargetMode="External"/><Relationship Id="rId159" Type="http://schemas.openxmlformats.org/officeDocument/2006/relationships/hyperlink" Target="javascript:GotoSubLeger_" TargetMode="External"/><Relationship Id="rId170" Type="http://schemas.openxmlformats.org/officeDocument/2006/relationships/hyperlink" Target="javascript:GotoSubLeger_" TargetMode="External"/><Relationship Id="rId226" Type="http://schemas.openxmlformats.org/officeDocument/2006/relationships/hyperlink" Target="javascript:GotoSubLeger_" TargetMode="External"/><Relationship Id="rId268" Type="http://schemas.openxmlformats.org/officeDocument/2006/relationships/hyperlink" Target="javascript:GotoSubLeger_" TargetMode="External"/><Relationship Id="rId32" Type="http://schemas.openxmlformats.org/officeDocument/2006/relationships/hyperlink" Target="javascript:GotoSubLeger_" TargetMode="External"/><Relationship Id="rId74" Type="http://schemas.openxmlformats.org/officeDocument/2006/relationships/hyperlink" Target="javascript:GotoSubLeger_" TargetMode="External"/><Relationship Id="rId128" Type="http://schemas.openxmlformats.org/officeDocument/2006/relationships/hyperlink" Target="javascript:GotoSubLeger_" TargetMode="External"/><Relationship Id="rId5" Type="http://schemas.openxmlformats.org/officeDocument/2006/relationships/hyperlink" Target="javascript:GotoSubLeger_" TargetMode="External"/><Relationship Id="rId181" Type="http://schemas.openxmlformats.org/officeDocument/2006/relationships/hyperlink" Target="javascript:GotoSubLeger_" TargetMode="External"/><Relationship Id="rId237" Type="http://schemas.openxmlformats.org/officeDocument/2006/relationships/hyperlink" Target="javascript:GotoSubLeger_" TargetMode="External"/><Relationship Id="rId279" Type="http://schemas.openxmlformats.org/officeDocument/2006/relationships/hyperlink" Target="javascript:GotoSubLeger_" TargetMode="External"/><Relationship Id="rId43" Type="http://schemas.openxmlformats.org/officeDocument/2006/relationships/hyperlink" Target="javascript:GotoSubLeger_" TargetMode="External"/><Relationship Id="rId139" Type="http://schemas.openxmlformats.org/officeDocument/2006/relationships/hyperlink" Target="javascript:GotoSubLeger_" TargetMode="External"/><Relationship Id="rId290" Type="http://schemas.openxmlformats.org/officeDocument/2006/relationships/hyperlink" Target="javascript:GotoSubLeger_" TargetMode="External"/><Relationship Id="rId304" Type="http://schemas.openxmlformats.org/officeDocument/2006/relationships/hyperlink" Target="javascript:GotoSubLeger_" TargetMode="External"/><Relationship Id="rId85" Type="http://schemas.openxmlformats.org/officeDocument/2006/relationships/hyperlink" Target="javascript:GotoSubLeger_" TargetMode="External"/><Relationship Id="rId150" Type="http://schemas.openxmlformats.org/officeDocument/2006/relationships/hyperlink" Target="javascript:GotoSubLeger_" TargetMode="External"/><Relationship Id="rId192" Type="http://schemas.openxmlformats.org/officeDocument/2006/relationships/hyperlink" Target="javascript:GotoSubLeger_" TargetMode="External"/><Relationship Id="rId206" Type="http://schemas.openxmlformats.org/officeDocument/2006/relationships/hyperlink" Target="javascript:GotoSubLeger_" TargetMode="External"/><Relationship Id="rId248" Type="http://schemas.openxmlformats.org/officeDocument/2006/relationships/hyperlink" Target="javascript:GotoSubLeger_" TargetMode="External"/><Relationship Id="rId12" Type="http://schemas.openxmlformats.org/officeDocument/2006/relationships/hyperlink" Target="javascript:GotoSubLeger_" TargetMode="External"/><Relationship Id="rId108" Type="http://schemas.openxmlformats.org/officeDocument/2006/relationships/hyperlink" Target="javascript:GotoSubLeger_" TargetMode="External"/><Relationship Id="rId54" Type="http://schemas.openxmlformats.org/officeDocument/2006/relationships/hyperlink" Target="javascript:GotoSubLeger_" TargetMode="External"/><Relationship Id="rId96" Type="http://schemas.openxmlformats.org/officeDocument/2006/relationships/hyperlink" Target="javascript:GotoSubLeger_" TargetMode="External"/><Relationship Id="rId161" Type="http://schemas.openxmlformats.org/officeDocument/2006/relationships/hyperlink" Target="javascript:GotoSubLeger_" TargetMode="External"/><Relationship Id="rId217" Type="http://schemas.openxmlformats.org/officeDocument/2006/relationships/hyperlink" Target="javascript:GotoSubLeger_" TargetMode="External"/><Relationship Id="rId6" Type="http://schemas.openxmlformats.org/officeDocument/2006/relationships/hyperlink" Target="javascript:GotoSubLeger_" TargetMode="External"/><Relationship Id="rId238" Type="http://schemas.openxmlformats.org/officeDocument/2006/relationships/hyperlink" Target="javascript:GotoSubLeger_" TargetMode="External"/><Relationship Id="rId259" Type="http://schemas.openxmlformats.org/officeDocument/2006/relationships/hyperlink" Target="javascript:GotoSubLeger_" TargetMode="External"/><Relationship Id="rId23" Type="http://schemas.openxmlformats.org/officeDocument/2006/relationships/hyperlink" Target="javascript:GotoSubLeger_" TargetMode="External"/><Relationship Id="rId119" Type="http://schemas.openxmlformats.org/officeDocument/2006/relationships/hyperlink" Target="javascript:GotoSubLeger_" TargetMode="External"/><Relationship Id="rId270" Type="http://schemas.openxmlformats.org/officeDocument/2006/relationships/hyperlink" Target="javascript:GotoSubLeger_" TargetMode="External"/><Relationship Id="rId291" Type="http://schemas.openxmlformats.org/officeDocument/2006/relationships/hyperlink" Target="javascript:GotoSubLeger_" TargetMode="External"/><Relationship Id="rId44" Type="http://schemas.openxmlformats.org/officeDocument/2006/relationships/hyperlink" Target="javascript:GotoSubLeger_" TargetMode="External"/><Relationship Id="rId65" Type="http://schemas.openxmlformats.org/officeDocument/2006/relationships/hyperlink" Target="javascript:GotoSubLeger_" TargetMode="External"/><Relationship Id="rId86" Type="http://schemas.openxmlformats.org/officeDocument/2006/relationships/hyperlink" Target="javascript:GotoSubLeger_" TargetMode="External"/><Relationship Id="rId130" Type="http://schemas.openxmlformats.org/officeDocument/2006/relationships/hyperlink" Target="javascript:GotoSubLeger_" TargetMode="External"/><Relationship Id="rId151" Type="http://schemas.openxmlformats.org/officeDocument/2006/relationships/hyperlink" Target="javascript:GotoSubLeger_" TargetMode="External"/><Relationship Id="rId172" Type="http://schemas.openxmlformats.org/officeDocument/2006/relationships/hyperlink" Target="javascript:GotoSubLeger_" TargetMode="External"/><Relationship Id="rId193" Type="http://schemas.openxmlformats.org/officeDocument/2006/relationships/hyperlink" Target="javascript:GotoSubLeger_" TargetMode="External"/><Relationship Id="rId207" Type="http://schemas.openxmlformats.org/officeDocument/2006/relationships/hyperlink" Target="javascript:GotoSubLeger_" TargetMode="External"/><Relationship Id="rId228" Type="http://schemas.openxmlformats.org/officeDocument/2006/relationships/hyperlink" Target="javascript:GotoSubLeger_" TargetMode="External"/><Relationship Id="rId249" Type="http://schemas.openxmlformats.org/officeDocument/2006/relationships/hyperlink" Target="javascript:GotoSubLeger_" TargetMode="External"/><Relationship Id="rId13" Type="http://schemas.openxmlformats.org/officeDocument/2006/relationships/hyperlink" Target="javascript:GotoSubLeger_" TargetMode="External"/><Relationship Id="rId109" Type="http://schemas.openxmlformats.org/officeDocument/2006/relationships/hyperlink" Target="javascript:GotoSubLeger_" TargetMode="External"/><Relationship Id="rId260" Type="http://schemas.openxmlformats.org/officeDocument/2006/relationships/hyperlink" Target="javascript:GotoSubLeger_" TargetMode="External"/><Relationship Id="rId281" Type="http://schemas.openxmlformats.org/officeDocument/2006/relationships/hyperlink" Target="javascript:GotoSubLeger_" TargetMode="External"/><Relationship Id="rId34" Type="http://schemas.openxmlformats.org/officeDocument/2006/relationships/hyperlink" Target="javascript:GotoSubLeger_" TargetMode="External"/><Relationship Id="rId55" Type="http://schemas.openxmlformats.org/officeDocument/2006/relationships/hyperlink" Target="javascript:GotoSubLeger_" TargetMode="External"/><Relationship Id="rId76" Type="http://schemas.openxmlformats.org/officeDocument/2006/relationships/hyperlink" Target="javascript:GotoSubLeger_" TargetMode="External"/><Relationship Id="rId97" Type="http://schemas.openxmlformats.org/officeDocument/2006/relationships/hyperlink" Target="javascript:GotoSubLeger_" TargetMode="External"/><Relationship Id="rId120" Type="http://schemas.openxmlformats.org/officeDocument/2006/relationships/hyperlink" Target="javascript:GotoSubLeger_" TargetMode="External"/><Relationship Id="rId141" Type="http://schemas.openxmlformats.org/officeDocument/2006/relationships/hyperlink" Target="javascript:GotoSubLeger_" TargetMode="External"/><Relationship Id="rId7" Type="http://schemas.openxmlformats.org/officeDocument/2006/relationships/hyperlink" Target="javascript:GotoSubLeger_" TargetMode="External"/><Relationship Id="rId162" Type="http://schemas.openxmlformats.org/officeDocument/2006/relationships/hyperlink" Target="javascript:GotoSubLeger_" TargetMode="External"/><Relationship Id="rId183" Type="http://schemas.openxmlformats.org/officeDocument/2006/relationships/hyperlink" Target="javascript:GotoSubLeger_" TargetMode="External"/><Relationship Id="rId218" Type="http://schemas.openxmlformats.org/officeDocument/2006/relationships/hyperlink" Target="javascript:GotoSubLeger_" TargetMode="External"/><Relationship Id="rId239" Type="http://schemas.openxmlformats.org/officeDocument/2006/relationships/hyperlink" Target="javascript:GotoSubLeger_" TargetMode="External"/><Relationship Id="rId250" Type="http://schemas.openxmlformats.org/officeDocument/2006/relationships/hyperlink" Target="javascript:GotoSubLeger_" TargetMode="External"/><Relationship Id="rId271" Type="http://schemas.openxmlformats.org/officeDocument/2006/relationships/hyperlink" Target="javascript:GotoSubLeger_" TargetMode="External"/><Relationship Id="rId292" Type="http://schemas.openxmlformats.org/officeDocument/2006/relationships/hyperlink" Target="javascript:GotoSubLeger_" TargetMode="External"/><Relationship Id="rId24" Type="http://schemas.openxmlformats.org/officeDocument/2006/relationships/hyperlink" Target="javascript:GotoSubLeger_" TargetMode="External"/><Relationship Id="rId45" Type="http://schemas.openxmlformats.org/officeDocument/2006/relationships/hyperlink" Target="javascript:GotoSubLeger_" TargetMode="External"/><Relationship Id="rId66" Type="http://schemas.openxmlformats.org/officeDocument/2006/relationships/hyperlink" Target="javascript:GotoSubLeger_" TargetMode="External"/><Relationship Id="rId87" Type="http://schemas.openxmlformats.org/officeDocument/2006/relationships/hyperlink" Target="javascript:GotoSubLeger_" TargetMode="External"/><Relationship Id="rId110" Type="http://schemas.openxmlformats.org/officeDocument/2006/relationships/hyperlink" Target="javascript:GotoSubLeger_" TargetMode="External"/><Relationship Id="rId131" Type="http://schemas.openxmlformats.org/officeDocument/2006/relationships/hyperlink" Target="javascript:GotoSubLeger_" TargetMode="External"/><Relationship Id="rId152" Type="http://schemas.openxmlformats.org/officeDocument/2006/relationships/hyperlink" Target="javascript:GotoSubLeger_" TargetMode="External"/><Relationship Id="rId173" Type="http://schemas.openxmlformats.org/officeDocument/2006/relationships/hyperlink" Target="javascript:GotoSubLeger_" TargetMode="External"/><Relationship Id="rId194" Type="http://schemas.openxmlformats.org/officeDocument/2006/relationships/hyperlink" Target="javascript:GotoSubLeger_" TargetMode="External"/><Relationship Id="rId208" Type="http://schemas.openxmlformats.org/officeDocument/2006/relationships/hyperlink" Target="javascript:GotoSubLeger_" TargetMode="External"/><Relationship Id="rId229" Type="http://schemas.openxmlformats.org/officeDocument/2006/relationships/hyperlink" Target="javascript:GotoSubLeger_" TargetMode="External"/><Relationship Id="rId240" Type="http://schemas.openxmlformats.org/officeDocument/2006/relationships/hyperlink" Target="javascript:GotoSubLeger_" TargetMode="External"/><Relationship Id="rId261" Type="http://schemas.openxmlformats.org/officeDocument/2006/relationships/hyperlink" Target="javascript:GotoSubLeger_" TargetMode="External"/><Relationship Id="rId14" Type="http://schemas.openxmlformats.org/officeDocument/2006/relationships/hyperlink" Target="javascript:GotoSubLeger_" TargetMode="External"/><Relationship Id="rId35" Type="http://schemas.openxmlformats.org/officeDocument/2006/relationships/hyperlink" Target="javascript:GotoSubLeger_" TargetMode="External"/><Relationship Id="rId56" Type="http://schemas.openxmlformats.org/officeDocument/2006/relationships/hyperlink" Target="javascript:GotoSubLeger_" TargetMode="External"/><Relationship Id="rId77" Type="http://schemas.openxmlformats.org/officeDocument/2006/relationships/hyperlink" Target="javascript:GotoSubLeger_" TargetMode="External"/><Relationship Id="rId100" Type="http://schemas.openxmlformats.org/officeDocument/2006/relationships/hyperlink" Target="javascript:GotoSubLeger_" TargetMode="External"/><Relationship Id="rId282" Type="http://schemas.openxmlformats.org/officeDocument/2006/relationships/hyperlink" Target="javascript:GotoSubLeger_" TargetMode="External"/><Relationship Id="rId8" Type="http://schemas.openxmlformats.org/officeDocument/2006/relationships/hyperlink" Target="javascript:GotoSubLeger_" TargetMode="External"/><Relationship Id="rId98" Type="http://schemas.openxmlformats.org/officeDocument/2006/relationships/hyperlink" Target="javascript:GotoSubLeger_" TargetMode="External"/><Relationship Id="rId121" Type="http://schemas.openxmlformats.org/officeDocument/2006/relationships/hyperlink" Target="javascript:GotoSubLeger_" TargetMode="External"/><Relationship Id="rId142" Type="http://schemas.openxmlformats.org/officeDocument/2006/relationships/hyperlink" Target="javascript:GotoSubLeger_" TargetMode="External"/><Relationship Id="rId163" Type="http://schemas.openxmlformats.org/officeDocument/2006/relationships/hyperlink" Target="javascript:GotoSubLeger_" TargetMode="External"/><Relationship Id="rId184" Type="http://schemas.openxmlformats.org/officeDocument/2006/relationships/hyperlink" Target="javascript:GotoSubLeger_" TargetMode="External"/><Relationship Id="rId219" Type="http://schemas.openxmlformats.org/officeDocument/2006/relationships/hyperlink" Target="javascript:GotoSubLeger_" TargetMode="External"/><Relationship Id="rId230" Type="http://schemas.openxmlformats.org/officeDocument/2006/relationships/hyperlink" Target="javascript:GotoSubLeger_" TargetMode="External"/><Relationship Id="rId251" Type="http://schemas.openxmlformats.org/officeDocument/2006/relationships/hyperlink" Target="javascript:GotoSubLeger_" TargetMode="External"/><Relationship Id="rId25" Type="http://schemas.openxmlformats.org/officeDocument/2006/relationships/hyperlink" Target="javascript:GotoSubLeger_" TargetMode="External"/><Relationship Id="rId46" Type="http://schemas.openxmlformats.org/officeDocument/2006/relationships/hyperlink" Target="javascript:GotoSubLeger_" TargetMode="External"/><Relationship Id="rId67" Type="http://schemas.openxmlformats.org/officeDocument/2006/relationships/hyperlink" Target="javascript:GotoSubLeger_" TargetMode="External"/><Relationship Id="rId272" Type="http://schemas.openxmlformats.org/officeDocument/2006/relationships/hyperlink" Target="javascript:GotoSubLeger_" TargetMode="External"/><Relationship Id="rId293" Type="http://schemas.openxmlformats.org/officeDocument/2006/relationships/hyperlink" Target="javascript:GotoSubLeger_" TargetMode="External"/><Relationship Id="rId88" Type="http://schemas.openxmlformats.org/officeDocument/2006/relationships/hyperlink" Target="javascript:GotoSubLeger_" TargetMode="External"/><Relationship Id="rId111" Type="http://schemas.openxmlformats.org/officeDocument/2006/relationships/hyperlink" Target="javascript:GotoSubLeger_" TargetMode="External"/><Relationship Id="rId132" Type="http://schemas.openxmlformats.org/officeDocument/2006/relationships/hyperlink" Target="javascript:GotoSubLeger_" TargetMode="External"/><Relationship Id="rId153" Type="http://schemas.openxmlformats.org/officeDocument/2006/relationships/hyperlink" Target="javascript:GotoSubLeger_" TargetMode="External"/><Relationship Id="rId174" Type="http://schemas.openxmlformats.org/officeDocument/2006/relationships/hyperlink" Target="javascript:GotoSubLeger_" TargetMode="External"/><Relationship Id="rId195" Type="http://schemas.openxmlformats.org/officeDocument/2006/relationships/hyperlink" Target="javascript:GotoSubLeger_" TargetMode="External"/><Relationship Id="rId209" Type="http://schemas.openxmlformats.org/officeDocument/2006/relationships/hyperlink" Target="javascript:GotoSubLeger_" TargetMode="External"/><Relationship Id="rId220" Type="http://schemas.openxmlformats.org/officeDocument/2006/relationships/hyperlink" Target="javascript:GotoSubLeger_" TargetMode="External"/><Relationship Id="rId241" Type="http://schemas.openxmlformats.org/officeDocument/2006/relationships/hyperlink" Target="javascript:GotoSubLeger_" TargetMode="External"/><Relationship Id="rId15" Type="http://schemas.openxmlformats.org/officeDocument/2006/relationships/hyperlink" Target="javascript:GotoSubLeger_" TargetMode="External"/><Relationship Id="rId36" Type="http://schemas.openxmlformats.org/officeDocument/2006/relationships/hyperlink" Target="javascript:GotoSubLeger_" TargetMode="External"/><Relationship Id="rId57" Type="http://schemas.openxmlformats.org/officeDocument/2006/relationships/hyperlink" Target="javascript:GotoSubLeger_" TargetMode="External"/><Relationship Id="rId262" Type="http://schemas.openxmlformats.org/officeDocument/2006/relationships/hyperlink" Target="javascript:GotoSubLeger_" TargetMode="External"/><Relationship Id="rId283" Type="http://schemas.openxmlformats.org/officeDocument/2006/relationships/hyperlink" Target="javascript:GotoSubLeger_" TargetMode="External"/><Relationship Id="rId78" Type="http://schemas.openxmlformats.org/officeDocument/2006/relationships/hyperlink" Target="javascript:GotoSubLeger_" TargetMode="External"/><Relationship Id="rId99" Type="http://schemas.openxmlformats.org/officeDocument/2006/relationships/hyperlink" Target="javascript:GotoSubLeger_" TargetMode="External"/><Relationship Id="rId101" Type="http://schemas.openxmlformats.org/officeDocument/2006/relationships/hyperlink" Target="javascript:GotoSubLeger_" TargetMode="External"/><Relationship Id="rId122" Type="http://schemas.openxmlformats.org/officeDocument/2006/relationships/hyperlink" Target="javascript:GotoSubLeger_" TargetMode="External"/><Relationship Id="rId143" Type="http://schemas.openxmlformats.org/officeDocument/2006/relationships/hyperlink" Target="javascript:GotoSubLeger_" TargetMode="External"/><Relationship Id="rId164" Type="http://schemas.openxmlformats.org/officeDocument/2006/relationships/hyperlink" Target="javascript:GotoSubLeger_" TargetMode="External"/><Relationship Id="rId185" Type="http://schemas.openxmlformats.org/officeDocument/2006/relationships/hyperlink" Target="javascript:GotoSubLeger_" TargetMode="External"/><Relationship Id="rId9" Type="http://schemas.openxmlformats.org/officeDocument/2006/relationships/hyperlink" Target="javascript:GotoSubLeger_" TargetMode="External"/><Relationship Id="rId210" Type="http://schemas.openxmlformats.org/officeDocument/2006/relationships/hyperlink" Target="javascript:GotoSubLeger_" TargetMode="External"/><Relationship Id="rId26" Type="http://schemas.openxmlformats.org/officeDocument/2006/relationships/hyperlink" Target="javascript:GotoSubLeger_" TargetMode="External"/><Relationship Id="rId231" Type="http://schemas.openxmlformats.org/officeDocument/2006/relationships/hyperlink" Target="javascript:GotoSubLeger_" TargetMode="External"/><Relationship Id="rId252" Type="http://schemas.openxmlformats.org/officeDocument/2006/relationships/hyperlink" Target="javascript:GotoSubLeger_" TargetMode="External"/><Relationship Id="rId273" Type="http://schemas.openxmlformats.org/officeDocument/2006/relationships/hyperlink" Target="javascript:GotoSubLeger_" TargetMode="External"/><Relationship Id="rId294" Type="http://schemas.openxmlformats.org/officeDocument/2006/relationships/hyperlink" Target="javascript:GotoSubLeger_" TargetMode="External"/><Relationship Id="rId47" Type="http://schemas.openxmlformats.org/officeDocument/2006/relationships/hyperlink" Target="javascript:GotoSubLeger_" TargetMode="External"/><Relationship Id="rId68" Type="http://schemas.openxmlformats.org/officeDocument/2006/relationships/hyperlink" Target="javascript:GotoSubLeger_" TargetMode="External"/><Relationship Id="rId89" Type="http://schemas.openxmlformats.org/officeDocument/2006/relationships/hyperlink" Target="javascript:GotoSubLeger_" TargetMode="External"/><Relationship Id="rId112" Type="http://schemas.openxmlformats.org/officeDocument/2006/relationships/hyperlink" Target="javascript:GotoSubLeger_" TargetMode="External"/><Relationship Id="rId133" Type="http://schemas.openxmlformats.org/officeDocument/2006/relationships/hyperlink" Target="javascript:GotoSubLeger_" TargetMode="External"/><Relationship Id="rId154" Type="http://schemas.openxmlformats.org/officeDocument/2006/relationships/hyperlink" Target="javascript:GotoSubLeger_" TargetMode="External"/><Relationship Id="rId175" Type="http://schemas.openxmlformats.org/officeDocument/2006/relationships/hyperlink" Target="javascript:GotoSubLeger_" TargetMode="External"/><Relationship Id="rId196" Type="http://schemas.openxmlformats.org/officeDocument/2006/relationships/hyperlink" Target="javascript:GotoSubLeger_" TargetMode="External"/><Relationship Id="rId200" Type="http://schemas.openxmlformats.org/officeDocument/2006/relationships/hyperlink" Target="javascript:GotoSubLeger_" TargetMode="External"/><Relationship Id="rId16" Type="http://schemas.openxmlformats.org/officeDocument/2006/relationships/hyperlink" Target="javascript:GotoSubLeger_" TargetMode="External"/><Relationship Id="rId221" Type="http://schemas.openxmlformats.org/officeDocument/2006/relationships/hyperlink" Target="javascript:GotoSubLeger_" TargetMode="External"/><Relationship Id="rId242" Type="http://schemas.openxmlformats.org/officeDocument/2006/relationships/hyperlink" Target="javascript:GotoSubLeger_" TargetMode="External"/><Relationship Id="rId263" Type="http://schemas.openxmlformats.org/officeDocument/2006/relationships/hyperlink" Target="javascript:GotoSubLeger_" TargetMode="External"/><Relationship Id="rId284" Type="http://schemas.openxmlformats.org/officeDocument/2006/relationships/hyperlink" Target="javascript:GotoSubLeger_" TargetMode="External"/><Relationship Id="rId37" Type="http://schemas.openxmlformats.org/officeDocument/2006/relationships/hyperlink" Target="javascript:GotoSubLeger_" TargetMode="External"/><Relationship Id="rId58" Type="http://schemas.openxmlformats.org/officeDocument/2006/relationships/hyperlink" Target="javascript:GotoSubLeger_" TargetMode="External"/><Relationship Id="rId79" Type="http://schemas.openxmlformats.org/officeDocument/2006/relationships/hyperlink" Target="javascript:GotoSubLeger_" TargetMode="External"/><Relationship Id="rId102" Type="http://schemas.openxmlformats.org/officeDocument/2006/relationships/hyperlink" Target="javascript:GotoSubLeger_" TargetMode="External"/><Relationship Id="rId123" Type="http://schemas.openxmlformats.org/officeDocument/2006/relationships/hyperlink" Target="javascript:GotoSubLeger_" TargetMode="External"/><Relationship Id="rId144" Type="http://schemas.openxmlformats.org/officeDocument/2006/relationships/hyperlink" Target="javascript:GotoSubLeger_" TargetMode="External"/><Relationship Id="rId90" Type="http://schemas.openxmlformats.org/officeDocument/2006/relationships/hyperlink" Target="javascript:GotoSubLeger_" TargetMode="External"/><Relationship Id="rId165" Type="http://schemas.openxmlformats.org/officeDocument/2006/relationships/hyperlink" Target="javascript:GotoSubLeger_" TargetMode="External"/><Relationship Id="rId186" Type="http://schemas.openxmlformats.org/officeDocument/2006/relationships/hyperlink" Target="javascript:GotoSubLeger_" TargetMode="External"/><Relationship Id="rId211" Type="http://schemas.openxmlformats.org/officeDocument/2006/relationships/hyperlink" Target="javascript:GotoSubLeger_" TargetMode="External"/><Relationship Id="rId232" Type="http://schemas.openxmlformats.org/officeDocument/2006/relationships/hyperlink" Target="javascript:GotoSubLeger_" TargetMode="External"/><Relationship Id="rId253" Type="http://schemas.openxmlformats.org/officeDocument/2006/relationships/hyperlink" Target="javascript:GotoSubLeger_" TargetMode="External"/><Relationship Id="rId274" Type="http://schemas.openxmlformats.org/officeDocument/2006/relationships/hyperlink" Target="javascript:GotoSubLeger_" TargetMode="External"/><Relationship Id="rId295" Type="http://schemas.openxmlformats.org/officeDocument/2006/relationships/hyperlink" Target="javascript:GotoSubLeger_" TargetMode="External"/><Relationship Id="rId27" Type="http://schemas.openxmlformats.org/officeDocument/2006/relationships/hyperlink" Target="javascript:GotoSubLeger_" TargetMode="External"/><Relationship Id="rId48" Type="http://schemas.openxmlformats.org/officeDocument/2006/relationships/hyperlink" Target="javascript:GotoSubLeger_" TargetMode="External"/><Relationship Id="rId69" Type="http://schemas.openxmlformats.org/officeDocument/2006/relationships/hyperlink" Target="javascript:GotoSubLeger_" TargetMode="External"/><Relationship Id="rId113" Type="http://schemas.openxmlformats.org/officeDocument/2006/relationships/hyperlink" Target="javascript:GotoSubLeger_" TargetMode="External"/><Relationship Id="rId134" Type="http://schemas.openxmlformats.org/officeDocument/2006/relationships/hyperlink" Target="javascript:GotoSubLeger_" TargetMode="External"/><Relationship Id="rId80" Type="http://schemas.openxmlformats.org/officeDocument/2006/relationships/hyperlink" Target="javascript:GotoSubLeger_" TargetMode="External"/><Relationship Id="rId155" Type="http://schemas.openxmlformats.org/officeDocument/2006/relationships/hyperlink" Target="javascript:GotoSubLeger_" TargetMode="External"/><Relationship Id="rId176" Type="http://schemas.openxmlformats.org/officeDocument/2006/relationships/hyperlink" Target="javascript:GotoSubLeger_" TargetMode="External"/><Relationship Id="rId197" Type="http://schemas.openxmlformats.org/officeDocument/2006/relationships/hyperlink" Target="javascript:GotoSubLeger_" TargetMode="External"/><Relationship Id="rId201" Type="http://schemas.openxmlformats.org/officeDocument/2006/relationships/hyperlink" Target="javascript:GotoSubLeger_" TargetMode="External"/><Relationship Id="rId222" Type="http://schemas.openxmlformats.org/officeDocument/2006/relationships/hyperlink" Target="javascript:GotoSubLeger_" TargetMode="External"/><Relationship Id="rId243" Type="http://schemas.openxmlformats.org/officeDocument/2006/relationships/hyperlink" Target="javascript:GotoSubLeger_" TargetMode="External"/><Relationship Id="rId264" Type="http://schemas.openxmlformats.org/officeDocument/2006/relationships/hyperlink" Target="javascript:GotoSubLeger_" TargetMode="External"/><Relationship Id="rId285" Type="http://schemas.openxmlformats.org/officeDocument/2006/relationships/hyperlink" Target="javascript:GotoSubLeger_" TargetMode="External"/><Relationship Id="rId17" Type="http://schemas.openxmlformats.org/officeDocument/2006/relationships/hyperlink" Target="javascript:GotoSubLeger_" TargetMode="External"/><Relationship Id="rId38" Type="http://schemas.openxmlformats.org/officeDocument/2006/relationships/hyperlink" Target="javascript:GotoSubLeger_" TargetMode="External"/><Relationship Id="rId59" Type="http://schemas.openxmlformats.org/officeDocument/2006/relationships/hyperlink" Target="javascript:GotoSubLeger_" TargetMode="External"/><Relationship Id="rId103" Type="http://schemas.openxmlformats.org/officeDocument/2006/relationships/hyperlink" Target="javascript:GotoSubLeger_" TargetMode="External"/><Relationship Id="rId124" Type="http://schemas.openxmlformats.org/officeDocument/2006/relationships/hyperlink" Target="javascript:GotoSubLeger_" TargetMode="External"/><Relationship Id="rId70" Type="http://schemas.openxmlformats.org/officeDocument/2006/relationships/hyperlink" Target="javascript:GotoSubLeger_" TargetMode="External"/><Relationship Id="rId91" Type="http://schemas.openxmlformats.org/officeDocument/2006/relationships/hyperlink" Target="javascript:GotoSubLeger_" TargetMode="External"/><Relationship Id="rId145" Type="http://schemas.openxmlformats.org/officeDocument/2006/relationships/hyperlink" Target="javascript:GotoSubLeger_" TargetMode="External"/><Relationship Id="rId166" Type="http://schemas.openxmlformats.org/officeDocument/2006/relationships/hyperlink" Target="javascript:GotoSubLeger_" TargetMode="External"/><Relationship Id="rId187" Type="http://schemas.openxmlformats.org/officeDocument/2006/relationships/hyperlink" Target="javascript:GotoSubLeger_" TargetMode="External"/><Relationship Id="rId1" Type="http://schemas.openxmlformats.org/officeDocument/2006/relationships/hyperlink" Target="javascript:GotoSubLeger_" TargetMode="External"/><Relationship Id="rId212" Type="http://schemas.openxmlformats.org/officeDocument/2006/relationships/hyperlink" Target="javascript:GotoSubLeger_" TargetMode="External"/><Relationship Id="rId233" Type="http://schemas.openxmlformats.org/officeDocument/2006/relationships/hyperlink" Target="javascript:GotoSubLeger_" TargetMode="External"/><Relationship Id="rId254" Type="http://schemas.openxmlformats.org/officeDocument/2006/relationships/hyperlink" Target="javascript:GotoSubLeger_" TargetMode="External"/><Relationship Id="rId28" Type="http://schemas.openxmlformats.org/officeDocument/2006/relationships/hyperlink" Target="javascript:GotoSubLeger_" TargetMode="External"/><Relationship Id="rId49" Type="http://schemas.openxmlformats.org/officeDocument/2006/relationships/hyperlink" Target="javascript:GotoSubLeger_" TargetMode="External"/><Relationship Id="rId114" Type="http://schemas.openxmlformats.org/officeDocument/2006/relationships/hyperlink" Target="javascript:GotoSubLeger_" TargetMode="External"/><Relationship Id="rId275" Type="http://schemas.openxmlformats.org/officeDocument/2006/relationships/hyperlink" Target="javascript:GotoSubLeger_" TargetMode="External"/><Relationship Id="rId296" Type="http://schemas.openxmlformats.org/officeDocument/2006/relationships/hyperlink" Target="javascript:GotoSubLeger_" TargetMode="External"/><Relationship Id="rId300" Type="http://schemas.openxmlformats.org/officeDocument/2006/relationships/hyperlink" Target="javascript:GotoSubLeger_" TargetMode="External"/><Relationship Id="rId60" Type="http://schemas.openxmlformats.org/officeDocument/2006/relationships/hyperlink" Target="javascript:GotoSubLeger_" TargetMode="External"/><Relationship Id="rId81" Type="http://schemas.openxmlformats.org/officeDocument/2006/relationships/hyperlink" Target="javascript:GotoSubLeger_" TargetMode="External"/><Relationship Id="rId135" Type="http://schemas.openxmlformats.org/officeDocument/2006/relationships/hyperlink" Target="javascript:GotoSubLeger_" TargetMode="External"/><Relationship Id="rId156" Type="http://schemas.openxmlformats.org/officeDocument/2006/relationships/hyperlink" Target="javascript:GotoSubLeger_" TargetMode="External"/><Relationship Id="rId177" Type="http://schemas.openxmlformats.org/officeDocument/2006/relationships/hyperlink" Target="javascript:GotoSubLeger_" TargetMode="External"/><Relationship Id="rId198" Type="http://schemas.openxmlformats.org/officeDocument/2006/relationships/hyperlink" Target="javascript:GotoSubLeger_" TargetMode="External"/><Relationship Id="rId202" Type="http://schemas.openxmlformats.org/officeDocument/2006/relationships/hyperlink" Target="javascript:GotoSubLeger_" TargetMode="External"/><Relationship Id="rId223" Type="http://schemas.openxmlformats.org/officeDocument/2006/relationships/hyperlink" Target="javascript:GotoSubLeger_" TargetMode="External"/><Relationship Id="rId244" Type="http://schemas.openxmlformats.org/officeDocument/2006/relationships/hyperlink" Target="javascript:GotoSubLeger_" TargetMode="External"/><Relationship Id="rId18" Type="http://schemas.openxmlformats.org/officeDocument/2006/relationships/hyperlink" Target="javascript:GotoSubLeger_" TargetMode="External"/><Relationship Id="rId39" Type="http://schemas.openxmlformats.org/officeDocument/2006/relationships/hyperlink" Target="javascript:GotoSubLeger_" TargetMode="External"/><Relationship Id="rId265" Type="http://schemas.openxmlformats.org/officeDocument/2006/relationships/hyperlink" Target="javascript:GotoSubLeger_" TargetMode="External"/><Relationship Id="rId286" Type="http://schemas.openxmlformats.org/officeDocument/2006/relationships/hyperlink" Target="javascript:GotoSubLeger_" TargetMode="External"/><Relationship Id="rId50" Type="http://schemas.openxmlformats.org/officeDocument/2006/relationships/hyperlink" Target="javascript:GotoSubLeger_" TargetMode="External"/><Relationship Id="rId104" Type="http://schemas.openxmlformats.org/officeDocument/2006/relationships/hyperlink" Target="javascript:GotoSubLeger_" TargetMode="External"/><Relationship Id="rId125" Type="http://schemas.openxmlformats.org/officeDocument/2006/relationships/hyperlink" Target="javascript:GotoSubLeger_" TargetMode="External"/><Relationship Id="rId146" Type="http://schemas.openxmlformats.org/officeDocument/2006/relationships/hyperlink" Target="javascript:GotoSubLeger_" TargetMode="External"/><Relationship Id="rId167" Type="http://schemas.openxmlformats.org/officeDocument/2006/relationships/hyperlink" Target="javascript:GotoSubLeger_" TargetMode="External"/><Relationship Id="rId188" Type="http://schemas.openxmlformats.org/officeDocument/2006/relationships/hyperlink" Target="javascript:GotoSubLeger_" TargetMode="External"/><Relationship Id="rId71" Type="http://schemas.openxmlformats.org/officeDocument/2006/relationships/hyperlink" Target="javascript:GotoSubLeger_" TargetMode="External"/><Relationship Id="rId92" Type="http://schemas.openxmlformats.org/officeDocument/2006/relationships/hyperlink" Target="javascript:GotoSubLeger_" TargetMode="External"/><Relationship Id="rId213" Type="http://schemas.openxmlformats.org/officeDocument/2006/relationships/hyperlink" Target="javascript:GotoSubLeger_" TargetMode="External"/><Relationship Id="rId234" Type="http://schemas.openxmlformats.org/officeDocument/2006/relationships/hyperlink" Target="javascript:GotoSubLeger_" TargetMode="External"/><Relationship Id="rId2" Type="http://schemas.openxmlformats.org/officeDocument/2006/relationships/hyperlink" Target="javascript:GotoSubLeger_" TargetMode="External"/><Relationship Id="rId29" Type="http://schemas.openxmlformats.org/officeDocument/2006/relationships/hyperlink" Target="javascript:GotoSubLeger_" TargetMode="External"/><Relationship Id="rId255" Type="http://schemas.openxmlformats.org/officeDocument/2006/relationships/hyperlink" Target="javascript:GotoSubLeger_" TargetMode="External"/><Relationship Id="rId276" Type="http://schemas.openxmlformats.org/officeDocument/2006/relationships/hyperlink" Target="javascript:GotoSubLeger_" TargetMode="External"/><Relationship Id="rId297" Type="http://schemas.openxmlformats.org/officeDocument/2006/relationships/hyperlink" Target="javascript:GotoSubLeger_" TargetMode="External"/><Relationship Id="rId40" Type="http://schemas.openxmlformats.org/officeDocument/2006/relationships/hyperlink" Target="javascript:GotoSubLeger_" TargetMode="External"/><Relationship Id="rId115" Type="http://schemas.openxmlformats.org/officeDocument/2006/relationships/hyperlink" Target="javascript:GotoSubLeger_" TargetMode="External"/><Relationship Id="rId136" Type="http://schemas.openxmlformats.org/officeDocument/2006/relationships/hyperlink" Target="javascript:GotoSubLeger_" TargetMode="External"/><Relationship Id="rId157" Type="http://schemas.openxmlformats.org/officeDocument/2006/relationships/hyperlink" Target="javascript:GotoSubLeger_" TargetMode="External"/><Relationship Id="rId178" Type="http://schemas.openxmlformats.org/officeDocument/2006/relationships/hyperlink" Target="javascript:GotoSubLeger_" TargetMode="External"/><Relationship Id="rId301" Type="http://schemas.openxmlformats.org/officeDocument/2006/relationships/hyperlink" Target="javascript:GotoSubLeger_" TargetMode="External"/><Relationship Id="rId61" Type="http://schemas.openxmlformats.org/officeDocument/2006/relationships/hyperlink" Target="javascript:GotoSubLeger_" TargetMode="External"/><Relationship Id="rId82" Type="http://schemas.openxmlformats.org/officeDocument/2006/relationships/hyperlink" Target="javascript:GotoSubLeger_" TargetMode="External"/><Relationship Id="rId199" Type="http://schemas.openxmlformats.org/officeDocument/2006/relationships/hyperlink" Target="javascript:GotoSubLeger_" TargetMode="External"/><Relationship Id="rId203" Type="http://schemas.openxmlformats.org/officeDocument/2006/relationships/hyperlink" Target="javascript:GotoSubLeger_" TargetMode="External"/><Relationship Id="rId19" Type="http://schemas.openxmlformats.org/officeDocument/2006/relationships/hyperlink" Target="javascript:GotoSubLeger_" TargetMode="External"/><Relationship Id="rId224" Type="http://schemas.openxmlformats.org/officeDocument/2006/relationships/hyperlink" Target="javascript:GotoSubLeger_" TargetMode="External"/><Relationship Id="rId245" Type="http://schemas.openxmlformats.org/officeDocument/2006/relationships/hyperlink" Target="javascript:GotoSubLeger_" TargetMode="External"/><Relationship Id="rId266" Type="http://schemas.openxmlformats.org/officeDocument/2006/relationships/hyperlink" Target="javascript:GotoSubLeger_" TargetMode="External"/><Relationship Id="rId287" Type="http://schemas.openxmlformats.org/officeDocument/2006/relationships/hyperlink" Target="javascript:GotoSubLeger_" TargetMode="External"/><Relationship Id="rId30" Type="http://schemas.openxmlformats.org/officeDocument/2006/relationships/hyperlink" Target="javascript:GotoSubLeger_" TargetMode="External"/><Relationship Id="rId105" Type="http://schemas.openxmlformats.org/officeDocument/2006/relationships/hyperlink" Target="javascript:GotoSubLeger_" TargetMode="External"/><Relationship Id="rId126" Type="http://schemas.openxmlformats.org/officeDocument/2006/relationships/hyperlink" Target="javascript:GotoSubLeger_" TargetMode="External"/><Relationship Id="rId147" Type="http://schemas.openxmlformats.org/officeDocument/2006/relationships/hyperlink" Target="javascript:GotoSubLeger_" TargetMode="External"/><Relationship Id="rId168" Type="http://schemas.openxmlformats.org/officeDocument/2006/relationships/hyperlink" Target="javascript:GotoSubLeger_" TargetMode="External"/><Relationship Id="rId51" Type="http://schemas.openxmlformats.org/officeDocument/2006/relationships/hyperlink" Target="javascript:GotoSubLeger_" TargetMode="External"/><Relationship Id="rId72" Type="http://schemas.openxmlformats.org/officeDocument/2006/relationships/hyperlink" Target="javascript:GotoSubLeger_" TargetMode="External"/><Relationship Id="rId93" Type="http://schemas.openxmlformats.org/officeDocument/2006/relationships/hyperlink" Target="javascript:GotoSubLeger_" TargetMode="External"/><Relationship Id="rId189" Type="http://schemas.openxmlformats.org/officeDocument/2006/relationships/hyperlink" Target="javascript:GotoSubLeger_" TargetMode="External"/><Relationship Id="rId3" Type="http://schemas.openxmlformats.org/officeDocument/2006/relationships/hyperlink" Target="javascript:GotoSubLeger_" TargetMode="External"/><Relationship Id="rId214" Type="http://schemas.openxmlformats.org/officeDocument/2006/relationships/hyperlink" Target="javascript:GotoSubLeger_" TargetMode="External"/><Relationship Id="rId235" Type="http://schemas.openxmlformats.org/officeDocument/2006/relationships/hyperlink" Target="javascript:GotoSubLeger_" TargetMode="External"/><Relationship Id="rId256" Type="http://schemas.openxmlformats.org/officeDocument/2006/relationships/hyperlink" Target="javascript:GotoSubLeger_" TargetMode="External"/><Relationship Id="rId277" Type="http://schemas.openxmlformats.org/officeDocument/2006/relationships/hyperlink" Target="javascript:GotoSubLeger_" TargetMode="External"/><Relationship Id="rId298" Type="http://schemas.openxmlformats.org/officeDocument/2006/relationships/hyperlink" Target="javascript:GotoSubLeger_" TargetMode="External"/><Relationship Id="rId116" Type="http://schemas.openxmlformats.org/officeDocument/2006/relationships/hyperlink" Target="javascript:GotoSubLeger_" TargetMode="External"/><Relationship Id="rId137" Type="http://schemas.openxmlformats.org/officeDocument/2006/relationships/hyperlink" Target="javascript:GotoSubLeger_" TargetMode="External"/><Relationship Id="rId158" Type="http://schemas.openxmlformats.org/officeDocument/2006/relationships/hyperlink" Target="javascript:GotoSubLeger_" TargetMode="External"/><Relationship Id="rId302" Type="http://schemas.openxmlformats.org/officeDocument/2006/relationships/hyperlink" Target="javascript:GotoSubLeger_" TargetMode="External"/><Relationship Id="rId20" Type="http://schemas.openxmlformats.org/officeDocument/2006/relationships/hyperlink" Target="javascript:GotoSubLeger_" TargetMode="External"/><Relationship Id="rId41" Type="http://schemas.openxmlformats.org/officeDocument/2006/relationships/hyperlink" Target="javascript:GotoSubLeger_" TargetMode="External"/><Relationship Id="rId62" Type="http://schemas.openxmlformats.org/officeDocument/2006/relationships/hyperlink" Target="javascript:GotoSubLeger_" TargetMode="External"/><Relationship Id="rId83" Type="http://schemas.openxmlformats.org/officeDocument/2006/relationships/hyperlink" Target="javascript:GotoSubLeger_" TargetMode="External"/><Relationship Id="rId179" Type="http://schemas.openxmlformats.org/officeDocument/2006/relationships/hyperlink" Target="javascript:GotoSubLeger_" TargetMode="External"/><Relationship Id="rId190" Type="http://schemas.openxmlformats.org/officeDocument/2006/relationships/hyperlink" Target="javascript:GotoSubLeger_" TargetMode="External"/><Relationship Id="rId204" Type="http://schemas.openxmlformats.org/officeDocument/2006/relationships/hyperlink" Target="javascript:GotoSubLeger_" TargetMode="External"/><Relationship Id="rId225" Type="http://schemas.openxmlformats.org/officeDocument/2006/relationships/hyperlink" Target="javascript:GotoSubLeger_" TargetMode="External"/><Relationship Id="rId246" Type="http://schemas.openxmlformats.org/officeDocument/2006/relationships/hyperlink" Target="javascript:GotoSubLeger_" TargetMode="External"/><Relationship Id="rId267" Type="http://schemas.openxmlformats.org/officeDocument/2006/relationships/hyperlink" Target="javascript:GotoSubLeger_" TargetMode="External"/><Relationship Id="rId288" Type="http://schemas.openxmlformats.org/officeDocument/2006/relationships/hyperlink" Target="javascript:GotoSubLeger_" TargetMode="External"/><Relationship Id="rId106" Type="http://schemas.openxmlformats.org/officeDocument/2006/relationships/hyperlink" Target="javascript:GotoSubLeger_" TargetMode="External"/><Relationship Id="rId127" Type="http://schemas.openxmlformats.org/officeDocument/2006/relationships/hyperlink" Target="javascript:GotoSubLeger_" TargetMode="External"/><Relationship Id="rId10" Type="http://schemas.openxmlformats.org/officeDocument/2006/relationships/hyperlink" Target="javascript:GotoSubLeger_" TargetMode="External"/><Relationship Id="rId31" Type="http://schemas.openxmlformats.org/officeDocument/2006/relationships/hyperlink" Target="javascript:GotoSubLeger_" TargetMode="External"/><Relationship Id="rId52" Type="http://schemas.openxmlformats.org/officeDocument/2006/relationships/hyperlink" Target="javascript:GotoSubLeger_" TargetMode="External"/><Relationship Id="rId73" Type="http://schemas.openxmlformats.org/officeDocument/2006/relationships/hyperlink" Target="javascript:GotoSubLeger_" TargetMode="External"/><Relationship Id="rId94" Type="http://schemas.openxmlformats.org/officeDocument/2006/relationships/hyperlink" Target="javascript:GotoSubLeger_" TargetMode="External"/><Relationship Id="rId148" Type="http://schemas.openxmlformats.org/officeDocument/2006/relationships/hyperlink" Target="javascript:GotoSubLeger_" TargetMode="External"/><Relationship Id="rId169" Type="http://schemas.openxmlformats.org/officeDocument/2006/relationships/hyperlink" Target="javascript:GotoSubLeger_" TargetMode="External"/><Relationship Id="rId4" Type="http://schemas.openxmlformats.org/officeDocument/2006/relationships/hyperlink" Target="javascript:GotoSubLeger_" TargetMode="External"/><Relationship Id="rId180" Type="http://schemas.openxmlformats.org/officeDocument/2006/relationships/hyperlink" Target="javascript:GotoSubLeger_" TargetMode="External"/><Relationship Id="rId215" Type="http://schemas.openxmlformats.org/officeDocument/2006/relationships/hyperlink" Target="javascript:GotoSubLeger_" TargetMode="External"/><Relationship Id="rId236" Type="http://schemas.openxmlformats.org/officeDocument/2006/relationships/hyperlink" Target="javascript:GotoSubLeger_" TargetMode="External"/><Relationship Id="rId257" Type="http://schemas.openxmlformats.org/officeDocument/2006/relationships/hyperlink" Target="javascript:GotoSubLeger_" TargetMode="External"/><Relationship Id="rId278" Type="http://schemas.openxmlformats.org/officeDocument/2006/relationships/hyperlink" Target="javascript:GotoSubLeger_" TargetMode="External"/><Relationship Id="rId303" Type="http://schemas.openxmlformats.org/officeDocument/2006/relationships/hyperlink" Target="javascript:GotoSubLeger_" TargetMode="External"/><Relationship Id="rId42" Type="http://schemas.openxmlformats.org/officeDocument/2006/relationships/hyperlink" Target="javascript:GotoSubLeger_" TargetMode="External"/><Relationship Id="rId84" Type="http://schemas.openxmlformats.org/officeDocument/2006/relationships/hyperlink" Target="javascript:GotoSubLeger_" TargetMode="External"/><Relationship Id="rId138" Type="http://schemas.openxmlformats.org/officeDocument/2006/relationships/hyperlink" Target="javascript:GotoSubLeger_" TargetMode="External"/><Relationship Id="rId191" Type="http://schemas.openxmlformats.org/officeDocument/2006/relationships/hyperlink" Target="javascript:GotoSubLeger_" TargetMode="External"/><Relationship Id="rId205" Type="http://schemas.openxmlformats.org/officeDocument/2006/relationships/hyperlink" Target="javascript:GotoSubLeger_" TargetMode="External"/><Relationship Id="rId247" Type="http://schemas.openxmlformats.org/officeDocument/2006/relationships/hyperlink" Target="javascript:GotoSubLeger_" TargetMode="External"/><Relationship Id="rId107" Type="http://schemas.openxmlformats.org/officeDocument/2006/relationships/hyperlink" Target="javascript:GotoSubLeger_" TargetMode="External"/><Relationship Id="rId289" Type="http://schemas.openxmlformats.org/officeDocument/2006/relationships/hyperlink" Target="javascript:GotoSubLeger_" TargetMode="External"/><Relationship Id="rId11" Type="http://schemas.openxmlformats.org/officeDocument/2006/relationships/hyperlink" Target="javascript:GotoSubLeger_" TargetMode="External"/><Relationship Id="rId53" Type="http://schemas.openxmlformats.org/officeDocument/2006/relationships/hyperlink" Target="javascript:GotoSubLeger_" TargetMode="External"/><Relationship Id="rId149" Type="http://schemas.openxmlformats.org/officeDocument/2006/relationships/hyperlink" Target="javascript:GotoSubLeger_" TargetMode="External"/><Relationship Id="rId95" Type="http://schemas.openxmlformats.org/officeDocument/2006/relationships/hyperlink" Target="javascript:GotoSubLeger_" TargetMode="External"/><Relationship Id="rId160" Type="http://schemas.openxmlformats.org/officeDocument/2006/relationships/hyperlink" Target="javascript:GotoSubLeger_" TargetMode="External"/><Relationship Id="rId216" Type="http://schemas.openxmlformats.org/officeDocument/2006/relationships/hyperlink" Target="javascript:GotoSubLeger_" TargetMode="External"/><Relationship Id="rId258" Type="http://schemas.openxmlformats.org/officeDocument/2006/relationships/hyperlink" Target="javascript:GotoSubLeger_" TargetMode="External"/><Relationship Id="rId22" Type="http://schemas.openxmlformats.org/officeDocument/2006/relationships/hyperlink" Target="javascript:GotoSubLeger_" TargetMode="External"/><Relationship Id="rId64" Type="http://schemas.openxmlformats.org/officeDocument/2006/relationships/hyperlink" Target="javascript:GotoSubLeger_" TargetMode="External"/><Relationship Id="rId118" Type="http://schemas.openxmlformats.org/officeDocument/2006/relationships/hyperlink" Target="javascript:GotoSubLeger_" TargetMode="External"/><Relationship Id="rId171" Type="http://schemas.openxmlformats.org/officeDocument/2006/relationships/hyperlink" Target="javascript:GotoSubLeger_" TargetMode="External"/><Relationship Id="rId227" Type="http://schemas.openxmlformats.org/officeDocument/2006/relationships/hyperlink" Target="javascript:GotoSubLeger_" TargetMode="External"/><Relationship Id="rId269" Type="http://schemas.openxmlformats.org/officeDocument/2006/relationships/hyperlink" Target="javascript:GotoSubLeger_" TargetMode="External"/><Relationship Id="rId33" Type="http://schemas.openxmlformats.org/officeDocument/2006/relationships/hyperlink" Target="javascript:GotoSubLeger_" TargetMode="External"/><Relationship Id="rId129" Type="http://schemas.openxmlformats.org/officeDocument/2006/relationships/hyperlink" Target="javascript:GotoSubLeger_" TargetMode="External"/><Relationship Id="rId280" Type="http://schemas.openxmlformats.org/officeDocument/2006/relationships/hyperlink" Target="javascript:GotoSubLeger_" TargetMode="External"/><Relationship Id="rId75" Type="http://schemas.openxmlformats.org/officeDocument/2006/relationships/hyperlink" Target="javascript:GotoSubLeger_" TargetMode="External"/><Relationship Id="rId140" Type="http://schemas.openxmlformats.org/officeDocument/2006/relationships/hyperlink" Target="javascript:GotoSubLeger_" TargetMode="External"/><Relationship Id="rId182" Type="http://schemas.openxmlformats.org/officeDocument/2006/relationships/hyperlink" Target="javascript:GotoSubLeger_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javascript:GotoSubLeger_" TargetMode="External"/><Relationship Id="rId3" Type="http://schemas.openxmlformats.org/officeDocument/2006/relationships/hyperlink" Target="javascript:GotoSubLeger_" TargetMode="External"/><Relationship Id="rId7" Type="http://schemas.openxmlformats.org/officeDocument/2006/relationships/hyperlink" Target="javascript:GotoSubLeger_" TargetMode="External"/><Relationship Id="rId2" Type="http://schemas.openxmlformats.org/officeDocument/2006/relationships/hyperlink" Target="javascript:GotoSubLeger_" TargetMode="External"/><Relationship Id="rId1" Type="http://schemas.openxmlformats.org/officeDocument/2006/relationships/hyperlink" Target="javascript:GotoSubLeger_" TargetMode="External"/><Relationship Id="rId6" Type="http://schemas.openxmlformats.org/officeDocument/2006/relationships/hyperlink" Target="javascript:GotoSubLeger_" TargetMode="External"/><Relationship Id="rId5" Type="http://schemas.openxmlformats.org/officeDocument/2006/relationships/hyperlink" Target="javascript:GotoSubLeger_" TargetMode="External"/><Relationship Id="rId10" Type="http://schemas.openxmlformats.org/officeDocument/2006/relationships/hyperlink" Target="javascript:GotoSubLeger_" TargetMode="External"/><Relationship Id="rId4" Type="http://schemas.openxmlformats.org/officeDocument/2006/relationships/hyperlink" Target="javascript:GotoSubLeger_" TargetMode="External"/><Relationship Id="rId9" Type="http://schemas.openxmlformats.org/officeDocument/2006/relationships/hyperlink" Target="javascript:GotoSubLeger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O1217"/>
  <sheetViews>
    <sheetView showGridLines="0" zoomScaleNormal="100" workbookViewId="0">
      <selection activeCell="K1217" sqref="A2:K1217"/>
    </sheetView>
  </sheetViews>
  <sheetFormatPr defaultRowHeight="15" x14ac:dyDescent="0.25"/>
  <cols>
    <col min="1" max="1" width="12.28515625" bestFit="1" customWidth="1"/>
    <col min="2" max="2" width="10.85546875" style="277" bestFit="1" customWidth="1"/>
    <col min="3" max="3" width="23.140625" customWidth="1"/>
    <col min="4" max="4" width="91.5703125" bestFit="1" customWidth="1"/>
    <col min="6" max="6" width="25.7109375" bestFit="1" customWidth="1"/>
    <col min="8" max="8" width="61.85546875" style="120" customWidth="1"/>
    <col min="9" max="9" width="9.140625" bestFit="1" customWidth="1"/>
    <col min="10" max="10" width="15" bestFit="1" customWidth="1"/>
    <col min="11" max="11" width="12.42578125" customWidth="1"/>
    <col min="12" max="12" width="12.42578125" style="158" customWidth="1"/>
    <col min="13" max="13" width="21.7109375" style="159" bestFit="1" customWidth="1"/>
    <col min="14" max="14" width="21.7109375" style="158" bestFit="1" customWidth="1"/>
    <col min="15" max="15" width="36.85546875" style="164" customWidth="1"/>
  </cols>
  <sheetData>
    <row r="1" spans="1:15" ht="20.25" customHeight="1" x14ac:dyDescent="0.3">
      <c r="A1" s="151" t="s">
        <v>0</v>
      </c>
      <c r="B1" s="155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275" t="s">
        <v>7</v>
      </c>
      <c r="I1" s="152" t="s">
        <v>8</v>
      </c>
      <c r="J1" s="153" t="s">
        <v>9</v>
      </c>
      <c r="K1" s="153" t="s">
        <v>10</v>
      </c>
      <c r="L1" s="153" t="s">
        <v>11</v>
      </c>
      <c r="M1" s="154" t="s">
        <v>12</v>
      </c>
      <c r="N1" s="162" t="s">
        <v>13</v>
      </c>
      <c r="O1" s="163" t="s">
        <v>14</v>
      </c>
    </row>
    <row r="2" spans="1:15" x14ac:dyDescent="0.25">
      <c r="A2" s="126"/>
      <c r="B2" s="296"/>
      <c r="C2" s="126"/>
      <c r="D2" s="126"/>
      <c r="E2" s="126"/>
      <c r="F2" s="126"/>
      <c r="G2" s="298"/>
      <c r="H2" s="126"/>
      <c r="I2" s="297"/>
      <c r="J2" s="297"/>
      <c r="K2" s="297"/>
      <c r="L2" s="216">
        <f t="shared" ref="L2:L65" si="0">K2*1.1</f>
        <v>0</v>
      </c>
      <c r="M2" s="159" t="str">
        <f t="shared" ref="M2:M65" si="1">IF(ISNUMBER(SEARCH("Azarine",H2)),"AZARINE",IF(ISNUMBER(SEARCH("Baking Soda",H2)),"BAKING SODA",IF(ISNUMBER(SEARCH("Fujitsu",H2)),"FUJITSU",IF(ISNUMBER(SEARCH("Coleman",H2)),"COLEMAN",""))))</f>
        <v/>
      </c>
      <c r="O2" s="158"/>
    </row>
    <row r="3" spans="1:15" x14ac:dyDescent="0.25">
      <c r="A3" s="126"/>
      <c r="B3" s="296"/>
      <c r="C3" s="126"/>
      <c r="D3" s="126"/>
      <c r="E3" s="126"/>
      <c r="F3" s="126"/>
      <c r="G3" s="298"/>
      <c r="H3" s="126"/>
      <c r="I3" s="297"/>
      <c r="J3" s="297"/>
      <c r="K3" s="297"/>
      <c r="L3" s="216">
        <f t="shared" si="0"/>
        <v>0</v>
      </c>
      <c r="M3" s="159" t="str">
        <f t="shared" si="1"/>
        <v/>
      </c>
      <c r="O3" s="158"/>
    </row>
    <row r="4" spans="1:15" x14ac:dyDescent="0.25">
      <c r="A4" s="126"/>
      <c r="B4" s="296"/>
      <c r="C4" s="126"/>
      <c r="D4" s="126"/>
      <c r="E4" s="126"/>
      <c r="F4" s="126"/>
      <c r="G4" s="298"/>
      <c r="H4" s="126"/>
      <c r="I4" s="297"/>
      <c r="J4" s="297"/>
      <c r="K4" s="297"/>
      <c r="L4" s="216">
        <f t="shared" si="0"/>
        <v>0</v>
      </c>
      <c r="M4" s="159" t="str">
        <f t="shared" si="1"/>
        <v/>
      </c>
      <c r="O4" s="158"/>
    </row>
    <row r="5" spans="1:15" x14ac:dyDescent="0.25">
      <c r="A5" s="126"/>
      <c r="B5" s="296"/>
      <c r="C5" s="126"/>
      <c r="D5" s="126"/>
      <c r="E5" s="126"/>
      <c r="F5" s="126"/>
      <c r="G5" s="298"/>
      <c r="H5" s="126"/>
      <c r="I5" s="297"/>
      <c r="J5" s="297"/>
      <c r="K5" s="297"/>
      <c r="L5" s="216">
        <f t="shared" si="0"/>
        <v>0</v>
      </c>
      <c r="M5" s="159" t="str">
        <f t="shared" si="1"/>
        <v/>
      </c>
      <c r="O5" s="158"/>
    </row>
    <row r="6" spans="1:15" x14ac:dyDescent="0.25">
      <c r="A6" s="126"/>
      <c r="B6" s="296"/>
      <c r="C6" s="126"/>
      <c r="D6" s="126"/>
      <c r="E6" s="126"/>
      <c r="F6" s="126"/>
      <c r="G6" s="298"/>
      <c r="H6" s="126"/>
      <c r="I6" s="297"/>
      <c r="J6" s="297"/>
      <c r="K6" s="297"/>
      <c r="L6" s="216">
        <f t="shared" si="0"/>
        <v>0</v>
      </c>
      <c r="M6" s="159" t="str">
        <f t="shared" si="1"/>
        <v/>
      </c>
      <c r="O6" s="158"/>
    </row>
    <row r="7" spans="1:15" x14ac:dyDescent="0.25">
      <c r="A7" s="126"/>
      <c r="B7" s="296"/>
      <c r="C7" s="126"/>
      <c r="D7" s="126"/>
      <c r="E7" s="126"/>
      <c r="F7" s="126"/>
      <c r="G7" s="298"/>
      <c r="H7" s="126"/>
      <c r="I7" s="297"/>
      <c r="J7" s="297"/>
      <c r="K7" s="297"/>
      <c r="L7" s="216">
        <f t="shared" si="0"/>
        <v>0</v>
      </c>
      <c r="M7" s="159" t="str">
        <f t="shared" si="1"/>
        <v/>
      </c>
      <c r="O7" s="158"/>
    </row>
    <row r="8" spans="1:15" x14ac:dyDescent="0.25">
      <c r="A8" s="126"/>
      <c r="B8" s="296"/>
      <c r="C8" s="126"/>
      <c r="D8" s="126"/>
      <c r="E8" s="126"/>
      <c r="F8" s="126"/>
      <c r="G8" s="298"/>
      <c r="H8" s="126"/>
      <c r="I8" s="297"/>
      <c r="J8" s="297"/>
      <c r="K8" s="297"/>
      <c r="L8" s="216">
        <f t="shared" si="0"/>
        <v>0</v>
      </c>
      <c r="M8" s="159" t="str">
        <f t="shared" si="1"/>
        <v/>
      </c>
      <c r="O8" s="158"/>
    </row>
    <row r="9" spans="1:15" x14ac:dyDescent="0.25">
      <c r="A9" s="126"/>
      <c r="B9" s="296"/>
      <c r="C9" s="126"/>
      <c r="D9" s="126"/>
      <c r="E9" s="126"/>
      <c r="F9" s="126"/>
      <c r="G9" s="298"/>
      <c r="H9" s="126"/>
      <c r="I9" s="297"/>
      <c r="J9" s="297"/>
      <c r="K9" s="297"/>
      <c r="L9" s="216">
        <f t="shared" si="0"/>
        <v>0</v>
      </c>
      <c r="M9" s="159" t="str">
        <f t="shared" si="1"/>
        <v/>
      </c>
      <c r="O9" s="158"/>
    </row>
    <row r="10" spans="1:15" x14ac:dyDescent="0.25">
      <c r="A10" s="126"/>
      <c r="B10" s="296"/>
      <c r="C10" s="126"/>
      <c r="D10" s="126"/>
      <c r="E10" s="126"/>
      <c r="F10" s="126"/>
      <c r="G10" s="298"/>
      <c r="H10" s="126"/>
      <c r="I10" s="297"/>
      <c r="J10" s="297"/>
      <c r="K10" s="297"/>
      <c r="L10" s="216">
        <f t="shared" si="0"/>
        <v>0</v>
      </c>
      <c r="M10" s="159" t="str">
        <f t="shared" si="1"/>
        <v/>
      </c>
      <c r="O10" s="158"/>
    </row>
    <row r="11" spans="1:15" x14ac:dyDescent="0.25">
      <c r="A11" s="126"/>
      <c r="B11" s="296"/>
      <c r="C11" s="126"/>
      <c r="D11" s="126"/>
      <c r="E11" s="126"/>
      <c r="F11" s="126"/>
      <c r="G11" s="298"/>
      <c r="H11" s="126"/>
      <c r="I11" s="297"/>
      <c r="J11" s="297"/>
      <c r="K11" s="297"/>
      <c r="L11" s="216">
        <f t="shared" si="0"/>
        <v>0</v>
      </c>
      <c r="M11" s="159" t="str">
        <f t="shared" si="1"/>
        <v/>
      </c>
      <c r="O11" s="158"/>
    </row>
    <row r="12" spans="1:15" x14ac:dyDescent="0.25">
      <c r="A12" s="126"/>
      <c r="B12" s="296"/>
      <c r="C12" s="126"/>
      <c r="D12" s="126"/>
      <c r="E12" s="126"/>
      <c r="F12" s="126"/>
      <c r="G12" s="298"/>
      <c r="H12" s="126"/>
      <c r="I12" s="297"/>
      <c r="J12" s="297"/>
      <c r="K12" s="297"/>
      <c r="L12" s="216">
        <f t="shared" si="0"/>
        <v>0</v>
      </c>
      <c r="M12" s="159" t="str">
        <f t="shared" si="1"/>
        <v/>
      </c>
      <c r="O12" s="158"/>
    </row>
    <row r="13" spans="1:15" x14ac:dyDescent="0.25">
      <c r="A13" s="126"/>
      <c r="B13" s="296"/>
      <c r="C13" s="126"/>
      <c r="D13" s="126"/>
      <c r="E13" s="126"/>
      <c r="F13" s="126"/>
      <c r="G13" s="298"/>
      <c r="H13" s="126"/>
      <c r="I13" s="297"/>
      <c r="J13" s="297"/>
      <c r="K13" s="297"/>
      <c r="L13" s="216">
        <f t="shared" si="0"/>
        <v>0</v>
      </c>
      <c r="M13" s="159" t="str">
        <f t="shared" si="1"/>
        <v/>
      </c>
      <c r="O13" s="158"/>
    </row>
    <row r="14" spans="1:15" x14ac:dyDescent="0.25">
      <c r="A14" s="126"/>
      <c r="B14" s="296"/>
      <c r="C14" s="126"/>
      <c r="D14" s="126"/>
      <c r="E14" s="126"/>
      <c r="F14" s="126"/>
      <c r="G14" s="298"/>
      <c r="H14" s="126"/>
      <c r="I14" s="297"/>
      <c r="J14" s="297"/>
      <c r="K14" s="297"/>
      <c r="L14" s="216">
        <f t="shared" si="0"/>
        <v>0</v>
      </c>
      <c r="M14" s="159" t="str">
        <f t="shared" si="1"/>
        <v/>
      </c>
      <c r="O14" s="158"/>
    </row>
    <row r="15" spans="1:15" x14ac:dyDescent="0.25">
      <c r="A15" s="126"/>
      <c r="B15" s="296"/>
      <c r="C15" s="126"/>
      <c r="D15" s="126"/>
      <c r="E15" s="126"/>
      <c r="F15" s="126"/>
      <c r="G15" s="298"/>
      <c r="H15" s="126"/>
      <c r="I15" s="297"/>
      <c r="J15" s="297"/>
      <c r="K15" s="297"/>
      <c r="L15" s="216">
        <f t="shared" si="0"/>
        <v>0</v>
      </c>
      <c r="M15" s="159" t="str">
        <f t="shared" si="1"/>
        <v/>
      </c>
      <c r="O15" s="158"/>
    </row>
    <row r="16" spans="1:15" x14ac:dyDescent="0.25">
      <c r="A16" s="126"/>
      <c r="B16" s="296"/>
      <c r="C16" s="126"/>
      <c r="D16" s="126"/>
      <c r="E16" s="126"/>
      <c r="F16" s="126"/>
      <c r="G16" s="298"/>
      <c r="H16" s="126"/>
      <c r="I16" s="297"/>
      <c r="J16" s="297"/>
      <c r="K16" s="297"/>
      <c r="L16" s="216">
        <f t="shared" si="0"/>
        <v>0</v>
      </c>
      <c r="M16" s="159" t="str">
        <f t="shared" si="1"/>
        <v/>
      </c>
      <c r="O16" s="158"/>
    </row>
    <row r="17" spans="1:15" x14ac:dyDescent="0.25">
      <c r="A17" s="126"/>
      <c r="B17" s="296"/>
      <c r="C17" s="126"/>
      <c r="D17" s="126"/>
      <c r="E17" s="126"/>
      <c r="F17" s="126"/>
      <c r="G17" s="298"/>
      <c r="H17" s="126"/>
      <c r="I17" s="297"/>
      <c r="J17" s="297"/>
      <c r="K17" s="297"/>
      <c r="L17" s="216">
        <f t="shared" si="0"/>
        <v>0</v>
      </c>
      <c r="M17" s="159" t="str">
        <f t="shared" si="1"/>
        <v/>
      </c>
      <c r="O17" s="158"/>
    </row>
    <row r="18" spans="1:15" x14ac:dyDescent="0.25">
      <c r="A18" s="126"/>
      <c r="B18" s="296"/>
      <c r="C18" s="126"/>
      <c r="D18" s="126"/>
      <c r="E18" s="126"/>
      <c r="F18" s="126"/>
      <c r="G18" s="298"/>
      <c r="H18" s="126"/>
      <c r="I18" s="297"/>
      <c r="J18" s="297"/>
      <c r="K18" s="297"/>
      <c r="L18" s="216">
        <f t="shared" si="0"/>
        <v>0</v>
      </c>
      <c r="M18" s="159" t="str">
        <f t="shared" si="1"/>
        <v/>
      </c>
      <c r="O18" s="158"/>
    </row>
    <row r="19" spans="1:15" x14ac:dyDescent="0.25">
      <c r="A19" s="126"/>
      <c r="B19" s="296"/>
      <c r="C19" s="126"/>
      <c r="D19" s="126"/>
      <c r="E19" s="126"/>
      <c r="F19" s="126"/>
      <c r="G19" s="298"/>
      <c r="H19" s="126"/>
      <c r="I19" s="297"/>
      <c r="J19" s="297"/>
      <c r="K19" s="297"/>
      <c r="L19" s="216">
        <f t="shared" si="0"/>
        <v>0</v>
      </c>
      <c r="M19" s="159" t="str">
        <f t="shared" si="1"/>
        <v/>
      </c>
      <c r="O19" s="158"/>
    </row>
    <row r="20" spans="1:15" x14ac:dyDescent="0.25">
      <c r="A20" s="126"/>
      <c r="B20" s="296"/>
      <c r="C20" s="126"/>
      <c r="D20" s="126"/>
      <c r="E20" s="126"/>
      <c r="F20" s="126"/>
      <c r="G20" s="298"/>
      <c r="H20" s="126"/>
      <c r="I20" s="297"/>
      <c r="J20" s="297"/>
      <c r="K20" s="297"/>
      <c r="L20" s="216">
        <f t="shared" si="0"/>
        <v>0</v>
      </c>
      <c r="M20" s="159" t="str">
        <f t="shared" si="1"/>
        <v/>
      </c>
      <c r="O20" s="158"/>
    </row>
    <row r="21" spans="1:15" x14ac:dyDescent="0.25">
      <c r="A21" s="126"/>
      <c r="B21" s="296"/>
      <c r="C21" s="126"/>
      <c r="D21" s="126"/>
      <c r="E21" s="126"/>
      <c r="F21" s="126"/>
      <c r="G21" s="298"/>
      <c r="H21" s="126"/>
      <c r="I21" s="297"/>
      <c r="J21" s="297"/>
      <c r="K21" s="297"/>
      <c r="L21" s="216">
        <f t="shared" si="0"/>
        <v>0</v>
      </c>
      <c r="M21" s="159" t="str">
        <f t="shared" si="1"/>
        <v/>
      </c>
      <c r="O21" s="158"/>
    </row>
    <row r="22" spans="1:15" x14ac:dyDescent="0.25">
      <c r="A22" s="126"/>
      <c r="B22" s="296"/>
      <c r="C22" s="126"/>
      <c r="D22" s="126"/>
      <c r="E22" s="126"/>
      <c r="F22" s="126"/>
      <c r="G22" s="298"/>
      <c r="H22" s="126"/>
      <c r="I22" s="297"/>
      <c r="J22" s="297"/>
      <c r="K22" s="297"/>
      <c r="L22" s="216">
        <f t="shared" si="0"/>
        <v>0</v>
      </c>
      <c r="M22" s="159" t="str">
        <f t="shared" si="1"/>
        <v/>
      </c>
      <c r="O22" s="158"/>
    </row>
    <row r="23" spans="1:15" x14ac:dyDescent="0.25">
      <c r="A23" s="126"/>
      <c r="B23" s="296"/>
      <c r="C23" s="126"/>
      <c r="D23" s="126"/>
      <c r="E23" s="126"/>
      <c r="F23" s="126"/>
      <c r="G23" s="298"/>
      <c r="H23" s="126"/>
      <c r="I23" s="297"/>
      <c r="J23" s="297"/>
      <c r="K23" s="297"/>
      <c r="L23" s="216">
        <f t="shared" si="0"/>
        <v>0</v>
      </c>
      <c r="M23" s="159" t="str">
        <f t="shared" si="1"/>
        <v/>
      </c>
      <c r="O23" s="158"/>
    </row>
    <row r="24" spans="1:15" x14ac:dyDescent="0.25">
      <c r="A24" s="126"/>
      <c r="B24" s="296"/>
      <c r="C24" s="126"/>
      <c r="D24" s="126"/>
      <c r="E24" s="126"/>
      <c r="F24" s="126"/>
      <c r="G24" s="298"/>
      <c r="H24" s="126"/>
      <c r="I24" s="297"/>
      <c r="J24" s="297"/>
      <c r="K24" s="297"/>
      <c r="L24" s="216">
        <f t="shared" si="0"/>
        <v>0</v>
      </c>
      <c r="M24" s="159" t="str">
        <f t="shared" si="1"/>
        <v/>
      </c>
      <c r="O24" s="158"/>
    </row>
    <row r="25" spans="1:15" x14ac:dyDescent="0.25">
      <c r="A25" s="126"/>
      <c r="B25" s="296"/>
      <c r="C25" s="126"/>
      <c r="D25" s="126"/>
      <c r="E25" s="126"/>
      <c r="F25" s="126"/>
      <c r="G25" s="298"/>
      <c r="H25" s="126"/>
      <c r="I25" s="297"/>
      <c r="J25" s="297"/>
      <c r="K25" s="297"/>
      <c r="L25" s="216">
        <f t="shared" si="0"/>
        <v>0</v>
      </c>
      <c r="M25" s="159" t="str">
        <f t="shared" si="1"/>
        <v/>
      </c>
      <c r="O25" s="158"/>
    </row>
    <row r="26" spans="1:15" x14ac:dyDescent="0.25">
      <c r="A26" s="126"/>
      <c r="B26" s="296"/>
      <c r="C26" s="126"/>
      <c r="D26" s="126"/>
      <c r="E26" s="126"/>
      <c r="F26" s="126"/>
      <c r="G26" s="298"/>
      <c r="H26" s="126"/>
      <c r="I26" s="297"/>
      <c r="J26" s="297"/>
      <c r="K26" s="297"/>
      <c r="L26" s="216">
        <f t="shared" si="0"/>
        <v>0</v>
      </c>
      <c r="M26" s="159" t="str">
        <f t="shared" si="1"/>
        <v/>
      </c>
      <c r="O26" s="158"/>
    </row>
    <row r="27" spans="1:15" x14ac:dyDescent="0.25">
      <c r="A27" s="126"/>
      <c r="B27" s="296"/>
      <c r="C27" s="126"/>
      <c r="D27" s="126"/>
      <c r="E27" s="126"/>
      <c r="F27" s="126"/>
      <c r="G27" s="298"/>
      <c r="H27" s="126"/>
      <c r="I27" s="297"/>
      <c r="J27" s="297"/>
      <c r="K27" s="297"/>
      <c r="L27" s="216">
        <f t="shared" si="0"/>
        <v>0</v>
      </c>
      <c r="M27" s="159" t="str">
        <f t="shared" si="1"/>
        <v/>
      </c>
      <c r="O27" s="158"/>
    </row>
    <row r="28" spans="1:15" x14ac:dyDescent="0.25">
      <c r="A28" s="126"/>
      <c r="B28" s="296"/>
      <c r="C28" s="126"/>
      <c r="D28" s="126"/>
      <c r="E28" s="126"/>
      <c r="F28" s="126"/>
      <c r="G28" s="298"/>
      <c r="H28" s="126"/>
      <c r="I28" s="297"/>
      <c r="J28" s="297"/>
      <c r="K28" s="297"/>
      <c r="L28" s="216">
        <f t="shared" si="0"/>
        <v>0</v>
      </c>
      <c r="M28" s="159" t="str">
        <f t="shared" si="1"/>
        <v/>
      </c>
      <c r="O28" s="158"/>
    </row>
    <row r="29" spans="1:15" x14ac:dyDescent="0.25">
      <c r="A29" s="126"/>
      <c r="B29" s="296"/>
      <c r="C29" s="126"/>
      <c r="D29" s="126"/>
      <c r="E29" s="126"/>
      <c r="F29" s="126"/>
      <c r="G29" s="298"/>
      <c r="H29" s="126"/>
      <c r="I29" s="297"/>
      <c r="J29" s="297"/>
      <c r="K29" s="297"/>
      <c r="L29" s="216">
        <f t="shared" si="0"/>
        <v>0</v>
      </c>
      <c r="M29" s="159" t="str">
        <f t="shared" si="1"/>
        <v/>
      </c>
      <c r="O29" s="158"/>
    </row>
    <row r="30" spans="1:15" x14ac:dyDescent="0.25">
      <c r="A30" s="126"/>
      <c r="B30" s="296"/>
      <c r="C30" s="126"/>
      <c r="D30" s="126"/>
      <c r="E30" s="126"/>
      <c r="F30" s="126"/>
      <c r="G30" s="298"/>
      <c r="H30" s="126"/>
      <c r="I30" s="297"/>
      <c r="J30" s="297"/>
      <c r="K30" s="297"/>
      <c r="L30" s="216">
        <f t="shared" si="0"/>
        <v>0</v>
      </c>
      <c r="M30" s="159" t="str">
        <f t="shared" si="1"/>
        <v/>
      </c>
      <c r="O30" s="158"/>
    </row>
    <row r="31" spans="1:15" x14ac:dyDescent="0.25">
      <c r="A31" s="126"/>
      <c r="B31" s="296"/>
      <c r="C31" s="126"/>
      <c r="D31" s="126"/>
      <c r="E31" s="126"/>
      <c r="F31" s="126"/>
      <c r="G31" s="298"/>
      <c r="H31" s="126"/>
      <c r="I31" s="297"/>
      <c r="J31" s="297"/>
      <c r="K31" s="297"/>
      <c r="L31" s="216">
        <f t="shared" si="0"/>
        <v>0</v>
      </c>
      <c r="M31" s="159" t="str">
        <f t="shared" si="1"/>
        <v/>
      </c>
      <c r="O31" s="158"/>
    </row>
    <row r="32" spans="1:15" x14ac:dyDescent="0.25">
      <c r="A32" s="126"/>
      <c r="B32" s="296"/>
      <c r="C32" s="126"/>
      <c r="D32" s="126"/>
      <c r="E32" s="126"/>
      <c r="F32" s="126"/>
      <c r="G32" s="298"/>
      <c r="H32" s="126"/>
      <c r="I32" s="297"/>
      <c r="J32" s="297"/>
      <c r="K32" s="297"/>
      <c r="L32" s="216">
        <f t="shared" si="0"/>
        <v>0</v>
      </c>
      <c r="M32" s="159" t="str">
        <f t="shared" si="1"/>
        <v/>
      </c>
      <c r="O32" s="158"/>
    </row>
    <row r="33" spans="1:15" x14ac:dyDescent="0.25">
      <c r="A33" s="126"/>
      <c r="B33" s="296"/>
      <c r="C33" s="126"/>
      <c r="D33" s="126"/>
      <c r="E33" s="126"/>
      <c r="F33" s="126"/>
      <c r="G33" s="298"/>
      <c r="H33" s="126"/>
      <c r="I33" s="297"/>
      <c r="J33" s="297"/>
      <c r="K33" s="297"/>
      <c r="L33" s="216">
        <f t="shared" si="0"/>
        <v>0</v>
      </c>
      <c r="M33" s="159" t="str">
        <f t="shared" si="1"/>
        <v/>
      </c>
      <c r="O33" s="158"/>
    </row>
    <row r="34" spans="1:15" x14ac:dyDescent="0.25">
      <c r="A34" s="126"/>
      <c r="B34" s="296"/>
      <c r="C34" s="126"/>
      <c r="D34" s="126"/>
      <c r="E34" s="126"/>
      <c r="F34" s="126"/>
      <c r="G34" s="298"/>
      <c r="H34" s="126"/>
      <c r="I34" s="297"/>
      <c r="J34" s="297"/>
      <c r="K34" s="297"/>
      <c r="L34" s="216">
        <f t="shared" si="0"/>
        <v>0</v>
      </c>
      <c r="M34" s="159" t="str">
        <f t="shared" si="1"/>
        <v/>
      </c>
      <c r="O34" s="158"/>
    </row>
    <row r="35" spans="1:15" x14ac:dyDescent="0.25">
      <c r="A35" s="126"/>
      <c r="B35" s="296"/>
      <c r="C35" s="126"/>
      <c r="D35" s="126"/>
      <c r="E35" s="126"/>
      <c r="F35" s="126"/>
      <c r="G35" s="298"/>
      <c r="H35" s="126"/>
      <c r="I35" s="297"/>
      <c r="J35" s="297"/>
      <c r="K35" s="297"/>
      <c r="L35" s="216">
        <f t="shared" si="0"/>
        <v>0</v>
      </c>
      <c r="M35" s="159" t="str">
        <f t="shared" si="1"/>
        <v/>
      </c>
      <c r="O35" s="158"/>
    </row>
    <row r="36" spans="1:15" x14ac:dyDescent="0.25">
      <c r="A36" s="126"/>
      <c r="B36" s="296"/>
      <c r="C36" s="126"/>
      <c r="D36" s="126"/>
      <c r="E36" s="126"/>
      <c r="F36" s="126"/>
      <c r="G36" s="298"/>
      <c r="H36" s="126"/>
      <c r="I36" s="297"/>
      <c r="J36" s="297"/>
      <c r="K36" s="297"/>
      <c r="L36" s="216">
        <f t="shared" si="0"/>
        <v>0</v>
      </c>
      <c r="M36" s="159" t="str">
        <f t="shared" si="1"/>
        <v/>
      </c>
      <c r="O36" s="158"/>
    </row>
    <row r="37" spans="1:15" x14ac:dyDescent="0.25">
      <c r="A37" s="126"/>
      <c r="B37" s="296"/>
      <c r="C37" s="126"/>
      <c r="D37" s="126"/>
      <c r="E37" s="126"/>
      <c r="F37" s="126"/>
      <c r="G37" s="298"/>
      <c r="H37" s="126"/>
      <c r="I37" s="297"/>
      <c r="J37" s="297"/>
      <c r="K37" s="297"/>
      <c r="L37" s="216">
        <f t="shared" si="0"/>
        <v>0</v>
      </c>
      <c r="M37" s="159" t="str">
        <f t="shared" si="1"/>
        <v/>
      </c>
      <c r="O37" s="158"/>
    </row>
    <row r="38" spans="1:15" x14ac:dyDescent="0.25">
      <c r="A38" s="126"/>
      <c r="B38" s="296"/>
      <c r="C38" s="126"/>
      <c r="D38" s="126"/>
      <c r="E38" s="126"/>
      <c r="F38" s="126"/>
      <c r="G38" s="298"/>
      <c r="H38" s="126"/>
      <c r="I38" s="297"/>
      <c r="J38" s="297"/>
      <c r="K38" s="297"/>
      <c r="L38" s="216">
        <f t="shared" si="0"/>
        <v>0</v>
      </c>
      <c r="M38" s="159" t="str">
        <f t="shared" si="1"/>
        <v/>
      </c>
      <c r="O38" s="158"/>
    </row>
    <row r="39" spans="1:15" x14ac:dyDescent="0.25">
      <c r="A39" s="126"/>
      <c r="B39" s="296"/>
      <c r="C39" s="126"/>
      <c r="D39" s="126"/>
      <c r="E39" s="126"/>
      <c r="F39" s="126"/>
      <c r="G39" s="298"/>
      <c r="H39" s="126"/>
      <c r="I39" s="297"/>
      <c r="J39" s="297"/>
      <c r="K39" s="297"/>
      <c r="L39" s="216">
        <f t="shared" si="0"/>
        <v>0</v>
      </c>
      <c r="M39" s="159" t="str">
        <f t="shared" si="1"/>
        <v/>
      </c>
      <c r="O39" s="158"/>
    </row>
    <row r="40" spans="1:15" x14ac:dyDescent="0.25">
      <c r="A40" s="126"/>
      <c r="B40" s="296"/>
      <c r="C40" s="126"/>
      <c r="D40" s="126"/>
      <c r="E40" s="126"/>
      <c r="F40" s="126"/>
      <c r="G40" s="298"/>
      <c r="H40" s="126"/>
      <c r="I40" s="297"/>
      <c r="J40" s="297"/>
      <c r="K40" s="297"/>
      <c r="L40" s="216">
        <f t="shared" si="0"/>
        <v>0</v>
      </c>
      <c r="M40" s="159" t="str">
        <f t="shared" si="1"/>
        <v/>
      </c>
      <c r="O40" s="158"/>
    </row>
    <row r="41" spans="1:15" x14ac:dyDescent="0.25">
      <c r="A41" s="126"/>
      <c r="B41" s="296"/>
      <c r="C41" s="126"/>
      <c r="D41" s="126"/>
      <c r="E41" s="126"/>
      <c r="F41" s="126"/>
      <c r="G41" s="298"/>
      <c r="H41" s="126"/>
      <c r="I41" s="297"/>
      <c r="J41" s="297"/>
      <c r="K41" s="297"/>
      <c r="L41" s="216">
        <f t="shared" si="0"/>
        <v>0</v>
      </c>
      <c r="M41" s="159" t="str">
        <f t="shared" si="1"/>
        <v/>
      </c>
      <c r="O41" s="158"/>
    </row>
    <row r="42" spans="1:15" x14ac:dyDescent="0.25">
      <c r="A42" s="126"/>
      <c r="B42" s="296"/>
      <c r="C42" s="126"/>
      <c r="D42" s="126"/>
      <c r="E42" s="126"/>
      <c r="F42" s="126"/>
      <c r="G42" s="298"/>
      <c r="H42" s="126"/>
      <c r="I42" s="297"/>
      <c r="J42" s="297"/>
      <c r="K42" s="297"/>
      <c r="L42" s="216">
        <f t="shared" si="0"/>
        <v>0</v>
      </c>
      <c r="M42" s="159" t="str">
        <f t="shared" si="1"/>
        <v/>
      </c>
      <c r="O42" s="158"/>
    </row>
    <row r="43" spans="1:15" x14ac:dyDescent="0.25">
      <c r="A43" s="126"/>
      <c r="B43" s="296"/>
      <c r="C43" s="126"/>
      <c r="D43" s="126"/>
      <c r="E43" s="126"/>
      <c r="F43" s="126"/>
      <c r="G43" s="298"/>
      <c r="H43" s="126"/>
      <c r="I43" s="297"/>
      <c r="J43" s="297"/>
      <c r="K43" s="297"/>
      <c r="L43" s="216">
        <f t="shared" si="0"/>
        <v>0</v>
      </c>
      <c r="M43" s="159" t="str">
        <f t="shared" si="1"/>
        <v/>
      </c>
      <c r="O43" s="158"/>
    </row>
    <row r="44" spans="1:15" x14ac:dyDescent="0.25">
      <c r="A44" s="126"/>
      <c r="B44" s="296"/>
      <c r="C44" s="126"/>
      <c r="D44" s="126"/>
      <c r="E44" s="126"/>
      <c r="F44" s="126"/>
      <c r="G44" s="298"/>
      <c r="H44" s="126"/>
      <c r="I44" s="297"/>
      <c r="J44" s="297"/>
      <c r="K44" s="297"/>
      <c r="L44" s="216">
        <f t="shared" si="0"/>
        <v>0</v>
      </c>
      <c r="M44" s="159" t="str">
        <f t="shared" si="1"/>
        <v/>
      </c>
      <c r="O44" s="158"/>
    </row>
    <row r="45" spans="1:15" x14ac:dyDescent="0.25">
      <c r="A45" s="126"/>
      <c r="B45" s="296"/>
      <c r="C45" s="126"/>
      <c r="D45" s="126"/>
      <c r="E45" s="126"/>
      <c r="F45" s="126"/>
      <c r="G45" s="298"/>
      <c r="H45" s="126"/>
      <c r="I45" s="297"/>
      <c r="J45" s="297"/>
      <c r="K45" s="297"/>
      <c r="L45" s="216">
        <f t="shared" si="0"/>
        <v>0</v>
      </c>
      <c r="M45" s="159" t="str">
        <f t="shared" si="1"/>
        <v/>
      </c>
      <c r="O45" s="158"/>
    </row>
    <row r="46" spans="1:15" x14ac:dyDescent="0.25">
      <c r="A46" s="126"/>
      <c r="B46" s="296"/>
      <c r="C46" s="126"/>
      <c r="D46" s="126"/>
      <c r="E46" s="126"/>
      <c r="F46" s="126"/>
      <c r="G46" s="298"/>
      <c r="H46" s="126"/>
      <c r="I46" s="297"/>
      <c r="J46" s="297"/>
      <c r="K46" s="297"/>
      <c r="L46" s="216">
        <f t="shared" si="0"/>
        <v>0</v>
      </c>
      <c r="M46" s="159" t="str">
        <f t="shared" si="1"/>
        <v/>
      </c>
      <c r="O46" s="158"/>
    </row>
    <row r="47" spans="1:15" x14ac:dyDescent="0.25">
      <c r="A47" s="126"/>
      <c r="B47" s="296"/>
      <c r="C47" s="126"/>
      <c r="D47" s="126"/>
      <c r="E47" s="126"/>
      <c r="F47" s="126"/>
      <c r="G47" s="298"/>
      <c r="H47" s="126"/>
      <c r="I47" s="297"/>
      <c r="J47" s="297"/>
      <c r="K47" s="297"/>
      <c r="L47" s="216">
        <f t="shared" si="0"/>
        <v>0</v>
      </c>
      <c r="M47" s="159" t="str">
        <f t="shared" si="1"/>
        <v/>
      </c>
      <c r="O47" s="158"/>
    </row>
    <row r="48" spans="1:15" x14ac:dyDescent="0.25">
      <c r="A48" s="126"/>
      <c r="B48" s="296"/>
      <c r="C48" s="126"/>
      <c r="D48" s="126"/>
      <c r="E48" s="126"/>
      <c r="F48" s="126"/>
      <c r="G48" s="298"/>
      <c r="H48" s="126"/>
      <c r="I48" s="297"/>
      <c r="J48" s="297"/>
      <c r="K48" s="297"/>
      <c r="L48" s="216">
        <f t="shared" si="0"/>
        <v>0</v>
      </c>
      <c r="M48" s="159" t="str">
        <f t="shared" si="1"/>
        <v/>
      </c>
      <c r="O48" s="158"/>
    </row>
    <row r="49" spans="1:15" x14ac:dyDescent="0.25">
      <c r="A49" s="126"/>
      <c r="B49" s="296"/>
      <c r="C49" s="126"/>
      <c r="D49" s="126"/>
      <c r="E49" s="126"/>
      <c r="F49" s="126"/>
      <c r="G49" s="298"/>
      <c r="H49" s="126"/>
      <c r="I49" s="297"/>
      <c r="J49" s="297"/>
      <c r="K49" s="297"/>
      <c r="L49" s="216">
        <f t="shared" si="0"/>
        <v>0</v>
      </c>
      <c r="M49" s="159" t="str">
        <f t="shared" si="1"/>
        <v/>
      </c>
      <c r="O49" s="158"/>
    </row>
    <row r="50" spans="1:15" x14ac:dyDescent="0.25">
      <c r="A50" s="126"/>
      <c r="B50" s="296"/>
      <c r="C50" s="126"/>
      <c r="D50" s="126"/>
      <c r="E50" s="126"/>
      <c r="F50" s="126"/>
      <c r="G50" s="298"/>
      <c r="H50" s="126"/>
      <c r="I50" s="297"/>
      <c r="J50" s="297"/>
      <c r="K50" s="297"/>
      <c r="L50" s="216">
        <f t="shared" si="0"/>
        <v>0</v>
      </c>
      <c r="M50" s="159" t="str">
        <f t="shared" si="1"/>
        <v/>
      </c>
      <c r="O50" s="158"/>
    </row>
    <row r="51" spans="1:15" x14ac:dyDescent="0.25">
      <c r="A51" s="126"/>
      <c r="B51" s="296"/>
      <c r="C51" s="126"/>
      <c r="D51" s="126"/>
      <c r="E51" s="126"/>
      <c r="F51" s="126"/>
      <c r="G51" s="298"/>
      <c r="H51" s="126"/>
      <c r="I51" s="297"/>
      <c r="J51" s="297"/>
      <c r="K51" s="297"/>
      <c r="L51" s="216">
        <f t="shared" si="0"/>
        <v>0</v>
      </c>
      <c r="M51" s="159" t="str">
        <f t="shared" si="1"/>
        <v/>
      </c>
      <c r="O51" s="158"/>
    </row>
    <row r="52" spans="1:15" x14ac:dyDescent="0.25">
      <c r="A52" s="126"/>
      <c r="B52" s="296"/>
      <c r="C52" s="126"/>
      <c r="D52" s="126"/>
      <c r="E52" s="126"/>
      <c r="F52" s="126"/>
      <c r="G52" s="298"/>
      <c r="H52" s="126"/>
      <c r="I52" s="297"/>
      <c r="J52" s="297"/>
      <c r="K52" s="297"/>
      <c r="L52" s="216">
        <f t="shared" si="0"/>
        <v>0</v>
      </c>
      <c r="M52" s="159" t="str">
        <f t="shared" si="1"/>
        <v/>
      </c>
      <c r="O52" s="158"/>
    </row>
    <row r="53" spans="1:15" x14ac:dyDescent="0.25">
      <c r="A53" s="126"/>
      <c r="B53" s="296"/>
      <c r="C53" s="126"/>
      <c r="D53" s="126"/>
      <c r="E53" s="126"/>
      <c r="F53" s="126"/>
      <c r="G53" s="298"/>
      <c r="H53" s="126"/>
      <c r="I53" s="297"/>
      <c r="J53" s="297"/>
      <c r="K53" s="297"/>
      <c r="L53" s="216">
        <f t="shared" si="0"/>
        <v>0</v>
      </c>
      <c r="M53" s="159" t="str">
        <f t="shared" si="1"/>
        <v/>
      </c>
      <c r="O53" s="158"/>
    </row>
    <row r="54" spans="1:15" x14ac:dyDescent="0.25">
      <c r="A54" s="126"/>
      <c r="B54" s="296"/>
      <c r="C54" s="126"/>
      <c r="D54" s="126"/>
      <c r="E54" s="126"/>
      <c r="F54" s="126"/>
      <c r="G54" s="298"/>
      <c r="H54" s="126"/>
      <c r="I54" s="297"/>
      <c r="J54" s="297"/>
      <c r="K54" s="297"/>
      <c r="L54" s="216">
        <f t="shared" si="0"/>
        <v>0</v>
      </c>
      <c r="M54" s="159" t="str">
        <f t="shared" si="1"/>
        <v/>
      </c>
      <c r="O54" s="158"/>
    </row>
    <row r="55" spans="1:15" x14ac:dyDescent="0.25">
      <c r="A55" s="126"/>
      <c r="B55" s="296"/>
      <c r="C55" s="126"/>
      <c r="D55" s="126"/>
      <c r="E55" s="126"/>
      <c r="F55" s="126"/>
      <c r="G55" s="298"/>
      <c r="H55" s="126"/>
      <c r="I55" s="297"/>
      <c r="J55" s="297"/>
      <c r="K55" s="297"/>
      <c r="L55" s="216">
        <f t="shared" si="0"/>
        <v>0</v>
      </c>
      <c r="M55" s="159" t="str">
        <f t="shared" si="1"/>
        <v/>
      </c>
      <c r="O55" s="158"/>
    </row>
    <row r="56" spans="1:15" x14ac:dyDescent="0.25">
      <c r="A56" s="126"/>
      <c r="B56" s="296"/>
      <c r="C56" s="126"/>
      <c r="D56" s="126"/>
      <c r="E56" s="126"/>
      <c r="F56" s="126"/>
      <c r="G56" s="298"/>
      <c r="H56" s="126"/>
      <c r="I56" s="297"/>
      <c r="J56" s="297"/>
      <c r="K56" s="297"/>
      <c r="L56" s="216">
        <f t="shared" si="0"/>
        <v>0</v>
      </c>
      <c r="M56" s="159" t="str">
        <f t="shared" si="1"/>
        <v/>
      </c>
      <c r="O56" s="158"/>
    </row>
    <row r="57" spans="1:15" x14ac:dyDescent="0.25">
      <c r="A57" s="126"/>
      <c r="B57" s="296"/>
      <c r="C57" s="126"/>
      <c r="D57" s="126"/>
      <c r="E57" s="126"/>
      <c r="F57" s="126"/>
      <c r="G57" s="298"/>
      <c r="H57" s="126"/>
      <c r="I57" s="297"/>
      <c r="J57" s="297"/>
      <c r="K57" s="297"/>
      <c r="L57" s="216">
        <f t="shared" si="0"/>
        <v>0</v>
      </c>
      <c r="M57" s="159" t="str">
        <f t="shared" si="1"/>
        <v/>
      </c>
      <c r="O57" s="158"/>
    </row>
    <row r="58" spans="1:15" x14ac:dyDescent="0.25">
      <c r="A58" s="126"/>
      <c r="B58" s="296"/>
      <c r="C58" s="126"/>
      <c r="D58" s="126"/>
      <c r="E58" s="126"/>
      <c r="F58" s="126"/>
      <c r="G58" s="298"/>
      <c r="H58" s="126"/>
      <c r="I58" s="297"/>
      <c r="J58" s="297"/>
      <c r="K58" s="297"/>
      <c r="L58" s="216">
        <f t="shared" si="0"/>
        <v>0</v>
      </c>
      <c r="M58" s="159" t="str">
        <f t="shared" si="1"/>
        <v/>
      </c>
      <c r="O58" s="158"/>
    </row>
    <row r="59" spans="1:15" x14ac:dyDescent="0.25">
      <c r="A59" s="126"/>
      <c r="B59" s="296"/>
      <c r="C59" s="126"/>
      <c r="D59" s="126"/>
      <c r="E59" s="126"/>
      <c r="F59" s="126"/>
      <c r="G59" s="298"/>
      <c r="H59" s="126"/>
      <c r="I59" s="297"/>
      <c r="J59" s="297"/>
      <c r="K59" s="297"/>
      <c r="L59" s="216">
        <f t="shared" si="0"/>
        <v>0</v>
      </c>
      <c r="M59" s="159" t="str">
        <f t="shared" si="1"/>
        <v/>
      </c>
      <c r="O59" s="158"/>
    </row>
    <row r="60" spans="1:15" x14ac:dyDescent="0.25">
      <c r="A60" s="126"/>
      <c r="B60" s="296"/>
      <c r="C60" s="126"/>
      <c r="D60" s="126"/>
      <c r="E60" s="126"/>
      <c r="F60" s="126"/>
      <c r="G60" s="298"/>
      <c r="H60" s="126"/>
      <c r="I60" s="297"/>
      <c r="J60" s="297"/>
      <c r="K60" s="297"/>
      <c r="L60" s="216">
        <f t="shared" si="0"/>
        <v>0</v>
      </c>
      <c r="M60" s="159" t="str">
        <f t="shared" si="1"/>
        <v/>
      </c>
      <c r="O60" s="158"/>
    </row>
    <row r="61" spans="1:15" x14ac:dyDescent="0.25">
      <c r="A61" s="126"/>
      <c r="B61" s="296"/>
      <c r="C61" s="126"/>
      <c r="D61" s="126"/>
      <c r="E61" s="126"/>
      <c r="F61" s="126"/>
      <c r="G61" s="298"/>
      <c r="H61" s="126"/>
      <c r="I61" s="297"/>
      <c r="J61" s="297"/>
      <c r="K61" s="297"/>
      <c r="L61" s="216">
        <f t="shared" si="0"/>
        <v>0</v>
      </c>
      <c r="M61" s="159" t="str">
        <f t="shared" si="1"/>
        <v/>
      </c>
      <c r="O61" s="158"/>
    </row>
    <row r="62" spans="1:15" x14ac:dyDescent="0.25">
      <c r="A62" s="126"/>
      <c r="B62" s="296"/>
      <c r="C62" s="126"/>
      <c r="D62" s="126"/>
      <c r="E62" s="126"/>
      <c r="F62" s="126"/>
      <c r="G62" s="298"/>
      <c r="H62" s="126"/>
      <c r="I62" s="297"/>
      <c r="J62" s="297"/>
      <c r="K62" s="297"/>
      <c r="L62" s="216">
        <f t="shared" si="0"/>
        <v>0</v>
      </c>
      <c r="M62" s="159" t="str">
        <f t="shared" si="1"/>
        <v/>
      </c>
      <c r="O62" s="158"/>
    </row>
    <row r="63" spans="1:15" x14ac:dyDescent="0.25">
      <c r="A63" s="126"/>
      <c r="B63" s="296"/>
      <c r="C63" s="126"/>
      <c r="D63" s="126"/>
      <c r="E63" s="126"/>
      <c r="F63" s="126"/>
      <c r="G63" s="298"/>
      <c r="H63" s="126"/>
      <c r="I63" s="297"/>
      <c r="J63" s="297"/>
      <c r="K63" s="297"/>
      <c r="L63" s="216">
        <f t="shared" si="0"/>
        <v>0</v>
      </c>
      <c r="M63" s="159" t="str">
        <f t="shared" si="1"/>
        <v/>
      </c>
      <c r="O63" s="158"/>
    </row>
    <row r="64" spans="1:15" x14ac:dyDescent="0.25">
      <c r="A64" s="126"/>
      <c r="B64" s="296"/>
      <c r="C64" s="126"/>
      <c r="D64" s="126"/>
      <c r="E64" s="126"/>
      <c r="F64" s="126"/>
      <c r="G64" s="298"/>
      <c r="H64" s="126"/>
      <c r="I64" s="297"/>
      <c r="J64" s="297"/>
      <c r="K64" s="297"/>
      <c r="L64" s="216">
        <f t="shared" si="0"/>
        <v>0</v>
      </c>
      <c r="M64" s="159" t="str">
        <f t="shared" si="1"/>
        <v/>
      </c>
      <c r="O64" s="158"/>
    </row>
    <row r="65" spans="1:15" x14ac:dyDescent="0.25">
      <c r="A65" s="126"/>
      <c r="B65" s="296"/>
      <c r="C65" s="126"/>
      <c r="D65" s="126"/>
      <c r="E65" s="126"/>
      <c r="F65" s="126"/>
      <c r="G65" s="298"/>
      <c r="H65" s="126"/>
      <c r="I65" s="297"/>
      <c r="J65" s="297"/>
      <c r="K65" s="297"/>
      <c r="L65" s="216">
        <f t="shared" si="0"/>
        <v>0</v>
      </c>
      <c r="M65" s="159" t="str">
        <f t="shared" si="1"/>
        <v/>
      </c>
      <c r="O65" s="158"/>
    </row>
    <row r="66" spans="1:15" x14ac:dyDescent="0.25">
      <c r="A66" s="126"/>
      <c r="B66" s="296"/>
      <c r="C66" s="126"/>
      <c r="D66" s="126"/>
      <c r="E66" s="126"/>
      <c r="F66" s="126"/>
      <c r="G66" s="298"/>
      <c r="H66" s="126"/>
      <c r="I66" s="297"/>
      <c r="J66" s="297"/>
      <c r="K66" s="297"/>
      <c r="L66" s="216">
        <f t="shared" ref="L66:L129" si="2">K66*1.1</f>
        <v>0</v>
      </c>
      <c r="M66" s="159" t="str">
        <f t="shared" ref="M66:M129" si="3">IF(ISNUMBER(SEARCH("Azarine",H66)),"AZARINE",IF(ISNUMBER(SEARCH("Baking Soda",H66)),"BAKING SODA",IF(ISNUMBER(SEARCH("Fujitsu",H66)),"FUJITSU",IF(ISNUMBER(SEARCH("Coleman",H66)),"COLEMAN",""))))</f>
        <v/>
      </c>
      <c r="O66" s="158"/>
    </row>
    <row r="67" spans="1:15" x14ac:dyDescent="0.25">
      <c r="A67" s="126"/>
      <c r="B67" s="296"/>
      <c r="C67" s="126"/>
      <c r="D67" s="126"/>
      <c r="E67" s="126"/>
      <c r="F67" s="126"/>
      <c r="G67" s="298"/>
      <c r="H67" s="126"/>
      <c r="I67" s="297"/>
      <c r="J67" s="297"/>
      <c r="K67" s="297"/>
      <c r="L67" s="216">
        <f t="shared" si="2"/>
        <v>0</v>
      </c>
      <c r="M67" s="159" t="str">
        <f t="shared" si="3"/>
        <v/>
      </c>
      <c r="O67" s="158"/>
    </row>
    <row r="68" spans="1:15" x14ac:dyDescent="0.25">
      <c r="A68" s="126"/>
      <c r="B68" s="296"/>
      <c r="C68" s="126"/>
      <c r="D68" s="126"/>
      <c r="E68" s="126"/>
      <c r="F68" s="126"/>
      <c r="G68" s="298"/>
      <c r="H68" s="126"/>
      <c r="I68" s="297"/>
      <c r="J68" s="297"/>
      <c r="K68" s="297"/>
      <c r="L68" s="216">
        <f t="shared" si="2"/>
        <v>0</v>
      </c>
      <c r="M68" s="159" t="str">
        <f t="shared" si="3"/>
        <v/>
      </c>
      <c r="O68" s="158"/>
    </row>
    <row r="69" spans="1:15" x14ac:dyDescent="0.25">
      <c r="A69" s="126"/>
      <c r="B69" s="296"/>
      <c r="C69" s="126"/>
      <c r="D69" s="126"/>
      <c r="E69" s="126"/>
      <c r="F69" s="126"/>
      <c r="G69" s="298"/>
      <c r="H69" s="126"/>
      <c r="I69" s="297"/>
      <c r="J69" s="297"/>
      <c r="K69" s="297"/>
      <c r="L69" s="216">
        <f t="shared" si="2"/>
        <v>0</v>
      </c>
      <c r="M69" s="159" t="str">
        <f t="shared" si="3"/>
        <v/>
      </c>
      <c r="O69" s="158"/>
    </row>
    <row r="70" spans="1:15" x14ac:dyDescent="0.25">
      <c r="A70" s="126"/>
      <c r="B70" s="296"/>
      <c r="C70" s="126"/>
      <c r="D70" s="126"/>
      <c r="E70" s="126"/>
      <c r="F70" s="126"/>
      <c r="G70" s="298"/>
      <c r="H70" s="126"/>
      <c r="I70" s="297"/>
      <c r="J70" s="297"/>
      <c r="K70" s="297"/>
      <c r="L70" s="216">
        <f t="shared" si="2"/>
        <v>0</v>
      </c>
      <c r="M70" s="159" t="str">
        <f t="shared" si="3"/>
        <v/>
      </c>
      <c r="O70" s="158"/>
    </row>
    <row r="71" spans="1:15" x14ac:dyDescent="0.25">
      <c r="A71" s="126"/>
      <c r="B71" s="296"/>
      <c r="C71" s="126"/>
      <c r="D71" s="126"/>
      <c r="E71" s="126"/>
      <c r="F71" s="126"/>
      <c r="G71" s="298"/>
      <c r="H71" s="126"/>
      <c r="I71" s="297"/>
      <c r="J71" s="297"/>
      <c r="K71" s="297"/>
      <c r="L71" s="216">
        <f t="shared" si="2"/>
        <v>0</v>
      </c>
      <c r="M71" s="159" t="str">
        <f t="shared" si="3"/>
        <v/>
      </c>
      <c r="O71" s="158"/>
    </row>
    <row r="72" spans="1:15" x14ac:dyDescent="0.25">
      <c r="A72" s="126"/>
      <c r="B72" s="296"/>
      <c r="C72" s="126"/>
      <c r="D72" s="126"/>
      <c r="E72" s="126"/>
      <c r="F72" s="126"/>
      <c r="G72" s="298"/>
      <c r="H72" s="126"/>
      <c r="I72" s="297"/>
      <c r="J72" s="297"/>
      <c r="K72" s="297"/>
      <c r="L72" s="216">
        <f t="shared" si="2"/>
        <v>0</v>
      </c>
      <c r="M72" s="159" t="str">
        <f t="shared" si="3"/>
        <v/>
      </c>
      <c r="O72" s="158"/>
    </row>
    <row r="73" spans="1:15" x14ac:dyDescent="0.25">
      <c r="A73" s="126"/>
      <c r="B73" s="296"/>
      <c r="C73" s="126"/>
      <c r="D73" s="126"/>
      <c r="E73" s="126"/>
      <c r="F73" s="126"/>
      <c r="G73" s="298"/>
      <c r="H73" s="126"/>
      <c r="I73" s="297"/>
      <c r="J73" s="297"/>
      <c r="K73" s="297"/>
      <c r="L73" s="216">
        <f t="shared" si="2"/>
        <v>0</v>
      </c>
      <c r="M73" s="159" t="str">
        <f t="shared" si="3"/>
        <v/>
      </c>
      <c r="O73" s="158"/>
    </row>
    <row r="74" spans="1:15" x14ac:dyDescent="0.25">
      <c r="A74" s="126"/>
      <c r="B74" s="296"/>
      <c r="C74" s="126"/>
      <c r="D74" s="126"/>
      <c r="E74" s="126"/>
      <c r="F74" s="126"/>
      <c r="G74" s="298"/>
      <c r="H74" s="126"/>
      <c r="I74" s="297"/>
      <c r="J74" s="297"/>
      <c r="K74" s="297"/>
      <c r="L74" s="216">
        <f t="shared" si="2"/>
        <v>0</v>
      </c>
      <c r="M74" s="159" t="str">
        <f t="shared" si="3"/>
        <v/>
      </c>
      <c r="O74" s="158"/>
    </row>
    <row r="75" spans="1:15" x14ac:dyDescent="0.25">
      <c r="A75" s="126"/>
      <c r="B75" s="296"/>
      <c r="C75" s="126"/>
      <c r="D75" s="126"/>
      <c r="E75" s="126"/>
      <c r="F75" s="126"/>
      <c r="G75" s="298"/>
      <c r="H75" s="126"/>
      <c r="I75" s="297"/>
      <c r="J75" s="297"/>
      <c r="K75" s="297"/>
      <c r="L75" s="216">
        <f t="shared" si="2"/>
        <v>0</v>
      </c>
      <c r="M75" s="159" t="str">
        <f t="shared" si="3"/>
        <v/>
      </c>
      <c r="O75" s="158"/>
    </row>
    <row r="76" spans="1:15" x14ac:dyDescent="0.25">
      <c r="A76" s="126"/>
      <c r="B76" s="296"/>
      <c r="C76" s="126"/>
      <c r="D76" s="126"/>
      <c r="E76" s="126"/>
      <c r="F76" s="126"/>
      <c r="G76" s="298"/>
      <c r="H76" s="126"/>
      <c r="I76" s="297"/>
      <c r="J76" s="297"/>
      <c r="K76" s="297"/>
      <c r="L76" s="216">
        <f t="shared" si="2"/>
        <v>0</v>
      </c>
      <c r="M76" s="159" t="str">
        <f t="shared" si="3"/>
        <v/>
      </c>
      <c r="O76" s="158"/>
    </row>
    <row r="77" spans="1:15" x14ac:dyDescent="0.25">
      <c r="A77" s="126"/>
      <c r="B77" s="296"/>
      <c r="C77" s="126"/>
      <c r="D77" s="126"/>
      <c r="E77" s="126"/>
      <c r="F77" s="126"/>
      <c r="G77" s="298"/>
      <c r="H77" s="126"/>
      <c r="I77" s="297"/>
      <c r="J77" s="297"/>
      <c r="K77" s="297"/>
      <c r="L77" s="216">
        <f t="shared" si="2"/>
        <v>0</v>
      </c>
      <c r="M77" s="159" t="str">
        <f t="shared" si="3"/>
        <v/>
      </c>
      <c r="O77" s="158"/>
    </row>
    <row r="78" spans="1:15" x14ac:dyDescent="0.25">
      <c r="A78" s="126"/>
      <c r="B78" s="296"/>
      <c r="C78" s="126"/>
      <c r="D78" s="126"/>
      <c r="E78" s="126"/>
      <c r="F78" s="126"/>
      <c r="G78" s="298"/>
      <c r="H78" s="126"/>
      <c r="I78" s="297"/>
      <c r="J78" s="297"/>
      <c r="K78" s="297"/>
      <c r="L78" s="216">
        <f t="shared" si="2"/>
        <v>0</v>
      </c>
      <c r="M78" s="159" t="str">
        <f t="shared" si="3"/>
        <v/>
      </c>
      <c r="O78" s="158"/>
    </row>
    <row r="79" spans="1:15" x14ac:dyDescent="0.25">
      <c r="A79" s="126"/>
      <c r="B79" s="296"/>
      <c r="C79" s="126"/>
      <c r="D79" s="126"/>
      <c r="E79" s="126"/>
      <c r="F79" s="126"/>
      <c r="G79" s="298"/>
      <c r="H79" s="126"/>
      <c r="I79" s="297"/>
      <c r="J79" s="297"/>
      <c r="K79" s="297"/>
      <c r="L79" s="216">
        <f t="shared" si="2"/>
        <v>0</v>
      </c>
      <c r="M79" s="159" t="str">
        <f t="shared" si="3"/>
        <v/>
      </c>
      <c r="O79" s="158"/>
    </row>
    <row r="80" spans="1:15" x14ac:dyDescent="0.25">
      <c r="A80" s="126"/>
      <c r="B80" s="296"/>
      <c r="C80" s="126"/>
      <c r="D80" s="126"/>
      <c r="E80" s="126"/>
      <c r="F80" s="126"/>
      <c r="G80" s="298"/>
      <c r="H80" s="126"/>
      <c r="I80" s="297"/>
      <c r="J80" s="297"/>
      <c r="K80" s="297"/>
      <c r="L80" s="216">
        <f t="shared" si="2"/>
        <v>0</v>
      </c>
      <c r="M80" s="159" t="str">
        <f t="shared" si="3"/>
        <v/>
      </c>
      <c r="O80" s="158"/>
    </row>
    <row r="81" spans="1:15" x14ac:dyDescent="0.25">
      <c r="A81" s="126"/>
      <c r="B81" s="296"/>
      <c r="C81" s="126"/>
      <c r="D81" s="126"/>
      <c r="E81" s="126"/>
      <c r="F81" s="126"/>
      <c r="G81" s="298"/>
      <c r="H81" s="126"/>
      <c r="I81" s="297"/>
      <c r="J81" s="297"/>
      <c r="K81" s="297"/>
      <c r="L81" s="216">
        <f t="shared" si="2"/>
        <v>0</v>
      </c>
      <c r="M81" s="159" t="str">
        <f t="shared" si="3"/>
        <v/>
      </c>
      <c r="O81" s="158"/>
    </row>
    <row r="82" spans="1:15" x14ac:dyDescent="0.25">
      <c r="A82" s="126"/>
      <c r="B82" s="296"/>
      <c r="C82" s="126"/>
      <c r="D82" s="126"/>
      <c r="E82" s="126"/>
      <c r="F82" s="126"/>
      <c r="G82" s="298"/>
      <c r="H82" s="126"/>
      <c r="I82" s="297"/>
      <c r="J82" s="297"/>
      <c r="K82" s="297"/>
      <c r="L82" s="216">
        <f t="shared" si="2"/>
        <v>0</v>
      </c>
      <c r="M82" s="159" t="str">
        <f t="shared" si="3"/>
        <v/>
      </c>
      <c r="O82" s="158"/>
    </row>
    <row r="83" spans="1:15" x14ac:dyDescent="0.25">
      <c r="A83" s="126"/>
      <c r="B83" s="296"/>
      <c r="C83" s="126"/>
      <c r="D83" s="126"/>
      <c r="E83" s="126"/>
      <c r="F83" s="126"/>
      <c r="G83" s="298"/>
      <c r="H83" s="126"/>
      <c r="I83" s="297"/>
      <c r="J83" s="297"/>
      <c r="K83" s="297"/>
      <c r="L83" s="216">
        <f t="shared" si="2"/>
        <v>0</v>
      </c>
      <c r="M83" s="159" t="str">
        <f t="shared" si="3"/>
        <v/>
      </c>
      <c r="O83" s="158"/>
    </row>
    <row r="84" spans="1:15" x14ac:dyDescent="0.25">
      <c r="A84" s="126"/>
      <c r="B84" s="296"/>
      <c r="C84" s="126"/>
      <c r="D84" s="126"/>
      <c r="E84" s="126"/>
      <c r="F84" s="126"/>
      <c r="G84" s="298"/>
      <c r="H84" s="126"/>
      <c r="I84" s="297"/>
      <c r="J84" s="297"/>
      <c r="K84" s="297"/>
      <c r="L84" s="216">
        <f t="shared" si="2"/>
        <v>0</v>
      </c>
      <c r="M84" s="159" t="str">
        <f t="shared" si="3"/>
        <v/>
      </c>
      <c r="O84" s="158"/>
    </row>
    <row r="85" spans="1:15" x14ac:dyDescent="0.25">
      <c r="A85" s="126"/>
      <c r="B85" s="296"/>
      <c r="C85" s="126"/>
      <c r="D85" s="126"/>
      <c r="E85" s="126"/>
      <c r="F85" s="126"/>
      <c r="G85" s="298"/>
      <c r="H85" s="126"/>
      <c r="I85" s="297"/>
      <c r="J85" s="297"/>
      <c r="K85" s="297"/>
      <c r="L85" s="216">
        <f t="shared" si="2"/>
        <v>0</v>
      </c>
      <c r="M85" s="159" t="str">
        <f t="shared" si="3"/>
        <v/>
      </c>
      <c r="O85" s="158"/>
    </row>
    <row r="86" spans="1:15" x14ac:dyDescent="0.25">
      <c r="A86" s="126"/>
      <c r="B86" s="296"/>
      <c r="C86" s="126"/>
      <c r="D86" s="126"/>
      <c r="E86" s="126"/>
      <c r="F86" s="126"/>
      <c r="G86" s="298"/>
      <c r="H86" s="126"/>
      <c r="I86" s="297"/>
      <c r="J86" s="297"/>
      <c r="K86" s="297"/>
      <c r="L86" s="216">
        <f t="shared" si="2"/>
        <v>0</v>
      </c>
      <c r="M86" s="159" t="str">
        <f t="shared" si="3"/>
        <v/>
      </c>
      <c r="O86" s="158"/>
    </row>
    <row r="87" spans="1:15" x14ac:dyDescent="0.25">
      <c r="A87" s="126"/>
      <c r="B87" s="296"/>
      <c r="C87" s="126"/>
      <c r="D87" s="126"/>
      <c r="E87" s="126"/>
      <c r="F87" s="126"/>
      <c r="G87" s="298"/>
      <c r="H87" s="126"/>
      <c r="I87" s="297"/>
      <c r="J87" s="297"/>
      <c r="K87" s="297"/>
      <c r="L87" s="216">
        <f t="shared" si="2"/>
        <v>0</v>
      </c>
      <c r="M87" s="159" t="str">
        <f t="shared" si="3"/>
        <v/>
      </c>
      <c r="O87" s="158"/>
    </row>
    <row r="88" spans="1:15" x14ac:dyDescent="0.25">
      <c r="A88" s="126"/>
      <c r="B88" s="296"/>
      <c r="C88" s="126"/>
      <c r="D88" s="126"/>
      <c r="E88" s="126"/>
      <c r="F88" s="126"/>
      <c r="G88" s="298"/>
      <c r="H88" s="126"/>
      <c r="I88" s="297"/>
      <c r="J88" s="297"/>
      <c r="K88" s="297"/>
      <c r="L88" s="216">
        <f t="shared" si="2"/>
        <v>0</v>
      </c>
      <c r="M88" s="159" t="str">
        <f t="shared" si="3"/>
        <v/>
      </c>
      <c r="O88" s="158"/>
    </row>
    <row r="89" spans="1:15" x14ac:dyDescent="0.25">
      <c r="A89" s="126"/>
      <c r="B89" s="296"/>
      <c r="C89" s="126"/>
      <c r="D89" s="126"/>
      <c r="E89" s="126"/>
      <c r="F89" s="126"/>
      <c r="G89" s="298"/>
      <c r="H89" s="126"/>
      <c r="I89" s="297"/>
      <c r="J89" s="297"/>
      <c r="K89" s="297"/>
      <c r="L89" s="216">
        <f t="shared" si="2"/>
        <v>0</v>
      </c>
      <c r="M89" s="159" t="str">
        <f t="shared" si="3"/>
        <v/>
      </c>
      <c r="O89" s="158"/>
    </row>
    <row r="90" spans="1:15" x14ac:dyDescent="0.25">
      <c r="A90" s="126"/>
      <c r="B90" s="296"/>
      <c r="C90" s="126"/>
      <c r="D90" s="126"/>
      <c r="E90" s="126"/>
      <c r="F90" s="126"/>
      <c r="G90" s="298"/>
      <c r="H90" s="126"/>
      <c r="I90" s="297"/>
      <c r="J90" s="297"/>
      <c r="K90" s="297"/>
      <c r="L90" s="216">
        <f t="shared" si="2"/>
        <v>0</v>
      </c>
      <c r="M90" s="159" t="str">
        <f t="shared" si="3"/>
        <v/>
      </c>
      <c r="O90" s="158"/>
    </row>
    <row r="91" spans="1:15" x14ac:dyDescent="0.25">
      <c r="A91" s="126"/>
      <c r="B91" s="296"/>
      <c r="C91" s="126"/>
      <c r="D91" s="126"/>
      <c r="E91" s="126"/>
      <c r="F91" s="126"/>
      <c r="G91" s="298"/>
      <c r="H91" s="126"/>
      <c r="I91" s="297"/>
      <c r="J91" s="297"/>
      <c r="K91" s="297"/>
      <c r="L91" s="216">
        <f t="shared" si="2"/>
        <v>0</v>
      </c>
      <c r="M91" s="159" t="str">
        <f t="shared" si="3"/>
        <v/>
      </c>
      <c r="O91" s="158"/>
    </row>
    <row r="92" spans="1:15" x14ac:dyDescent="0.25">
      <c r="A92" s="126"/>
      <c r="B92" s="296"/>
      <c r="C92" s="126"/>
      <c r="D92" s="126"/>
      <c r="E92" s="126"/>
      <c r="F92" s="126"/>
      <c r="G92" s="298"/>
      <c r="H92" s="126"/>
      <c r="I92" s="297"/>
      <c r="J92" s="297"/>
      <c r="K92" s="297"/>
      <c r="L92" s="216">
        <f t="shared" si="2"/>
        <v>0</v>
      </c>
      <c r="M92" s="159" t="str">
        <f t="shared" si="3"/>
        <v/>
      </c>
      <c r="O92" s="158"/>
    </row>
    <row r="93" spans="1:15" x14ac:dyDescent="0.25">
      <c r="A93" s="126"/>
      <c r="B93" s="296"/>
      <c r="C93" s="126"/>
      <c r="D93" s="126"/>
      <c r="E93" s="126"/>
      <c r="F93" s="126"/>
      <c r="G93" s="298"/>
      <c r="H93" s="126"/>
      <c r="I93" s="297"/>
      <c r="J93" s="297"/>
      <c r="K93" s="297"/>
      <c r="L93" s="216">
        <f t="shared" si="2"/>
        <v>0</v>
      </c>
      <c r="M93" s="159" t="str">
        <f t="shared" si="3"/>
        <v/>
      </c>
      <c r="O93" s="158"/>
    </row>
    <row r="94" spans="1:15" x14ac:dyDescent="0.25">
      <c r="A94" s="126"/>
      <c r="B94" s="296"/>
      <c r="C94" s="126"/>
      <c r="D94" s="126"/>
      <c r="E94" s="126"/>
      <c r="F94" s="126"/>
      <c r="G94" s="298"/>
      <c r="H94" s="126"/>
      <c r="I94" s="297"/>
      <c r="J94" s="297"/>
      <c r="K94" s="297"/>
      <c r="L94" s="216">
        <f t="shared" si="2"/>
        <v>0</v>
      </c>
      <c r="M94" s="159" t="str">
        <f t="shared" si="3"/>
        <v/>
      </c>
      <c r="O94" s="158"/>
    </row>
    <row r="95" spans="1:15" x14ac:dyDescent="0.25">
      <c r="A95" s="126"/>
      <c r="B95" s="296"/>
      <c r="C95" s="126"/>
      <c r="D95" s="126"/>
      <c r="E95" s="126"/>
      <c r="F95" s="126"/>
      <c r="G95" s="298"/>
      <c r="H95" s="126"/>
      <c r="I95" s="297"/>
      <c r="J95" s="297"/>
      <c r="K95" s="297"/>
      <c r="L95" s="216">
        <f t="shared" si="2"/>
        <v>0</v>
      </c>
      <c r="M95" s="159" t="str">
        <f t="shared" si="3"/>
        <v/>
      </c>
      <c r="O95" s="158"/>
    </row>
    <row r="96" spans="1:15" x14ac:dyDescent="0.25">
      <c r="A96" s="126"/>
      <c r="B96" s="296"/>
      <c r="C96" s="126"/>
      <c r="D96" s="126"/>
      <c r="E96" s="126"/>
      <c r="F96" s="126"/>
      <c r="G96" s="298"/>
      <c r="H96" s="126"/>
      <c r="I96" s="297"/>
      <c r="J96" s="297"/>
      <c r="K96" s="297"/>
      <c r="L96" s="216">
        <f t="shared" si="2"/>
        <v>0</v>
      </c>
      <c r="M96" s="159" t="str">
        <f t="shared" si="3"/>
        <v/>
      </c>
      <c r="O96" s="158"/>
    </row>
    <row r="97" spans="1:15" x14ac:dyDescent="0.25">
      <c r="A97" s="126"/>
      <c r="B97" s="296"/>
      <c r="C97" s="126"/>
      <c r="D97" s="126"/>
      <c r="E97" s="126"/>
      <c r="F97" s="126"/>
      <c r="G97" s="298"/>
      <c r="H97" s="126"/>
      <c r="I97" s="297"/>
      <c r="J97" s="297"/>
      <c r="K97" s="297"/>
      <c r="L97" s="216">
        <f t="shared" si="2"/>
        <v>0</v>
      </c>
      <c r="M97" s="159" t="str">
        <f t="shared" si="3"/>
        <v/>
      </c>
      <c r="O97" s="158"/>
    </row>
    <row r="98" spans="1:15" x14ac:dyDescent="0.25">
      <c r="A98" s="126"/>
      <c r="B98" s="296"/>
      <c r="C98" s="126"/>
      <c r="D98" s="126"/>
      <c r="E98" s="126"/>
      <c r="F98" s="126"/>
      <c r="G98" s="298"/>
      <c r="H98" s="126"/>
      <c r="I98" s="297"/>
      <c r="J98" s="297"/>
      <c r="K98" s="297"/>
      <c r="L98" s="216">
        <f t="shared" si="2"/>
        <v>0</v>
      </c>
      <c r="M98" s="159" t="str">
        <f t="shared" si="3"/>
        <v/>
      </c>
      <c r="O98" s="158"/>
    </row>
    <row r="99" spans="1:15" x14ac:dyDescent="0.25">
      <c r="A99" s="126"/>
      <c r="B99" s="296"/>
      <c r="C99" s="126"/>
      <c r="D99" s="126"/>
      <c r="E99" s="126"/>
      <c r="F99" s="126"/>
      <c r="G99" s="298"/>
      <c r="H99" s="126"/>
      <c r="I99" s="297"/>
      <c r="J99" s="297"/>
      <c r="K99" s="297"/>
      <c r="L99" s="216">
        <f t="shared" si="2"/>
        <v>0</v>
      </c>
      <c r="M99" s="159" t="str">
        <f t="shared" si="3"/>
        <v/>
      </c>
      <c r="O99" s="158"/>
    </row>
    <row r="100" spans="1:15" x14ac:dyDescent="0.25">
      <c r="A100" s="126"/>
      <c r="B100" s="296"/>
      <c r="C100" s="126"/>
      <c r="D100" s="126"/>
      <c r="E100" s="126"/>
      <c r="F100" s="126"/>
      <c r="G100" s="298"/>
      <c r="H100" s="126"/>
      <c r="I100" s="297"/>
      <c r="J100" s="297"/>
      <c r="K100" s="297"/>
      <c r="L100" s="216">
        <f t="shared" si="2"/>
        <v>0</v>
      </c>
      <c r="M100" s="159" t="str">
        <f t="shared" si="3"/>
        <v/>
      </c>
      <c r="O100" s="158"/>
    </row>
    <row r="101" spans="1:15" x14ac:dyDescent="0.25">
      <c r="A101" s="126"/>
      <c r="B101" s="296"/>
      <c r="C101" s="126"/>
      <c r="D101" s="126"/>
      <c r="E101" s="126"/>
      <c r="F101" s="126"/>
      <c r="G101" s="298"/>
      <c r="H101" s="126"/>
      <c r="I101" s="297"/>
      <c r="J101" s="297"/>
      <c r="K101" s="297"/>
      <c r="L101" s="216">
        <f t="shared" si="2"/>
        <v>0</v>
      </c>
      <c r="M101" s="159" t="str">
        <f t="shared" si="3"/>
        <v/>
      </c>
      <c r="O101" s="158"/>
    </row>
    <row r="102" spans="1:15" x14ac:dyDescent="0.25">
      <c r="A102" s="126"/>
      <c r="B102" s="296"/>
      <c r="C102" s="126"/>
      <c r="D102" s="126"/>
      <c r="E102" s="126"/>
      <c r="F102" s="126"/>
      <c r="G102" s="298"/>
      <c r="H102" s="126"/>
      <c r="I102" s="297"/>
      <c r="J102" s="297"/>
      <c r="K102" s="297"/>
      <c r="L102" s="216">
        <f t="shared" si="2"/>
        <v>0</v>
      </c>
      <c r="M102" s="159" t="str">
        <f t="shared" si="3"/>
        <v/>
      </c>
      <c r="O102" s="158"/>
    </row>
    <row r="103" spans="1:15" x14ac:dyDescent="0.25">
      <c r="A103" s="126"/>
      <c r="B103" s="296"/>
      <c r="C103" s="126"/>
      <c r="D103" s="126"/>
      <c r="E103" s="126"/>
      <c r="F103" s="126"/>
      <c r="G103" s="298"/>
      <c r="H103" s="126"/>
      <c r="I103" s="297"/>
      <c r="J103" s="297"/>
      <c r="K103" s="297"/>
      <c r="L103" s="216">
        <f t="shared" si="2"/>
        <v>0</v>
      </c>
      <c r="M103" s="159" t="str">
        <f t="shared" si="3"/>
        <v/>
      </c>
      <c r="O103" s="158"/>
    </row>
    <row r="104" spans="1:15" x14ac:dyDescent="0.25">
      <c r="A104" s="126"/>
      <c r="B104" s="296"/>
      <c r="C104" s="126"/>
      <c r="D104" s="126"/>
      <c r="E104" s="126"/>
      <c r="F104" s="126"/>
      <c r="G104" s="298"/>
      <c r="H104" s="126"/>
      <c r="I104" s="297"/>
      <c r="J104" s="297"/>
      <c r="K104" s="297"/>
      <c r="L104" s="216">
        <f t="shared" si="2"/>
        <v>0</v>
      </c>
      <c r="M104" s="159" t="str">
        <f t="shared" si="3"/>
        <v/>
      </c>
      <c r="O104" s="158"/>
    </row>
    <row r="105" spans="1:15" x14ac:dyDescent="0.25">
      <c r="A105" s="126"/>
      <c r="B105" s="296"/>
      <c r="C105" s="126"/>
      <c r="D105" s="126"/>
      <c r="E105" s="126"/>
      <c r="F105" s="126"/>
      <c r="G105" s="298"/>
      <c r="H105" s="126"/>
      <c r="I105" s="297"/>
      <c r="J105" s="297"/>
      <c r="K105" s="297"/>
      <c r="L105" s="216">
        <f t="shared" si="2"/>
        <v>0</v>
      </c>
      <c r="M105" s="159" t="str">
        <f t="shared" si="3"/>
        <v/>
      </c>
      <c r="O105" s="158"/>
    </row>
    <row r="106" spans="1:15" x14ac:dyDescent="0.25">
      <c r="A106" s="126"/>
      <c r="B106" s="296"/>
      <c r="C106" s="126"/>
      <c r="D106" s="126"/>
      <c r="E106" s="126"/>
      <c r="F106" s="126"/>
      <c r="G106" s="298"/>
      <c r="H106" s="126"/>
      <c r="I106" s="297"/>
      <c r="J106" s="297"/>
      <c r="K106" s="297"/>
      <c r="L106" s="216">
        <f t="shared" si="2"/>
        <v>0</v>
      </c>
      <c r="M106" s="159" t="str">
        <f t="shared" si="3"/>
        <v/>
      </c>
      <c r="O106" s="158"/>
    </row>
    <row r="107" spans="1:15" x14ac:dyDescent="0.25">
      <c r="A107" s="126"/>
      <c r="B107" s="296"/>
      <c r="C107" s="126"/>
      <c r="D107" s="126"/>
      <c r="E107" s="126"/>
      <c r="F107" s="126"/>
      <c r="G107" s="298"/>
      <c r="H107" s="126"/>
      <c r="I107" s="297"/>
      <c r="J107" s="297"/>
      <c r="K107" s="297"/>
      <c r="L107" s="216">
        <f t="shared" si="2"/>
        <v>0</v>
      </c>
      <c r="M107" s="159" t="str">
        <f t="shared" si="3"/>
        <v/>
      </c>
      <c r="O107" s="158"/>
    </row>
    <row r="108" spans="1:15" x14ac:dyDescent="0.25">
      <c r="A108" s="126"/>
      <c r="B108" s="296"/>
      <c r="C108" s="126"/>
      <c r="D108" s="126"/>
      <c r="E108" s="126"/>
      <c r="F108" s="126"/>
      <c r="G108" s="298"/>
      <c r="H108" s="126"/>
      <c r="I108" s="297"/>
      <c r="J108" s="297"/>
      <c r="K108" s="297"/>
      <c r="L108" s="216">
        <f t="shared" si="2"/>
        <v>0</v>
      </c>
      <c r="M108" s="159" t="str">
        <f t="shared" si="3"/>
        <v/>
      </c>
      <c r="O108" s="158"/>
    </row>
    <row r="109" spans="1:15" x14ac:dyDescent="0.25">
      <c r="A109" s="126"/>
      <c r="B109" s="296"/>
      <c r="C109" s="126"/>
      <c r="D109" s="126"/>
      <c r="E109" s="126"/>
      <c r="F109" s="126"/>
      <c r="G109" s="298"/>
      <c r="H109" s="126"/>
      <c r="I109" s="297"/>
      <c r="J109" s="297"/>
      <c r="K109" s="297"/>
      <c r="L109" s="216">
        <f t="shared" si="2"/>
        <v>0</v>
      </c>
      <c r="M109" s="159" t="str">
        <f t="shared" si="3"/>
        <v/>
      </c>
      <c r="O109" s="158"/>
    </row>
    <row r="110" spans="1:15" x14ac:dyDescent="0.25">
      <c r="A110" s="126"/>
      <c r="B110" s="296"/>
      <c r="C110" s="126"/>
      <c r="D110" s="126"/>
      <c r="E110" s="126"/>
      <c r="F110" s="126"/>
      <c r="G110" s="298"/>
      <c r="H110" s="126"/>
      <c r="I110" s="297"/>
      <c r="J110" s="297"/>
      <c r="K110" s="297"/>
      <c r="L110" s="216">
        <f t="shared" si="2"/>
        <v>0</v>
      </c>
      <c r="M110" s="159" t="str">
        <f t="shared" si="3"/>
        <v/>
      </c>
      <c r="O110" s="158"/>
    </row>
    <row r="111" spans="1:15" x14ac:dyDescent="0.25">
      <c r="A111" s="126"/>
      <c r="B111" s="296"/>
      <c r="C111" s="126"/>
      <c r="D111" s="126"/>
      <c r="E111" s="126"/>
      <c r="F111" s="126"/>
      <c r="G111" s="298"/>
      <c r="H111" s="126"/>
      <c r="I111" s="297"/>
      <c r="J111" s="297"/>
      <c r="K111" s="297"/>
      <c r="L111" s="216">
        <f t="shared" si="2"/>
        <v>0</v>
      </c>
      <c r="M111" s="159" t="str">
        <f t="shared" si="3"/>
        <v/>
      </c>
      <c r="O111" s="158"/>
    </row>
    <row r="112" spans="1:15" x14ac:dyDescent="0.25">
      <c r="A112" s="126"/>
      <c r="B112" s="296"/>
      <c r="C112" s="126"/>
      <c r="D112" s="126"/>
      <c r="E112" s="126"/>
      <c r="F112" s="126"/>
      <c r="G112" s="298"/>
      <c r="H112" s="126"/>
      <c r="I112" s="297"/>
      <c r="J112" s="297"/>
      <c r="K112" s="297"/>
      <c r="L112" s="216">
        <f t="shared" si="2"/>
        <v>0</v>
      </c>
      <c r="M112" s="159" t="str">
        <f t="shared" si="3"/>
        <v/>
      </c>
      <c r="O112" s="158"/>
    </row>
    <row r="113" spans="1:15" x14ac:dyDescent="0.25">
      <c r="A113" s="126"/>
      <c r="B113" s="296"/>
      <c r="C113" s="126"/>
      <c r="D113" s="126"/>
      <c r="E113" s="126"/>
      <c r="F113" s="126"/>
      <c r="G113" s="298"/>
      <c r="H113" s="126"/>
      <c r="I113" s="297"/>
      <c r="J113" s="297"/>
      <c r="K113" s="297"/>
      <c r="L113" s="216">
        <f t="shared" si="2"/>
        <v>0</v>
      </c>
      <c r="M113" s="159" t="str">
        <f t="shared" si="3"/>
        <v/>
      </c>
      <c r="O113" s="158"/>
    </row>
    <row r="114" spans="1:15" x14ac:dyDescent="0.25">
      <c r="A114" s="126"/>
      <c r="B114" s="296"/>
      <c r="C114" s="126"/>
      <c r="D114" s="126"/>
      <c r="E114" s="126"/>
      <c r="F114" s="126"/>
      <c r="G114" s="298"/>
      <c r="H114" s="126"/>
      <c r="I114" s="297"/>
      <c r="J114" s="297"/>
      <c r="K114" s="297"/>
      <c r="L114" s="216">
        <f t="shared" si="2"/>
        <v>0</v>
      </c>
      <c r="M114" s="159" t="str">
        <f t="shared" si="3"/>
        <v/>
      </c>
      <c r="O114" s="158"/>
    </row>
    <row r="115" spans="1:15" x14ac:dyDescent="0.25">
      <c r="A115" s="126"/>
      <c r="B115" s="296"/>
      <c r="C115" s="126"/>
      <c r="D115" s="126"/>
      <c r="E115" s="126"/>
      <c r="F115" s="126"/>
      <c r="G115" s="298"/>
      <c r="H115" s="126"/>
      <c r="I115" s="297"/>
      <c r="J115" s="297"/>
      <c r="K115" s="297"/>
      <c r="L115" s="216">
        <f t="shared" si="2"/>
        <v>0</v>
      </c>
      <c r="M115" s="159" t="str">
        <f t="shared" si="3"/>
        <v/>
      </c>
      <c r="O115" s="158"/>
    </row>
    <row r="116" spans="1:15" x14ac:dyDescent="0.25">
      <c r="A116" s="126"/>
      <c r="B116" s="296"/>
      <c r="C116" s="126"/>
      <c r="D116" s="126"/>
      <c r="E116" s="126"/>
      <c r="F116" s="126"/>
      <c r="G116" s="298"/>
      <c r="H116" s="126"/>
      <c r="I116" s="297"/>
      <c r="J116" s="297"/>
      <c r="K116" s="297"/>
      <c r="L116" s="216">
        <f t="shared" si="2"/>
        <v>0</v>
      </c>
      <c r="M116" s="159" t="str">
        <f t="shared" si="3"/>
        <v/>
      </c>
      <c r="O116" s="158"/>
    </row>
    <row r="117" spans="1:15" x14ac:dyDescent="0.25">
      <c r="A117" s="126"/>
      <c r="B117" s="296"/>
      <c r="C117" s="126"/>
      <c r="D117" s="126"/>
      <c r="E117" s="126"/>
      <c r="F117" s="126"/>
      <c r="G117" s="298"/>
      <c r="H117" s="126"/>
      <c r="I117" s="297"/>
      <c r="J117" s="297"/>
      <c r="K117" s="297"/>
      <c r="L117" s="216">
        <f t="shared" si="2"/>
        <v>0</v>
      </c>
      <c r="M117" s="159" t="str">
        <f t="shared" si="3"/>
        <v/>
      </c>
      <c r="O117" s="158"/>
    </row>
    <row r="118" spans="1:15" x14ac:dyDescent="0.25">
      <c r="A118" s="126"/>
      <c r="B118" s="296"/>
      <c r="C118" s="126"/>
      <c r="D118" s="126"/>
      <c r="E118" s="126"/>
      <c r="F118" s="126"/>
      <c r="G118" s="298"/>
      <c r="H118" s="126"/>
      <c r="I118" s="297"/>
      <c r="J118" s="297"/>
      <c r="K118" s="297"/>
      <c r="L118" s="216">
        <f t="shared" si="2"/>
        <v>0</v>
      </c>
      <c r="M118" s="159" t="str">
        <f t="shared" si="3"/>
        <v/>
      </c>
      <c r="O118" s="158"/>
    </row>
    <row r="119" spans="1:15" x14ac:dyDescent="0.25">
      <c r="A119" s="126"/>
      <c r="B119" s="296"/>
      <c r="C119" s="126"/>
      <c r="D119" s="126"/>
      <c r="E119" s="126"/>
      <c r="F119" s="126"/>
      <c r="G119" s="298"/>
      <c r="H119" s="126"/>
      <c r="I119" s="297"/>
      <c r="J119" s="297"/>
      <c r="K119" s="297"/>
      <c r="L119" s="216">
        <f t="shared" si="2"/>
        <v>0</v>
      </c>
      <c r="M119" s="159" t="str">
        <f t="shared" si="3"/>
        <v/>
      </c>
      <c r="O119" s="158"/>
    </row>
    <row r="120" spans="1:15" x14ac:dyDescent="0.25">
      <c r="A120" s="126"/>
      <c r="B120" s="296"/>
      <c r="C120" s="126"/>
      <c r="D120" s="126"/>
      <c r="E120" s="126"/>
      <c r="F120" s="126"/>
      <c r="G120" s="298"/>
      <c r="H120" s="126"/>
      <c r="I120" s="297"/>
      <c r="J120" s="297"/>
      <c r="K120" s="297"/>
      <c r="L120" s="216">
        <f t="shared" si="2"/>
        <v>0</v>
      </c>
      <c r="M120" s="159" t="str">
        <f t="shared" si="3"/>
        <v/>
      </c>
      <c r="O120" s="158"/>
    </row>
    <row r="121" spans="1:15" x14ac:dyDescent="0.25">
      <c r="A121" s="126"/>
      <c r="B121" s="296"/>
      <c r="C121" s="126"/>
      <c r="D121" s="126"/>
      <c r="E121" s="126"/>
      <c r="F121" s="126"/>
      <c r="G121" s="298"/>
      <c r="H121" s="126"/>
      <c r="I121" s="297"/>
      <c r="J121" s="297"/>
      <c r="K121" s="297"/>
      <c r="L121" s="216">
        <f t="shared" si="2"/>
        <v>0</v>
      </c>
      <c r="M121" s="159" t="str">
        <f t="shared" si="3"/>
        <v/>
      </c>
      <c r="O121" s="158"/>
    </row>
    <row r="122" spans="1:15" x14ac:dyDescent="0.25">
      <c r="A122" s="126"/>
      <c r="B122" s="296"/>
      <c r="C122" s="126"/>
      <c r="D122" s="126"/>
      <c r="E122" s="126"/>
      <c r="F122" s="126"/>
      <c r="G122" s="298"/>
      <c r="H122" s="126"/>
      <c r="I122" s="297"/>
      <c r="J122" s="297"/>
      <c r="K122" s="297"/>
      <c r="L122" s="216">
        <f t="shared" si="2"/>
        <v>0</v>
      </c>
      <c r="M122" s="159" t="str">
        <f t="shared" si="3"/>
        <v/>
      </c>
      <c r="O122" s="158"/>
    </row>
    <row r="123" spans="1:15" x14ac:dyDescent="0.25">
      <c r="A123" s="126"/>
      <c r="B123" s="296"/>
      <c r="C123" s="126"/>
      <c r="D123" s="126"/>
      <c r="E123" s="126"/>
      <c r="F123" s="126"/>
      <c r="G123" s="298"/>
      <c r="H123" s="126"/>
      <c r="I123" s="297"/>
      <c r="J123" s="297"/>
      <c r="K123" s="297"/>
      <c r="L123" s="216">
        <f t="shared" si="2"/>
        <v>0</v>
      </c>
      <c r="M123" s="159" t="str">
        <f t="shared" si="3"/>
        <v/>
      </c>
      <c r="O123" s="158"/>
    </row>
    <row r="124" spans="1:15" x14ac:dyDescent="0.25">
      <c r="A124" s="126"/>
      <c r="B124" s="296"/>
      <c r="C124" s="126"/>
      <c r="D124" s="126"/>
      <c r="E124" s="126"/>
      <c r="F124" s="126"/>
      <c r="G124" s="298"/>
      <c r="H124" s="126"/>
      <c r="I124" s="297"/>
      <c r="J124" s="297"/>
      <c r="K124" s="297"/>
      <c r="L124" s="216">
        <f t="shared" si="2"/>
        <v>0</v>
      </c>
      <c r="M124" s="159" t="str">
        <f t="shared" si="3"/>
        <v/>
      </c>
      <c r="O124" s="158"/>
    </row>
    <row r="125" spans="1:15" x14ac:dyDescent="0.25">
      <c r="A125" s="126"/>
      <c r="B125" s="296"/>
      <c r="C125" s="126"/>
      <c r="D125" s="126"/>
      <c r="E125" s="126"/>
      <c r="F125" s="126"/>
      <c r="G125" s="298"/>
      <c r="H125" s="126"/>
      <c r="I125" s="297"/>
      <c r="J125" s="297"/>
      <c r="K125" s="297"/>
      <c r="L125" s="216">
        <f t="shared" si="2"/>
        <v>0</v>
      </c>
      <c r="M125" s="159" t="str">
        <f t="shared" si="3"/>
        <v/>
      </c>
      <c r="O125" s="158"/>
    </row>
    <row r="126" spans="1:15" x14ac:dyDescent="0.25">
      <c r="A126" s="126"/>
      <c r="B126" s="296"/>
      <c r="C126" s="126"/>
      <c r="D126" s="126"/>
      <c r="E126" s="126"/>
      <c r="F126" s="126"/>
      <c r="G126" s="298"/>
      <c r="H126" s="126"/>
      <c r="I126" s="297"/>
      <c r="J126" s="297"/>
      <c r="K126" s="297"/>
      <c r="L126" s="216">
        <f t="shared" si="2"/>
        <v>0</v>
      </c>
      <c r="M126" s="159" t="str">
        <f t="shared" si="3"/>
        <v/>
      </c>
      <c r="O126" s="158"/>
    </row>
    <row r="127" spans="1:15" x14ac:dyDescent="0.25">
      <c r="A127" s="126"/>
      <c r="B127" s="296"/>
      <c r="C127" s="126"/>
      <c r="D127" s="126"/>
      <c r="E127" s="126"/>
      <c r="F127" s="126"/>
      <c r="G127" s="298"/>
      <c r="H127" s="126"/>
      <c r="I127" s="297"/>
      <c r="J127" s="297"/>
      <c r="K127" s="297"/>
      <c r="L127" s="216">
        <f t="shared" si="2"/>
        <v>0</v>
      </c>
      <c r="M127" s="159" t="str">
        <f t="shared" si="3"/>
        <v/>
      </c>
      <c r="O127" s="158"/>
    </row>
    <row r="128" spans="1:15" x14ac:dyDescent="0.25">
      <c r="A128" s="126"/>
      <c r="B128" s="296"/>
      <c r="C128" s="126"/>
      <c r="D128" s="126"/>
      <c r="E128" s="126"/>
      <c r="F128" s="126"/>
      <c r="G128" s="298"/>
      <c r="H128" s="126"/>
      <c r="I128" s="297"/>
      <c r="J128" s="297"/>
      <c r="K128" s="297"/>
      <c r="L128" s="216">
        <f t="shared" si="2"/>
        <v>0</v>
      </c>
      <c r="M128" s="159" t="str">
        <f t="shared" si="3"/>
        <v/>
      </c>
      <c r="O128" s="158"/>
    </row>
    <row r="129" spans="1:15" x14ac:dyDescent="0.25">
      <c r="A129" s="126"/>
      <c r="B129" s="296"/>
      <c r="C129" s="126"/>
      <c r="D129" s="126"/>
      <c r="E129" s="126"/>
      <c r="F129" s="126"/>
      <c r="G129" s="298"/>
      <c r="H129" s="126"/>
      <c r="I129" s="297"/>
      <c r="J129" s="297"/>
      <c r="K129" s="297"/>
      <c r="L129" s="216">
        <f t="shared" si="2"/>
        <v>0</v>
      </c>
      <c r="M129" s="159" t="str">
        <f t="shared" si="3"/>
        <v/>
      </c>
      <c r="O129" s="158"/>
    </row>
    <row r="130" spans="1:15" x14ac:dyDescent="0.25">
      <c r="A130" s="126"/>
      <c r="B130" s="296"/>
      <c r="C130" s="126"/>
      <c r="D130" s="126"/>
      <c r="E130" s="126"/>
      <c r="F130" s="126"/>
      <c r="G130" s="298"/>
      <c r="H130" s="126"/>
      <c r="I130" s="297"/>
      <c r="J130" s="297"/>
      <c r="K130" s="297"/>
      <c r="L130" s="216">
        <f t="shared" ref="L130:L193" si="4">K130*1.1</f>
        <v>0</v>
      </c>
      <c r="M130" s="159" t="str">
        <f t="shared" ref="M130:M193" si="5">IF(ISNUMBER(SEARCH("Azarine",H130)),"AZARINE",IF(ISNUMBER(SEARCH("Baking Soda",H130)),"BAKING SODA",IF(ISNUMBER(SEARCH("Fujitsu",H130)),"FUJITSU",IF(ISNUMBER(SEARCH("Coleman",H130)),"COLEMAN",""))))</f>
        <v/>
      </c>
      <c r="O130" s="158"/>
    </row>
    <row r="131" spans="1:15" x14ac:dyDescent="0.25">
      <c r="A131" s="126"/>
      <c r="B131" s="296"/>
      <c r="C131" s="126"/>
      <c r="D131" s="126"/>
      <c r="E131" s="126"/>
      <c r="F131" s="126"/>
      <c r="G131" s="298"/>
      <c r="H131" s="126"/>
      <c r="I131" s="297"/>
      <c r="J131" s="297"/>
      <c r="K131" s="297"/>
      <c r="L131" s="216">
        <f t="shared" si="4"/>
        <v>0</v>
      </c>
      <c r="M131" s="159" t="str">
        <f t="shared" si="5"/>
        <v/>
      </c>
      <c r="O131" s="158"/>
    </row>
    <row r="132" spans="1:15" x14ac:dyDescent="0.25">
      <c r="A132" s="126"/>
      <c r="B132" s="296"/>
      <c r="C132" s="126"/>
      <c r="D132" s="126"/>
      <c r="E132" s="126"/>
      <c r="F132" s="126"/>
      <c r="G132" s="298"/>
      <c r="H132" s="126"/>
      <c r="I132" s="297"/>
      <c r="J132" s="297"/>
      <c r="K132" s="297"/>
      <c r="L132" s="216">
        <f t="shared" si="4"/>
        <v>0</v>
      </c>
      <c r="M132" s="159" t="str">
        <f t="shared" si="5"/>
        <v/>
      </c>
      <c r="O132" s="158"/>
    </row>
    <row r="133" spans="1:15" x14ac:dyDescent="0.25">
      <c r="A133" s="126"/>
      <c r="B133" s="296"/>
      <c r="C133" s="126"/>
      <c r="D133" s="126"/>
      <c r="E133" s="126"/>
      <c r="F133" s="126"/>
      <c r="G133" s="298"/>
      <c r="H133" s="126"/>
      <c r="I133" s="297"/>
      <c r="J133" s="297"/>
      <c r="K133" s="297"/>
      <c r="L133" s="216">
        <f t="shared" si="4"/>
        <v>0</v>
      </c>
      <c r="M133" s="159" t="str">
        <f t="shared" si="5"/>
        <v/>
      </c>
      <c r="O133" s="158"/>
    </row>
    <row r="134" spans="1:15" x14ac:dyDescent="0.25">
      <c r="A134" s="126"/>
      <c r="B134" s="296"/>
      <c r="C134" s="126"/>
      <c r="D134" s="126"/>
      <c r="E134" s="126"/>
      <c r="F134" s="126"/>
      <c r="G134" s="298"/>
      <c r="H134" s="126"/>
      <c r="I134" s="297"/>
      <c r="J134" s="297"/>
      <c r="K134" s="297"/>
      <c r="L134" s="216">
        <f t="shared" si="4"/>
        <v>0</v>
      </c>
      <c r="M134" s="159" t="str">
        <f t="shared" si="5"/>
        <v/>
      </c>
      <c r="O134" s="158"/>
    </row>
    <row r="135" spans="1:15" x14ac:dyDescent="0.25">
      <c r="A135" s="126"/>
      <c r="B135" s="296"/>
      <c r="C135" s="126"/>
      <c r="D135" s="126"/>
      <c r="E135" s="126"/>
      <c r="F135" s="126"/>
      <c r="G135" s="298"/>
      <c r="H135" s="126"/>
      <c r="I135" s="297"/>
      <c r="J135" s="297"/>
      <c r="K135" s="297"/>
      <c r="L135" s="216">
        <f t="shared" si="4"/>
        <v>0</v>
      </c>
      <c r="M135" s="159" t="str">
        <f t="shared" si="5"/>
        <v/>
      </c>
      <c r="O135" s="158"/>
    </row>
    <row r="136" spans="1:15" x14ac:dyDescent="0.25">
      <c r="A136" s="126"/>
      <c r="B136" s="296"/>
      <c r="C136" s="126"/>
      <c r="D136" s="126"/>
      <c r="E136" s="126"/>
      <c r="F136" s="126"/>
      <c r="G136" s="298"/>
      <c r="H136" s="126"/>
      <c r="I136" s="297"/>
      <c r="J136" s="297"/>
      <c r="K136" s="297"/>
      <c r="L136" s="216">
        <f t="shared" si="4"/>
        <v>0</v>
      </c>
      <c r="M136" s="159" t="str">
        <f t="shared" si="5"/>
        <v/>
      </c>
      <c r="O136" s="158"/>
    </row>
    <row r="137" spans="1:15" x14ac:dyDescent="0.25">
      <c r="A137" s="126"/>
      <c r="B137" s="296"/>
      <c r="C137" s="126"/>
      <c r="D137" s="126"/>
      <c r="E137" s="126"/>
      <c r="F137" s="126"/>
      <c r="G137" s="298"/>
      <c r="H137" s="126"/>
      <c r="I137" s="297"/>
      <c r="J137" s="297"/>
      <c r="K137" s="297"/>
      <c r="L137" s="216">
        <f t="shared" si="4"/>
        <v>0</v>
      </c>
      <c r="M137" s="159" t="str">
        <f t="shared" si="5"/>
        <v/>
      </c>
      <c r="O137" s="158"/>
    </row>
    <row r="138" spans="1:15" x14ac:dyDescent="0.25">
      <c r="A138" s="126"/>
      <c r="B138" s="296"/>
      <c r="C138" s="126"/>
      <c r="D138" s="126"/>
      <c r="E138" s="126"/>
      <c r="F138" s="126"/>
      <c r="G138" s="298"/>
      <c r="H138" s="126"/>
      <c r="I138" s="297"/>
      <c r="J138" s="297"/>
      <c r="K138" s="297"/>
      <c r="L138" s="216">
        <f t="shared" si="4"/>
        <v>0</v>
      </c>
      <c r="M138" s="159" t="str">
        <f t="shared" si="5"/>
        <v/>
      </c>
      <c r="O138" s="158"/>
    </row>
    <row r="139" spans="1:15" x14ac:dyDescent="0.25">
      <c r="A139" s="126"/>
      <c r="B139" s="296"/>
      <c r="C139" s="126"/>
      <c r="D139" s="126"/>
      <c r="E139" s="126"/>
      <c r="F139" s="126"/>
      <c r="G139" s="298"/>
      <c r="H139" s="126"/>
      <c r="I139" s="297"/>
      <c r="J139" s="297"/>
      <c r="K139" s="297"/>
      <c r="L139" s="216">
        <f t="shared" si="4"/>
        <v>0</v>
      </c>
      <c r="M139" s="159" t="str">
        <f t="shared" si="5"/>
        <v/>
      </c>
      <c r="O139" s="158"/>
    </row>
    <row r="140" spans="1:15" x14ac:dyDescent="0.25">
      <c r="A140" s="126"/>
      <c r="B140" s="296"/>
      <c r="C140" s="126"/>
      <c r="D140" s="126"/>
      <c r="E140" s="126"/>
      <c r="F140" s="126"/>
      <c r="G140" s="298"/>
      <c r="H140" s="126"/>
      <c r="I140" s="297"/>
      <c r="J140" s="297"/>
      <c r="K140" s="297"/>
      <c r="L140" s="216">
        <f t="shared" si="4"/>
        <v>0</v>
      </c>
      <c r="M140" s="159" t="str">
        <f t="shared" si="5"/>
        <v/>
      </c>
      <c r="O140" s="158"/>
    </row>
    <row r="141" spans="1:15" x14ac:dyDescent="0.25">
      <c r="A141" s="126"/>
      <c r="B141" s="296"/>
      <c r="C141" s="126"/>
      <c r="D141" s="126"/>
      <c r="E141" s="126"/>
      <c r="F141" s="126"/>
      <c r="G141" s="298"/>
      <c r="H141" s="126"/>
      <c r="I141" s="297"/>
      <c r="J141" s="297"/>
      <c r="K141" s="297"/>
      <c r="L141" s="216">
        <f t="shared" si="4"/>
        <v>0</v>
      </c>
      <c r="M141" s="159" t="str">
        <f t="shared" si="5"/>
        <v/>
      </c>
      <c r="O141" s="158"/>
    </row>
    <row r="142" spans="1:15" x14ac:dyDescent="0.25">
      <c r="A142" s="126"/>
      <c r="B142" s="296"/>
      <c r="C142" s="126"/>
      <c r="D142" s="126"/>
      <c r="E142" s="126"/>
      <c r="F142" s="126"/>
      <c r="G142" s="298"/>
      <c r="H142" s="126"/>
      <c r="I142" s="297"/>
      <c r="J142" s="297"/>
      <c r="K142" s="297"/>
      <c r="L142" s="216">
        <f t="shared" si="4"/>
        <v>0</v>
      </c>
      <c r="M142" s="159" t="str">
        <f t="shared" si="5"/>
        <v/>
      </c>
      <c r="O142" s="158"/>
    </row>
    <row r="143" spans="1:15" x14ac:dyDescent="0.25">
      <c r="A143" s="126"/>
      <c r="B143" s="296"/>
      <c r="C143" s="126"/>
      <c r="D143" s="126"/>
      <c r="E143" s="126"/>
      <c r="F143" s="126"/>
      <c r="G143" s="298"/>
      <c r="H143" s="126"/>
      <c r="I143" s="297"/>
      <c r="J143" s="297"/>
      <c r="K143" s="297"/>
      <c r="L143" s="216">
        <f t="shared" si="4"/>
        <v>0</v>
      </c>
      <c r="M143" s="159" t="str">
        <f t="shared" si="5"/>
        <v/>
      </c>
      <c r="O143" s="158"/>
    </row>
    <row r="144" spans="1:15" x14ac:dyDescent="0.25">
      <c r="A144" s="126"/>
      <c r="B144" s="296"/>
      <c r="C144" s="126"/>
      <c r="D144" s="126"/>
      <c r="E144" s="126"/>
      <c r="F144" s="126"/>
      <c r="G144" s="298"/>
      <c r="H144" s="126"/>
      <c r="I144" s="297"/>
      <c r="J144" s="297"/>
      <c r="K144" s="297"/>
      <c r="L144" s="216">
        <f t="shared" si="4"/>
        <v>0</v>
      </c>
      <c r="M144" s="159" t="str">
        <f t="shared" si="5"/>
        <v/>
      </c>
      <c r="O144" s="158"/>
    </row>
    <row r="145" spans="1:15" x14ac:dyDescent="0.25">
      <c r="A145" s="126"/>
      <c r="B145" s="296"/>
      <c r="C145" s="126"/>
      <c r="D145" s="126"/>
      <c r="E145" s="126"/>
      <c r="F145" s="126"/>
      <c r="G145" s="298"/>
      <c r="H145" s="126"/>
      <c r="I145" s="297"/>
      <c r="J145" s="297"/>
      <c r="K145" s="297"/>
      <c r="L145" s="216">
        <f t="shared" si="4"/>
        <v>0</v>
      </c>
      <c r="M145" s="159" t="str">
        <f t="shared" si="5"/>
        <v/>
      </c>
      <c r="O145" s="158"/>
    </row>
    <row r="146" spans="1:15" x14ac:dyDescent="0.25">
      <c r="A146" s="126"/>
      <c r="B146" s="296"/>
      <c r="C146" s="126"/>
      <c r="D146" s="126"/>
      <c r="E146" s="126"/>
      <c r="F146" s="126"/>
      <c r="G146" s="298"/>
      <c r="H146" s="126"/>
      <c r="I146" s="297"/>
      <c r="J146" s="297"/>
      <c r="K146" s="297"/>
      <c r="L146" s="216">
        <f t="shared" si="4"/>
        <v>0</v>
      </c>
      <c r="M146" s="159" t="str">
        <f t="shared" si="5"/>
        <v/>
      </c>
      <c r="O146" s="158"/>
    </row>
    <row r="147" spans="1:15" x14ac:dyDescent="0.25">
      <c r="A147" s="126"/>
      <c r="B147" s="296"/>
      <c r="C147" s="126"/>
      <c r="D147" s="126"/>
      <c r="E147" s="126"/>
      <c r="F147" s="126"/>
      <c r="G147" s="298"/>
      <c r="H147" s="126"/>
      <c r="I147" s="297"/>
      <c r="J147" s="297"/>
      <c r="K147" s="297"/>
      <c r="L147" s="216">
        <f t="shared" si="4"/>
        <v>0</v>
      </c>
      <c r="M147" s="159" t="str">
        <f t="shared" si="5"/>
        <v/>
      </c>
      <c r="O147" s="158"/>
    </row>
    <row r="148" spans="1:15" x14ac:dyDescent="0.25">
      <c r="A148" s="126"/>
      <c r="B148" s="296"/>
      <c r="C148" s="126"/>
      <c r="D148" s="126"/>
      <c r="E148" s="126"/>
      <c r="F148" s="126"/>
      <c r="G148" s="298"/>
      <c r="H148" s="126"/>
      <c r="I148" s="297"/>
      <c r="J148" s="297"/>
      <c r="K148" s="297"/>
      <c r="L148" s="216">
        <f t="shared" si="4"/>
        <v>0</v>
      </c>
      <c r="M148" s="159" t="str">
        <f t="shared" si="5"/>
        <v/>
      </c>
      <c r="O148" s="158"/>
    </row>
    <row r="149" spans="1:15" x14ac:dyDescent="0.25">
      <c r="A149" s="126"/>
      <c r="B149" s="296"/>
      <c r="C149" s="126"/>
      <c r="D149" s="126"/>
      <c r="E149" s="126"/>
      <c r="F149" s="126"/>
      <c r="G149" s="298"/>
      <c r="H149" s="126"/>
      <c r="I149" s="297"/>
      <c r="J149" s="297"/>
      <c r="K149" s="297"/>
      <c r="L149" s="216">
        <f t="shared" si="4"/>
        <v>0</v>
      </c>
      <c r="M149" s="159" t="str">
        <f t="shared" si="5"/>
        <v/>
      </c>
      <c r="O149" s="158"/>
    </row>
    <row r="150" spans="1:15" x14ac:dyDescent="0.25">
      <c r="A150" s="126"/>
      <c r="B150" s="296"/>
      <c r="C150" s="126"/>
      <c r="D150" s="126"/>
      <c r="E150" s="126"/>
      <c r="F150" s="126"/>
      <c r="G150" s="298"/>
      <c r="H150" s="126"/>
      <c r="I150" s="297"/>
      <c r="J150" s="297"/>
      <c r="K150" s="297"/>
      <c r="L150" s="216">
        <f t="shared" si="4"/>
        <v>0</v>
      </c>
      <c r="M150" s="159" t="str">
        <f t="shared" si="5"/>
        <v/>
      </c>
      <c r="O150" s="158"/>
    </row>
    <row r="151" spans="1:15" x14ac:dyDescent="0.25">
      <c r="A151" s="126"/>
      <c r="B151" s="296"/>
      <c r="C151" s="126"/>
      <c r="D151" s="126"/>
      <c r="E151" s="126"/>
      <c r="F151" s="126"/>
      <c r="G151" s="298"/>
      <c r="H151" s="126"/>
      <c r="I151" s="297"/>
      <c r="J151" s="297"/>
      <c r="K151" s="297"/>
      <c r="L151" s="216">
        <f t="shared" si="4"/>
        <v>0</v>
      </c>
      <c r="M151" s="159" t="str">
        <f t="shared" si="5"/>
        <v/>
      </c>
      <c r="O151" s="158"/>
    </row>
    <row r="152" spans="1:15" x14ac:dyDescent="0.25">
      <c r="A152" s="126"/>
      <c r="B152" s="296"/>
      <c r="C152" s="126"/>
      <c r="D152" s="126"/>
      <c r="E152" s="126"/>
      <c r="F152" s="126"/>
      <c r="G152" s="298"/>
      <c r="H152" s="126"/>
      <c r="I152" s="297"/>
      <c r="J152" s="297"/>
      <c r="K152" s="297"/>
      <c r="L152" s="216">
        <f t="shared" si="4"/>
        <v>0</v>
      </c>
      <c r="M152" s="159" t="str">
        <f t="shared" si="5"/>
        <v/>
      </c>
      <c r="O152" s="158"/>
    </row>
    <row r="153" spans="1:15" x14ac:dyDescent="0.25">
      <c r="A153" s="126"/>
      <c r="B153" s="296"/>
      <c r="C153" s="126"/>
      <c r="D153" s="126"/>
      <c r="E153" s="126"/>
      <c r="F153" s="126"/>
      <c r="G153" s="298"/>
      <c r="H153" s="126"/>
      <c r="I153" s="297"/>
      <c r="J153" s="297"/>
      <c r="K153" s="297"/>
      <c r="L153" s="216">
        <f t="shared" si="4"/>
        <v>0</v>
      </c>
      <c r="M153" s="159" t="str">
        <f t="shared" si="5"/>
        <v/>
      </c>
      <c r="O153" s="158"/>
    </row>
    <row r="154" spans="1:15" x14ac:dyDescent="0.25">
      <c r="A154" s="126"/>
      <c r="B154" s="296"/>
      <c r="C154" s="126"/>
      <c r="D154" s="126"/>
      <c r="E154" s="126"/>
      <c r="F154" s="126"/>
      <c r="G154" s="298"/>
      <c r="H154" s="126"/>
      <c r="I154" s="297"/>
      <c r="J154" s="297"/>
      <c r="K154" s="297"/>
      <c r="L154" s="216">
        <f t="shared" si="4"/>
        <v>0</v>
      </c>
      <c r="M154" s="159" t="str">
        <f t="shared" si="5"/>
        <v/>
      </c>
      <c r="O154" s="158"/>
    </row>
    <row r="155" spans="1:15" x14ac:dyDescent="0.25">
      <c r="A155" s="126"/>
      <c r="B155" s="296"/>
      <c r="C155" s="126"/>
      <c r="D155" s="126"/>
      <c r="E155" s="126"/>
      <c r="F155" s="126"/>
      <c r="G155" s="298"/>
      <c r="H155" s="126"/>
      <c r="I155" s="297"/>
      <c r="J155" s="297"/>
      <c r="K155" s="297"/>
      <c r="L155" s="216">
        <f t="shared" si="4"/>
        <v>0</v>
      </c>
      <c r="M155" s="159" t="str">
        <f t="shared" si="5"/>
        <v/>
      </c>
      <c r="O155" s="158"/>
    </row>
    <row r="156" spans="1:15" x14ac:dyDescent="0.25">
      <c r="A156" s="126"/>
      <c r="B156" s="296"/>
      <c r="C156" s="126"/>
      <c r="D156" s="126"/>
      <c r="E156" s="126"/>
      <c r="F156" s="126"/>
      <c r="G156" s="298"/>
      <c r="H156" s="126"/>
      <c r="I156" s="297"/>
      <c r="J156" s="297"/>
      <c r="K156" s="297"/>
      <c r="L156" s="216">
        <f t="shared" si="4"/>
        <v>0</v>
      </c>
      <c r="M156" s="159" t="str">
        <f t="shared" si="5"/>
        <v/>
      </c>
      <c r="O156" s="158"/>
    </row>
    <row r="157" spans="1:15" x14ac:dyDescent="0.25">
      <c r="A157" s="126"/>
      <c r="B157" s="296"/>
      <c r="C157" s="126"/>
      <c r="D157" s="126"/>
      <c r="E157" s="126"/>
      <c r="F157" s="126"/>
      <c r="G157" s="298"/>
      <c r="H157" s="126"/>
      <c r="I157" s="297"/>
      <c r="J157" s="297"/>
      <c r="K157" s="297"/>
      <c r="L157" s="216">
        <f t="shared" si="4"/>
        <v>0</v>
      </c>
      <c r="M157" s="159" t="str">
        <f t="shared" si="5"/>
        <v/>
      </c>
      <c r="O157" s="158"/>
    </row>
    <row r="158" spans="1:15" x14ac:dyDescent="0.25">
      <c r="A158" s="126"/>
      <c r="B158" s="296"/>
      <c r="C158" s="126"/>
      <c r="D158" s="126"/>
      <c r="E158" s="126"/>
      <c r="F158" s="126"/>
      <c r="G158" s="298"/>
      <c r="H158" s="126"/>
      <c r="I158" s="297"/>
      <c r="J158" s="297"/>
      <c r="K158" s="297"/>
      <c r="L158" s="216">
        <f t="shared" si="4"/>
        <v>0</v>
      </c>
      <c r="M158" s="159" t="str">
        <f t="shared" si="5"/>
        <v/>
      </c>
      <c r="O158" s="158"/>
    </row>
    <row r="159" spans="1:15" x14ac:dyDescent="0.25">
      <c r="A159" s="126"/>
      <c r="B159" s="296"/>
      <c r="C159" s="126"/>
      <c r="D159" s="126"/>
      <c r="E159" s="126"/>
      <c r="F159" s="126"/>
      <c r="G159" s="298"/>
      <c r="H159" s="126"/>
      <c r="I159" s="297"/>
      <c r="J159" s="297"/>
      <c r="K159" s="297"/>
      <c r="L159" s="216">
        <f t="shared" si="4"/>
        <v>0</v>
      </c>
      <c r="M159" s="159" t="str">
        <f t="shared" si="5"/>
        <v/>
      </c>
      <c r="O159" s="158"/>
    </row>
    <row r="160" spans="1:15" x14ac:dyDescent="0.25">
      <c r="A160" s="126"/>
      <c r="B160" s="296"/>
      <c r="C160" s="126"/>
      <c r="D160" s="126"/>
      <c r="E160" s="126"/>
      <c r="F160" s="126"/>
      <c r="G160" s="298"/>
      <c r="H160" s="126"/>
      <c r="I160" s="297"/>
      <c r="J160" s="297"/>
      <c r="K160" s="297"/>
      <c r="L160" s="216">
        <f t="shared" si="4"/>
        <v>0</v>
      </c>
      <c r="M160" s="159" t="str">
        <f t="shared" si="5"/>
        <v/>
      </c>
      <c r="O160" s="158"/>
    </row>
    <row r="161" spans="1:15" x14ac:dyDescent="0.25">
      <c r="A161" s="126"/>
      <c r="B161" s="296"/>
      <c r="C161" s="126"/>
      <c r="D161" s="126"/>
      <c r="E161" s="126"/>
      <c r="F161" s="126"/>
      <c r="G161" s="298"/>
      <c r="H161" s="126"/>
      <c r="I161" s="297"/>
      <c r="J161" s="297"/>
      <c r="K161" s="297"/>
      <c r="L161" s="216">
        <f t="shared" si="4"/>
        <v>0</v>
      </c>
      <c r="M161" s="159" t="str">
        <f t="shared" si="5"/>
        <v/>
      </c>
      <c r="O161" s="158"/>
    </row>
    <row r="162" spans="1:15" x14ac:dyDescent="0.25">
      <c r="A162" s="126"/>
      <c r="B162" s="296"/>
      <c r="C162" s="126"/>
      <c r="D162" s="126"/>
      <c r="E162" s="126"/>
      <c r="F162" s="126"/>
      <c r="G162" s="298"/>
      <c r="H162" s="126"/>
      <c r="I162" s="297"/>
      <c r="J162" s="297"/>
      <c r="K162" s="297"/>
      <c r="L162" s="216">
        <f t="shared" si="4"/>
        <v>0</v>
      </c>
      <c r="M162" s="159" t="str">
        <f t="shared" si="5"/>
        <v/>
      </c>
      <c r="O162" s="158"/>
    </row>
    <row r="163" spans="1:15" x14ac:dyDescent="0.25">
      <c r="A163" s="126"/>
      <c r="B163" s="296"/>
      <c r="C163" s="126"/>
      <c r="D163" s="126"/>
      <c r="E163" s="126"/>
      <c r="F163" s="126"/>
      <c r="G163" s="298"/>
      <c r="H163" s="126"/>
      <c r="I163" s="297"/>
      <c r="J163" s="297"/>
      <c r="K163" s="297"/>
      <c r="L163" s="216">
        <f t="shared" si="4"/>
        <v>0</v>
      </c>
      <c r="M163" s="159" t="str">
        <f t="shared" si="5"/>
        <v/>
      </c>
      <c r="O163" s="158"/>
    </row>
    <row r="164" spans="1:15" x14ac:dyDescent="0.25">
      <c r="A164" s="126"/>
      <c r="B164" s="296"/>
      <c r="C164" s="126"/>
      <c r="D164" s="126"/>
      <c r="E164" s="126"/>
      <c r="F164" s="126"/>
      <c r="G164" s="298"/>
      <c r="H164" s="126"/>
      <c r="I164" s="297"/>
      <c r="J164" s="297"/>
      <c r="K164" s="297"/>
      <c r="L164" s="216">
        <f t="shared" si="4"/>
        <v>0</v>
      </c>
      <c r="M164" s="159" t="str">
        <f t="shared" si="5"/>
        <v/>
      </c>
      <c r="O164" s="158"/>
    </row>
    <row r="165" spans="1:15" x14ac:dyDescent="0.25">
      <c r="A165" s="126"/>
      <c r="B165" s="296"/>
      <c r="C165" s="126"/>
      <c r="D165" s="126"/>
      <c r="E165" s="126"/>
      <c r="F165" s="126"/>
      <c r="G165" s="298"/>
      <c r="H165" s="126"/>
      <c r="I165" s="297"/>
      <c r="J165" s="297"/>
      <c r="K165" s="297"/>
      <c r="L165" s="216">
        <f t="shared" si="4"/>
        <v>0</v>
      </c>
      <c r="M165" s="159" t="str">
        <f t="shared" si="5"/>
        <v/>
      </c>
      <c r="O165" s="158"/>
    </row>
    <row r="166" spans="1:15" x14ac:dyDescent="0.25">
      <c r="A166" s="126"/>
      <c r="B166" s="296"/>
      <c r="C166" s="126"/>
      <c r="D166" s="126"/>
      <c r="E166" s="126"/>
      <c r="F166" s="126"/>
      <c r="G166" s="298"/>
      <c r="H166" s="126"/>
      <c r="I166" s="297"/>
      <c r="J166" s="297"/>
      <c r="K166" s="297"/>
      <c r="L166" s="216">
        <f t="shared" si="4"/>
        <v>0</v>
      </c>
      <c r="M166" s="159" t="str">
        <f t="shared" si="5"/>
        <v/>
      </c>
      <c r="O166" s="158"/>
    </row>
    <row r="167" spans="1:15" x14ac:dyDescent="0.25">
      <c r="A167" s="126"/>
      <c r="B167" s="296"/>
      <c r="C167" s="126"/>
      <c r="D167" s="126"/>
      <c r="E167" s="126"/>
      <c r="F167" s="126"/>
      <c r="G167" s="298"/>
      <c r="H167" s="126"/>
      <c r="I167" s="297"/>
      <c r="J167" s="297"/>
      <c r="K167" s="297"/>
      <c r="L167" s="216">
        <f t="shared" si="4"/>
        <v>0</v>
      </c>
      <c r="M167" s="159" t="str">
        <f t="shared" si="5"/>
        <v/>
      </c>
      <c r="O167" s="158"/>
    </row>
    <row r="168" spans="1:15" x14ac:dyDescent="0.25">
      <c r="A168" s="126"/>
      <c r="B168" s="296"/>
      <c r="C168" s="126"/>
      <c r="D168" s="126"/>
      <c r="E168" s="126"/>
      <c r="F168" s="126"/>
      <c r="G168" s="298"/>
      <c r="H168" s="126"/>
      <c r="I168" s="297"/>
      <c r="J168" s="297"/>
      <c r="K168" s="297"/>
      <c r="L168" s="216">
        <f t="shared" si="4"/>
        <v>0</v>
      </c>
      <c r="M168" s="159" t="str">
        <f t="shared" si="5"/>
        <v/>
      </c>
      <c r="O168" s="158"/>
    </row>
    <row r="169" spans="1:15" x14ac:dyDescent="0.25">
      <c r="A169" s="126"/>
      <c r="B169" s="296"/>
      <c r="C169" s="126"/>
      <c r="D169" s="126"/>
      <c r="E169" s="126"/>
      <c r="F169" s="126"/>
      <c r="G169" s="298"/>
      <c r="H169" s="126"/>
      <c r="I169" s="297"/>
      <c r="J169" s="297"/>
      <c r="K169" s="297"/>
      <c r="L169" s="216">
        <f t="shared" si="4"/>
        <v>0</v>
      </c>
      <c r="M169" s="159" t="str">
        <f t="shared" si="5"/>
        <v/>
      </c>
      <c r="O169" s="158"/>
    </row>
    <row r="170" spans="1:15" x14ac:dyDescent="0.25">
      <c r="A170" s="126"/>
      <c r="B170" s="296"/>
      <c r="C170" s="126"/>
      <c r="D170" s="126"/>
      <c r="E170" s="126"/>
      <c r="F170" s="126"/>
      <c r="G170" s="298"/>
      <c r="H170" s="126"/>
      <c r="I170" s="297"/>
      <c r="J170" s="297"/>
      <c r="K170" s="297"/>
      <c r="L170" s="216">
        <f t="shared" si="4"/>
        <v>0</v>
      </c>
      <c r="M170" s="159" t="str">
        <f t="shared" si="5"/>
        <v/>
      </c>
      <c r="O170" s="158"/>
    </row>
    <row r="171" spans="1:15" x14ac:dyDescent="0.25">
      <c r="A171" s="126"/>
      <c r="B171" s="296"/>
      <c r="C171" s="126"/>
      <c r="D171" s="126"/>
      <c r="E171" s="126"/>
      <c r="F171" s="126"/>
      <c r="G171" s="298"/>
      <c r="H171" s="126"/>
      <c r="I171" s="297"/>
      <c r="J171" s="297"/>
      <c r="K171" s="297"/>
      <c r="L171" s="216">
        <f t="shared" si="4"/>
        <v>0</v>
      </c>
      <c r="M171" s="159" t="str">
        <f t="shared" si="5"/>
        <v/>
      </c>
      <c r="O171" s="158"/>
    </row>
    <row r="172" spans="1:15" x14ac:dyDescent="0.25">
      <c r="A172" s="126"/>
      <c r="B172" s="296"/>
      <c r="C172" s="126"/>
      <c r="D172" s="126"/>
      <c r="E172" s="126"/>
      <c r="F172" s="126"/>
      <c r="G172" s="298"/>
      <c r="H172" s="126"/>
      <c r="I172" s="297"/>
      <c r="J172" s="297"/>
      <c r="K172" s="297"/>
      <c r="L172" s="216">
        <f t="shared" si="4"/>
        <v>0</v>
      </c>
      <c r="M172" s="159" t="str">
        <f t="shared" si="5"/>
        <v/>
      </c>
      <c r="O172" s="158"/>
    </row>
    <row r="173" spans="1:15" x14ac:dyDescent="0.25">
      <c r="A173" s="126"/>
      <c r="B173" s="296"/>
      <c r="C173" s="126"/>
      <c r="D173" s="126"/>
      <c r="E173" s="126"/>
      <c r="F173" s="126"/>
      <c r="G173" s="298"/>
      <c r="H173" s="126"/>
      <c r="I173" s="297"/>
      <c r="J173" s="297"/>
      <c r="K173" s="297"/>
      <c r="L173" s="216">
        <f t="shared" si="4"/>
        <v>0</v>
      </c>
      <c r="M173" s="159" t="str">
        <f t="shared" si="5"/>
        <v/>
      </c>
      <c r="O173" s="158"/>
    </row>
    <row r="174" spans="1:15" x14ac:dyDescent="0.25">
      <c r="A174" s="126"/>
      <c r="B174" s="296"/>
      <c r="C174" s="126"/>
      <c r="D174" s="126"/>
      <c r="E174" s="126"/>
      <c r="F174" s="126"/>
      <c r="G174" s="298"/>
      <c r="H174" s="126"/>
      <c r="I174" s="297"/>
      <c r="J174" s="297"/>
      <c r="K174" s="297"/>
      <c r="L174" s="216">
        <f t="shared" si="4"/>
        <v>0</v>
      </c>
      <c r="M174" s="159" t="str">
        <f t="shared" si="5"/>
        <v/>
      </c>
      <c r="O174" s="158"/>
    </row>
    <row r="175" spans="1:15" x14ac:dyDescent="0.25">
      <c r="A175" s="126"/>
      <c r="B175" s="296"/>
      <c r="C175" s="126"/>
      <c r="D175" s="126"/>
      <c r="E175" s="126"/>
      <c r="F175" s="126"/>
      <c r="G175" s="298"/>
      <c r="H175" s="126"/>
      <c r="I175" s="297"/>
      <c r="J175" s="297"/>
      <c r="K175" s="297"/>
      <c r="L175" s="216">
        <f t="shared" si="4"/>
        <v>0</v>
      </c>
      <c r="M175" s="159" t="str">
        <f t="shared" si="5"/>
        <v/>
      </c>
      <c r="O175" s="158"/>
    </row>
    <row r="176" spans="1:15" x14ac:dyDescent="0.25">
      <c r="A176" s="126"/>
      <c r="B176" s="296"/>
      <c r="C176" s="126"/>
      <c r="D176" s="126"/>
      <c r="E176" s="126"/>
      <c r="F176" s="126"/>
      <c r="G176" s="298"/>
      <c r="H176" s="126"/>
      <c r="I176" s="297"/>
      <c r="J176" s="297"/>
      <c r="K176" s="297"/>
      <c r="L176" s="216">
        <f t="shared" si="4"/>
        <v>0</v>
      </c>
      <c r="M176" s="159" t="str">
        <f t="shared" si="5"/>
        <v/>
      </c>
      <c r="O176" s="158"/>
    </row>
    <row r="177" spans="1:15" x14ac:dyDescent="0.25">
      <c r="A177" s="126"/>
      <c r="B177" s="296"/>
      <c r="C177" s="126"/>
      <c r="D177" s="126"/>
      <c r="E177" s="126"/>
      <c r="F177" s="126"/>
      <c r="G177" s="298"/>
      <c r="H177" s="126"/>
      <c r="I177" s="297"/>
      <c r="J177" s="297"/>
      <c r="K177" s="297"/>
      <c r="L177" s="216">
        <f t="shared" si="4"/>
        <v>0</v>
      </c>
      <c r="M177" s="159" t="str">
        <f t="shared" si="5"/>
        <v/>
      </c>
      <c r="O177" s="158"/>
    </row>
    <row r="178" spans="1:15" x14ac:dyDescent="0.25">
      <c r="A178" s="126"/>
      <c r="B178" s="296"/>
      <c r="C178" s="126"/>
      <c r="D178" s="126"/>
      <c r="E178" s="126"/>
      <c r="F178" s="126"/>
      <c r="G178" s="298"/>
      <c r="H178" s="126"/>
      <c r="I178" s="297"/>
      <c r="J178" s="297"/>
      <c r="K178" s="297"/>
      <c r="L178" s="216">
        <f t="shared" si="4"/>
        <v>0</v>
      </c>
      <c r="M178" s="159" t="str">
        <f t="shared" si="5"/>
        <v/>
      </c>
      <c r="O178" s="158"/>
    </row>
    <row r="179" spans="1:15" x14ac:dyDescent="0.25">
      <c r="A179" s="126"/>
      <c r="B179" s="296"/>
      <c r="C179" s="126"/>
      <c r="D179" s="126"/>
      <c r="E179" s="126"/>
      <c r="F179" s="126"/>
      <c r="G179" s="298"/>
      <c r="H179" s="126"/>
      <c r="I179" s="297"/>
      <c r="J179" s="297"/>
      <c r="K179" s="297"/>
      <c r="L179" s="216">
        <f t="shared" si="4"/>
        <v>0</v>
      </c>
      <c r="M179" s="159" t="str">
        <f t="shared" si="5"/>
        <v/>
      </c>
      <c r="O179" s="158"/>
    </row>
    <row r="180" spans="1:15" x14ac:dyDescent="0.25">
      <c r="A180" s="126"/>
      <c r="B180" s="296"/>
      <c r="C180" s="126"/>
      <c r="D180" s="126"/>
      <c r="E180" s="126"/>
      <c r="F180" s="126"/>
      <c r="G180" s="298"/>
      <c r="H180" s="126"/>
      <c r="I180" s="297"/>
      <c r="J180" s="297"/>
      <c r="K180" s="297"/>
      <c r="L180" s="216">
        <f t="shared" si="4"/>
        <v>0</v>
      </c>
      <c r="M180" s="159" t="str">
        <f t="shared" si="5"/>
        <v/>
      </c>
      <c r="O180" s="158"/>
    </row>
    <row r="181" spans="1:15" x14ac:dyDescent="0.25">
      <c r="A181" s="126"/>
      <c r="B181" s="296"/>
      <c r="C181" s="126"/>
      <c r="D181" s="126"/>
      <c r="E181" s="126"/>
      <c r="F181" s="126"/>
      <c r="G181" s="298"/>
      <c r="H181" s="126"/>
      <c r="I181" s="297"/>
      <c r="J181" s="297"/>
      <c r="K181" s="297"/>
      <c r="L181" s="216">
        <f t="shared" si="4"/>
        <v>0</v>
      </c>
      <c r="M181" s="159" t="str">
        <f t="shared" si="5"/>
        <v/>
      </c>
      <c r="O181" s="158"/>
    </row>
    <row r="182" spans="1:15" x14ac:dyDescent="0.25">
      <c r="A182" s="126"/>
      <c r="B182" s="296"/>
      <c r="C182" s="126"/>
      <c r="D182" s="126"/>
      <c r="E182" s="126"/>
      <c r="F182" s="126"/>
      <c r="G182" s="298"/>
      <c r="H182" s="126"/>
      <c r="I182" s="297"/>
      <c r="J182" s="297"/>
      <c r="K182" s="297"/>
      <c r="L182" s="216">
        <f t="shared" si="4"/>
        <v>0</v>
      </c>
      <c r="M182" s="159" t="str">
        <f t="shared" si="5"/>
        <v/>
      </c>
      <c r="O182" s="158"/>
    </row>
    <row r="183" spans="1:15" x14ac:dyDescent="0.25">
      <c r="A183" s="126"/>
      <c r="B183" s="296"/>
      <c r="C183" s="126"/>
      <c r="D183" s="126"/>
      <c r="E183" s="126"/>
      <c r="F183" s="126"/>
      <c r="G183" s="298"/>
      <c r="H183" s="126"/>
      <c r="I183" s="297"/>
      <c r="J183" s="297"/>
      <c r="K183" s="297"/>
      <c r="L183" s="216">
        <f t="shared" si="4"/>
        <v>0</v>
      </c>
      <c r="M183" s="159" t="str">
        <f t="shared" si="5"/>
        <v/>
      </c>
      <c r="O183" s="158"/>
    </row>
    <row r="184" spans="1:15" x14ac:dyDescent="0.25">
      <c r="A184" s="126"/>
      <c r="B184" s="296"/>
      <c r="C184" s="126"/>
      <c r="D184" s="126"/>
      <c r="E184" s="126"/>
      <c r="F184" s="126"/>
      <c r="G184" s="298"/>
      <c r="H184" s="126"/>
      <c r="I184" s="297"/>
      <c r="J184" s="297"/>
      <c r="K184" s="297"/>
      <c r="L184" s="216">
        <f t="shared" si="4"/>
        <v>0</v>
      </c>
      <c r="M184" s="159" t="str">
        <f t="shared" si="5"/>
        <v/>
      </c>
      <c r="O184" s="158"/>
    </row>
    <row r="185" spans="1:15" x14ac:dyDescent="0.25">
      <c r="A185" s="126"/>
      <c r="B185" s="296"/>
      <c r="C185" s="126"/>
      <c r="D185" s="126"/>
      <c r="E185" s="126"/>
      <c r="F185" s="126"/>
      <c r="G185" s="298"/>
      <c r="H185" s="126"/>
      <c r="I185" s="297"/>
      <c r="J185" s="297"/>
      <c r="K185" s="297"/>
      <c r="L185" s="216">
        <f t="shared" si="4"/>
        <v>0</v>
      </c>
      <c r="M185" s="159" t="str">
        <f t="shared" si="5"/>
        <v/>
      </c>
      <c r="O185" s="158"/>
    </row>
    <row r="186" spans="1:15" x14ac:dyDescent="0.25">
      <c r="A186" s="126"/>
      <c r="B186" s="296"/>
      <c r="C186" s="126"/>
      <c r="D186" s="126"/>
      <c r="E186" s="126"/>
      <c r="F186" s="126"/>
      <c r="G186" s="298"/>
      <c r="H186" s="126"/>
      <c r="I186" s="297"/>
      <c r="J186" s="297"/>
      <c r="K186" s="297"/>
      <c r="L186" s="216">
        <f t="shared" si="4"/>
        <v>0</v>
      </c>
      <c r="M186" s="159" t="str">
        <f t="shared" si="5"/>
        <v/>
      </c>
      <c r="O186" s="158"/>
    </row>
    <row r="187" spans="1:15" x14ac:dyDescent="0.25">
      <c r="A187" s="126"/>
      <c r="B187" s="296"/>
      <c r="C187" s="126"/>
      <c r="D187" s="126"/>
      <c r="E187" s="126"/>
      <c r="F187" s="126"/>
      <c r="G187" s="298"/>
      <c r="H187" s="126"/>
      <c r="I187" s="297"/>
      <c r="J187" s="297"/>
      <c r="K187" s="297"/>
      <c r="L187" s="216">
        <f t="shared" si="4"/>
        <v>0</v>
      </c>
      <c r="M187" s="159" t="str">
        <f t="shared" si="5"/>
        <v/>
      </c>
      <c r="O187" s="158"/>
    </row>
    <row r="188" spans="1:15" x14ac:dyDescent="0.25">
      <c r="A188" s="126"/>
      <c r="B188" s="296"/>
      <c r="C188" s="126"/>
      <c r="D188" s="126"/>
      <c r="E188" s="126"/>
      <c r="F188" s="126"/>
      <c r="G188" s="298"/>
      <c r="H188" s="126"/>
      <c r="I188" s="297"/>
      <c r="J188" s="297"/>
      <c r="K188" s="297"/>
      <c r="L188" s="216">
        <f t="shared" si="4"/>
        <v>0</v>
      </c>
      <c r="M188" s="159" t="str">
        <f t="shared" si="5"/>
        <v/>
      </c>
      <c r="O188" s="158"/>
    </row>
    <row r="189" spans="1:15" x14ac:dyDescent="0.25">
      <c r="A189" s="126"/>
      <c r="B189" s="296"/>
      <c r="C189" s="126"/>
      <c r="D189" s="126"/>
      <c r="E189" s="126"/>
      <c r="F189" s="126"/>
      <c r="G189" s="298"/>
      <c r="H189" s="126"/>
      <c r="I189" s="297"/>
      <c r="J189" s="297"/>
      <c r="K189" s="297"/>
      <c r="L189" s="216">
        <f t="shared" si="4"/>
        <v>0</v>
      </c>
      <c r="M189" s="159" t="str">
        <f t="shared" si="5"/>
        <v/>
      </c>
      <c r="O189" s="158"/>
    </row>
    <row r="190" spans="1:15" x14ac:dyDescent="0.25">
      <c r="A190" s="126"/>
      <c r="B190" s="296"/>
      <c r="C190" s="126"/>
      <c r="D190" s="126"/>
      <c r="E190" s="126"/>
      <c r="F190" s="126"/>
      <c r="G190" s="298"/>
      <c r="H190" s="126"/>
      <c r="I190" s="297"/>
      <c r="J190" s="297"/>
      <c r="K190" s="297"/>
      <c r="L190" s="216">
        <f t="shared" si="4"/>
        <v>0</v>
      </c>
      <c r="M190" s="159" t="str">
        <f t="shared" si="5"/>
        <v/>
      </c>
      <c r="O190" s="158"/>
    </row>
    <row r="191" spans="1:15" x14ac:dyDescent="0.25">
      <c r="A191" s="126"/>
      <c r="B191" s="296"/>
      <c r="C191" s="126"/>
      <c r="D191" s="126"/>
      <c r="E191" s="126"/>
      <c r="F191" s="126"/>
      <c r="G191" s="298"/>
      <c r="H191" s="126"/>
      <c r="I191" s="297"/>
      <c r="J191" s="297"/>
      <c r="K191" s="297"/>
      <c r="L191" s="216">
        <f t="shared" si="4"/>
        <v>0</v>
      </c>
      <c r="M191" s="159" t="str">
        <f t="shared" si="5"/>
        <v/>
      </c>
      <c r="O191" s="158"/>
    </row>
    <row r="192" spans="1:15" x14ac:dyDescent="0.25">
      <c r="A192" s="126"/>
      <c r="B192" s="296"/>
      <c r="C192" s="126"/>
      <c r="D192" s="126"/>
      <c r="E192" s="126"/>
      <c r="F192" s="126"/>
      <c r="G192" s="298"/>
      <c r="H192" s="126"/>
      <c r="I192" s="297"/>
      <c r="J192" s="297"/>
      <c r="K192" s="297"/>
      <c r="L192" s="216">
        <f t="shared" si="4"/>
        <v>0</v>
      </c>
      <c r="M192" s="159" t="str">
        <f t="shared" si="5"/>
        <v/>
      </c>
      <c r="O192" s="158"/>
    </row>
    <row r="193" spans="1:15" x14ac:dyDescent="0.25">
      <c r="A193" s="126"/>
      <c r="B193" s="296"/>
      <c r="C193" s="126"/>
      <c r="D193" s="126"/>
      <c r="E193" s="126"/>
      <c r="F193" s="126"/>
      <c r="G193" s="298"/>
      <c r="H193" s="126"/>
      <c r="I193" s="297"/>
      <c r="J193" s="297"/>
      <c r="K193" s="297"/>
      <c r="L193" s="216">
        <f t="shared" si="4"/>
        <v>0</v>
      </c>
      <c r="M193" s="159" t="str">
        <f t="shared" si="5"/>
        <v/>
      </c>
      <c r="O193" s="158"/>
    </row>
    <row r="194" spans="1:15" x14ac:dyDescent="0.25">
      <c r="A194" s="126"/>
      <c r="B194" s="296"/>
      <c r="C194" s="126"/>
      <c r="D194" s="126"/>
      <c r="E194" s="126"/>
      <c r="F194" s="126"/>
      <c r="G194" s="298"/>
      <c r="H194" s="126"/>
      <c r="I194" s="297"/>
      <c r="J194" s="297"/>
      <c r="K194" s="297"/>
      <c r="L194" s="216">
        <f t="shared" ref="L194:L257" si="6">K194*1.1</f>
        <v>0</v>
      </c>
      <c r="M194" s="159" t="str">
        <f t="shared" ref="M194:M257" si="7">IF(ISNUMBER(SEARCH("Azarine",H194)),"AZARINE",IF(ISNUMBER(SEARCH("Baking Soda",H194)),"BAKING SODA",IF(ISNUMBER(SEARCH("Fujitsu",H194)),"FUJITSU",IF(ISNUMBER(SEARCH("Coleman",H194)),"COLEMAN",""))))</f>
        <v/>
      </c>
      <c r="O194" s="158"/>
    </row>
    <row r="195" spans="1:15" x14ac:dyDescent="0.25">
      <c r="A195" s="126"/>
      <c r="B195" s="296"/>
      <c r="C195" s="126"/>
      <c r="D195" s="126"/>
      <c r="E195" s="126"/>
      <c r="F195" s="126"/>
      <c r="G195" s="298"/>
      <c r="H195" s="126"/>
      <c r="I195" s="297"/>
      <c r="J195" s="297"/>
      <c r="K195" s="297"/>
      <c r="L195" s="216">
        <f t="shared" si="6"/>
        <v>0</v>
      </c>
      <c r="M195" s="159" t="str">
        <f t="shared" si="7"/>
        <v/>
      </c>
      <c r="O195" s="158"/>
    </row>
    <row r="196" spans="1:15" x14ac:dyDescent="0.25">
      <c r="A196" s="126"/>
      <c r="B196" s="296"/>
      <c r="C196" s="126"/>
      <c r="D196" s="126"/>
      <c r="E196" s="126"/>
      <c r="F196" s="126"/>
      <c r="G196" s="298"/>
      <c r="H196" s="126"/>
      <c r="I196" s="297"/>
      <c r="J196" s="297"/>
      <c r="K196" s="297"/>
      <c r="L196" s="216">
        <f t="shared" si="6"/>
        <v>0</v>
      </c>
      <c r="M196" s="159" t="str">
        <f t="shared" si="7"/>
        <v/>
      </c>
      <c r="O196" s="158"/>
    </row>
    <row r="197" spans="1:15" x14ac:dyDescent="0.25">
      <c r="A197" s="126"/>
      <c r="B197" s="296"/>
      <c r="C197" s="126"/>
      <c r="D197" s="126"/>
      <c r="E197" s="126"/>
      <c r="F197" s="126"/>
      <c r="G197" s="298"/>
      <c r="H197" s="126"/>
      <c r="I197" s="297"/>
      <c r="J197" s="297"/>
      <c r="K197" s="297"/>
      <c r="L197" s="216">
        <f t="shared" si="6"/>
        <v>0</v>
      </c>
      <c r="M197" s="159" t="str">
        <f t="shared" si="7"/>
        <v/>
      </c>
      <c r="O197" s="158"/>
    </row>
    <row r="198" spans="1:15" x14ac:dyDescent="0.25">
      <c r="A198" s="126"/>
      <c r="B198" s="296"/>
      <c r="C198" s="126"/>
      <c r="D198" s="126"/>
      <c r="E198" s="126"/>
      <c r="F198" s="126"/>
      <c r="G198" s="298"/>
      <c r="H198" s="126"/>
      <c r="I198" s="297"/>
      <c r="J198" s="297"/>
      <c r="K198" s="297"/>
      <c r="L198" s="216">
        <f t="shared" si="6"/>
        <v>0</v>
      </c>
      <c r="M198" s="159" t="str">
        <f t="shared" si="7"/>
        <v/>
      </c>
      <c r="O198" s="158"/>
    </row>
    <row r="199" spans="1:15" x14ac:dyDescent="0.25">
      <c r="A199" s="126"/>
      <c r="B199" s="296"/>
      <c r="C199" s="126"/>
      <c r="D199" s="126"/>
      <c r="E199" s="126"/>
      <c r="F199" s="126"/>
      <c r="G199" s="298"/>
      <c r="H199" s="126"/>
      <c r="I199" s="297"/>
      <c r="J199" s="297"/>
      <c r="K199" s="297"/>
      <c r="L199" s="216">
        <f t="shared" si="6"/>
        <v>0</v>
      </c>
      <c r="M199" s="159" t="str">
        <f t="shared" si="7"/>
        <v/>
      </c>
      <c r="O199" s="158"/>
    </row>
    <row r="200" spans="1:15" x14ac:dyDescent="0.25">
      <c r="A200" s="126"/>
      <c r="B200" s="296"/>
      <c r="C200" s="126"/>
      <c r="D200" s="126"/>
      <c r="E200" s="126"/>
      <c r="F200" s="126"/>
      <c r="G200" s="298"/>
      <c r="H200" s="126"/>
      <c r="I200" s="297"/>
      <c r="J200" s="297"/>
      <c r="K200" s="297"/>
      <c r="L200" s="216">
        <f t="shared" si="6"/>
        <v>0</v>
      </c>
      <c r="M200" s="159" t="str">
        <f t="shared" si="7"/>
        <v/>
      </c>
      <c r="O200" s="158"/>
    </row>
    <row r="201" spans="1:15" x14ac:dyDescent="0.25">
      <c r="A201" s="126"/>
      <c r="B201" s="296"/>
      <c r="C201" s="126"/>
      <c r="D201" s="126"/>
      <c r="E201" s="126"/>
      <c r="F201" s="126"/>
      <c r="G201" s="298"/>
      <c r="H201" s="126"/>
      <c r="I201" s="297"/>
      <c r="J201" s="297"/>
      <c r="K201" s="297"/>
      <c r="L201" s="216">
        <f t="shared" si="6"/>
        <v>0</v>
      </c>
      <c r="M201" s="159" t="str">
        <f t="shared" si="7"/>
        <v/>
      </c>
      <c r="O201" s="158"/>
    </row>
    <row r="202" spans="1:15" x14ac:dyDescent="0.25">
      <c r="A202" s="126"/>
      <c r="B202" s="296"/>
      <c r="C202" s="126"/>
      <c r="D202" s="126"/>
      <c r="E202" s="126"/>
      <c r="F202" s="126"/>
      <c r="G202" s="298"/>
      <c r="H202" s="126"/>
      <c r="I202" s="297"/>
      <c r="J202" s="297"/>
      <c r="K202" s="297"/>
      <c r="L202" s="216">
        <f t="shared" si="6"/>
        <v>0</v>
      </c>
      <c r="M202" s="159" t="str">
        <f t="shared" si="7"/>
        <v/>
      </c>
      <c r="O202" s="158"/>
    </row>
    <row r="203" spans="1:15" x14ac:dyDescent="0.25">
      <c r="A203" s="126"/>
      <c r="B203" s="296"/>
      <c r="C203" s="126"/>
      <c r="D203" s="126"/>
      <c r="E203" s="126"/>
      <c r="F203" s="126"/>
      <c r="G203" s="298"/>
      <c r="H203" s="126"/>
      <c r="I203" s="297"/>
      <c r="J203" s="297"/>
      <c r="K203" s="297"/>
      <c r="L203" s="216">
        <f t="shared" si="6"/>
        <v>0</v>
      </c>
      <c r="M203" s="159" t="str">
        <f t="shared" si="7"/>
        <v/>
      </c>
      <c r="O203" s="158"/>
    </row>
    <row r="204" spans="1:15" x14ac:dyDescent="0.25">
      <c r="A204" s="126"/>
      <c r="B204" s="296"/>
      <c r="C204" s="126"/>
      <c r="D204" s="126"/>
      <c r="E204" s="126"/>
      <c r="F204" s="126"/>
      <c r="G204" s="298"/>
      <c r="H204" s="126"/>
      <c r="I204" s="297"/>
      <c r="J204" s="297"/>
      <c r="K204" s="297"/>
      <c r="L204" s="216">
        <f t="shared" si="6"/>
        <v>0</v>
      </c>
      <c r="M204" s="159" t="str">
        <f t="shared" si="7"/>
        <v/>
      </c>
      <c r="O204" s="158"/>
    </row>
    <row r="205" spans="1:15" x14ac:dyDescent="0.25">
      <c r="A205" s="126"/>
      <c r="B205" s="296"/>
      <c r="C205" s="126"/>
      <c r="D205" s="126"/>
      <c r="E205" s="126"/>
      <c r="F205" s="126"/>
      <c r="G205" s="298"/>
      <c r="H205" s="126"/>
      <c r="I205" s="297"/>
      <c r="J205" s="297"/>
      <c r="K205" s="297"/>
      <c r="L205" s="216">
        <f t="shared" si="6"/>
        <v>0</v>
      </c>
      <c r="M205" s="159" t="str">
        <f t="shared" si="7"/>
        <v/>
      </c>
      <c r="O205" s="158"/>
    </row>
    <row r="206" spans="1:15" x14ac:dyDescent="0.25">
      <c r="A206" s="126"/>
      <c r="B206" s="296"/>
      <c r="C206" s="126"/>
      <c r="D206" s="126"/>
      <c r="E206" s="126"/>
      <c r="F206" s="126"/>
      <c r="G206" s="298"/>
      <c r="H206" s="126"/>
      <c r="I206" s="297"/>
      <c r="J206" s="297"/>
      <c r="K206" s="297"/>
      <c r="L206" s="216">
        <f t="shared" si="6"/>
        <v>0</v>
      </c>
      <c r="M206" s="159" t="str">
        <f t="shared" si="7"/>
        <v/>
      </c>
      <c r="O206" s="158"/>
    </row>
    <row r="207" spans="1:15" x14ac:dyDescent="0.25">
      <c r="A207" s="126"/>
      <c r="B207" s="296"/>
      <c r="C207" s="126"/>
      <c r="D207" s="126"/>
      <c r="E207" s="126"/>
      <c r="F207" s="126"/>
      <c r="G207" s="298"/>
      <c r="H207" s="126"/>
      <c r="I207" s="297"/>
      <c r="J207" s="297"/>
      <c r="K207" s="297"/>
      <c r="L207" s="216">
        <f t="shared" si="6"/>
        <v>0</v>
      </c>
      <c r="M207" s="159" t="str">
        <f t="shared" si="7"/>
        <v/>
      </c>
      <c r="O207" s="158"/>
    </row>
    <row r="208" spans="1:15" x14ac:dyDescent="0.25">
      <c r="A208" s="126"/>
      <c r="B208" s="296"/>
      <c r="C208" s="126"/>
      <c r="D208" s="126"/>
      <c r="E208" s="126"/>
      <c r="F208" s="126"/>
      <c r="G208" s="298"/>
      <c r="H208" s="126"/>
      <c r="I208" s="297"/>
      <c r="J208" s="297"/>
      <c r="K208" s="297"/>
      <c r="L208" s="216">
        <f t="shared" si="6"/>
        <v>0</v>
      </c>
      <c r="M208" s="159" t="str">
        <f t="shared" si="7"/>
        <v/>
      </c>
      <c r="O208" s="158"/>
    </row>
    <row r="209" spans="1:15" x14ac:dyDescent="0.25">
      <c r="A209" s="126"/>
      <c r="B209" s="296"/>
      <c r="C209" s="126"/>
      <c r="D209" s="126"/>
      <c r="E209" s="126"/>
      <c r="F209" s="126"/>
      <c r="G209" s="298"/>
      <c r="H209" s="126"/>
      <c r="I209" s="297"/>
      <c r="J209" s="297"/>
      <c r="K209" s="297"/>
      <c r="L209" s="216">
        <f t="shared" si="6"/>
        <v>0</v>
      </c>
      <c r="M209" s="159" t="str">
        <f t="shared" si="7"/>
        <v/>
      </c>
      <c r="O209" s="158"/>
    </row>
    <row r="210" spans="1:15" x14ac:dyDescent="0.25">
      <c r="A210" s="126"/>
      <c r="B210" s="296"/>
      <c r="C210" s="126"/>
      <c r="D210" s="126"/>
      <c r="E210" s="126"/>
      <c r="F210" s="126"/>
      <c r="G210" s="298"/>
      <c r="H210" s="126"/>
      <c r="I210" s="297"/>
      <c r="J210" s="297"/>
      <c r="K210" s="297"/>
      <c r="L210" s="216">
        <f t="shared" si="6"/>
        <v>0</v>
      </c>
      <c r="M210" s="159" t="str">
        <f t="shared" si="7"/>
        <v/>
      </c>
      <c r="O210" s="158"/>
    </row>
    <row r="211" spans="1:15" x14ac:dyDescent="0.25">
      <c r="A211" s="126"/>
      <c r="B211" s="296"/>
      <c r="C211" s="126"/>
      <c r="D211" s="126"/>
      <c r="E211" s="126"/>
      <c r="F211" s="126"/>
      <c r="G211" s="298"/>
      <c r="H211" s="126"/>
      <c r="I211" s="297"/>
      <c r="J211" s="297"/>
      <c r="K211" s="297"/>
      <c r="L211" s="216">
        <f t="shared" si="6"/>
        <v>0</v>
      </c>
      <c r="M211" s="159" t="str">
        <f t="shared" si="7"/>
        <v/>
      </c>
      <c r="O211" s="158"/>
    </row>
    <row r="212" spans="1:15" x14ac:dyDescent="0.25">
      <c r="A212" s="126"/>
      <c r="B212" s="296"/>
      <c r="C212" s="126"/>
      <c r="D212" s="126"/>
      <c r="E212" s="126"/>
      <c r="F212" s="126"/>
      <c r="G212" s="298"/>
      <c r="H212" s="126"/>
      <c r="I212" s="297"/>
      <c r="J212" s="297"/>
      <c r="K212" s="297"/>
      <c r="L212" s="216">
        <f t="shared" si="6"/>
        <v>0</v>
      </c>
      <c r="M212" s="159" t="str">
        <f t="shared" si="7"/>
        <v/>
      </c>
      <c r="O212" s="158"/>
    </row>
    <row r="213" spans="1:15" x14ac:dyDescent="0.25">
      <c r="A213" s="126"/>
      <c r="B213" s="296"/>
      <c r="C213" s="126"/>
      <c r="D213" s="126"/>
      <c r="E213" s="126"/>
      <c r="F213" s="126"/>
      <c r="G213" s="298"/>
      <c r="H213" s="126"/>
      <c r="I213" s="297"/>
      <c r="J213" s="297"/>
      <c r="K213" s="297"/>
      <c r="L213" s="216">
        <f t="shared" si="6"/>
        <v>0</v>
      </c>
      <c r="M213" s="159" t="str">
        <f t="shared" si="7"/>
        <v/>
      </c>
      <c r="O213" s="158"/>
    </row>
    <row r="214" spans="1:15" x14ac:dyDescent="0.25">
      <c r="A214" s="126"/>
      <c r="B214" s="296"/>
      <c r="C214" s="126"/>
      <c r="D214" s="126"/>
      <c r="E214" s="126"/>
      <c r="F214" s="126"/>
      <c r="G214" s="298"/>
      <c r="H214" s="126"/>
      <c r="I214" s="297"/>
      <c r="J214" s="297"/>
      <c r="K214" s="297"/>
      <c r="L214" s="216">
        <f t="shared" si="6"/>
        <v>0</v>
      </c>
      <c r="M214" s="159" t="str">
        <f t="shared" si="7"/>
        <v/>
      </c>
      <c r="O214" s="158"/>
    </row>
    <row r="215" spans="1:15" x14ac:dyDescent="0.25">
      <c r="A215" s="126"/>
      <c r="B215" s="296"/>
      <c r="C215" s="126"/>
      <c r="D215" s="126"/>
      <c r="E215" s="126"/>
      <c r="F215" s="126"/>
      <c r="G215" s="298"/>
      <c r="H215" s="126"/>
      <c r="I215" s="297"/>
      <c r="J215" s="297"/>
      <c r="K215" s="297"/>
      <c r="L215" s="216">
        <f t="shared" si="6"/>
        <v>0</v>
      </c>
      <c r="M215" s="159" t="str">
        <f t="shared" si="7"/>
        <v/>
      </c>
      <c r="O215" s="158"/>
    </row>
    <row r="216" spans="1:15" x14ac:dyDescent="0.25">
      <c r="A216" s="126"/>
      <c r="B216" s="296"/>
      <c r="C216" s="126"/>
      <c r="D216" s="126"/>
      <c r="E216" s="126"/>
      <c r="F216" s="126"/>
      <c r="G216" s="298"/>
      <c r="H216" s="126"/>
      <c r="I216" s="297"/>
      <c r="J216" s="297"/>
      <c r="K216" s="297"/>
      <c r="L216" s="216">
        <f t="shared" si="6"/>
        <v>0</v>
      </c>
      <c r="M216" s="159" t="str">
        <f t="shared" si="7"/>
        <v/>
      </c>
      <c r="O216" s="158"/>
    </row>
    <row r="217" spans="1:15" x14ac:dyDescent="0.25">
      <c r="A217" s="126"/>
      <c r="B217" s="296"/>
      <c r="C217" s="126"/>
      <c r="D217" s="126"/>
      <c r="E217" s="126"/>
      <c r="F217" s="126"/>
      <c r="G217" s="298"/>
      <c r="H217" s="126"/>
      <c r="I217" s="297"/>
      <c r="J217" s="297"/>
      <c r="K217" s="297"/>
      <c r="L217" s="216">
        <f t="shared" si="6"/>
        <v>0</v>
      </c>
      <c r="M217" s="159" t="str">
        <f t="shared" si="7"/>
        <v/>
      </c>
      <c r="O217" s="158"/>
    </row>
    <row r="218" spans="1:15" x14ac:dyDescent="0.25">
      <c r="A218" s="126"/>
      <c r="B218" s="296"/>
      <c r="C218" s="126"/>
      <c r="D218" s="126"/>
      <c r="E218" s="126"/>
      <c r="F218" s="126"/>
      <c r="G218" s="298"/>
      <c r="H218" s="126"/>
      <c r="I218" s="297"/>
      <c r="J218" s="297"/>
      <c r="K218" s="297"/>
      <c r="L218" s="216">
        <f t="shared" si="6"/>
        <v>0</v>
      </c>
      <c r="M218" s="159" t="str">
        <f t="shared" si="7"/>
        <v/>
      </c>
      <c r="O218" s="158"/>
    </row>
    <row r="219" spans="1:15" x14ac:dyDescent="0.25">
      <c r="A219" s="126"/>
      <c r="B219" s="296"/>
      <c r="C219" s="126"/>
      <c r="D219" s="126"/>
      <c r="E219" s="126"/>
      <c r="F219" s="126"/>
      <c r="G219" s="298"/>
      <c r="H219" s="126"/>
      <c r="I219" s="297"/>
      <c r="J219" s="297"/>
      <c r="K219" s="297"/>
      <c r="L219" s="216">
        <f t="shared" si="6"/>
        <v>0</v>
      </c>
      <c r="M219" s="159" t="str">
        <f t="shared" si="7"/>
        <v/>
      </c>
      <c r="O219" s="158"/>
    </row>
    <row r="220" spans="1:15" x14ac:dyDescent="0.25">
      <c r="A220" s="126"/>
      <c r="B220" s="296"/>
      <c r="C220" s="126"/>
      <c r="D220" s="126"/>
      <c r="E220" s="126"/>
      <c r="F220" s="126"/>
      <c r="G220" s="298"/>
      <c r="H220" s="126"/>
      <c r="I220" s="297"/>
      <c r="J220" s="297"/>
      <c r="K220" s="297"/>
      <c r="L220" s="216">
        <f t="shared" si="6"/>
        <v>0</v>
      </c>
      <c r="M220" s="159" t="str">
        <f t="shared" si="7"/>
        <v/>
      </c>
      <c r="O220" s="158"/>
    </row>
    <row r="221" spans="1:15" x14ac:dyDescent="0.25">
      <c r="A221" s="126"/>
      <c r="B221" s="296"/>
      <c r="C221" s="126"/>
      <c r="D221" s="126"/>
      <c r="E221" s="126"/>
      <c r="F221" s="126"/>
      <c r="G221" s="298"/>
      <c r="H221" s="126"/>
      <c r="I221" s="297"/>
      <c r="J221" s="297"/>
      <c r="K221" s="297"/>
      <c r="L221" s="216">
        <f t="shared" si="6"/>
        <v>0</v>
      </c>
      <c r="M221" s="159" t="str">
        <f t="shared" si="7"/>
        <v/>
      </c>
      <c r="O221" s="158"/>
    </row>
    <row r="222" spans="1:15" x14ac:dyDescent="0.25">
      <c r="A222" s="126"/>
      <c r="B222" s="296"/>
      <c r="C222" s="126"/>
      <c r="D222" s="126"/>
      <c r="E222" s="126"/>
      <c r="F222" s="126"/>
      <c r="G222" s="298"/>
      <c r="H222" s="126"/>
      <c r="I222" s="297"/>
      <c r="J222" s="297"/>
      <c r="K222" s="297"/>
      <c r="L222" s="216">
        <f t="shared" si="6"/>
        <v>0</v>
      </c>
      <c r="M222" s="159" t="str">
        <f t="shared" si="7"/>
        <v/>
      </c>
      <c r="O222" s="158"/>
    </row>
    <row r="223" spans="1:15" x14ac:dyDescent="0.25">
      <c r="A223" s="126"/>
      <c r="B223" s="296"/>
      <c r="C223" s="126"/>
      <c r="D223" s="126"/>
      <c r="E223" s="126"/>
      <c r="F223" s="126"/>
      <c r="G223" s="298"/>
      <c r="H223" s="126"/>
      <c r="I223" s="297"/>
      <c r="J223" s="297"/>
      <c r="K223" s="297"/>
      <c r="L223" s="216">
        <f t="shared" si="6"/>
        <v>0</v>
      </c>
      <c r="M223" s="159" t="str">
        <f t="shared" si="7"/>
        <v/>
      </c>
      <c r="O223" s="158"/>
    </row>
    <row r="224" spans="1:15" x14ac:dyDescent="0.25">
      <c r="A224" s="126"/>
      <c r="B224" s="296"/>
      <c r="C224" s="126"/>
      <c r="D224" s="126"/>
      <c r="E224" s="126"/>
      <c r="F224" s="126"/>
      <c r="G224" s="298"/>
      <c r="H224" s="126"/>
      <c r="I224" s="297"/>
      <c r="J224" s="297"/>
      <c r="K224" s="297"/>
      <c r="L224" s="216">
        <f t="shared" si="6"/>
        <v>0</v>
      </c>
      <c r="M224" s="159" t="str">
        <f t="shared" si="7"/>
        <v/>
      </c>
      <c r="O224" s="158"/>
    </row>
    <row r="225" spans="1:15" x14ac:dyDescent="0.25">
      <c r="A225" s="126"/>
      <c r="B225" s="296"/>
      <c r="C225" s="126"/>
      <c r="D225" s="126"/>
      <c r="E225" s="126"/>
      <c r="F225" s="126"/>
      <c r="G225" s="298"/>
      <c r="H225" s="126"/>
      <c r="I225" s="297"/>
      <c r="J225" s="297"/>
      <c r="K225" s="297"/>
      <c r="L225" s="216">
        <f t="shared" si="6"/>
        <v>0</v>
      </c>
      <c r="M225" s="159" t="str">
        <f t="shared" si="7"/>
        <v/>
      </c>
      <c r="O225" s="158"/>
    </row>
    <row r="226" spans="1:15" x14ac:dyDescent="0.25">
      <c r="A226" s="126"/>
      <c r="B226" s="296"/>
      <c r="C226" s="126"/>
      <c r="D226" s="126"/>
      <c r="E226" s="126"/>
      <c r="F226" s="126"/>
      <c r="G226" s="298"/>
      <c r="H226" s="126"/>
      <c r="I226" s="297"/>
      <c r="J226" s="297"/>
      <c r="K226" s="297"/>
      <c r="L226" s="216">
        <f t="shared" si="6"/>
        <v>0</v>
      </c>
      <c r="M226" s="159" t="str">
        <f t="shared" si="7"/>
        <v/>
      </c>
      <c r="O226" s="158"/>
    </row>
    <row r="227" spans="1:15" x14ac:dyDescent="0.25">
      <c r="A227" s="126"/>
      <c r="B227" s="296"/>
      <c r="C227" s="126"/>
      <c r="D227" s="126"/>
      <c r="E227" s="126"/>
      <c r="F227" s="126"/>
      <c r="G227" s="298"/>
      <c r="H227" s="126"/>
      <c r="I227" s="297"/>
      <c r="J227" s="297"/>
      <c r="K227" s="297"/>
      <c r="L227" s="216">
        <f t="shared" si="6"/>
        <v>0</v>
      </c>
      <c r="M227" s="159" t="str">
        <f t="shared" si="7"/>
        <v/>
      </c>
      <c r="O227" s="158"/>
    </row>
    <row r="228" spans="1:15" x14ac:dyDescent="0.25">
      <c r="A228" s="126"/>
      <c r="B228" s="296"/>
      <c r="C228" s="126"/>
      <c r="D228" s="126"/>
      <c r="E228" s="126"/>
      <c r="F228" s="126"/>
      <c r="G228" s="298"/>
      <c r="H228" s="126"/>
      <c r="I228" s="297"/>
      <c r="J228" s="297"/>
      <c r="K228" s="297"/>
      <c r="L228" s="216">
        <f t="shared" si="6"/>
        <v>0</v>
      </c>
      <c r="M228" s="159" t="str">
        <f t="shared" si="7"/>
        <v/>
      </c>
      <c r="O228" s="158"/>
    </row>
    <row r="229" spans="1:15" x14ac:dyDescent="0.25">
      <c r="A229" s="126"/>
      <c r="B229" s="296"/>
      <c r="C229" s="126"/>
      <c r="D229" s="126"/>
      <c r="E229" s="126"/>
      <c r="F229" s="126"/>
      <c r="G229" s="298"/>
      <c r="H229" s="126"/>
      <c r="I229" s="297"/>
      <c r="J229" s="297"/>
      <c r="K229" s="297"/>
      <c r="L229" s="216">
        <f t="shared" si="6"/>
        <v>0</v>
      </c>
      <c r="M229" s="159" t="str">
        <f t="shared" si="7"/>
        <v/>
      </c>
      <c r="O229" s="158"/>
    </row>
    <row r="230" spans="1:15" x14ac:dyDescent="0.25">
      <c r="A230" s="126"/>
      <c r="B230" s="296"/>
      <c r="C230" s="126"/>
      <c r="D230" s="126"/>
      <c r="E230" s="126"/>
      <c r="F230" s="126"/>
      <c r="G230" s="298"/>
      <c r="H230" s="126"/>
      <c r="I230" s="297"/>
      <c r="J230" s="297"/>
      <c r="K230" s="297"/>
      <c r="L230" s="216">
        <f t="shared" si="6"/>
        <v>0</v>
      </c>
      <c r="M230" s="159" t="str">
        <f t="shared" si="7"/>
        <v/>
      </c>
      <c r="O230" s="158"/>
    </row>
    <row r="231" spans="1:15" x14ac:dyDescent="0.25">
      <c r="A231" s="126"/>
      <c r="B231" s="296"/>
      <c r="C231" s="126"/>
      <c r="D231" s="126"/>
      <c r="E231" s="126"/>
      <c r="F231" s="126"/>
      <c r="G231" s="298"/>
      <c r="H231" s="126"/>
      <c r="I231" s="297"/>
      <c r="J231" s="297"/>
      <c r="K231" s="297"/>
      <c r="L231" s="216">
        <f t="shared" si="6"/>
        <v>0</v>
      </c>
      <c r="M231" s="159" t="str">
        <f t="shared" si="7"/>
        <v/>
      </c>
      <c r="O231" s="158"/>
    </row>
    <row r="232" spans="1:15" x14ac:dyDescent="0.25">
      <c r="A232" s="126"/>
      <c r="B232" s="296"/>
      <c r="C232" s="126"/>
      <c r="D232" s="126"/>
      <c r="E232" s="126"/>
      <c r="F232" s="126"/>
      <c r="G232" s="298"/>
      <c r="H232" s="126"/>
      <c r="I232" s="297"/>
      <c r="J232" s="297"/>
      <c r="K232" s="297"/>
      <c r="L232" s="216">
        <f t="shared" si="6"/>
        <v>0</v>
      </c>
      <c r="M232" s="159" t="str">
        <f t="shared" si="7"/>
        <v/>
      </c>
      <c r="O232" s="158"/>
    </row>
    <row r="233" spans="1:15" x14ac:dyDescent="0.25">
      <c r="A233" s="126"/>
      <c r="B233" s="296"/>
      <c r="C233" s="126"/>
      <c r="D233" s="126"/>
      <c r="E233" s="126"/>
      <c r="F233" s="126"/>
      <c r="G233" s="298"/>
      <c r="H233" s="126"/>
      <c r="I233" s="297"/>
      <c r="J233" s="297"/>
      <c r="K233" s="297"/>
      <c r="L233" s="216">
        <f t="shared" si="6"/>
        <v>0</v>
      </c>
      <c r="M233" s="159" t="str">
        <f t="shared" si="7"/>
        <v/>
      </c>
      <c r="O233" s="158"/>
    </row>
    <row r="234" spans="1:15" x14ac:dyDescent="0.25">
      <c r="A234" s="126"/>
      <c r="B234" s="296"/>
      <c r="C234" s="126"/>
      <c r="D234" s="126"/>
      <c r="E234" s="126"/>
      <c r="F234" s="126"/>
      <c r="G234" s="298"/>
      <c r="H234" s="126"/>
      <c r="I234" s="297"/>
      <c r="J234" s="297"/>
      <c r="K234" s="297"/>
      <c r="L234" s="216">
        <f t="shared" si="6"/>
        <v>0</v>
      </c>
      <c r="M234" s="159" t="str">
        <f t="shared" si="7"/>
        <v/>
      </c>
      <c r="O234" s="158"/>
    </row>
    <row r="235" spans="1:15" x14ac:dyDescent="0.25">
      <c r="A235" s="126"/>
      <c r="B235" s="296"/>
      <c r="C235" s="126"/>
      <c r="D235" s="126"/>
      <c r="E235" s="126"/>
      <c r="F235" s="126"/>
      <c r="G235" s="298"/>
      <c r="H235" s="126"/>
      <c r="I235" s="297"/>
      <c r="J235" s="297"/>
      <c r="K235" s="297"/>
      <c r="L235" s="216">
        <f t="shared" si="6"/>
        <v>0</v>
      </c>
      <c r="M235" s="159" t="str">
        <f t="shared" si="7"/>
        <v/>
      </c>
      <c r="O235" s="158"/>
    </row>
    <row r="236" spans="1:15" x14ac:dyDescent="0.25">
      <c r="A236" s="126"/>
      <c r="B236" s="296"/>
      <c r="C236" s="126"/>
      <c r="D236" s="126"/>
      <c r="E236" s="126"/>
      <c r="F236" s="126"/>
      <c r="G236" s="298"/>
      <c r="H236" s="126"/>
      <c r="I236" s="297"/>
      <c r="J236" s="297"/>
      <c r="K236" s="297"/>
      <c r="L236" s="216">
        <f t="shared" si="6"/>
        <v>0</v>
      </c>
      <c r="M236" s="159" t="str">
        <f t="shared" si="7"/>
        <v/>
      </c>
      <c r="O236" s="158"/>
    </row>
    <row r="237" spans="1:15" x14ac:dyDescent="0.25">
      <c r="A237" s="126"/>
      <c r="B237" s="296"/>
      <c r="C237" s="126"/>
      <c r="D237" s="126"/>
      <c r="E237" s="126"/>
      <c r="F237" s="126"/>
      <c r="G237" s="298"/>
      <c r="H237" s="126"/>
      <c r="I237" s="297"/>
      <c r="J237" s="297"/>
      <c r="K237" s="297"/>
      <c r="L237" s="216">
        <f t="shared" si="6"/>
        <v>0</v>
      </c>
      <c r="M237" s="159" t="str">
        <f t="shared" si="7"/>
        <v/>
      </c>
      <c r="O237" s="158"/>
    </row>
    <row r="238" spans="1:15" x14ac:dyDescent="0.25">
      <c r="A238" s="126"/>
      <c r="B238" s="296"/>
      <c r="C238" s="126"/>
      <c r="D238" s="126"/>
      <c r="E238" s="126"/>
      <c r="F238" s="126"/>
      <c r="G238" s="298"/>
      <c r="H238" s="126"/>
      <c r="I238" s="297"/>
      <c r="J238" s="297"/>
      <c r="K238" s="297"/>
      <c r="L238" s="216">
        <f t="shared" si="6"/>
        <v>0</v>
      </c>
      <c r="M238" s="159" t="str">
        <f t="shared" si="7"/>
        <v/>
      </c>
      <c r="O238" s="158"/>
    </row>
    <row r="239" spans="1:15" x14ac:dyDescent="0.25">
      <c r="A239" s="126"/>
      <c r="B239" s="296"/>
      <c r="C239" s="126"/>
      <c r="D239" s="126"/>
      <c r="E239" s="126"/>
      <c r="F239" s="126"/>
      <c r="G239" s="298"/>
      <c r="H239" s="126"/>
      <c r="I239" s="297"/>
      <c r="J239" s="297"/>
      <c r="K239" s="297"/>
      <c r="L239" s="216">
        <f t="shared" si="6"/>
        <v>0</v>
      </c>
      <c r="M239" s="159" t="str">
        <f t="shared" si="7"/>
        <v/>
      </c>
      <c r="O239" s="158"/>
    </row>
    <row r="240" spans="1:15" x14ac:dyDescent="0.25">
      <c r="A240" s="126"/>
      <c r="B240" s="296"/>
      <c r="C240" s="126"/>
      <c r="D240" s="126"/>
      <c r="E240" s="126"/>
      <c r="F240" s="126"/>
      <c r="G240" s="298"/>
      <c r="H240" s="126"/>
      <c r="I240" s="297"/>
      <c r="J240" s="297"/>
      <c r="K240" s="297"/>
      <c r="L240" s="216">
        <f t="shared" si="6"/>
        <v>0</v>
      </c>
      <c r="M240" s="159" t="str">
        <f t="shared" si="7"/>
        <v/>
      </c>
      <c r="O240" s="158"/>
    </row>
    <row r="241" spans="1:15" x14ac:dyDescent="0.25">
      <c r="A241" s="126"/>
      <c r="B241" s="296"/>
      <c r="C241" s="126"/>
      <c r="D241" s="126"/>
      <c r="E241" s="126"/>
      <c r="F241" s="126"/>
      <c r="G241" s="298"/>
      <c r="H241" s="126"/>
      <c r="I241" s="297"/>
      <c r="J241" s="297"/>
      <c r="K241" s="297"/>
      <c r="L241" s="216">
        <f t="shared" si="6"/>
        <v>0</v>
      </c>
      <c r="M241" s="159" t="str">
        <f t="shared" si="7"/>
        <v/>
      </c>
      <c r="O241" s="158"/>
    </row>
    <row r="242" spans="1:15" x14ac:dyDescent="0.25">
      <c r="A242" s="126"/>
      <c r="B242" s="296"/>
      <c r="C242" s="126"/>
      <c r="D242" s="126"/>
      <c r="E242" s="126"/>
      <c r="F242" s="126"/>
      <c r="G242" s="298"/>
      <c r="H242" s="126"/>
      <c r="I242" s="297"/>
      <c r="J242" s="297"/>
      <c r="K242" s="297"/>
      <c r="L242" s="216">
        <f t="shared" si="6"/>
        <v>0</v>
      </c>
      <c r="M242" s="159" t="str">
        <f t="shared" si="7"/>
        <v/>
      </c>
      <c r="O242" s="158"/>
    </row>
    <row r="243" spans="1:15" x14ac:dyDescent="0.25">
      <c r="A243" s="126"/>
      <c r="B243" s="296"/>
      <c r="C243" s="126"/>
      <c r="D243" s="126"/>
      <c r="E243" s="126"/>
      <c r="F243" s="126"/>
      <c r="G243" s="298"/>
      <c r="H243" s="126"/>
      <c r="I243" s="297"/>
      <c r="J243" s="297"/>
      <c r="K243" s="297"/>
      <c r="L243" s="216">
        <f t="shared" si="6"/>
        <v>0</v>
      </c>
      <c r="M243" s="159" t="str">
        <f t="shared" si="7"/>
        <v/>
      </c>
      <c r="O243" s="158"/>
    </row>
    <row r="244" spans="1:15" x14ac:dyDescent="0.25">
      <c r="A244" s="126"/>
      <c r="B244" s="296"/>
      <c r="C244" s="126"/>
      <c r="D244" s="126"/>
      <c r="E244" s="126"/>
      <c r="F244" s="126"/>
      <c r="G244" s="298"/>
      <c r="H244" s="126"/>
      <c r="I244" s="297"/>
      <c r="J244" s="297"/>
      <c r="K244" s="297"/>
      <c r="L244" s="216">
        <f t="shared" si="6"/>
        <v>0</v>
      </c>
      <c r="M244" s="159" t="str">
        <f t="shared" si="7"/>
        <v/>
      </c>
      <c r="O244" s="158"/>
    </row>
    <row r="245" spans="1:15" x14ac:dyDescent="0.25">
      <c r="A245" s="126"/>
      <c r="B245" s="296"/>
      <c r="C245" s="126"/>
      <c r="D245" s="126"/>
      <c r="E245" s="126"/>
      <c r="F245" s="126"/>
      <c r="G245" s="298"/>
      <c r="H245" s="126"/>
      <c r="I245" s="297"/>
      <c r="J245" s="297"/>
      <c r="K245" s="297"/>
      <c r="L245" s="216">
        <f t="shared" si="6"/>
        <v>0</v>
      </c>
      <c r="M245" s="159" t="str">
        <f t="shared" si="7"/>
        <v/>
      </c>
      <c r="O245" s="158"/>
    </row>
    <row r="246" spans="1:15" x14ac:dyDescent="0.25">
      <c r="A246" s="126"/>
      <c r="B246" s="296"/>
      <c r="C246" s="126"/>
      <c r="D246" s="126"/>
      <c r="E246" s="126"/>
      <c r="F246" s="126"/>
      <c r="G246" s="298"/>
      <c r="H246" s="126"/>
      <c r="I246" s="297"/>
      <c r="J246" s="297"/>
      <c r="K246" s="297"/>
      <c r="L246" s="216">
        <f t="shared" si="6"/>
        <v>0</v>
      </c>
      <c r="M246" s="159" t="str">
        <f t="shared" si="7"/>
        <v/>
      </c>
      <c r="O246" s="158"/>
    </row>
    <row r="247" spans="1:15" x14ac:dyDescent="0.25">
      <c r="A247" s="126"/>
      <c r="B247" s="296"/>
      <c r="C247" s="126"/>
      <c r="D247" s="126"/>
      <c r="E247" s="126"/>
      <c r="F247" s="126"/>
      <c r="G247" s="298"/>
      <c r="H247" s="126"/>
      <c r="I247" s="297"/>
      <c r="J247" s="297"/>
      <c r="K247" s="297"/>
      <c r="L247" s="216">
        <f t="shared" si="6"/>
        <v>0</v>
      </c>
      <c r="M247" s="159" t="str">
        <f t="shared" si="7"/>
        <v/>
      </c>
      <c r="O247" s="158"/>
    </row>
    <row r="248" spans="1:15" x14ac:dyDescent="0.25">
      <c r="A248" s="126"/>
      <c r="B248" s="296"/>
      <c r="C248" s="126"/>
      <c r="D248" s="126"/>
      <c r="E248" s="126"/>
      <c r="F248" s="126"/>
      <c r="G248" s="298"/>
      <c r="H248" s="126"/>
      <c r="I248" s="297"/>
      <c r="J248" s="297"/>
      <c r="K248" s="297"/>
      <c r="L248" s="216">
        <f t="shared" si="6"/>
        <v>0</v>
      </c>
      <c r="M248" s="159" t="str">
        <f t="shared" si="7"/>
        <v/>
      </c>
      <c r="O248" s="158"/>
    </row>
    <row r="249" spans="1:15" x14ac:dyDescent="0.25">
      <c r="A249" s="126"/>
      <c r="B249" s="296"/>
      <c r="C249" s="126"/>
      <c r="D249" s="126"/>
      <c r="E249" s="126"/>
      <c r="F249" s="126"/>
      <c r="G249" s="298"/>
      <c r="H249" s="126"/>
      <c r="I249" s="297"/>
      <c r="J249" s="297"/>
      <c r="K249" s="297"/>
      <c r="L249" s="216">
        <f t="shared" si="6"/>
        <v>0</v>
      </c>
      <c r="M249" s="159" t="str">
        <f t="shared" si="7"/>
        <v/>
      </c>
      <c r="O249" s="158"/>
    </row>
    <row r="250" spans="1:15" x14ac:dyDescent="0.25">
      <c r="A250" s="126"/>
      <c r="B250" s="296"/>
      <c r="C250" s="126"/>
      <c r="D250" s="126"/>
      <c r="E250" s="126"/>
      <c r="F250" s="126"/>
      <c r="G250" s="298"/>
      <c r="H250" s="126"/>
      <c r="I250" s="297"/>
      <c r="J250" s="297"/>
      <c r="K250" s="297"/>
      <c r="L250" s="216">
        <f t="shared" si="6"/>
        <v>0</v>
      </c>
      <c r="M250" s="159" t="str">
        <f t="shared" si="7"/>
        <v/>
      </c>
      <c r="O250" s="158"/>
    </row>
    <row r="251" spans="1:15" x14ac:dyDescent="0.25">
      <c r="A251" s="126"/>
      <c r="B251" s="296"/>
      <c r="C251" s="126"/>
      <c r="D251" s="126"/>
      <c r="E251" s="126"/>
      <c r="F251" s="126"/>
      <c r="G251" s="298"/>
      <c r="H251" s="126"/>
      <c r="I251" s="297"/>
      <c r="J251" s="297"/>
      <c r="K251" s="297"/>
      <c r="L251" s="216">
        <f t="shared" si="6"/>
        <v>0</v>
      </c>
      <c r="M251" s="159" t="str">
        <f t="shared" si="7"/>
        <v/>
      </c>
      <c r="O251" s="158"/>
    </row>
    <row r="252" spans="1:15" x14ac:dyDescent="0.25">
      <c r="A252" s="126"/>
      <c r="B252" s="296"/>
      <c r="C252" s="126"/>
      <c r="D252" s="126"/>
      <c r="E252" s="126"/>
      <c r="F252" s="126"/>
      <c r="G252" s="298"/>
      <c r="H252" s="126"/>
      <c r="I252" s="297"/>
      <c r="J252" s="297"/>
      <c r="K252" s="297"/>
      <c r="L252" s="216">
        <f t="shared" si="6"/>
        <v>0</v>
      </c>
      <c r="M252" s="159" t="str">
        <f t="shared" si="7"/>
        <v/>
      </c>
      <c r="O252" s="158"/>
    </row>
    <row r="253" spans="1:15" x14ac:dyDescent="0.25">
      <c r="A253" s="126"/>
      <c r="B253" s="296"/>
      <c r="C253" s="126"/>
      <c r="D253" s="126"/>
      <c r="E253" s="126"/>
      <c r="F253" s="126"/>
      <c r="G253" s="298"/>
      <c r="H253" s="126"/>
      <c r="I253" s="297"/>
      <c r="J253" s="297"/>
      <c r="K253" s="297"/>
      <c r="L253" s="216">
        <f t="shared" si="6"/>
        <v>0</v>
      </c>
      <c r="M253" s="159" t="str">
        <f t="shared" si="7"/>
        <v/>
      </c>
      <c r="O253" s="158"/>
    </row>
    <row r="254" spans="1:15" x14ac:dyDescent="0.25">
      <c r="A254" s="126"/>
      <c r="B254" s="296"/>
      <c r="C254" s="126"/>
      <c r="D254" s="126"/>
      <c r="E254" s="126"/>
      <c r="F254" s="126"/>
      <c r="G254" s="298"/>
      <c r="H254" s="126"/>
      <c r="I254" s="297"/>
      <c r="J254" s="297"/>
      <c r="K254" s="297"/>
      <c r="L254" s="216">
        <f t="shared" si="6"/>
        <v>0</v>
      </c>
      <c r="M254" s="159" t="str">
        <f t="shared" si="7"/>
        <v/>
      </c>
      <c r="O254" s="158"/>
    </row>
    <row r="255" spans="1:15" x14ac:dyDescent="0.25">
      <c r="A255" s="126"/>
      <c r="B255" s="296"/>
      <c r="C255" s="126"/>
      <c r="D255" s="126"/>
      <c r="E255" s="126"/>
      <c r="F255" s="126"/>
      <c r="G255" s="298"/>
      <c r="H255" s="126"/>
      <c r="I255" s="297"/>
      <c r="J255" s="297"/>
      <c r="K255" s="297"/>
      <c r="L255" s="216">
        <f t="shared" si="6"/>
        <v>0</v>
      </c>
      <c r="M255" s="159" t="str">
        <f t="shared" si="7"/>
        <v/>
      </c>
      <c r="O255" s="158"/>
    </row>
    <row r="256" spans="1:15" x14ac:dyDescent="0.25">
      <c r="A256" s="126"/>
      <c r="B256" s="296"/>
      <c r="C256" s="126"/>
      <c r="D256" s="126"/>
      <c r="E256" s="126"/>
      <c r="F256" s="126"/>
      <c r="G256" s="298"/>
      <c r="H256" s="126"/>
      <c r="I256" s="297"/>
      <c r="J256" s="297"/>
      <c r="K256" s="297"/>
      <c r="L256" s="216">
        <f t="shared" si="6"/>
        <v>0</v>
      </c>
      <c r="M256" s="159" t="str">
        <f t="shared" si="7"/>
        <v/>
      </c>
      <c r="O256" s="158"/>
    </row>
    <row r="257" spans="1:15" x14ac:dyDescent="0.25">
      <c r="A257" s="126"/>
      <c r="B257" s="296"/>
      <c r="C257" s="126"/>
      <c r="D257" s="126"/>
      <c r="E257" s="126"/>
      <c r="F257" s="126"/>
      <c r="G257" s="298"/>
      <c r="H257" s="126"/>
      <c r="I257" s="297"/>
      <c r="J257" s="297"/>
      <c r="K257" s="297"/>
      <c r="L257" s="216">
        <f t="shared" si="6"/>
        <v>0</v>
      </c>
      <c r="M257" s="159" t="str">
        <f t="shared" si="7"/>
        <v/>
      </c>
      <c r="O257" s="158"/>
    </row>
    <row r="258" spans="1:15" x14ac:dyDescent="0.25">
      <c r="A258" s="126"/>
      <c r="B258" s="296"/>
      <c r="C258" s="126"/>
      <c r="D258" s="126"/>
      <c r="E258" s="126"/>
      <c r="F258" s="126"/>
      <c r="G258" s="298"/>
      <c r="H258" s="126"/>
      <c r="I258" s="297"/>
      <c r="J258" s="297"/>
      <c r="K258" s="297"/>
      <c r="L258" s="216">
        <f t="shared" ref="L258:L321" si="8">K258*1.1</f>
        <v>0</v>
      </c>
      <c r="M258" s="159" t="str">
        <f t="shared" ref="M258:M321" si="9">IF(ISNUMBER(SEARCH("Azarine",H258)),"AZARINE",IF(ISNUMBER(SEARCH("Baking Soda",H258)),"BAKING SODA",IF(ISNUMBER(SEARCH("Fujitsu",H258)),"FUJITSU",IF(ISNUMBER(SEARCH("Coleman",H258)),"COLEMAN",""))))</f>
        <v/>
      </c>
      <c r="O258" s="158"/>
    </row>
    <row r="259" spans="1:15" x14ac:dyDescent="0.25">
      <c r="A259" s="126"/>
      <c r="B259" s="296"/>
      <c r="C259" s="126"/>
      <c r="D259" s="126"/>
      <c r="E259" s="126"/>
      <c r="F259" s="126"/>
      <c r="G259" s="298"/>
      <c r="H259" s="126"/>
      <c r="I259" s="297"/>
      <c r="J259" s="297"/>
      <c r="K259" s="297"/>
      <c r="L259" s="216">
        <f t="shared" si="8"/>
        <v>0</v>
      </c>
      <c r="M259" s="159" t="str">
        <f t="shared" si="9"/>
        <v/>
      </c>
      <c r="O259" s="158"/>
    </row>
    <row r="260" spans="1:15" x14ac:dyDescent="0.25">
      <c r="A260" s="126"/>
      <c r="B260" s="296"/>
      <c r="C260" s="126"/>
      <c r="D260" s="126"/>
      <c r="E260" s="126"/>
      <c r="F260" s="126"/>
      <c r="G260" s="298"/>
      <c r="H260" s="126"/>
      <c r="I260" s="297"/>
      <c r="J260" s="297"/>
      <c r="K260" s="297"/>
      <c r="L260" s="216">
        <f t="shared" si="8"/>
        <v>0</v>
      </c>
      <c r="M260" s="159" t="str">
        <f t="shared" si="9"/>
        <v/>
      </c>
      <c r="O260" s="158"/>
    </row>
    <row r="261" spans="1:15" x14ac:dyDescent="0.25">
      <c r="A261" s="126"/>
      <c r="B261" s="296"/>
      <c r="C261" s="126"/>
      <c r="D261" s="126"/>
      <c r="E261" s="126"/>
      <c r="F261" s="126"/>
      <c r="G261" s="298"/>
      <c r="H261" s="126"/>
      <c r="I261" s="297"/>
      <c r="J261" s="297"/>
      <c r="K261" s="297"/>
      <c r="L261" s="216">
        <f t="shared" si="8"/>
        <v>0</v>
      </c>
      <c r="M261" s="159" t="str">
        <f t="shared" si="9"/>
        <v/>
      </c>
      <c r="O261" s="158"/>
    </row>
    <row r="262" spans="1:15" x14ac:dyDescent="0.25">
      <c r="A262" s="126"/>
      <c r="B262" s="296"/>
      <c r="C262" s="126"/>
      <c r="D262" s="126"/>
      <c r="E262" s="126"/>
      <c r="F262" s="126"/>
      <c r="G262" s="298"/>
      <c r="H262" s="126"/>
      <c r="I262" s="297"/>
      <c r="J262" s="297"/>
      <c r="K262" s="297"/>
      <c r="L262" s="216">
        <f t="shared" si="8"/>
        <v>0</v>
      </c>
      <c r="M262" s="159" t="str">
        <f t="shared" si="9"/>
        <v/>
      </c>
      <c r="O262" s="158"/>
    </row>
    <row r="263" spans="1:15" x14ac:dyDescent="0.25">
      <c r="A263" s="126"/>
      <c r="B263" s="296"/>
      <c r="C263" s="126"/>
      <c r="D263" s="126"/>
      <c r="E263" s="126"/>
      <c r="F263" s="126"/>
      <c r="G263" s="298"/>
      <c r="H263" s="126"/>
      <c r="I263" s="297"/>
      <c r="J263" s="297"/>
      <c r="K263" s="297"/>
      <c r="L263" s="216">
        <f t="shared" si="8"/>
        <v>0</v>
      </c>
      <c r="M263" s="159" t="str">
        <f t="shared" si="9"/>
        <v/>
      </c>
      <c r="O263" s="158"/>
    </row>
    <row r="264" spans="1:15" x14ac:dyDescent="0.25">
      <c r="A264" s="126"/>
      <c r="B264" s="296"/>
      <c r="C264" s="126"/>
      <c r="D264" s="126"/>
      <c r="E264" s="126"/>
      <c r="F264" s="126"/>
      <c r="G264" s="298"/>
      <c r="H264" s="126"/>
      <c r="I264" s="297"/>
      <c r="J264" s="297"/>
      <c r="K264" s="297"/>
      <c r="L264" s="216">
        <f t="shared" si="8"/>
        <v>0</v>
      </c>
      <c r="M264" s="159" t="str">
        <f t="shared" si="9"/>
        <v/>
      </c>
      <c r="O264" s="158"/>
    </row>
    <row r="265" spans="1:15" x14ac:dyDescent="0.25">
      <c r="A265" s="126"/>
      <c r="B265" s="296"/>
      <c r="C265" s="126"/>
      <c r="D265" s="126"/>
      <c r="E265" s="126"/>
      <c r="F265" s="126"/>
      <c r="G265" s="298"/>
      <c r="H265" s="126"/>
      <c r="I265" s="297"/>
      <c r="J265" s="297"/>
      <c r="K265" s="297"/>
      <c r="L265" s="216">
        <f t="shared" si="8"/>
        <v>0</v>
      </c>
      <c r="M265" s="159" t="str">
        <f t="shared" si="9"/>
        <v/>
      </c>
      <c r="O265" s="158"/>
    </row>
    <row r="266" spans="1:15" x14ac:dyDescent="0.25">
      <c r="A266" s="126"/>
      <c r="B266" s="296"/>
      <c r="C266" s="126"/>
      <c r="D266" s="126"/>
      <c r="E266" s="126"/>
      <c r="F266" s="126"/>
      <c r="G266" s="298"/>
      <c r="H266" s="126"/>
      <c r="I266" s="297"/>
      <c r="J266" s="297"/>
      <c r="K266" s="297"/>
      <c r="L266" s="216">
        <f t="shared" si="8"/>
        <v>0</v>
      </c>
      <c r="M266" s="159" t="str">
        <f t="shared" si="9"/>
        <v/>
      </c>
      <c r="O266" s="158"/>
    </row>
    <row r="267" spans="1:15" x14ac:dyDescent="0.25">
      <c r="A267" s="126"/>
      <c r="B267" s="296"/>
      <c r="C267" s="126"/>
      <c r="D267" s="126"/>
      <c r="E267" s="126"/>
      <c r="F267" s="126"/>
      <c r="G267" s="298"/>
      <c r="H267" s="126"/>
      <c r="I267" s="297"/>
      <c r="J267" s="297"/>
      <c r="K267" s="297"/>
      <c r="L267" s="216">
        <f t="shared" si="8"/>
        <v>0</v>
      </c>
      <c r="M267" s="159" t="str">
        <f t="shared" si="9"/>
        <v/>
      </c>
      <c r="O267" s="158"/>
    </row>
    <row r="268" spans="1:15" x14ac:dyDescent="0.25">
      <c r="A268" s="126"/>
      <c r="B268" s="296"/>
      <c r="C268" s="126"/>
      <c r="D268" s="126"/>
      <c r="E268" s="126"/>
      <c r="F268" s="126"/>
      <c r="G268" s="298"/>
      <c r="H268" s="126"/>
      <c r="I268" s="297"/>
      <c r="J268" s="297"/>
      <c r="K268" s="297"/>
      <c r="L268" s="216">
        <f t="shared" si="8"/>
        <v>0</v>
      </c>
      <c r="M268" s="159" t="str">
        <f t="shared" si="9"/>
        <v/>
      </c>
      <c r="O268" s="158"/>
    </row>
    <row r="269" spans="1:15" x14ac:dyDescent="0.25">
      <c r="A269" s="126"/>
      <c r="B269" s="296"/>
      <c r="C269" s="126"/>
      <c r="D269" s="126"/>
      <c r="E269" s="126"/>
      <c r="F269" s="126"/>
      <c r="G269" s="298"/>
      <c r="H269" s="126"/>
      <c r="I269" s="297"/>
      <c r="J269" s="297"/>
      <c r="K269" s="297"/>
      <c r="L269" s="216">
        <f t="shared" si="8"/>
        <v>0</v>
      </c>
      <c r="M269" s="159" t="str">
        <f t="shared" si="9"/>
        <v/>
      </c>
      <c r="O269" s="158"/>
    </row>
    <row r="270" spans="1:15" x14ac:dyDescent="0.25">
      <c r="A270" s="126"/>
      <c r="B270" s="296"/>
      <c r="C270" s="126"/>
      <c r="D270" s="126"/>
      <c r="E270" s="126"/>
      <c r="F270" s="126"/>
      <c r="G270" s="298"/>
      <c r="H270" s="126"/>
      <c r="I270" s="297"/>
      <c r="J270" s="297"/>
      <c r="K270" s="297"/>
      <c r="L270" s="216">
        <f t="shared" si="8"/>
        <v>0</v>
      </c>
      <c r="M270" s="159" t="str">
        <f t="shared" si="9"/>
        <v/>
      </c>
      <c r="O270" s="158"/>
    </row>
    <row r="271" spans="1:15" x14ac:dyDescent="0.25">
      <c r="A271" s="126"/>
      <c r="B271" s="296"/>
      <c r="C271" s="126"/>
      <c r="D271" s="126"/>
      <c r="E271" s="126"/>
      <c r="F271" s="126"/>
      <c r="G271" s="298"/>
      <c r="H271" s="126"/>
      <c r="I271" s="297"/>
      <c r="J271" s="297"/>
      <c r="K271" s="297"/>
      <c r="L271" s="216">
        <f t="shared" si="8"/>
        <v>0</v>
      </c>
      <c r="M271" s="159" t="str">
        <f t="shared" si="9"/>
        <v/>
      </c>
      <c r="O271" s="158"/>
    </row>
    <row r="272" spans="1:15" x14ac:dyDescent="0.25">
      <c r="A272" s="126"/>
      <c r="B272" s="296"/>
      <c r="C272" s="126"/>
      <c r="D272" s="126"/>
      <c r="E272" s="126"/>
      <c r="F272" s="126"/>
      <c r="G272" s="298"/>
      <c r="H272" s="126"/>
      <c r="I272" s="297"/>
      <c r="J272" s="297"/>
      <c r="K272" s="297"/>
      <c r="L272" s="216">
        <f t="shared" si="8"/>
        <v>0</v>
      </c>
      <c r="M272" s="159" t="str">
        <f t="shared" si="9"/>
        <v/>
      </c>
      <c r="O272" s="158"/>
    </row>
    <row r="273" spans="1:15" x14ac:dyDescent="0.25">
      <c r="A273" s="126"/>
      <c r="B273" s="296"/>
      <c r="C273" s="126"/>
      <c r="D273" s="126"/>
      <c r="E273" s="126"/>
      <c r="F273" s="126"/>
      <c r="G273" s="298"/>
      <c r="H273" s="126"/>
      <c r="I273" s="297"/>
      <c r="J273" s="297"/>
      <c r="K273" s="297"/>
      <c r="L273" s="216">
        <f t="shared" si="8"/>
        <v>0</v>
      </c>
      <c r="M273" s="159" t="str">
        <f t="shared" si="9"/>
        <v/>
      </c>
      <c r="O273" s="158"/>
    </row>
    <row r="274" spans="1:15" x14ac:dyDescent="0.25">
      <c r="A274" s="126"/>
      <c r="B274" s="296"/>
      <c r="C274" s="126"/>
      <c r="D274" s="126"/>
      <c r="E274" s="126"/>
      <c r="F274" s="126"/>
      <c r="G274" s="298"/>
      <c r="H274" s="126"/>
      <c r="I274" s="297"/>
      <c r="J274" s="297"/>
      <c r="K274" s="297"/>
      <c r="L274" s="216">
        <f t="shared" si="8"/>
        <v>0</v>
      </c>
      <c r="M274" s="159" t="str">
        <f t="shared" si="9"/>
        <v/>
      </c>
      <c r="O274" s="158"/>
    </row>
    <row r="275" spans="1:15" x14ac:dyDescent="0.25">
      <c r="A275" s="126"/>
      <c r="B275" s="296"/>
      <c r="C275" s="126"/>
      <c r="D275" s="126"/>
      <c r="E275" s="126"/>
      <c r="F275" s="126"/>
      <c r="G275" s="298"/>
      <c r="H275" s="126"/>
      <c r="I275" s="297"/>
      <c r="J275" s="297"/>
      <c r="K275" s="297"/>
      <c r="L275" s="216">
        <f t="shared" si="8"/>
        <v>0</v>
      </c>
      <c r="M275" s="159" t="str">
        <f t="shared" si="9"/>
        <v/>
      </c>
      <c r="O275" s="158"/>
    </row>
    <row r="276" spans="1:15" x14ac:dyDescent="0.25">
      <c r="A276" s="126"/>
      <c r="B276" s="296"/>
      <c r="C276" s="126"/>
      <c r="D276" s="126"/>
      <c r="E276" s="126"/>
      <c r="F276" s="126"/>
      <c r="G276" s="298"/>
      <c r="H276" s="126"/>
      <c r="I276" s="297"/>
      <c r="J276" s="297"/>
      <c r="K276" s="297"/>
      <c r="L276" s="216">
        <f t="shared" si="8"/>
        <v>0</v>
      </c>
      <c r="M276" s="159" t="str">
        <f t="shared" si="9"/>
        <v/>
      </c>
      <c r="O276" s="158"/>
    </row>
    <row r="277" spans="1:15" x14ac:dyDescent="0.25">
      <c r="A277" s="126"/>
      <c r="B277" s="296"/>
      <c r="C277" s="126"/>
      <c r="D277" s="126"/>
      <c r="E277" s="126"/>
      <c r="F277" s="126"/>
      <c r="G277" s="298"/>
      <c r="H277" s="126"/>
      <c r="I277" s="297"/>
      <c r="J277" s="297"/>
      <c r="K277" s="297"/>
      <c r="L277" s="216">
        <f t="shared" si="8"/>
        <v>0</v>
      </c>
      <c r="M277" s="159" t="str">
        <f t="shared" si="9"/>
        <v/>
      </c>
      <c r="O277" s="158"/>
    </row>
    <row r="278" spans="1:15" x14ac:dyDescent="0.25">
      <c r="A278" s="126"/>
      <c r="B278" s="296"/>
      <c r="C278" s="126"/>
      <c r="D278" s="126"/>
      <c r="E278" s="126"/>
      <c r="F278" s="126"/>
      <c r="G278" s="298"/>
      <c r="H278" s="126"/>
      <c r="I278" s="297"/>
      <c r="J278" s="297"/>
      <c r="K278" s="297"/>
      <c r="L278" s="216">
        <f t="shared" si="8"/>
        <v>0</v>
      </c>
      <c r="M278" s="159" t="str">
        <f t="shared" si="9"/>
        <v/>
      </c>
      <c r="O278" s="158"/>
    </row>
    <row r="279" spans="1:15" x14ac:dyDescent="0.25">
      <c r="A279" s="126"/>
      <c r="B279" s="296"/>
      <c r="C279" s="126"/>
      <c r="D279" s="126"/>
      <c r="E279" s="126"/>
      <c r="F279" s="126"/>
      <c r="G279" s="298"/>
      <c r="H279" s="126"/>
      <c r="I279" s="297"/>
      <c r="J279" s="297"/>
      <c r="K279" s="297"/>
      <c r="L279" s="216">
        <f t="shared" si="8"/>
        <v>0</v>
      </c>
      <c r="M279" s="159" t="str">
        <f t="shared" si="9"/>
        <v/>
      </c>
      <c r="O279" s="158"/>
    </row>
    <row r="280" spans="1:15" x14ac:dyDescent="0.25">
      <c r="A280" s="126"/>
      <c r="B280" s="296"/>
      <c r="C280" s="126"/>
      <c r="D280" s="126"/>
      <c r="E280" s="126"/>
      <c r="F280" s="126"/>
      <c r="G280" s="298"/>
      <c r="H280" s="126"/>
      <c r="I280" s="297"/>
      <c r="J280" s="297"/>
      <c r="K280" s="297"/>
      <c r="L280" s="216">
        <f t="shared" si="8"/>
        <v>0</v>
      </c>
      <c r="M280" s="159" t="str">
        <f t="shared" si="9"/>
        <v/>
      </c>
      <c r="O280" s="158"/>
    </row>
    <row r="281" spans="1:15" x14ac:dyDescent="0.25">
      <c r="A281" s="126"/>
      <c r="B281" s="296"/>
      <c r="C281" s="126"/>
      <c r="D281" s="126"/>
      <c r="E281" s="126"/>
      <c r="F281" s="126"/>
      <c r="G281" s="298"/>
      <c r="H281" s="126"/>
      <c r="I281" s="297"/>
      <c r="J281" s="297"/>
      <c r="K281" s="297"/>
      <c r="L281" s="216">
        <f t="shared" si="8"/>
        <v>0</v>
      </c>
      <c r="M281" s="159" t="str">
        <f t="shared" si="9"/>
        <v/>
      </c>
      <c r="O281" s="158"/>
    </row>
    <row r="282" spans="1:15" x14ac:dyDescent="0.25">
      <c r="A282" s="126"/>
      <c r="B282" s="296"/>
      <c r="C282" s="126"/>
      <c r="D282" s="126"/>
      <c r="E282" s="126"/>
      <c r="F282" s="126"/>
      <c r="G282" s="298"/>
      <c r="H282" s="126"/>
      <c r="I282" s="297"/>
      <c r="J282" s="297"/>
      <c r="K282" s="297"/>
      <c r="L282" s="216">
        <f t="shared" si="8"/>
        <v>0</v>
      </c>
      <c r="M282" s="159" t="str">
        <f t="shared" si="9"/>
        <v/>
      </c>
      <c r="O282" s="158"/>
    </row>
    <row r="283" spans="1:15" x14ac:dyDescent="0.25">
      <c r="A283" s="126"/>
      <c r="B283" s="296"/>
      <c r="C283" s="126"/>
      <c r="D283" s="126"/>
      <c r="E283" s="126"/>
      <c r="F283" s="126"/>
      <c r="G283" s="298"/>
      <c r="H283" s="126"/>
      <c r="I283" s="297"/>
      <c r="J283" s="297"/>
      <c r="K283" s="297"/>
      <c r="L283" s="216">
        <f t="shared" si="8"/>
        <v>0</v>
      </c>
      <c r="M283" s="159" t="str">
        <f t="shared" si="9"/>
        <v/>
      </c>
      <c r="O283" s="158"/>
    </row>
    <row r="284" spans="1:15" x14ac:dyDescent="0.25">
      <c r="A284" s="126"/>
      <c r="B284" s="296"/>
      <c r="C284" s="126"/>
      <c r="D284" s="126"/>
      <c r="E284" s="126"/>
      <c r="F284" s="126"/>
      <c r="G284" s="298"/>
      <c r="H284" s="126"/>
      <c r="I284" s="297"/>
      <c r="J284" s="297"/>
      <c r="K284" s="297"/>
      <c r="L284" s="216">
        <f t="shared" si="8"/>
        <v>0</v>
      </c>
      <c r="M284" s="159" t="str">
        <f t="shared" si="9"/>
        <v/>
      </c>
      <c r="O284" s="158"/>
    </row>
    <row r="285" spans="1:15" x14ac:dyDescent="0.25">
      <c r="A285" s="126"/>
      <c r="B285" s="296"/>
      <c r="C285" s="126"/>
      <c r="D285" s="126"/>
      <c r="E285" s="126"/>
      <c r="F285" s="126"/>
      <c r="G285" s="298"/>
      <c r="H285" s="126"/>
      <c r="I285" s="297"/>
      <c r="J285" s="297"/>
      <c r="K285" s="297"/>
      <c r="L285" s="216">
        <f t="shared" si="8"/>
        <v>0</v>
      </c>
      <c r="M285" s="159" t="str">
        <f t="shared" si="9"/>
        <v/>
      </c>
      <c r="O285" s="158"/>
    </row>
    <row r="286" spans="1:15" x14ac:dyDescent="0.25">
      <c r="A286" s="126"/>
      <c r="B286" s="296"/>
      <c r="C286" s="126"/>
      <c r="D286" s="126"/>
      <c r="E286" s="126"/>
      <c r="F286" s="126"/>
      <c r="G286" s="298"/>
      <c r="H286" s="126"/>
      <c r="I286" s="297"/>
      <c r="J286" s="297"/>
      <c r="K286" s="297"/>
      <c r="L286" s="216">
        <f t="shared" si="8"/>
        <v>0</v>
      </c>
      <c r="M286" s="159" t="str">
        <f t="shared" si="9"/>
        <v/>
      </c>
      <c r="O286" s="158"/>
    </row>
    <row r="287" spans="1:15" x14ac:dyDescent="0.25">
      <c r="A287" s="126"/>
      <c r="B287" s="296"/>
      <c r="C287" s="126"/>
      <c r="D287" s="126"/>
      <c r="E287" s="126"/>
      <c r="F287" s="126"/>
      <c r="G287" s="298"/>
      <c r="H287" s="126"/>
      <c r="I287" s="297"/>
      <c r="J287" s="297"/>
      <c r="K287" s="297"/>
      <c r="L287" s="216">
        <f t="shared" si="8"/>
        <v>0</v>
      </c>
      <c r="M287" s="159" t="str">
        <f t="shared" si="9"/>
        <v/>
      </c>
      <c r="O287" s="158"/>
    </row>
    <row r="288" spans="1:15" x14ac:dyDescent="0.25">
      <c r="A288" s="126"/>
      <c r="B288" s="296"/>
      <c r="C288" s="126"/>
      <c r="D288" s="126"/>
      <c r="E288" s="126"/>
      <c r="F288" s="126"/>
      <c r="G288" s="298"/>
      <c r="H288" s="126"/>
      <c r="I288" s="297"/>
      <c r="J288" s="297"/>
      <c r="K288" s="297"/>
      <c r="L288" s="216">
        <f t="shared" si="8"/>
        <v>0</v>
      </c>
      <c r="M288" s="159" t="str">
        <f t="shared" si="9"/>
        <v/>
      </c>
      <c r="O288" s="158"/>
    </row>
    <row r="289" spans="1:15" x14ac:dyDescent="0.25">
      <c r="A289" s="126"/>
      <c r="B289" s="296"/>
      <c r="C289" s="126"/>
      <c r="D289" s="126"/>
      <c r="E289" s="126"/>
      <c r="F289" s="126"/>
      <c r="G289" s="298"/>
      <c r="H289" s="126"/>
      <c r="I289" s="297"/>
      <c r="J289" s="297"/>
      <c r="K289" s="297"/>
      <c r="L289" s="216">
        <f t="shared" si="8"/>
        <v>0</v>
      </c>
      <c r="M289" s="159" t="str">
        <f t="shared" si="9"/>
        <v/>
      </c>
      <c r="O289" s="158"/>
    </row>
    <row r="290" spans="1:15" x14ac:dyDescent="0.25">
      <c r="A290" s="126"/>
      <c r="B290" s="296"/>
      <c r="C290" s="126"/>
      <c r="D290" s="126"/>
      <c r="E290" s="126"/>
      <c r="F290" s="126"/>
      <c r="G290" s="298"/>
      <c r="H290" s="126"/>
      <c r="I290" s="297"/>
      <c r="J290" s="297"/>
      <c r="K290" s="297"/>
      <c r="L290" s="216">
        <f t="shared" si="8"/>
        <v>0</v>
      </c>
      <c r="M290" s="159" t="str">
        <f t="shared" si="9"/>
        <v/>
      </c>
      <c r="O290" s="158"/>
    </row>
    <row r="291" spans="1:15" x14ac:dyDescent="0.25">
      <c r="A291" s="126"/>
      <c r="B291" s="296"/>
      <c r="C291" s="126"/>
      <c r="D291" s="126"/>
      <c r="E291" s="126"/>
      <c r="F291" s="126"/>
      <c r="G291" s="298"/>
      <c r="H291" s="126"/>
      <c r="I291" s="297"/>
      <c r="J291" s="297"/>
      <c r="K291" s="297"/>
      <c r="L291" s="216">
        <f t="shared" si="8"/>
        <v>0</v>
      </c>
      <c r="M291" s="159" t="str">
        <f t="shared" si="9"/>
        <v/>
      </c>
      <c r="O291" s="158"/>
    </row>
    <row r="292" spans="1:15" x14ac:dyDescent="0.25">
      <c r="A292" s="126"/>
      <c r="B292" s="296"/>
      <c r="C292" s="126"/>
      <c r="D292" s="126"/>
      <c r="E292" s="126"/>
      <c r="F292" s="126"/>
      <c r="G292" s="298"/>
      <c r="H292" s="126"/>
      <c r="I292" s="297"/>
      <c r="J292" s="297"/>
      <c r="K292" s="297"/>
      <c r="L292" s="216">
        <f t="shared" si="8"/>
        <v>0</v>
      </c>
      <c r="M292" s="159" t="str">
        <f t="shared" si="9"/>
        <v/>
      </c>
      <c r="O292" s="158"/>
    </row>
    <row r="293" spans="1:15" x14ac:dyDescent="0.25">
      <c r="A293" s="126"/>
      <c r="B293" s="296"/>
      <c r="C293" s="126"/>
      <c r="D293" s="126"/>
      <c r="E293" s="126"/>
      <c r="F293" s="126"/>
      <c r="G293" s="298"/>
      <c r="H293" s="126"/>
      <c r="I293" s="297"/>
      <c r="J293" s="297"/>
      <c r="K293" s="297"/>
      <c r="L293" s="216">
        <f t="shared" si="8"/>
        <v>0</v>
      </c>
      <c r="M293" s="159" t="str">
        <f t="shared" si="9"/>
        <v/>
      </c>
      <c r="O293" s="158"/>
    </row>
    <row r="294" spans="1:15" x14ac:dyDescent="0.25">
      <c r="A294" s="126"/>
      <c r="B294" s="296"/>
      <c r="C294" s="126"/>
      <c r="D294" s="126"/>
      <c r="E294" s="126"/>
      <c r="F294" s="126"/>
      <c r="G294" s="298"/>
      <c r="H294" s="126"/>
      <c r="I294" s="297"/>
      <c r="J294" s="297"/>
      <c r="K294" s="297"/>
      <c r="L294" s="216">
        <f t="shared" si="8"/>
        <v>0</v>
      </c>
      <c r="M294" s="159" t="str">
        <f t="shared" si="9"/>
        <v/>
      </c>
      <c r="O294" s="158"/>
    </row>
    <row r="295" spans="1:15" x14ac:dyDescent="0.25">
      <c r="A295" s="126"/>
      <c r="B295" s="296"/>
      <c r="C295" s="126"/>
      <c r="D295" s="126"/>
      <c r="E295" s="126"/>
      <c r="F295" s="126"/>
      <c r="G295" s="298"/>
      <c r="H295" s="126"/>
      <c r="I295" s="297"/>
      <c r="J295" s="297"/>
      <c r="K295" s="297"/>
      <c r="L295" s="216">
        <f t="shared" si="8"/>
        <v>0</v>
      </c>
      <c r="M295" s="159" t="str">
        <f t="shared" si="9"/>
        <v/>
      </c>
      <c r="O295" s="158"/>
    </row>
    <row r="296" spans="1:15" x14ac:dyDescent="0.25">
      <c r="A296" s="126"/>
      <c r="B296" s="296"/>
      <c r="C296" s="126"/>
      <c r="D296" s="126"/>
      <c r="E296" s="126"/>
      <c r="F296" s="126"/>
      <c r="G296" s="298"/>
      <c r="H296" s="126"/>
      <c r="I296" s="297"/>
      <c r="J296" s="297"/>
      <c r="K296" s="297"/>
      <c r="L296" s="216">
        <f t="shared" si="8"/>
        <v>0</v>
      </c>
      <c r="M296" s="159" t="str">
        <f t="shared" si="9"/>
        <v/>
      </c>
      <c r="O296" s="158"/>
    </row>
    <row r="297" spans="1:15" x14ac:dyDescent="0.25">
      <c r="A297" s="126"/>
      <c r="B297" s="296"/>
      <c r="C297" s="126"/>
      <c r="D297" s="126"/>
      <c r="E297" s="126"/>
      <c r="F297" s="126"/>
      <c r="G297" s="298"/>
      <c r="H297" s="126"/>
      <c r="I297" s="297"/>
      <c r="J297" s="297"/>
      <c r="K297" s="297"/>
      <c r="L297" s="216">
        <f t="shared" si="8"/>
        <v>0</v>
      </c>
      <c r="M297" s="159" t="str">
        <f t="shared" si="9"/>
        <v/>
      </c>
      <c r="O297" s="158"/>
    </row>
    <row r="298" spans="1:15" x14ac:dyDescent="0.25">
      <c r="A298" s="126"/>
      <c r="B298" s="296"/>
      <c r="C298" s="126"/>
      <c r="D298" s="126"/>
      <c r="E298" s="126"/>
      <c r="F298" s="126"/>
      <c r="G298" s="298"/>
      <c r="H298" s="126"/>
      <c r="I298" s="297"/>
      <c r="J298" s="297"/>
      <c r="K298" s="297"/>
      <c r="L298" s="216">
        <f t="shared" si="8"/>
        <v>0</v>
      </c>
      <c r="M298" s="159" t="str">
        <f t="shared" si="9"/>
        <v/>
      </c>
      <c r="O298" s="158"/>
    </row>
    <row r="299" spans="1:15" x14ac:dyDescent="0.25">
      <c r="A299" s="126"/>
      <c r="B299" s="296"/>
      <c r="C299" s="126"/>
      <c r="D299" s="126"/>
      <c r="E299" s="126"/>
      <c r="F299" s="126"/>
      <c r="G299" s="298"/>
      <c r="H299" s="126"/>
      <c r="I299" s="297"/>
      <c r="J299" s="297"/>
      <c r="K299" s="297"/>
      <c r="L299" s="216">
        <f t="shared" si="8"/>
        <v>0</v>
      </c>
      <c r="M299" s="159" t="str">
        <f t="shared" si="9"/>
        <v/>
      </c>
      <c r="O299" s="158"/>
    </row>
    <row r="300" spans="1:15" x14ac:dyDescent="0.25">
      <c r="A300" s="126"/>
      <c r="B300" s="296"/>
      <c r="C300" s="126"/>
      <c r="D300" s="126"/>
      <c r="E300" s="126"/>
      <c r="F300" s="126"/>
      <c r="G300" s="298"/>
      <c r="H300" s="126"/>
      <c r="I300" s="297"/>
      <c r="J300" s="297"/>
      <c r="K300" s="297"/>
      <c r="L300" s="216">
        <f t="shared" si="8"/>
        <v>0</v>
      </c>
      <c r="M300" s="159" t="str">
        <f t="shared" si="9"/>
        <v/>
      </c>
      <c r="O300" s="158"/>
    </row>
    <row r="301" spans="1:15" x14ac:dyDescent="0.25">
      <c r="A301" s="126"/>
      <c r="B301" s="296"/>
      <c r="C301" s="126"/>
      <c r="D301" s="126"/>
      <c r="E301" s="126"/>
      <c r="F301" s="126"/>
      <c r="G301" s="298"/>
      <c r="H301" s="126"/>
      <c r="I301" s="297"/>
      <c r="J301" s="297"/>
      <c r="K301" s="297"/>
      <c r="L301" s="216">
        <f t="shared" si="8"/>
        <v>0</v>
      </c>
      <c r="M301" s="159" t="str">
        <f t="shared" si="9"/>
        <v/>
      </c>
      <c r="O301" s="158"/>
    </row>
    <row r="302" spans="1:15" x14ac:dyDescent="0.25">
      <c r="A302" s="126"/>
      <c r="B302" s="296"/>
      <c r="C302" s="126"/>
      <c r="D302" s="126"/>
      <c r="E302" s="126"/>
      <c r="F302" s="126"/>
      <c r="G302" s="298"/>
      <c r="H302" s="126"/>
      <c r="I302" s="297"/>
      <c r="J302" s="297"/>
      <c r="K302" s="297"/>
      <c r="L302" s="216">
        <f t="shared" si="8"/>
        <v>0</v>
      </c>
      <c r="M302" s="159" t="str">
        <f t="shared" si="9"/>
        <v/>
      </c>
      <c r="O302" s="158"/>
    </row>
    <row r="303" spans="1:15" x14ac:dyDescent="0.25">
      <c r="A303" s="126"/>
      <c r="B303" s="296"/>
      <c r="C303" s="126"/>
      <c r="D303" s="126"/>
      <c r="E303" s="126"/>
      <c r="F303" s="126"/>
      <c r="G303" s="298"/>
      <c r="H303" s="126"/>
      <c r="I303" s="297"/>
      <c r="J303" s="297"/>
      <c r="K303" s="297"/>
      <c r="L303" s="216">
        <f t="shared" si="8"/>
        <v>0</v>
      </c>
      <c r="M303" s="159" t="str">
        <f t="shared" si="9"/>
        <v/>
      </c>
      <c r="O303" s="158"/>
    </row>
    <row r="304" spans="1:15" x14ac:dyDescent="0.25">
      <c r="A304" s="126"/>
      <c r="B304" s="296"/>
      <c r="C304" s="126"/>
      <c r="D304" s="126"/>
      <c r="E304" s="126"/>
      <c r="F304" s="126"/>
      <c r="G304" s="298"/>
      <c r="H304" s="126"/>
      <c r="I304" s="297"/>
      <c r="J304" s="297"/>
      <c r="K304" s="297"/>
      <c r="L304" s="216">
        <f t="shared" si="8"/>
        <v>0</v>
      </c>
      <c r="M304" s="159" t="str">
        <f t="shared" si="9"/>
        <v/>
      </c>
      <c r="O304" s="158"/>
    </row>
    <row r="305" spans="1:15" x14ac:dyDescent="0.25">
      <c r="A305" s="126"/>
      <c r="B305" s="296"/>
      <c r="C305" s="126"/>
      <c r="D305" s="126"/>
      <c r="E305" s="126"/>
      <c r="F305" s="126"/>
      <c r="G305" s="298"/>
      <c r="H305" s="126"/>
      <c r="I305" s="297"/>
      <c r="J305" s="297"/>
      <c r="K305" s="297"/>
      <c r="L305" s="216">
        <f t="shared" si="8"/>
        <v>0</v>
      </c>
      <c r="M305" s="159" t="str">
        <f t="shared" si="9"/>
        <v/>
      </c>
      <c r="O305" s="158"/>
    </row>
    <row r="306" spans="1:15" x14ac:dyDescent="0.25">
      <c r="A306" s="126"/>
      <c r="B306" s="296"/>
      <c r="C306" s="126"/>
      <c r="D306" s="126"/>
      <c r="E306" s="126"/>
      <c r="F306" s="126"/>
      <c r="G306" s="298"/>
      <c r="H306" s="126"/>
      <c r="I306" s="297"/>
      <c r="J306" s="297"/>
      <c r="K306" s="297"/>
      <c r="L306" s="216">
        <f t="shared" si="8"/>
        <v>0</v>
      </c>
      <c r="M306" s="159" t="str">
        <f t="shared" si="9"/>
        <v/>
      </c>
      <c r="O306" s="158"/>
    </row>
    <row r="307" spans="1:15" x14ac:dyDescent="0.25">
      <c r="A307" s="126"/>
      <c r="B307" s="296"/>
      <c r="C307" s="126"/>
      <c r="D307" s="126"/>
      <c r="E307" s="126"/>
      <c r="F307" s="126"/>
      <c r="G307" s="298"/>
      <c r="H307" s="126"/>
      <c r="I307" s="297"/>
      <c r="J307" s="297"/>
      <c r="K307" s="297"/>
      <c r="L307" s="216">
        <f t="shared" si="8"/>
        <v>0</v>
      </c>
      <c r="M307" s="159" t="str">
        <f t="shared" si="9"/>
        <v/>
      </c>
      <c r="O307" s="158"/>
    </row>
    <row r="308" spans="1:15" x14ac:dyDescent="0.25">
      <c r="A308" s="126"/>
      <c r="B308" s="296"/>
      <c r="C308" s="126"/>
      <c r="D308" s="126"/>
      <c r="E308" s="126"/>
      <c r="F308" s="126"/>
      <c r="G308" s="298"/>
      <c r="H308" s="126"/>
      <c r="I308" s="297"/>
      <c r="J308" s="297"/>
      <c r="K308" s="297"/>
      <c r="L308" s="216">
        <f t="shared" si="8"/>
        <v>0</v>
      </c>
      <c r="M308" s="159" t="str">
        <f t="shared" si="9"/>
        <v/>
      </c>
      <c r="O308" s="158"/>
    </row>
    <row r="309" spans="1:15" x14ac:dyDescent="0.25">
      <c r="A309" s="126"/>
      <c r="B309" s="296"/>
      <c r="C309" s="126"/>
      <c r="D309" s="126"/>
      <c r="E309" s="126"/>
      <c r="F309" s="126"/>
      <c r="G309" s="298"/>
      <c r="H309" s="126"/>
      <c r="I309" s="297"/>
      <c r="J309" s="297"/>
      <c r="K309" s="297"/>
      <c r="L309" s="216">
        <f t="shared" si="8"/>
        <v>0</v>
      </c>
      <c r="M309" s="159" t="str">
        <f t="shared" si="9"/>
        <v/>
      </c>
      <c r="O309" s="158"/>
    </row>
    <row r="310" spans="1:15" x14ac:dyDescent="0.25">
      <c r="A310" s="126"/>
      <c r="B310" s="296"/>
      <c r="C310" s="126"/>
      <c r="D310" s="126"/>
      <c r="E310" s="126"/>
      <c r="F310" s="126"/>
      <c r="G310" s="298"/>
      <c r="H310" s="126"/>
      <c r="I310" s="297"/>
      <c r="J310" s="297"/>
      <c r="K310" s="297"/>
      <c r="L310" s="216">
        <f t="shared" si="8"/>
        <v>0</v>
      </c>
      <c r="M310" s="159" t="str">
        <f t="shared" si="9"/>
        <v/>
      </c>
      <c r="O310" s="158"/>
    </row>
    <row r="311" spans="1:15" x14ac:dyDescent="0.25">
      <c r="A311" s="126"/>
      <c r="B311" s="296"/>
      <c r="C311" s="126"/>
      <c r="D311" s="126"/>
      <c r="E311" s="126"/>
      <c r="F311" s="126"/>
      <c r="G311" s="298"/>
      <c r="H311" s="126"/>
      <c r="I311" s="297"/>
      <c r="J311" s="297"/>
      <c r="K311" s="297"/>
      <c r="L311" s="216">
        <f t="shared" si="8"/>
        <v>0</v>
      </c>
      <c r="M311" s="159" t="str">
        <f t="shared" si="9"/>
        <v/>
      </c>
      <c r="O311" s="158"/>
    </row>
    <row r="312" spans="1:15" x14ac:dyDescent="0.25">
      <c r="A312" s="126"/>
      <c r="B312" s="296"/>
      <c r="C312" s="126"/>
      <c r="D312" s="126"/>
      <c r="E312" s="126"/>
      <c r="F312" s="126"/>
      <c r="G312" s="298"/>
      <c r="H312" s="126"/>
      <c r="I312" s="297"/>
      <c r="J312" s="297"/>
      <c r="K312" s="297"/>
      <c r="L312" s="216">
        <f t="shared" si="8"/>
        <v>0</v>
      </c>
      <c r="M312" s="159" t="str">
        <f t="shared" si="9"/>
        <v/>
      </c>
      <c r="O312" s="158"/>
    </row>
    <row r="313" spans="1:15" x14ac:dyDescent="0.25">
      <c r="A313" s="126"/>
      <c r="B313" s="296"/>
      <c r="C313" s="126"/>
      <c r="D313" s="126"/>
      <c r="E313" s="126"/>
      <c r="F313" s="126"/>
      <c r="G313" s="298"/>
      <c r="H313" s="126"/>
      <c r="I313" s="297"/>
      <c r="J313" s="297"/>
      <c r="K313" s="297"/>
      <c r="L313" s="216">
        <f t="shared" si="8"/>
        <v>0</v>
      </c>
      <c r="M313" s="159" t="str">
        <f t="shared" si="9"/>
        <v/>
      </c>
      <c r="O313" s="158"/>
    </row>
    <row r="314" spans="1:15" x14ac:dyDescent="0.25">
      <c r="A314" s="126"/>
      <c r="B314" s="296"/>
      <c r="C314" s="126"/>
      <c r="D314" s="126"/>
      <c r="E314" s="126"/>
      <c r="F314" s="126"/>
      <c r="G314" s="298"/>
      <c r="H314" s="126"/>
      <c r="I314" s="297"/>
      <c r="J314" s="297"/>
      <c r="K314" s="297"/>
      <c r="L314" s="216">
        <f t="shared" si="8"/>
        <v>0</v>
      </c>
      <c r="M314" s="159" t="str">
        <f t="shared" si="9"/>
        <v/>
      </c>
      <c r="O314" s="158"/>
    </row>
    <row r="315" spans="1:15" x14ac:dyDescent="0.25">
      <c r="A315" s="126"/>
      <c r="B315" s="296"/>
      <c r="C315" s="126"/>
      <c r="D315" s="126"/>
      <c r="E315" s="126"/>
      <c r="F315" s="126"/>
      <c r="G315" s="298"/>
      <c r="H315" s="126"/>
      <c r="I315" s="297"/>
      <c r="J315" s="297"/>
      <c r="K315" s="297"/>
      <c r="L315" s="216">
        <f t="shared" si="8"/>
        <v>0</v>
      </c>
      <c r="M315" s="159" t="str">
        <f t="shared" si="9"/>
        <v/>
      </c>
      <c r="O315" s="158"/>
    </row>
    <row r="316" spans="1:15" x14ac:dyDescent="0.25">
      <c r="A316" s="126"/>
      <c r="B316" s="296"/>
      <c r="C316" s="126"/>
      <c r="D316" s="126"/>
      <c r="E316" s="126"/>
      <c r="F316" s="126"/>
      <c r="G316" s="298"/>
      <c r="H316" s="126"/>
      <c r="I316" s="297"/>
      <c r="J316" s="297"/>
      <c r="K316" s="297"/>
      <c r="L316" s="216">
        <f t="shared" si="8"/>
        <v>0</v>
      </c>
      <c r="M316" s="159" t="str">
        <f t="shared" si="9"/>
        <v/>
      </c>
      <c r="O316" s="158"/>
    </row>
    <row r="317" spans="1:15" x14ac:dyDescent="0.25">
      <c r="A317" s="126"/>
      <c r="B317" s="296"/>
      <c r="C317" s="126"/>
      <c r="D317" s="126"/>
      <c r="E317" s="126"/>
      <c r="F317" s="126"/>
      <c r="G317" s="298"/>
      <c r="H317" s="126"/>
      <c r="I317" s="297"/>
      <c r="J317" s="297"/>
      <c r="K317" s="297"/>
      <c r="L317" s="216">
        <f t="shared" si="8"/>
        <v>0</v>
      </c>
      <c r="M317" s="159" t="str">
        <f t="shared" si="9"/>
        <v/>
      </c>
      <c r="O317" s="158"/>
    </row>
    <row r="318" spans="1:15" x14ac:dyDescent="0.25">
      <c r="A318" s="126"/>
      <c r="B318" s="296"/>
      <c r="C318" s="126"/>
      <c r="D318" s="126"/>
      <c r="E318" s="126"/>
      <c r="F318" s="126"/>
      <c r="G318" s="298"/>
      <c r="H318" s="126"/>
      <c r="I318" s="297"/>
      <c r="J318" s="297"/>
      <c r="K318" s="297"/>
      <c r="L318" s="216">
        <f t="shared" si="8"/>
        <v>0</v>
      </c>
      <c r="M318" s="159" t="str">
        <f t="shared" si="9"/>
        <v/>
      </c>
      <c r="O318" s="158"/>
    </row>
    <row r="319" spans="1:15" x14ac:dyDescent="0.25">
      <c r="A319" s="126"/>
      <c r="B319" s="296"/>
      <c r="C319" s="126"/>
      <c r="D319" s="126"/>
      <c r="E319" s="126"/>
      <c r="F319" s="126"/>
      <c r="G319" s="298"/>
      <c r="H319" s="126"/>
      <c r="I319" s="297"/>
      <c r="J319" s="297"/>
      <c r="K319" s="297"/>
      <c r="L319" s="216">
        <f t="shared" si="8"/>
        <v>0</v>
      </c>
      <c r="M319" s="159" t="str">
        <f t="shared" si="9"/>
        <v/>
      </c>
      <c r="O319" s="158"/>
    </row>
    <row r="320" spans="1:15" x14ac:dyDescent="0.25">
      <c r="A320" s="126"/>
      <c r="B320" s="296"/>
      <c r="C320" s="126"/>
      <c r="D320" s="126"/>
      <c r="E320" s="126"/>
      <c r="F320" s="126"/>
      <c r="G320" s="298"/>
      <c r="H320" s="126"/>
      <c r="I320" s="297"/>
      <c r="J320" s="297"/>
      <c r="K320" s="297"/>
      <c r="L320" s="216">
        <f t="shared" si="8"/>
        <v>0</v>
      </c>
      <c r="M320" s="159" t="str">
        <f t="shared" si="9"/>
        <v/>
      </c>
      <c r="O320" s="158"/>
    </row>
    <row r="321" spans="1:15" x14ac:dyDescent="0.25">
      <c r="A321" s="126"/>
      <c r="B321" s="296"/>
      <c r="C321" s="126"/>
      <c r="D321" s="126"/>
      <c r="E321" s="126"/>
      <c r="F321" s="126"/>
      <c r="G321" s="298"/>
      <c r="H321" s="126"/>
      <c r="I321" s="297"/>
      <c r="J321" s="297"/>
      <c r="K321" s="297"/>
      <c r="L321" s="216">
        <f t="shared" si="8"/>
        <v>0</v>
      </c>
      <c r="M321" s="159" t="str">
        <f t="shared" si="9"/>
        <v/>
      </c>
      <c r="O321" s="158"/>
    </row>
    <row r="322" spans="1:15" x14ac:dyDescent="0.25">
      <c r="A322" s="126"/>
      <c r="B322" s="296"/>
      <c r="C322" s="126"/>
      <c r="D322" s="126"/>
      <c r="E322" s="126"/>
      <c r="F322" s="126"/>
      <c r="G322" s="298"/>
      <c r="H322" s="126"/>
      <c r="I322" s="297"/>
      <c r="J322" s="297"/>
      <c r="K322" s="297"/>
      <c r="L322" s="216">
        <f t="shared" ref="L322:L385" si="10">K322*1.1</f>
        <v>0</v>
      </c>
      <c r="M322" s="159" t="str">
        <f t="shared" ref="M322:M385" si="11">IF(ISNUMBER(SEARCH("Azarine",H322)),"AZARINE",IF(ISNUMBER(SEARCH("Baking Soda",H322)),"BAKING SODA",IF(ISNUMBER(SEARCH("Fujitsu",H322)),"FUJITSU",IF(ISNUMBER(SEARCH("Coleman",H322)),"COLEMAN",""))))</f>
        <v/>
      </c>
      <c r="O322" s="158"/>
    </row>
    <row r="323" spans="1:15" x14ac:dyDescent="0.25">
      <c r="A323" s="126"/>
      <c r="B323" s="296"/>
      <c r="C323" s="126"/>
      <c r="D323" s="126"/>
      <c r="E323" s="126"/>
      <c r="F323" s="126"/>
      <c r="G323" s="298"/>
      <c r="H323" s="126"/>
      <c r="I323" s="297"/>
      <c r="J323" s="297"/>
      <c r="K323" s="297"/>
      <c r="L323" s="216">
        <f t="shared" si="10"/>
        <v>0</v>
      </c>
      <c r="M323" s="159" t="str">
        <f t="shared" si="11"/>
        <v/>
      </c>
      <c r="O323" s="158"/>
    </row>
    <row r="324" spans="1:15" x14ac:dyDescent="0.25">
      <c r="A324" s="126"/>
      <c r="B324" s="296"/>
      <c r="C324" s="126"/>
      <c r="D324" s="126"/>
      <c r="E324" s="126"/>
      <c r="F324" s="126"/>
      <c r="G324" s="298"/>
      <c r="H324" s="126"/>
      <c r="I324" s="297"/>
      <c r="J324" s="297"/>
      <c r="K324" s="297"/>
      <c r="L324" s="216">
        <f t="shared" si="10"/>
        <v>0</v>
      </c>
      <c r="M324" s="159" t="str">
        <f t="shared" si="11"/>
        <v/>
      </c>
      <c r="O324" s="158"/>
    </row>
    <row r="325" spans="1:15" x14ac:dyDescent="0.25">
      <c r="A325" s="126"/>
      <c r="B325" s="296"/>
      <c r="C325" s="126"/>
      <c r="D325" s="126"/>
      <c r="E325" s="126"/>
      <c r="F325" s="126"/>
      <c r="G325" s="298"/>
      <c r="H325" s="126"/>
      <c r="I325" s="297"/>
      <c r="J325" s="297"/>
      <c r="K325" s="297"/>
      <c r="L325" s="216">
        <f t="shared" si="10"/>
        <v>0</v>
      </c>
      <c r="M325" s="159" t="str">
        <f t="shared" si="11"/>
        <v/>
      </c>
      <c r="O325" s="158"/>
    </row>
    <row r="326" spans="1:15" x14ac:dyDescent="0.25">
      <c r="A326" s="126"/>
      <c r="B326" s="296"/>
      <c r="C326" s="126"/>
      <c r="D326" s="126"/>
      <c r="E326" s="126"/>
      <c r="F326" s="126"/>
      <c r="G326" s="298"/>
      <c r="H326" s="126"/>
      <c r="I326" s="297"/>
      <c r="J326" s="297"/>
      <c r="K326" s="297"/>
      <c r="L326" s="216">
        <f t="shared" si="10"/>
        <v>0</v>
      </c>
      <c r="M326" s="159" t="str">
        <f t="shared" si="11"/>
        <v/>
      </c>
      <c r="O326" s="158"/>
    </row>
    <row r="327" spans="1:15" x14ac:dyDescent="0.25">
      <c r="A327" s="126"/>
      <c r="B327" s="296"/>
      <c r="C327" s="126"/>
      <c r="D327" s="126"/>
      <c r="E327" s="126"/>
      <c r="F327" s="126"/>
      <c r="G327" s="298"/>
      <c r="H327" s="126"/>
      <c r="I327" s="297"/>
      <c r="J327" s="297"/>
      <c r="K327" s="297"/>
      <c r="L327" s="216">
        <f t="shared" si="10"/>
        <v>0</v>
      </c>
      <c r="M327" s="159" t="str">
        <f t="shared" si="11"/>
        <v/>
      </c>
      <c r="O327" s="158"/>
    </row>
    <row r="328" spans="1:15" x14ac:dyDescent="0.25">
      <c r="A328" s="126"/>
      <c r="B328" s="296"/>
      <c r="C328" s="126"/>
      <c r="D328" s="126"/>
      <c r="E328" s="126"/>
      <c r="F328" s="126"/>
      <c r="G328" s="298"/>
      <c r="H328" s="126"/>
      <c r="I328" s="297"/>
      <c r="J328" s="297"/>
      <c r="K328" s="297"/>
      <c r="L328" s="216">
        <f t="shared" si="10"/>
        <v>0</v>
      </c>
      <c r="M328" s="159" t="str">
        <f t="shared" si="11"/>
        <v/>
      </c>
      <c r="O328" s="158"/>
    </row>
    <row r="329" spans="1:15" x14ac:dyDescent="0.25">
      <c r="A329" s="126"/>
      <c r="B329" s="296"/>
      <c r="C329" s="126"/>
      <c r="D329" s="126"/>
      <c r="E329" s="126"/>
      <c r="F329" s="126"/>
      <c r="G329" s="298"/>
      <c r="H329" s="126"/>
      <c r="I329" s="297"/>
      <c r="J329" s="297"/>
      <c r="K329" s="297"/>
      <c r="L329" s="216">
        <f t="shared" si="10"/>
        <v>0</v>
      </c>
      <c r="M329" s="159" t="str">
        <f t="shared" si="11"/>
        <v/>
      </c>
      <c r="O329" s="158"/>
    </row>
    <row r="330" spans="1:15" x14ac:dyDescent="0.25">
      <c r="A330" s="126"/>
      <c r="B330" s="296"/>
      <c r="C330" s="126"/>
      <c r="D330" s="126"/>
      <c r="E330" s="126"/>
      <c r="F330" s="126"/>
      <c r="G330" s="298"/>
      <c r="H330" s="126"/>
      <c r="I330" s="297"/>
      <c r="J330" s="297"/>
      <c r="K330" s="297"/>
      <c r="L330" s="216">
        <f t="shared" si="10"/>
        <v>0</v>
      </c>
      <c r="M330" s="159" t="str">
        <f t="shared" si="11"/>
        <v/>
      </c>
      <c r="O330" s="158"/>
    </row>
    <row r="331" spans="1:15" x14ac:dyDescent="0.25">
      <c r="A331" s="126"/>
      <c r="B331" s="296"/>
      <c r="C331" s="126"/>
      <c r="D331" s="126"/>
      <c r="E331" s="126"/>
      <c r="F331" s="126"/>
      <c r="G331" s="298"/>
      <c r="H331" s="126"/>
      <c r="I331" s="297"/>
      <c r="J331" s="297"/>
      <c r="K331" s="297"/>
      <c r="L331" s="216">
        <f t="shared" si="10"/>
        <v>0</v>
      </c>
      <c r="M331" s="159" t="str">
        <f t="shared" si="11"/>
        <v/>
      </c>
      <c r="O331" s="158"/>
    </row>
    <row r="332" spans="1:15" x14ac:dyDescent="0.25">
      <c r="A332" s="126"/>
      <c r="B332" s="296"/>
      <c r="C332" s="126"/>
      <c r="D332" s="126"/>
      <c r="E332" s="126"/>
      <c r="F332" s="126"/>
      <c r="G332" s="298"/>
      <c r="H332" s="126"/>
      <c r="I332" s="297"/>
      <c r="J332" s="297"/>
      <c r="K332" s="297"/>
      <c r="L332" s="216">
        <f t="shared" si="10"/>
        <v>0</v>
      </c>
      <c r="M332" s="159" t="str">
        <f t="shared" si="11"/>
        <v/>
      </c>
      <c r="O332" s="158"/>
    </row>
    <row r="333" spans="1:15" x14ac:dyDescent="0.25">
      <c r="A333" s="126"/>
      <c r="B333" s="296"/>
      <c r="C333" s="126"/>
      <c r="D333" s="126"/>
      <c r="E333" s="126"/>
      <c r="F333" s="126"/>
      <c r="G333" s="298"/>
      <c r="H333" s="126"/>
      <c r="I333" s="297"/>
      <c r="J333" s="297"/>
      <c r="K333" s="297"/>
      <c r="L333" s="216">
        <f t="shared" si="10"/>
        <v>0</v>
      </c>
      <c r="M333" s="159" t="str">
        <f t="shared" si="11"/>
        <v/>
      </c>
      <c r="O333" s="158"/>
    </row>
    <row r="334" spans="1:15" x14ac:dyDescent="0.25">
      <c r="A334" s="126"/>
      <c r="B334" s="296"/>
      <c r="C334" s="126"/>
      <c r="D334" s="126"/>
      <c r="E334" s="126"/>
      <c r="F334" s="126"/>
      <c r="G334" s="298"/>
      <c r="H334" s="126"/>
      <c r="I334" s="297"/>
      <c r="J334" s="297"/>
      <c r="K334" s="297"/>
      <c r="L334" s="216">
        <f t="shared" si="10"/>
        <v>0</v>
      </c>
      <c r="M334" s="159" t="str">
        <f t="shared" si="11"/>
        <v/>
      </c>
      <c r="O334" s="158"/>
    </row>
    <row r="335" spans="1:15" x14ac:dyDescent="0.25">
      <c r="A335" s="126"/>
      <c r="B335" s="296"/>
      <c r="C335" s="126"/>
      <c r="D335" s="126"/>
      <c r="E335" s="126"/>
      <c r="F335" s="126"/>
      <c r="G335" s="298"/>
      <c r="H335" s="126"/>
      <c r="I335" s="297"/>
      <c r="J335" s="297"/>
      <c r="K335" s="297"/>
      <c r="L335" s="216">
        <f t="shared" si="10"/>
        <v>0</v>
      </c>
      <c r="M335" s="159" t="str">
        <f t="shared" si="11"/>
        <v/>
      </c>
      <c r="O335" s="158"/>
    </row>
    <row r="336" spans="1:15" x14ac:dyDescent="0.25">
      <c r="A336" s="126"/>
      <c r="B336" s="296"/>
      <c r="C336" s="126"/>
      <c r="D336" s="126"/>
      <c r="E336" s="126"/>
      <c r="F336" s="126"/>
      <c r="G336" s="298"/>
      <c r="H336" s="126"/>
      <c r="I336" s="297"/>
      <c r="J336" s="297"/>
      <c r="K336" s="297"/>
      <c r="L336" s="216">
        <f t="shared" si="10"/>
        <v>0</v>
      </c>
      <c r="M336" s="159" t="str">
        <f t="shared" si="11"/>
        <v/>
      </c>
      <c r="O336" s="158"/>
    </row>
    <row r="337" spans="1:15" x14ac:dyDescent="0.25">
      <c r="A337" s="126"/>
      <c r="B337" s="296"/>
      <c r="C337" s="126"/>
      <c r="D337" s="126"/>
      <c r="E337" s="126"/>
      <c r="F337" s="126"/>
      <c r="G337" s="298"/>
      <c r="H337" s="126"/>
      <c r="I337" s="297"/>
      <c r="J337" s="297"/>
      <c r="K337" s="297"/>
      <c r="L337" s="216">
        <f t="shared" si="10"/>
        <v>0</v>
      </c>
      <c r="M337" s="159" t="str">
        <f t="shared" si="11"/>
        <v/>
      </c>
      <c r="O337" s="158"/>
    </row>
    <row r="338" spans="1:15" x14ac:dyDescent="0.25">
      <c r="A338" s="126"/>
      <c r="B338" s="296"/>
      <c r="C338" s="126"/>
      <c r="D338" s="126"/>
      <c r="E338" s="126"/>
      <c r="F338" s="126"/>
      <c r="G338" s="298"/>
      <c r="H338" s="126"/>
      <c r="I338" s="297"/>
      <c r="J338" s="297"/>
      <c r="K338" s="297"/>
      <c r="L338" s="216">
        <f t="shared" si="10"/>
        <v>0</v>
      </c>
      <c r="M338" s="159" t="str">
        <f t="shared" si="11"/>
        <v/>
      </c>
      <c r="O338" s="158"/>
    </row>
    <row r="339" spans="1:15" x14ac:dyDescent="0.25">
      <c r="A339" s="126"/>
      <c r="B339" s="296"/>
      <c r="C339" s="126"/>
      <c r="D339" s="126"/>
      <c r="E339" s="126"/>
      <c r="F339" s="126"/>
      <c r="G339" s="298"/>
      <c r="H339" s="126"/>
      <c r="I339" s="297"/>
      <c r="J339" s="297"/>
      <c r="K339" s="297"/>
      <c r="L339" s="216">
        <f t="shared" si="10"/>
        <v>0</v>
      </c>
      <c r="M339" s="159" t="str">
        <f t="shared" si="11"/>
        <v/>
      </c>
      <c r="O339" s="158"/>
    </row>
    <row r="340" spans="1:15" x14ac:dyDescent="0.25">
      <c r="A340" s="126"/>
      <c r="B340" s="296"/>
      <c r="C340" s="126"/>
      <c r="D340" s="126"/>
      <c r="E340" s="126"/>
      <c r="F340" s="126"/>
      <c r="G340" s="298"/>
      <c r="H340" s="126"/>
      <c r="I340" s="297"/>
      <c r="J340" s="297"/>
      <c r="K340" s="297"/>
      <c r="L340" s="216">
        <f t="shared" si="10"/>
        <v>0</v>
      </c>
      <c r="M340" s="159" t="str">
        <f t="shared" si="11"/>
        <v/>
      </c>
      <c r="O340" s="158"/>
    </row>
    <row r="341" spans="1:15" x14ac:dyDescent="0.25">
      <c r="A341" s="126"/>
      <c r="B341" s="296"/>
      <c r="C341" s="126"/>
      <c r="D341" s="126"/>
      <c r="E341" s="126"/>
      <c r="F341" s="126"/>
      <c r="G341" s="298"/>
      <c r="H341" s="126"/>
      <c r="I341" s="297"/>
      <c r="J341" s="297"/>
      <c r="K341" s="297"/>
      <c r="L341" s="216">
        <f t="shared" si="10"/>
        <v>0</v>
      </c>
      <c r="M341" s="159" t="str">
        <f t="shared" si="11"/>
        <v/>
      </c>
      <c r="O341" s="158"/>
    </row>
    <row r="342" spans="1:15" x14ac:dyDescent="0.25">
      <c r="A342" s="126"/>
      <c r="B342" s="296"/>
      <c r="C342" s="126"/>
      <c r="D342" s="126"/>
      <c r="E342" s="126"/>
      <c r="F342" s="126"/>
      <c r="G342" s="298"/>
      <c r="H342" s="126"/>
      <c r="I342" s="297"/>
      <c r="J342" s="297"/>
      <c r="K342" s="297"/>
      <c r="L342" s="216">
        <f t="shared" si="10"/>
        <v>0</v>
      </c>
      <c r="M342" s="159" t="str">
        <f t="shared" si="11"/>
        <v/>
      </c>
      <c r="O342" s="158"/>
    </row>
    <row r="343" spans="1:15" x14ac:dyDescent="0.25">
      <c r="A343" s="126"/>
      <c r="B343" s="296"/>
      <c r="C343" s="126"/>
      <c r="D343" s="126"/>
      <c r="E343" s="126"/>
      <c r="F343" s="126"/>
      <c r="G343" s="298"/>
      <c r="H343" s="126"/>
      <c r="I343" s="297"/>
      <c r="J343" s="297"/>
      <c r="K343" s="297"/>
      <c r="L343" s="216">
        <f t="shared" si="10"/>
        <v>0</v>
      </c>
      <c r="M343" s="159" t="str">
        <f t="shared" si="11"/>
        <v/>
      </c>
      <c r="O343" s="158"/>
    </row>
    <row r="344" spans="1:15" x14ac:dyDescent="0.25">
      <c r="A344" s="126"/>
      <c r="B344" s="296"/>
      <c r="C344" s="126"/>
      <c r="D344" s="126"/>
      <c r="E344" s="126"/>
      <c r="F344" s="126"/>
      <c r="G344" s="298"/>
      <c r="H344" s="126"/>
      <c r="I344" s="297"/>
      <c r="J344" s="297"/>
      <c r="K344" s="297"/>
      <c r="L344" s="216">
        <f t="shared" si="10"/>
        <v>0</v>
      </c>
      <c r="M344" s="159" t="str">
        <f t="shared" si="11"/>
        <v/>
      </c>
      <c r="O344" s="158"/>
    </row>
    <row r="345" spans="1:15" x14ac:dyDescent="0.25">
      <c r="A345" s="126"/>
      <c r="B345" s="296"/>
      <c r="C345" s="126"/>
      <c r="D345" s="126"/>
      <c r="E345" s="126"/>
      <c r="F345" s="126"/>
      <c r="G345" s="298"/>
      <c r="H345" s="126"/>
      <c r="I345" s="297"/>
      <c r="J345" s="297"/>
      <c r="K345" s="297"/>
      <c r="L345" s="216">
        <f t="shared" si="10"/>
        <v>0</v>
      </c>
      <c r="M345" s="159" t="str">
        <f t="shared" si="11"/>
        <v/>
      </c>
      <c r="O345" s="158"/>
    </row>
    <row r="346" spans="1:15" x14ac:dyDescent="0.25">
      <c r="A346" s="126"/>
      <c r="B346" s="296"/>
      <c r="C346" s="126"/>
      <c r="D346" s="126"/>
      <c r="E346" s="126"/>
      <c r="F346" s="126"/>
      <c r="G346" s="298"/>
      <c r="H346" s="126"/>
      <c r="I346" s="297"/>
      <c r="J346" s="297"/>
      <c r="K346" s="297"/>
      <c r="L346" s="216">
        <f t="shared" si="10"/>
        <v>0</v>
      </c>
      <c r="M346" s="159" t="str">
        <f t="shared" si="11"/>
        <v/>
      </c>
      <c r="O346" s="158"/>
    </row>
    <row r="347" spans="1:15" x14ac:dyDescent="0.25">
      <c r="A347" s="126"/>
      <c r="B347" s="296"/>
      <c r="C347" s="126"/>
      <c r="D347" s="126"/>
      <c r="E347" s="126"/>
      <c r="F347" s="126"/>
      <c r="G347" s="298"/>
      <c r="H347" s="126"/>
      <c r="I347" s="297"/>
      <c r="J347" s="297"/>
      <c r="K347" s="297"/>
      <c r="L347" s="216">
        <f t="shared" si="10"/>
        <v>0</v>
      </c>
      <c r="M347" s="159" t="str">
        <f t="shared" si="11"/>
        <v/>
      </c>
      <c r="O347" s="158"/>
    </row>
    <row r="348" spans="1:15" x14ac:dyDescent="0.25">
      <c r="A348" s="126"/>
      <c r="B348" s="296"/>
      <c r="C348" s="126"/>
      <c r="D348" s="126"/>
      <c r="E348" s="126"/>
      <c r="F348" s="126"/>
      <c r="G348" s="298"/>
      <c r="H348" s="126"/>
      <c r="I348" s="297"/>
      <c r="J348" s="297"/>
      <c r="K348" s="297"/>
      <c r="L348" s="216">
        <f t="shared" si="10"/>
        <v>0</v>
      </c>
      <c r="M348" s="159" t="str">
        <f t="shared" si="11"/>
        <v/>
      </c>
      <c r="O348" s="158"/>
    </row>
    <row r="349" spans="1:15" x14ac:dyDescent="0.25">
      <c r="A349" s="126"/>
      <c r="B349" s="296"/>
      <c r="C349" s="126"/>
      <c r="D349" s="126"/>
      <c r="E349" s="126"/>
      <c r="F349" s="126"/>
      <c r="G349" s="298"/>
      <c r="H349" s="126"/>
      <c r="I349" s="297"/>
      <c r="J349" s="297"/>
      <c r="K349" s="297"/>
      <c r="L349" s="216">
        <f t="shared" si="10"/>
        <v>0</v>
      </c>
      <c r="M349" s="159" t="str">
        <f t="shared" si="11"/>
        <v/>
      </c>
      <c r="O349" s="158"/>
    </row>
    <row r="350" spans="1:15" x14ac:dyDescent="0.25">
      <c r="A350" s="126"/>
      <c r="B350" s="296"/>
      <c r="C350" s="126"/>
      <c r="D350" s="126"/>
      <c r="E350" s="126"/>
      <c r="F350" s="126"/>
      <c r="G350" s="298"/>
      <c r="H350" s="126"/>
      <c r="I350" s="297"/>
      <c r="J350" s="297"/>
      <c r="K350" s="297"/>
      <c r="L350" s="216">
        <f t="shared" si="10"/>
        <v>0</v>
      </c>
      <c r="M350" s="159" t="str">
        <f t="shared" si="11"/>
        <v/>
      </c>
      <c r="O350" s="158"/>
    </row>
    <row r="351" spans="1:15" x14ac:dyDescent="0.25">
      <c r="A351" s="126"/>
      <c r="B351" s="296"/>
      <c r="C351" s="126"/>
      <c r="D351" s="126"/>
      <c r="E351" s="126"/>
      <c r="F351" s="126"/>
      <c r="G351" s="298"/>
      <c r="H351" s="126"/>
      <c r="I351" s="297"/>
      <c r="J351" s="297"/>
      <c r="K351" s="297"/>
      <c r="L351" s="216">
        <f t="shared" si="10"/>
        <v>0</v>
      </c>
      <c r="M351" s="159" t="str">
        <f t="shared" si="11"/>
        <v/>
      </c>
      <c r="O351" s="158"/>
    </row>
    <row r="352" spans="1:15" x14ac:dyDescent="0.25">
      <c r="A352" s="126"/>
      <c r="B352" s="296"/>
      <c r="C352" s="126"/>
      <c r="D352" s="126"/>
      <c r="E352" s="126"/>
      <c r="F352" s="126"/>
      <c r="G352" s="298"/>
      <c r="H352" s="126"/>
      <c r="I352" s="297"/>
      <c r="J352" s="297"/>
      <c r="K352" s="297"/>
      <c r="L352" s="216">
        <f t="shared" si="10"/>
        <v>0</v>
      </c>
      <c r="M352" s="159" t="str">
        <f t="shared" si="11"/>
        <v/>
      </c>
      <c r="O352" s="158"/>
    </row>
    <row r="353" spans="1:15" x14ac:dyDescent="0.25">
      <c r="A353" s="126"/>
      <c r="B353" s="296"/>
      <c r="C353" s="126"/>
      <c r="D353" s="126"/>
      <c r="E353" s="126"/>
      <c r="F353" s="126"/>
      <c r="G353" s="298"/>
      <c r="H353" s="126"/>
      <c r="I353" s="297"/>
      <c r="J353" s="297"/>
      <c r="K353" s="297"/>
      <c r="L353" s="216">
        <f t="shared" si="10"/>
        <v>0</v>
      </c>
      <c r="M353" s="159" t="str">
        <f t="shared" si="11"/>
        <v/>
      </c>
      <c r="O353" s="158"/>
    </row>
    <row r="354" spans="1:15" x14ac:dyDescent="0.25">
      <c r="A354" s="126"/>
      <c r="B354" s="296"/>
      <c r="C354" s="126"/>
      <c r="D354" s="126"/>
      <c r="E354" s="126"/>
      <c r="F354" s="126"/>
      <c r="G354" s="298"/>
      <c r="H354" s="126"/>
      <c r="I354" s="297"/>
      <c r="J354" s="297"/>
      <c r="K354" s="297"/>
      <c r="L354" s="216">
        <f t="shared" si="10"/>
        <v>0</v>
      </c>
      <c r="M354" s="159" t="str">
        <f t="shared" si="11"/>
        <v/>
      </c>
      <c r="O354" s="158"/>
    </row>
    <row r="355" spans="1:15" x14ac:dyDescent="0.25">
      <c r="A355" s="126"/>
      <c r="B355" s="296"/>
      <c r="C355" s="126"/>
      <c r="D355" s="126"/>
      <c r="E355" s="126"/>
      <c r="F355" s="126"/>
      <c r="G355" s="298"/>
      <c r="H355" s="126"/>
      <c r="I355" s="297"/>
      <c r="J355" s="297"/>
      <c r="K355" s="297"/>
      <c r="L355" s="216">
        <f t="shared" si="10"/>
        <v>0</v>
      </c>
      <c r="M355" s="159" t="str">
        <f t="shared" si="11"/>
        <v/>
      </c>
      <c r="O355" s="158"/>
    </row>
    <row r="356" spans="1:15" x14ac:dyDescent="0.25">
      <c r="A356" s="126"/>
      <c r="B356" s="296"/>
      <c r="C356" s="126"/>
      <c r="D356" s="126"/>
      <c r="E356" s="126"/>
      <c r="F356" s="126"/>
      <c r="G356" s="298"/>
      <c r="H356" s="126"/>
      <c r="I356" s="297"/>
      <c r="J356" s="297"/>
      <c r="K356" s="297"/>
      <c r="L356" s="216">
        <f t="shared" si="10"/>
        <v>0</v>
      </c>
      <c r="M356" s="159" t="str">
        <f t="shared" si="11"/>
        <v/>
      </c>
      <c r="O356" s="158"/>
    </row>
    <row r="357" spans="1:15" x14ac:dyDescent="0.25">
      <c r="A357" s="126"/>
      <c r="B357" s="296"/>
      <c r="C357" s="126"/>
      <c r="D357" s="126"/>
      <c r="E357" s="126"/>
      <c r="F357" s="126"/>
      <c r="G357" s="298"/>
      <c r="H357" s="126"/>
      <c r="I357" s="297"/>
      <c r="J357" s="297"/>
      <c r="K357" s="297"/>
      <c r="L357" s="216">
        <f t="shared" si="10"/>
        <v>0</v>
      </c>
      <c r="M357" s="159" t="str">
        <f t="shared" si="11"/>
        <v/>
      </c>
      <c r="O357" s="158"/>
    </row>
    <row r="358" spans="1:15" x14ac:dyDescent="0.25">
      <c r="A358" s="126"/>
      <c r="B358" s="296"/>
      <c r="C358" s="126"/>
      <c r="D358" s="126"/>
      <c r="E358" s="126"/>
      <c r="F358" s="126"/>
      <c r="G358" s="298"/>
      <c r="H358" s="126"/>
      <c r="I358" s="297"/>
      <c r="J358" s="297"/>
      <c r="K358" s="297"/>
      <c r="L358" s="216">
        <f t="shared" si="10"/>
        <v>0</v>
      </c>
      <c r="M358" s="159" t="str">
        <f t="shared" si="11"/>
        <v/>
      </c>
      <c r="O358" s="158"/>
    </row>
    <row r="359" spans="1:15" x14ac:dyDescent="0.25">
      <c r="A359" s="126"/>
      <c r="B359" s="296"/>
      <c r="C359" s="126"/>
      <c r="D359" s="126"/>
      <c r="E359" s="126"/>
      <c r="F359" s="126"/>
      <c r="G359" s="298"/>
      <c r="H359" s="126"/>
      <c r="I359" s="297"/>
      <c r="J359" s="297"/>
      <c r="K359" s="297"/>
      <c r="L359" s="216">
        <f t="shared" si="10"/>
        <v>0</v>
      </c>
      <c r="M359" s="159" t="str">
        <f t="shared" si="11"/>
        <v/>
      </c>
      <c r="O359" s="158"/>
    </row>
    <row r="360" spans="1:15" x14ac:dyDescent="0.25">
      <c r="A360" s="126"/>
      <c r="B360" s="296"/>
      <c r="C360" s="126"/>
      <c r="D360" s="126"/>
      <c r="E360" s="126"/>
      <c r="F360" s="126"/>
      <c r="G360" s="298"/>
      <c r="H360" s="126"/>
      <c r="I360" s="297"/>
      <c r="J360" s="297"/>
      <c r="K360" s="297"/>
      <c r="L360" s="216">
        <f t="shared" si="10"/>
        <v>0</v>
      </c>
      <c r="M360" s="159" t="str">
        <f t="shared" si="11"/>
        <v/>
      </c>
      <c r="O360" s="158"/>
    </row>
    <row r="361" spans="1:15" x14ac:dyDescent="0.25">
      <c r="A361" s="126"/>
      <c r="B361" s="296"/>
      <c r="C361" s="126"/>
      <c r="D361" s="126"/>
      <c r="E361" s="126"/>
      <c r="F361" s="126"/>
      <c r="G361" s="298"/>
      <c r="H361" s="126"/>
      <c r="I361" s="297"/>
      <c r="J361" s="297"/>
      <c r="K361" s="297"/>
      <c r="L361" s="216">
        <f t="shared" si="10"/>
        <v>0</v>
      </c>
      <c r="M361" s="159" t="str">
        <f t="shared" si="11"/>
        <v/>
      </c>
      <c r="O361" s="158"/>
    </row>
    <row r="362" spans="1:15" x14ac:dyDescent="0.25">
      <c r="A362" s="126"/>
      <c r="B362" s="296"/>
      <c r="C362" s="126"/>
      <c r="D362" s="126"/>
      <c r="E362" s="126"/>
      <c r="F362" s="126"/>
      <c r="G362" s="298"/>
      <c r="H362" s="126"/>
      <c r="I362" s="297"/>
      <c r="J362" s="297"/>
      <c r="K362" s="297"/>
      <c r="L362" s="216">
        <f t="shared" si="10"/>
        <v>0</v>
      </c>
      <c r="M362" s="159" t="str">
        <f t="shared" si="11"/>
        <v/>
      </c>
      <c r="O362" s="158"/>
    </row>
    <row r="363" spans="1:15" x14ac:dyDescent="0.25">
      <c r="A363" s="126"/>
      <c r="B363" s="296"/>
      <c r="C363" s="126"/>
      <c r="D363" s="126"/>
      <c r="E363" s="126"/>
      <c r="F363" s="126"/>
      <c r="G363" s="298"/>
      <c r="H363" s="126"/>
      <c r="I363" s="297"/>
      <c r="J363" s="297"/>
      <c r="K363" s="297"/>
      <c r="L363" s="216">
        <f t="shared" si="10"/>
        <v>0</v>
      </c>
      <c r="M363" s="159" t="str">
        <f t="shared" si="11"/>
        <v/>
      </c>
      <c r="O363" s="158"/>
    </row>
    <row r="364" spans="1:15" x14ac:dyDescent="0.25">
      <c r="A364" s="126"/>
      <c r="B364" s="296"/>
      <c r="C364" s="126"/>
      <c r="D364" s="126"/>
      <c r="E364" s="126"/>
      <c r="F364" s="126"/>
      <c r="G364" s="298"/>
      <c r="H364" s="126"/>
      <c r="I364" s="297"/>
      <c r="J364" s="297"/>
      <c r="K364" s="297"/>
      <c r="L364" s="216">
        <f t="shared" si="10"/>
        <v>0</v>
      </c>
      <c r="M364" s="159" t="str">
        <f t="shared" si="11"/>
        <v/>
      </c>
      <c r="O364" s="158"/>
    </row>
    <row r="365" spans="1:15" x14ac:dyDescent="0.25">
      <c r="A365" s="126"/>
      <c r="B365" s="296"/>
      <c r="C365" s="126"/>
      <c r="D365" s="126"/>
      <c r="E365" s="126"/>
      <c r="F365" s="126"/>
      <c r="G365" s="298"/>
      <c r="H365" s="126"/>
      <c r="I365" s="297"/>
      <c r="J365" s="297"/>
      <c r="K365" s="297"/>
      <c r="L365" s="216">
        <f t="shared" si="10"/>
        <v>0</v>
      </c>
      <c r="M365" s="159" t="str">
        <f t="shared" si="11"/>
        <v/>
      </c>
      <c r="O365" s="158"/>
    </row>
    <row r="366" spans="1:15" x14ac:dyDescent="0.25">
      <c r="A366" s="126"/>
      <c r="B366" s="296"/>
      <c r="C366" s="126"/>
      <c r="D366" s="126"/>
      <c r="E366" s="126"/>
      <c r="F366" s="126"/>
      <c r="G366" s="298"/>
      <c r="H366" s="126"/>
      <c r="I366" s="297"/>
      <c r="J366" s="297"/>
      <c r="K366" s="297"/>
      <c r="L366" s="216">
        <f t="shared" si="10"/>
        <v>0</v>
      </c>
      <c r="M366" s="159" t="str">
        <f t="shared" si="11"/>
        <v/>
      </c>
      <c r="O366" s="158"/>
    </row>
    <row r="367" spans="1:15" x14ac:dyDescent="0.25">
      <c r="A367" s="126"/>
      <c r="B367" s="296"/>
      <c r="C367" s="126"/>
      <c r="D367" s="126"/>
      <c r="E367" s="126"/>
      <c r="F367" s="126"/>
      <c r="G367" s="298"/>
      <c r="H367" s="126"/>
      <c r="I367" s="297"/>
      <c r="J367" s="297"/>
      <c r="K367" s="297"/>
      <c r="L367" s="216">
        <f t="shared" si="10"/>
        <v>0</v>
      </c>
      <c r="M367" s="159" t="str">
        <f t="shared" si="11"/>
        <v/>
      </c>
      <c r="O367" s="158"/>
    </row>
    <row r="368" spans="1:15" x14ac:dyDescent="0.25">
      <c r="A368" s="126"/>
      <c r="B368" s="296"/>
      <c r="C368" s="126"/>
      <c r="D368" s="126"/>
      <c r="E368" s="126"/>
      <c r="F368" s="126"/>
      <c r="G368" s="298"/>
      <c r="H368" s="126"/>
      <c r="I368" s="297"/>
      <c r="J368" s="297"/>
      <c r="K368" s="297"/>
      <c r="L368" s="216">
        <f t="shared" si="10"/>
        <v>0</v>
      </c>
      <c r="M368" s="159" t="str">
        <f t="shared" si="11"/>
        <v/>
      </c>
      <c r="O368" s="158"/>
    </row>
    <row r="369" spans="1:15" x14ac:dyDescent="0.25">
      <c r="A369" s="126"/>
      <c r="B369" s="296"/>
      <c r="C369" s="126"/>
      <c r="D369" s="126"/>
      <c r="E369" s="126"/>
      <c r="F369" s="126"/>
      <c r="G369" s="298"/>
      <c r="H369" s="126"/>
      <c r="I369" s="297"/>
      <c r="J369" s="297"/>
      <c r="K369" s="297"/>
      <c r="L369" s="216">
        <f t="shared" si="10"/>
        <v>0</v>
      </c>
      <c r="M369" s="159" t="str">
        <f t="shared" si="11"/>
        <v/>
      </c>
      <c r="O369" s="158"/>
    </row>
    <row r="370" spans="1:15" x14ac:dyDescent="0.25">
      <c r="A370" s="126"/>
      <c r="B370" s="296"/>
      <c r="C370" s="126"/>
      <c r="D370" s="126"/>
      <c r="E370" s="126"/>
      <c r="F370" s="126"/>
      <c r="G370" s="298"/>
      <c r="H370" s="126"/>
      <c r="I370" s="297"/>
      <c r="J370" s="297"/>
      <c r="K370" s="297"/>
      <c r="L370" s="216">
        <f t="shared" si="10"/>
        <v>0</v>
      </c>
      <c r="M370" s="159" t="str">
        <f t="shared" si="11"/>
        <v/>
      </c>
      <c r="O370" s="158"/>
    </row>
    <row r="371" spans="1:15" x14ac:dyDescent="0.25">
      <c r="A371" s="126"/>
      <c r="B371" s="296"/>
      <c r="C371" s="126"/>
      <c r="D371" s="126"/>
      <c r="E371" s="126"/>
      <c r="F371" s="126"/>
      <c r="G371" s="298"/>
      <c r="H371" s="126"/>
      <c r="I371" s="297"/>
      <c r="J371" s="297"/>
      <c r="K371" s="297"/>
      <c r="L371" s="216">
        <f t="shared" si="10"/>
        <v>0</v>
      </c>
      <c r="M371" s="159" t="str">
        <f t="shared" si="11"/>
        <v/>
      </c>
      <c r="O371" s="158"/>
    </row>
    <row r="372" spans="1:15" x14ac:dyDescent="0.25">
      <c r="A372" s="126"/>
      <c r="B372" s="296"/>
      <c r="C372" s="126"/>
      <c r="D372" s="126"/>
      <c r="E372" s="126"/>
      <c r="F372" s="126"/>
      <c r="G372" s="298"/>
      <c r="H372" s="126"/>
      <c r="I372" s="297"/>
      <c r="J372" s="297"/>
      <c r="K372" s="297"/>
      <c r="L372" s="216">
        <f t="shared" si="10"/>
        <v>0</v>
      </c>
      <c r="M372" s="159" t="str">
        <f t="shared" si="11"/>
        <v/>
      </c>
      <c r="O372" s="158"/>
    </row>
    <row r="373" spans="1:15" x14ac:dyDescent="0.25">
      <c r="A373" s="126"/>
      <c r="B373" s="296"/>
      <c r="C373" s="126"/>
      <c r="D373" s="126"/>
      <c r="E373" s="126"/>
      <c r="F373" s="126"/>
      <c r="G373" s="298"/>
      <c r="H373" s="126"/>
      <c r="I373" s="297"/>
      <c r="J373" s="297"/>
      <c r="K373" s="297"/>
      <c r="L373" s="216">
        <f t="shared" si="10"/>
        <v>0</v>
      </c>
      <c r="M373" s="159" t="str">
        <f t="shared" si="11"/>
        <v/>
      </c>
      <c r="O373" s="158"/>
    </row>
    <row r="374" spans="1:15" x14ac:dyDescent="0.25">
      <c r="A374" s="126"/>
      <c r="B374" s="296"/>
      <c r="C374" s="126"/>
      <c r="D374" s="126"/>
      <c r="E374" s="126"/>
      <c r="F374" s="126"/>
      <c r="G374" s="298"/>
      <c r="H374" s="126"/>
      <c r="I374" s="297"/>
      <c r="J374" s="297"/>
      <c r="K374" s="297"/>
      <c r="L374" s="216">
        <f t="shared" si="10"/>
        <v>0</v>
      </c>
      <c r="M374" s="159" t="str">
        <f t="shared" si="11"/>
        <v/>
      </c>
      <c r="O374" s="158"/>
    </row>
    <row r="375" spans="1:15" x14ac:dyDescent="0.25">
      <c r="A375" s="126"/>
      <c r="B375" s="296"/>
      <c r="C375" s="126"/>
      <c r="D375" s="126"/>
      <c r="E375" s="126"/>
      <c r="F375" s="126"/>
      <c r="G375" s="298"/>
      <c r="H375" s="126"/>
      <c r="I375" s="297"/>
      <c r="J375" s="297"/>
      <c r="K375" s="297"/>
      <c r="L375" s="216">
        <f t="shared" si="10"/>
        <v>0</v>
      </c>
      <c r="M375" s="159" t="str">
        <f t="shared" si="11"/>
        <v/>
      </c>
      <c r="O375" s="158"/>
    </row>
    <row r="376" spans="1:15" x14ac:dyDescent="0.25">
      <c r="A376" s="126"/>
      <c r="B376" s="296"/>
      <c r="C376" s="126"/>
      <c r="D376" s="126"/>
      <c r="E376" s="126"/>
      <c r="F376" s="126"/>
      <c r="G376" s="298"/>
      <c r="H376" s="126"/>
      <c r="I376" s="297"/>
      <c r="J376" s="297"/>
      <c r="K376" s="297"/>
      <c r="L376" s="216">
        <f t="shared" si="10"/>
        <v>0</v>
      </c>
      <c r="M376" s="159" t="str">
        <f t="shared" si="11"/>
        <v/>
      </c>
      <c r="O376" s="158"/>
    </row>
    <row r="377" spans="1:15" x14ac:dyDescent="0.25">
      <c r="A377" s="126"/>
      <c r="B377" s="296"/>
      <c r="C377" s="126"/>
      <c r="D377" s="126"/>
      <c r="E377" s="126"/>
      <c r="F377" s="126"/>
      <c r="G377" s="298"/>
      <c r="H377" s="126"/>
      <c r="I377" s="297"/>
      <c r="J377" s="297"/>
      <c r="K377" s="297"/>
      <c r="L377" s="216">
        <f t="shared" si="10"/>
        <v>0</v>
      </c>
      <c r="M377" s="159" t="str">
        <f t="shared" si="11"/>
        <v/>
      </c>
      <c r="O377" s="158"/>
    </row>
    <row r="378" spans="1:15" x14ac:dyDescent="0.25">
      <c r="A378" s="126"/>
      <c r="B378" s="296"/>
      <c r="C378" s="126"/>
      <c r="D378" s="126"/>
      <c r="E378" s="126"/>
      <c r="F378" s="126"/>
      <c r="G378" s="298"/>
      <c r="H378" s="126"/>
      <c r="I378" s="297"/>
      <c r="J378" s="297"/>
      <c r="K378" s="297"/>
      <c r="L378" s="216">
        <f t="shared" si="10"/>
        <v>0</v>
      </c>
      <c r="M378" s="159" t="str">
        <f t="shared" si="11"/>
        <v/>
      </c>
      <c r="O378" s="158"/>
    </row>
    <row r="379" spans="1:15" x14ac:dyDescent="0.25">
      <c r="A379" s="126"/>
      <c r="B379" s="296"/>
      <c r="C379" s="126"/>
      <c r="D379" s="126"/>
      <c r="E379" s="126"/>
      <c r="F379" s="126"/>
      <c r="G379" s="298"/>
      <c r="H379" s="126"/>
      <c r="I379" s="297"/>
      <c r="J379" s="297"/>
      <c r="K379" s="297"/>
      <c r="L379" s="216">
        <f t="shared" si="10"/>
        <v>0</v>
      </c>
      <c r="M379" s="159" t="str">
        <f t="shared" si="11"/>
        <v/>
      </c>
      <c r="O379" s="158"/>
    </row>
    <row r="380" spans="1:15" x14ac:dyDescent="0.25">
      <c r="A380" s="126"/>
      <c r="B380" s="296"/>
      <c r="C380" s="126"/>
      <c r="D380" s="126"/>
      <c r="E380" s="126"/>
      <c r="F380" s="126"/>
      <c r="G380" s="298"/>
      <c r="H380" s="126"/>
      <c r="I380" s="297"/>
      <c r="J380" s="297"/>
      <c r="K380" s="297"/>
      <c r="L380" s="216">
        <f t="shared" si="10"/>
        <v>0</v>
      </c>
      <c r="M380" s="159" t="str">
        <f t="shared" si="11"/>
        <v/>
      </c>
      <c r="O380" s="158"/>
    </row>
    <row r="381" spans="1:15" x14ac:dyDescent="0.25">
      <c r="A381" s="126"/>
      <c r="B381" s="296"/>
      <c r="C381" s="126"/>
      <c r="D381" s="126"/>
      <c r="E381" s="126"/>
      <c r="F381" s="126"/>
      <c r="G381" s="298"/>
      <c r="H381" s="126"/>
      <c r="I381" s="297"/>
      <c r="J381" s="297"/>
      <c r="K381" s="297"/>
      <c r="L381" s="216">
        <f t="shared" si="10"/>
        <v>0</v>
      </c>
      <c r="M381" s="159" t="str">
        <f t="shared" si="11"/>
        <v/>
      </c>
      <c r="O381" s="158"/>
    </row>
    <row r="382" spans="1:15" x14ac:dyDescent="0.25">
      <c r="A382" s="126"/>
      <c r="B382" s="296"/>
      <c r="C382" s="126"/>
      <c r="D382" s="126"/>
      <c r="E382" s="126"/>
      <c r="F382" s="126"/>
      <c r="G382" s="298"/>
      <c r="H382" s="126"/>
      <c r="I382" s="297"/>
      <c r="J382" s="297"/>
      <c r="K382" s="297"/>
      <c r="L382" s="216">
        <f t="shared" si="10"/>
        <v>0</v>
      </c>
      <c r="M382" s="159" t="str">
        <f t="shared" si="11"/>
        <v/>
      </c>
      <c r="O382" s="158"/>
    </row>
    <row r="383" spans="1:15" x14ac:dyDescent="0.25">
      <c r="A383" s="126"/>
      <c r="B383" s="296"/>
      <c r="C383" s="126"/>
      <c r="D383" s="126"/>
      <c r="E383" s="126"/>
      <c r="F383" s="126"/>
      <c r="G383" s="298"/>
      <c r="H383" s="126"/>
      <c r="I383" s="297"/>
      <c r="J383" s="297"/>
      <c r="K383" s="297"/>
      <c r="L383" s="216">
        <f t="shared" si="10"/>
        <v>0</v>
      </c>
      <c r="M383" s="159" t="str">
        <f t="shared" si="11"/>
        <v/>
      </c>
      <c r="O383" s="158"/>
    </row>
    <row r="384" spans="1:15" x14ac:dyDescent="0.25">
      <c r="A384" s="126"/>
      <c r="B384" s="296"/>
      <c r="C384" s="126"/>
      <c r="D384" s="126"/>
      <c r="E384" s="126"/>
      <c r="F384" s="126"/>
      <c r="G384" s="298"/>
      <c r="H384" s="126"/>
      <c r="I384" s="297"/>
      <c r="J384" s="297"/>
      <c r="K384" s="297"/>
      <c r="L384" s="216">
        <f t="shared" si="10"/>
        <v>0</v>
      </c>
      <c r="M384" s="159" t="str">
        <f t="shared" si="11"/>
        <v/>
      </c>
      <c r="O384" s="158"/>
    </row>
    <row r="385" spans="1:15" x14ac:dyDescent="0.25">
      <c r="A385" s="126"/>
      <c r="B385" s="296"/>
      <c r="C385" s="126"/>
      <c r="D385" s="126"/>
      <c r="E385" s="126"/>
      <c r="F385" s="126"/>
      <c r="G385" s="298"/>
      <c r="H385" s="126"/>
      <c r="I385" s="297"/>
      <c r="J385" s="297"/>
      <c r="K385" s="297"/>
      <c r="L385" s="216">
        <f t="shared" si="10"/>
        <v>0</v>
      </c>
      <c r="M385" s="159" t="str">
        <f t="shared" si="11"/>
        <v/>
      </c>
      <c r="O385" s="158"/>
    </row>
    <row r="386" spans="1:15" x14ac:dyDescent="0.25">
      <c r="A386" s="126"/>
      <c r="B386" s="296"/>
      <c r="C386" s="126"/>
      <c r="D386" s="126"/>
      <c r="E386" s="126"/>
      <c r="F386" s="126"/>
      <c r="G386" s="298"/>
      <c r="H386" s="126"/>
      <c r="I386" s="297"/>
      <c r="J386" s="297"/>
      <c r="K386" s="297"/>
      <c r="L386" s="216">
        <f t="shared" ref="L386:L449" si="12">K386*1.1</f>
        <v>0</v>
      </c>
      <c r="M386" s="159" t="str">
        <f t="shared" ref="M386:M449" si="13">IF(ISNUMBER(SEARCH("Azarine",H386)),"AZARINE",IF(ISNUMBER(SEARCH("Baking Soda",H386)),"BAKING SODA",IF(ISNUMBER(SEARCH("Fujitsu",H386)),"FUJITSU",IF(ISNUMBER(SEARCH("Coleman",H386)),"COLEMAN",""))))</f>
        <v/>
      </c>
      <c r="O386" s="158"/>
    </row>
    <row r="387" spans="1:15" x14ac:dyDescent="0.25">
      <c r="A387" s="126"/>
      <c r="B387" s="296"/>
      <c r="C387" s="126"/>
      <c r="D387" s="126"/>
      <c r="E387" s="126"/>
      <c r="F387" s="126"/>
      <c r="G387" s="298"/>
      <c r="H387" s="126"/>
      <c r="I387" s="297"/>
      <c r="J387" s="297"/>
      <c r="K387" s="297"/>
      <c r="L387" s="216">
        <f t="shared" si="12"/>
        <v>0</v>
      </c>
      <c r="M387" s="159" t="str">
        <f t="shared" si="13"/>
        <v/>
      </c>
      <c r="O387" s="158"/>
    </row>
    <row r="388" spans="1:15" x14ac:dyDescent="0.25">
      <c r="A388" s="126"/>
      <c r="B388" s="296"/>
      <c r="C388" s="126"/>
      <c r="D388" s="126"/>
      <c r="E388" s="126"/>
      <c r="F388" s="126"/>
      <c r="G388" s="298"/>
      <c r="H388" s="126"/>
      <c r="I388" s="297"/>
      <c r="J388" s="297"/>
      <c r="K388" s="297"/>
      <c r="L388" s="216">
        <f t="shared" si="12"/>
        <v>0</v>
      </c>
      <c r="M388" s="159" t="str">
        <f t="shared" si="13"/>
        <v/>
      </c>
      <c r="O388" s="158"/>
    </row>
    <row r="389" spans="1:15" x14ac:dyDescent="0.25">
      <c r="A389" s="126"/>
      <c r="B389" s="296"/>
      <c r="C389" s="126"/>
      <c r="D389" s="126"/>
      <c r="E389" s="126"/>
      <c r="F389" s="126"/>
      <c r="G389" s="298"/>
      <c r="H389" s="126"/>
      <c r="I389" s="297"/>
      <c r="J389" s="297"/>
      <c r="K389" s="297"/>
      <c r="L389" s="216">
        <f t="shared" si="12"/>
        <v>0</v>
      </c>
      <c r="M389" s="159" t="str">
        <f t="shared" si="13"/>
        <v/>
      </c>
      <c r="O389" s="158"/>
    </row>
    <row r="390" spans="1:15" x14ac:dyDescent="0.25">
      <c r="A390" s="126"/>
      <c r="B390" s="296"/>
      <c r="C390" s="126"/>
      <c r="D390" s="126"/>
      <c r="E390" s="126"/>
      <c r="F390" s="126"/>
      <c r="G390" s="298"/>
      <c r="H390" s="126"/>
      <c r="I390" s="297"/>
      <c r="J390" s="297"/>
      <c r="K390" s="297"/>
      <c r="L390" s="216">
        <f t="shared" si="12"/>
        <v>0</v>
      </c>
      <c r="M390" s="159" t="str">
        <f t="shared" si="13"/>
        <v/>
      </c>
      <c r="O390" s="158"/>
    </row>
    <row r="391" spans="1:15" x14ac:dyDescent="0.25">
      <c r="A391" s="126"/>
      <c r="B391" s="296"/>
      <c r="C391" s="126"/>
      <c r="D391" s="126"/>
      <c r="E391" s="126"/>
      <c r="F391" s="126"/>
      <c r="G391" s="298"/>
      <c r="H391" s="126"/>
      <c r="I391" s="297"/>
      <c r="J391" s="297"/>
      <c r="K391" s="297"/>
      <c r="L391" s="216">
        <f t="shared" si="12"/>
        <v>0</v>
      </c>
      <c r="M391" s="159" t="str">
        <f t="shared" si="13"/>
        <v/>
      </c>
      <c r="O391" s="158"/>
    </row>
    <row r="392" spans="1:15" x14ac:dyDescent="0.25">
      <c r="A392" s="126"/>
      <c r="B392" s="296"/>
      <c r="C392" s="126"/>
      <c r="D392" s="126"/>
      <c r="E392" s="126"/>
      <c r="F392" s="126"/>
      <c r="G392" s="298"/>
      <c r="H392" s="126"/>
      <c r="I392" s="297"/>
      <c r="J392" s="297"/>
      <c r="K392" s="297"/>
      <c r="L392" s="216">
        <f t="shared" si="12"/>
        <v>0</v>
      </c>
      <c r="M392" s="159" t="str">
        <f t="shared" si="13"/>
        <v/>
      </c>
      <c r="O392" s="158"/>
    </row>
    <row r="393" spans="1:15" x14ac:dyDescent="0.25">
      <c r="A393" s="126"/>
      <c r="B393" s="296"/>
      <c r="C393" s="126"/>
      <c r="D393" s="126"/>
      <c r="E393" s="126"/>
      <c r="F393" s="126"/>
      <c r="G393" s="298"/>
      <c r="H393" s="126"/>
      <c r="I393" s="297"/>
      <c r="J393" s="297"/>
      <c r="K393" s="297"/>
      <c r="L393" s="216">
        <f t="shared" si="12"/>
        <v>0</v>
      </c>
      <c r="M393" s="159" t="str">
        <f t="shared" si="13"/>
        <v/>
      </c>
      <c r="O393" s="158"/>
    </row>
    <row r="394" spans="1:15" x14ac:dyDescent="0.25">
      <c r="A394" s="126"/>
      <c r="B394" s="296"/>
      <c r="C394" s="126"/>
      <c r="D394" s="126"/>
      <c r="E394" s="126"/>
      <c r="F394" s="126"/>
      <c r="G394" s="298"/>
      <c r="H394" s="126"/>
      <c r="I394" s="297"/>
      <c r="J394" s="297"/>
      <c r="K394" s="297"/>
      <c r="L394" s="216">
        <f t="shared" si="12"/>
        <v>0</v>
      </c>
      <c r="M394" s="159" t="str">
        <f t="shared" si="13"/>
        <v/>
      </c>
      <c r="O394" s="158"/>
    </row>
    <row r="395" spans="1:15" x14ac:dyDescent="0.25">
      <c r="A395" s="126"/>
      <c r="B395" s="296"/>
      <c r="C395" s="126"/>
      <c r="D395" s="126"/>
      <c r="E395" s="126"/>
      <c r="F395" s="126"/>
      <c r="G395" s="298"/>
      <c r="H395" s="126"/>
      <c r="I395" s="297"/>
      <c r="J395" s="297"/>
      <c r="K395" s="297"/>
      <c r="L395" s="216">
        <f t="shared" si="12"/>
        <v>0</v>
      </c>
      <c r="M395" s="159" t="str">
        <f t="shared" si="13"/>
        <v/>
      </c>
      <c r="O395" s="158"/>
    </row>
    <row r="396" spans="1:15" x14ac:dyDescent="0.25">
      <c r="A396" s="126"/>
      <c r="B396" s="296"/>
      <c r="C396" s="126"/>
      <c r="D396" s="126"/>
      <c r="E396" s="126"/>
      <c r="F396" s="126"/>
      <c r="G396" s="298"/>
      <c r="H396" s="126"/>
      <c r="I396" s="297"/>
      <c r="J396" s="297"/>
      <c r="K396" s="297"/>
      <c r="L396" s="216">
        <f t="shared" si="12"/>
        <v>0</v>
      </c>
      <c r="M396" s="159" t="str">
        <f t="shared" si="13"/>
        <v/>
      </c>
      <c r="O396" s="158"/>
    </row>
    <row r="397" spans="1:15" x14ac:dyDescent="0.25">
      <c r="A397" s="126"/>
      <c r="B397" s="296"/>
      <c r="C397" s="126"/>
      <c r="D397" s="126"/>
      <c r="E397" s="126"/>
      <c r="F397" s="126"/>
      <c r="G397" s="298"/>
      <c r="H397" s="126"/>
      <c r="I397" s="297"/>
      <c r="J397" s="297"/>
      <c r="K397" s="297"/>
      <c r="L397" s="216">
        <f t="shared" si="12"/>
        <v>0</v>
      </c>
      <c r="M397" s="159" t="str">
        <f t="shared" si="13"/>
        <v/>
      </c>
      <c r="O397" s="158"/>
    </row>
    <row r="398" spans="1:15" x14ac:dyDescent="0.25">
      <c r="A398" s="126"/>
      <c r="B398" s="296"/>
      <c r="C398" s="126"/>
      <c r="D398" s="126"/>
      <c r="E398" s="126"/>
      <c r="F398" s="126"/>
      <c r="G398" s="298"/>
      <c r="H398" s="126"/>
      <c r="I398" s="297"/>
      <c r="J398" s="297"/>
      <c r="K398" s="297"/>
      <c r="L398" s="216">
        <f t="shared" si="12"/>
        <v>0</v>
      </c>
      <c r="M398" s="159" t="str">
        <f t="shared" si="13"/>
        <v/>
      </c>
      <c r="O398" s="158"/>
    </row>
    <row r="399" spans="1:15" x14ac:dyDescent="0.25">
      <c r="A399" s="126"/>
      <c r="B399" s="296"/>
      <c r="C399" s="126"/>
      <c r="D399" s="126"/>
      <c r="E399" s="126"/>
      <c r="F399" s="126"/>
      <c r="G399" s="298"/>
      <c r="H399" s="126"/>
      <c r="I399" s="297"/>
      <c r="J399" s="297"/>
      <c r="K399" s="297"/>
      <c r="L399" s="216">
        <f t="shared" si="12"/>
        <v>0</v>
      </c>
      <c r="M399" s="159" t="str">
        <f t="shared" si="13"/>
        <v/>
      </c>
      <c r="O399" s="158"/>
    </row>
    <row r="400" spans="1:15" x14ac:dyDescent="0.25">
      <c r="A400" s="126"/>
      <c r="B400" s="296"/>
      <c r="C400" s="126"/>
      <c r="D400" s="126"/>
      <c r="E400" s="126"/>
      <c r="F400" s="126"/>
      <c r="G400" s="298"/>
      <c r="H400" s="126"/>
      <c r="I400" s="297"/>
      <c r="J400" s="297"/>
      <c r="K400" s="297"/>
      <c r="L400" s="216">
        <f t="shared" si="12"/>
        <v>0</v>
      </c>
      <c r="M400" s="159" t="str">
        <f t="shared" si="13"/>
        <v/>
      </c>
      <c r="O400" s="158"/>
    </row>
    <row r="401" spans="1:15" x14ac:dyDescent="0.25">
      <c r="A401" s="126"/>
      <c r="B401" s="296"/>
      <c r="C401" s="126"/>
      <c r="D401" s="126"/>
      <c r="E401" s="126"/>
      <c r="F401" s="126"/>
      <c r="G401" s="298"/>
      <c r="H401" s="126"/>
      <c r="I401" s="297"/>
      <c r="J401" s="297"/>
      <c r="K401" s="297"/>
      <c r="L401" s="216">
        <f t="shared" si="12"/>
        <v>0</v>
      </c>
      <c r="M401" s="159" t="str">
        <f t="shared" si="13"/>
        <v/>
      </c>
      <c r="O401" s="158"/>
    </row>
    <row r="402" spans="1:15" x14ac:dyDescent="0.25">
      <c r="A402" s="126"/>
      <c r="B402" s="296"/>
      <c r="C402" s="126"/>
      <c r="D402" s="126"/>
      <c r="E402" s="126"/>
      <c r="F402" s="126"/>
      <c r="G402" s="298"/>
      <c r="H402" s="126"/>
      <c r="I402" s="297"/>
      <c r="J402" s="297"/>
      <c r="K402" s="297"/>
      <c r="L402" s="216">
        <f t="shared" si="12"/>
        <v>0</v>
      </c>
      <c r="M402" s="159" t="str">
        <f t="shared" si="13"/>
        <v/>
      </c>
      <c r="O402" s="158"/>
    </row>
    <row r="403" spans="1:15" x14ac:dyDescent="0.25">
      <c r="A403" s="126"/>
      <c r="B403" s="296"/>
      <c r="C403" s="126"/>
      <c r="D403" s="126"/>
      <c r="E403" s="126"/>
      <c r="F403" s="126"/>
      <c r="G403" s="298"/>
      <c r="H403" s="126"/>
      <c r="I403" s="297"/>
      <c r="J403" s="297"/>
      <c r="K403" s="297"/>
      <c r="L403" s="216">
        <f t="shared" si="12"/>
        <v>0</v>
      </c>
      <c r="M403" s="159" t="str">
        <f t="shared" si="13"/>
        <v/>
      </c>
      <c r="O403" s="158"/>
    </row>
    <row r="404" spans="1:15" x14ac:dyDescent="0.25">
      <c r="A404" s="126"/>
      <c r="B404" s="296"/>
      <c r="C404" s="126"/>
      <c r="D404" s="126"/>
      <c r="E404" s="126"/>
      <c r="F404" s="126"/>
      <c r="G404" s="298"/>
      <c r="H404" s="126"/>
      <c r="I404" s="297"/>
      <c r="J404" s="297"/>
      <c r="K404" s="297"/>
      <c r="L404" s="216">
        <f t="shared" si="12"/>
        <v>0</v>
      </c>
      <c r="M404" s="159" t="str">
        <f t="shared" si="13"/>
        <v/>
      </c>
      <c r="O404" s="158"/>
    </row>
    <row r="405" spans="1:15" x14ac:dyDescent="0.25">
      <c r="A405" s="126"/>
      <c r="B405" s="296"/>
      <c r="C405" s="126"/>
      <c r="D405" s="126"/>
      <c r="E405" s="126"/>
      <c r="F405" s="126"/>
      <c r="G405" s="298"/>
      <c r="H405" s="126"/>
      <c r="I405" s="297"/>
      <c r="J405" s="297"/>
      <c r="K405" s="297"/>
      <c r="L405" s="216">
        <f t="shared" si="12"/>
        <v>0</v>
      </c>
      <c r="M405" s="159" t="str">
        <f t="shared" si="13"/>
        <v/>
      </c>
      <c r="O405" s="158"/>
    </row>
    <row r="406" spans="1:15" x14ac:dyDescent="0.25">
      <c r="A406" s="126"/>
      <c r="B406" s="296"/>
      <c r="C406" s="126"/>
      <c r="D406" s="126"/>
      <c r="E406" s="126"/>
      <c r="F406" s="126"/>
      <c r="G406" s="298"/>
      <c r="H406" s="126"/>
      <c r="I406" s="297"/>
      <c r="J406" s="297"/>
      <c r="K406" s="297"/>
      <c r="L406" s="216">
        <f t="shared" si="12"/>
        <v>0</v>
      </c>
      <c r="M406" s="159" t="str">
        <f t="shared" si="13"/>
        <v/>
      </c>
      <c r="O406" s="158"/>
    </row>
    <row r="407" spans="1:15" x14ac:dyDescent="0.25">
      <c r="A407" s="126"/>
      <c r="B407" s="296"/>
      <c r="C407" s="126"/>
      <c r="D407" s="126"/>
      <c r="E407" s="126"/>
      <c r="F407" s="126"/>
      <c r="G407" s="298"/>
      <c r="H407" s="126"/>
      <c r="I407" s="297"/>
      <c r="J407" s="297"/>
      <c r="K407" s="297"/>
      <c r="L407" s="216">
        <f t="shared" si="12"/>
        <v>0</v>
      </c>
      <c r="M407" s="159" t="str">
        <f t="shared" si="13"/>
        <v/>
      </c>
      <c r="O407" s="158"/>
    </row>
    <row r="408" spans="1:15" x14ac:dyDescent="0.25">
      <c r="A408" s="126"/>
      <c r="B408" s="296"/>
      <c r="C408" s="126"/>
      <c r="D408" s="126"/>
      <c r="E408" s="126"/>
      <c r="F408" s="126"/>
      <c r="G408" s="298"/>
      <c r="H408" s="126"/>
      <c r="I408" s="297"/>
      <c r="J408" s="297"/>
      <c r="K408" s="297"/>
      <c r="L408" s="216">
        <f t="shared" si="12"/>
        <v>0</v>
      </c>
      <c r="M408" s="159" t="str">
        <f t="shared" si="13"/>
        <v/>
      </c>
      <c r="O408" s="158"/>
    </row>
    <row r="409" spans="1:15" x14ac:dyDescent="0.25">
      <c r="A409" s="126"/>
      <c r="B409" s="296"/>
      <c r="C409" s="126"/>
      <c r="D409" s="126"/>
      <c r="E409" s="126"/>
      <c r="F409" s="126"/>
      <c r="G409" s="298"/>
      <c r="H409" s="126"/>
      <c r="I409" s="297"/>
      <c r="J409" s="297"/>
      <c r="K409" s="297"/>
      <c r="L409" s="216">
        <f t="shared" si="12"/>
        <v>0</v>
      </c>
      <c r="M409" s="159" t="str">
        <f t="shared" si="13"/>
        <v/>
      </c>
      <c r="O409" s="158"/>
    </row>
    <row r="410" spans="1:15" x14ac:dyDescent="0.25">
      <c r="A410" s="126"/>
      <c r="B410" s="296"/>
      <c r="C410" s="126"/>
      <c r="D410" s="126"/>
      <c r="E410" s="126"/>
      <c r="F410" s="126"/>
      <c r="G410" s="298"/>
      <c r="H410" s="126"/>
      <c r="I410" s="297"/>
      <c r="J410" s="297"/>
      <c r="K410" s="297"/>
      <c r="L410" s="216">
        <f t="shared" si="12"/>
        <v>0</v>
      </c>
      <c r="M410" s="159" t="str">
        <f t="shared" si="13"/>
        <v/>
      </c>
      <c r="O410" s="158"/>
    </row>
    <row r="411" spans="1:15" x14ac:dyDescent="0.25">
      <c r="A411" s="126"/>
      <c r="B411" s="296"/>
      <c r="C411" s="126"/>
      <c r="D411" s="126"/>
      <c r="E411" s="126"/>
      <c r="F411" s="126"/>
      <c r="G411" s="298"/>
      <c r="H411" s="126"/>
      <c r="I411" s="297"/>
      <c r="J411" s="297"/>
      <c r="K411" s="297"/>
      <c r="L411" s="216">
        <f t="shared" si="12"/>
        <v>0</v>
      </c>
      <c r="M411" s="159" t="str">
        <f t="shared" si="13"/>
        <v/>
      </c>
      <c r="O411" s="158"/>
    </row>
    <row r="412" spans="1:15" x14ac:dyDescent="0.25">
      <c r="A412" s="126"/>
      <c r="B412" s="296"/>
      <c r="C412" s="126"/>
      <c r="D412" s="126"/>
      <c r="E412" s="126"/>
      <c r="F412" s="126"/>
      <c r="G412" s="298"/>
      <c r="H412" s="126"/>
      <c r="I412" s="297"/>
      <c r="J412" s="297"/>
      <c r="K412" s="297"/>
      <c r="L412" s="216">
        <f t="shared" si="12"/>
        <v>0</v>
      </c>
      <c r="M412" s="159" t="str">
        <f t="shared" si="13"/>
        <v/>
      </c>
      <c r="O412" s="158"/>
    </row>
    <row r="413" spans="1:15" x14ac:dyDescent="0.25">
      <c r="A413" s="126"/>
      <c r="B413" s="296"/>
      <c r="C413" s="126"/>
      <c r="D413" s="126"/>
      <c r="E413" s="126"/>
      <c r="F413" s="126"/>
      <c r="G413" s="298"/>
      <c r="H413" s="126"/>
      <c r="I413" s="297"/>
      <c r="J413" s="297"/>
      <c r="K413" s="297"/>
      <c r="L413" s="216">
        <f t="shared" si="12"/>
        <v>0</v>
      </c>
      <c r="M413" s="159" t="str">
        <f t="shared" si="13"/>
        <v/>
      </c>
      <c r="O413" s="158"/>
    </row>
    <row r="414" spans="1:15" x14ac:dyDescent="0.25">
      <c r="A414" s="126"/>
      <c r="B414" s="296"/>
      <c r="C414" s="126"/>
      <c r="D414" s="126"/>
      <c r="E414" s="126"/>
      <c r="F414" s="126"/>
      <c r="G414" s="298"/>
      <c r="H414" s="126"/>
      <c r="I414" s="297"/>
      <c r="J414" s="297"/>
      <c r="K414" s="297"/>
      <c r="L414" s="216">
        <f t="shared" si="12"/>
        <v>0</v>
      </c>
      <c r="M414" s="159" t="str">
        <f t="shared" si="13"/>
        <v/>
      </c>
      <c r="O414" s="158"/>
    </row>
    <row r="415" spans="1:15" x14ac:dyDescent="0.25">
      <c r="A415" s="126"/>
      <c r="B415" s="296"/>
      <c r="C415" s="126"/>
      <c r="D415" s="126"/>
      <c r="E415" s="126"/>
      <c r="F415" s="126"/>
      <c r="G415" s="298"/>
      <c r="H415" s="126"/>
      <c r="I415" s="297"/>
      <c r="J415" s="297"/>
      <c r="K415" s="297"/>
      <c r="L415" s="216">
        <f t="shared" si="12"/>
        <v>0</v>
      </c>
      <c r="M415" s="159" t="str">
        <f t="shared" si="13"/>
        <v/>
      </c>
      <c r="O415" s="158"/>
    </row>
    <row r="416" spans="1:15" x14ac:dyDescent="0.25">
      <c r="A416" s="126"/>
      <c r="B416" s="296"/>
      <c r="C416" s="126"/>
      <c r="D416" s="126"/>
      <c r="E416" s="126"/>
      <c r="F416" s="126"/>
      <c r="G416" s="298"/>
      <c r="H416" s="126"/>
      <c r="I416" s="297"/>
      <c r="J416" s="297"/>
      <c r="K416" s="297"/>
      <c r="L416" s="216">
        <f t="shared" si="12"/>
        <v>0</v>
      </c>
      <c r="M416" s="159" t="str">
        <f t="shared" si="13"/>
        <v/>
      </c>
      <c r="O416" s="158"/>
    </row>
    <row r="417" spans="1:15" x14ac:dyDescent="0.25">
      <c r="A417" s="126"/>
      <c r="B417" s="296"/>
      <c r="C417" s="126"/>
      <c r="D417" s="126"/>
      <c r="E417" s="126"/>
      <c r="F417" s="126"/>
      <c r="G417" s="298"/>
      <c r="H417" s="126"/>
      <c r="I417" s="297"/>
      <c r="J417" s="297"/>
      <c r="K417" s="297"/>
      <c r="L417" s="216">
        <f t="shared" si="12"/>
        <v>0</v>
      </c>
      <c r="M417" s="159" t="str">
        <f t="shared" si="13"/>
        <v/>
      </c>
      <c r="O417" s="158"/>
    </row>
    <row r="418" spans="1:15" x14ac:dyDescent="0.25">
      <c r="A418" s="126"/>
      <c r="B418" s="296"/>
      <c r="C418" s="126"/>
      <c r="D418" s="126"/>
      <c r="E418" s="126"/>
      <c r="F418" s="126"/>
      <c r="G418" s="298"/>
      <c r="H418" s="126"/>
      <c r="I418" s="297"/>
      <c r="J418" s="297"/>
      <c r="K418" s="297"/>
      <c r="L418" s="216">
        <f t="shared" si="12"/>
        <v>0</v>
      </c>
      <c r="M418" s="159" t="str">
        <f t="shared" si="13"/>
        <v/>
      </c>
      <c r="O418" s="158"/>
    </row>
    <row r="419" spans="1:15" x14ac:dyDescent="0.25">
      <c r="A419" s="126"/>
      <c r="B419" s="296"/>
      <c r="C419" s="126"/>
      <c r="D419" s="126"/>
      <c r="E419" s="126"/>
      <c r="F419" s="126"/>
      <c r="G419" s="298"/>
      <c r="H419" s="126"/>
      <c r="I419" s="297"/>
      <c r="J419" s="297"/>
      <c r="K419" s="297"/>
      <c r="L419" s="216">
        <f t="shared" si="12"/>
        <v>0</v>
      </c>
      <c r="M419" s="159" t="str">
        <f t="shared" si="13"/>
        <v/>
      </c>
      <c r="O419" s="158"/>
    </row>
    <row r="420" spans="1:15" x14ac:dyDescent="0.25">
      <c r="A420" s="126"/>
      <c r="B420" s="296"/>
      <c r="C420" s="126"/>
      <c r="D420" s="126"/>
      <c r="E420" s="126"/>
      <c r="F420" s="126"/>
      <c r="G420" s="298"/>
      <c r="H420" s="126"/>
      <c r="I420" s="297"/>
      <c r="J420" s="297"/>
      <c r="K420" s="297"/>
      <c r="L420" s="216">
        <f t="shared" si="12"/>
        <v>0</v>
      </c>
      <c r="M420" s="159" t="str">
        <f t="shared" si="13"/>
        <v/>
      </c>
      <c r="O420" s="158"/>
    </row>
    <row r="421" spans="1:15" x14ac:dyDescent="0.25">
      <c r="A421" s="126"/>
      <c r="B421" s="296"/>
      <c r="C421" s="126"/>
      <c r="D421" s="126"/>
      <c r="E421" s="126"/>
      <c r="F421" s="126"/>
      <c r="G421" s="298"/>
      <c r="H421" s="126"/>
      <c r="I421" s="297"/>
      <c r="J421" s="297"/>
      <c r="K421" s="297"/>
      <c r="L421" s="216">
        <f t="shared" si="12"/>
        <v>0</v>
      </c>
      <c r="M421" s="159" t="str">
        <f t="shared" si="13"/>
        <v/>
      </c>
      <c r="O421" s="158"/>
    </row>
    <row r="422" spans="1:15" x14ac:dyDescent="0.25">
      <c r="A422" s="126"/>
      <c r="B422" s="296"/>
      <c r="C422" s="126"/>
      <c r="D422" s="126"/>
      <c r="E422" s="126"/>
      <c r="F422" s="126"/>
      <c r="G422" s="298"/>
      <c r="H422" s="126"/>
      <c r="I422" s="297"/>
      <c r="J422" s="297"/>
      <c r="K422" s="297"/>
      <c r="L422" s="216">
        <f t="shared" si="12"/>
        <v>0</v>
      </c>
      <c r="M422" s="159" t="str">
        <f t="shared" si="13"/>
        <v/>
      </c>
      <c r="O422" s="158"/>
    </row>
    <row r="423" spans="1:15" x14ac:dyDescent="0.25">
      <c r="A423" s="126"/>
      <c r="B423" s="296"/>
      <c r="C423" s="126"/>
      <c r="D423" s="126"/>
      <c r="E423" s="126"/>
      <c r="F423" s="126"/>
      <c r="G423" s="298"/>
      <c r="H423" s="126"/>
      <c r="I423" s="297"/>
      <c r="J423" s="297"/>
      <c r="K423" s="297"/>
      <c r="L423" s="216">
        <f t="shared" si="12"/>
        <v>0</v>
      </c>
      <c r="M423" s="159" t="str">
        <f t="shared" si="13"/>
        <v/>
      </c>
      <c r="O423" s="158"/>
    </row>
    <row r="424" spans="1:15" x14ac:dyDescent="0.25">
      <c r="A424" s="126"/>
      <c r="B424" s="296"/>
      <c r="C424" s="126"/>
      <c r="D424" s="126"/>
      <c r="E424" s="126"/>
      <c r="F424" s="126"/>
      <c r="G424" s="298"/>
      <c r="H424" s="126"/>
      <c r="I424" s="297"/>
      <c r="J424" s="297"/>
      <c r="K424" s="297"/>
      <c r="L424" s="216">
        <f t="shared" si="12"/>
        <v>0</v>
      </c>
      <c r="M424" s="159" t="str">
        <f t="shared" si="13"/>
        <v/>
      </c>
      <c r="O424" s="158"/>
    </row>
    <row r="425" spans="1:15" x14ac:dyDescent="0.25">
      <c r="A425" s="126"/>
      <c r="B425" s="296"/>
      <c r="C425" s="126"/>
      <c r="D425" s="126"/>
      <c r="E425" s="126"/>
      <c r="F425" s="126"/>
      <c r="G425" s="298"/>
      <c r="H425" s="126"/>
      <c r="I425" s="297"/>
      <c r="J425" s="297"/>
      <c r="K425" s="297"/>
      <c r="L425" s="216">
        <f t="shared" si="12"/>
        <v>0</v>
      </c>
      <c r="M425" s="159" t="str">
        <f t="shared" si="13"/>
        <v/>
      </c>
      <c r="O425" s="158"/>
    </row>
    <row r="426" spans="1:15" x14ac:dyDescent="0.25">
      <c r="A426" s="126"/>
      <c r="B426" s="296"/>
      <c r="C426" s="126"/>
      <c r="D426" s="126"/>
      <c r="E426" s="126"/>
      <c r="F426" s="126"/>
      <c r="G426" s="298"/>
      <c r="H426" s="126"/>
      <c r="I426" s="297"/>
      <c r="J426" s="297"/>
      <c r="K426" s="297"/>
      <c r="L426" s="216">
        <f t="shared" si="12"/>
        <v>0</v>
      </c>
      <c r="M426" s="159" t="str">
        <f t="shared" si="13"/>
        <v/>
      </c>
      <c r="O426" s="158"/>
    </row>
    <row r="427" spans="1:15" x14ac:dyDescent="0.25">
      <c r="A427" s="126"/>
      <c r="B427" s="296"/>
      <c r="C427" s="126"/>
      <c r="D427" s="126"/>
      <c r="E427" s="126"/>
      <c r="F427" s="126"/>
      <c r="G427" s="298"/>
      <c r="H427" s="126"/>
      <c r="I427" s="297"/>
      <c r="J427" s="297"/>
      <c r="K427" s="297"/>
      <c r="L427" s="216">
        <f t="shared" si="12"/>
        <v>0</v>
      </c>
      <c r="M427" s="159" t="str">
        <f t="shared" si="13"/>
        <v/>
      </c>
      <c r="O427" s="158"/>
    </row>
    <row r="428" spans="1:15" x14ac:dyDescent="0.25">
      <c r="A428" s="126"/>
      <c r="B428" s="296"/>
      <c r="C428" s="126"/>
      <c r="D428" s="126"/>
      <c r="E428" s="126"/>
      <c r="F428" s="126"/>
      <c r="G428" s="298"/>
      <c r="H428" s="126"/>
      <c r="I428" s="297"/>
      <c r="J428" s="297"/>
      <c r="K428" s="297"/>
      <c r="L428" s="216">
        <f t="shared" si="12"/>
        <v>0</v>
      </c>
      <c r="M428" s="159" t="str">
        <f t="shared" si="13"/>
        <v/>
      </c>
      <c r="O428" s="158"/>
    </row>
    <row r="429" spans="1:15" x14ac:dyDescent="0.25">
      <c r="A429" s="126"/>
      <c r="B429" s="296"/>
      <c r="C429" s="126"/>
      <c r="D429" s="126"/>
      <c r="E429" s="126"/>
      <c r="F429" s="126"/>
      <c r="G429" s="298"/>
      <c r="H429" s="126"/>
      <c r="I429" s="297"/>
      <c r="J429" s="297"/>
      <c r="K429" s="297"/>
      <c r="L429" s="216">
        <f t="shared" si="12"/>
        <v>0</v>
      </c>
      <c r="M429" s="159" t="str">
        <f t="shared" si="13"/>
        <v/>
      </c>
      <c r="O429" s="158"/>
    </row>
    <row r="430" spans="1:15" x14ac:dyDescent="0.25">
      <c r="A430" s="126"/>
      <c r="B430" s="296"/>
      <c r="C430" s="126"/>
      <c r="D430" s="126"/>
      <c r="E430" s="126"/>
      <c r="F430" s="126"/>
      <c r="G430" s="298"/>
      <c r="H430" s="126"/>
      <c r="I430" s="297"/>
      <c r="J430" s="297"/>
      <c r="K430" s="297"/>
      <c r="L430" s="216">
        <f t="shared" si="12"/>
        <v>0</v>
      </c>
      <c r="M430" s="159" t="str">
        <f t="shared" si="13"/>
        <v/>
      </c>
      <c r="O430" s="158"/>
    </row>
    <row r="431" spans="1:15" x14ac:dyDescent="0.25">
      <c r="A431" s="126"/>
      <c r="B431" s="296"/>
      <c r="C431" s="126"/>
      <c r="D431" s="126"/>
      <c r="E431" s="126"/>
      <c r="F431" s="126"/>
      <c r="G431" s="298"/>
      <c r="H431" s="126"/>
      <c r="I431" s="297"/>
      <c r="J431" s="297"/>
      <c r="K431" s="297"/>
      <c r="L431" s="216">
        <f t="shared" si="12"/>
        <v>0</v>
      </c>
      <c r="M431" s="159" t="str">
        <f t="shared" si="13"/>
        <v/>
      </c>
      <c r="O431" s="158"/>
    </row>
    <row r="432" spans="1:15" x14ac:dyDescent="0.25">
      <c r="A432" s="126"/>
      <c r="B432" s="296"/>
      <c r="C432" s="126"/>
      <c r="D432" s="126"/>
      <c r="E432" s="126"/>
      <c r="F432" s="126"/>
      <c r="G432" s="298"/>
      <c r="H432" s="126"/>
      <c r="I432" s="297"/>
      <c r="J432" s="297"/>
      <c r="K432" s="297"/>
      <c r="L432" s="216">
        <f t="shared" si="12"/>
        <v>0</v>
      </c>
      <c r="M432" s="159" t="str">
        <f t="shared" si="13"/>
        <v/>
      </c>
      <c r="O432" s="158"/>
    </row>
    <row r="433" spans="1:15" x14ac:dyDescent="0.25">
      <c r="A433" s="126"/>
      <c r="B433" s="296"/>
      <c r="C433" s="126"/>
      <c r="D433" s="126"/>
      <c r="E433" s="126"/>
      <c r="F433" s="126"/>
      <c r="G433" s="298"/>
      <c r="H433" s="126"/>
      <c r="I433" s="297"/>
      <c r="J433" s="297"/>
      <c r="K433" s="297"/>
      <c r="L433" s="216">
        <f t="shared" si="12"/>
        <v>0</v>
      </c>
      <c r="M433" s="159" t="str">
        <f t="shared" si="13"/>
        <v/>
      </c>
      <c r="O433" s="158"/>
    </row>
    <row r="434" spans="1:15" x14ac:dyDescent="0.25">
      <c r="A434" s="126"/>
      <c r="B434" s="296"/>
      <c r="C434" s="126"/>
      <c r="D434" s="126"/>
      <c r="E434" s="126"/>
      <c r="F434" s="126"/>
      <c r="G434" s="298"/>
      <c r="H434" s="126"/>
      <c r="I434" s="297"/>
      <c r="J434" s="297"/>
      <c r="K434" s="297"/>
      <c r="L434" s="216">
        <f t="shared" si="12"/>
        <v>0</v>
      </c>
      <c r="M434" s="159" t="str">
        <f t="shared" si="13"/>
        <v/>
      </c>
      <c r="O434" s="158"/>
    </row>
    <row r="435" spans="1:15" x14ac:dyDescent="0.25">
      <c r="A435" s="126"/>
      <c r="B435" s="296"/>
      <c r="C435" s="126"/>
      <c r="D435" s="126"/>
      <c r="E435" s="126"/>
      <c r="F435" s="126"/>
      <c r="G435" s="298"/>
      <c r="H435" s="126"/>
      <c r="I435" s="297"/>
      <c r="J435" s="297"/>
      <c r="K435" s="297"/>
      <c r="L435" s="216">
        <f t="shared" si="12"/>
        <v>0</v>
      </c>
      <c r="M435" s="159" t="str">
        <f t="shared" si="13"/>
        <v/>
      </c>
      <c r="O435" s="158"/>
    </row>
    <row r="436" spans="1:15" x14ac:dyDescent="0.25">
      <c r="A436" s="126"/>
      <c r="B436" s="296"/>
      <c r="C436" s="126"/>
      <c r="D436" s="126"/>
      <c r="E436" s="126"/>
      <c r="F436" s="126"/>
      <c r="G436" s="298"/>
      <c r="H436" s="126"/>
      <c r="I436" s="297"/>
      <c r="J436" s="297"/>
      <c r="K436" s="297"/>
      <c r="L436" s="216">
        <f t="shared" si="12"/>
        <v>0</v>
      </c>
      <c r="M436" s="159" t="str">
        <f t="shared" si="13"/>
        <v/>
      </c>
      <c r="O436" s="158"/>
    </row>
    <row r="437" spans="1:15" x14ac:dyDescent="0.25">
      <c r="A437" s="126"/>
      <c r="B437" s="296"/>
      <c r="C437" s="126"/>
      <c r="D437" s="126"/>
      <c r="E437" s="126"/>
      <c r="F437" s="126"/>
      <c r="G437" s="298"/>
      <c r="H437" s="126"/>
      <c r="I437" s="297"/>
      <c r="J437" s="297"/>
      <c r="K437" s="297"/>
      <c r="L437" s="216">
        <f t="shared" si="12"/>
        <v>0</v>
      </c>
      <c r="M437" s="159" t="str">
        <f t="shared" si="13"/>
        <v/>
      </c>
      <c r="O437" s="158"/>
    </row>
    <row r="438" spans="1:15" x14ac:dyDescent="0.25">
      <c r="A438" s="126"/>
      <c r="B438" s="296"/>
      <c r="C438" s="126"/>
      <c r="D438" s="126"/>
      <c r="E438" s="126"/>
      <c r="F438" s="126"/>
      <c r="G438" s="298"/>
      <c r="H438" s="126"/>
      <c r="I438" s="297"/>
      <c r="J438" s="297"/>
      <c r="K438" s="297"/>
      <c r="L438" s="216">
        <f t="shared" si="12"/>
        <v>0</v>
      </c>
      <c r="M438" s="159" t="str">
        <f t="shared" si="13"/>
        <v/>
      </c>
      <c r="O438" s="158"/>
    </row>
    <row r="439" spans="1:15" x14ac:dyDescent="0.25">
      <c r="A439" s="126"/>
      <c r="B439" s="296"/>
      <c r="C439" s="126"/>
      <c r="D439" s="126"/>
      <c r="E439" s="126"/>
      <c r="F439" s="126"/>
      <c r="G439" s="298"/>
      <c r="H439" s="126"/>
      <c r="I439" s="297"/>
      <c r="J439" s="297"/>
      <c r="K439" s="297"/>
      <c r="L439" s="216">
        <f t="shared" si="12"/>
        <v>0</v>
      </c>
      <c r="M439" s="159" t="str">
        <f t="shared" si="13"/>
        <v/>
      </c>
      <c r="O439" s="158"/>
    </row>
    <row r="440" spans="1:15" x14ac:dyDescent="0.25">
      <c r="A440" s="126"/>
      <c r="B440" s="296"/>
      <c r="C440" s="126"/>
      <c r="D440" s="126"/>
      <c r="E440" s="126"/>
      <c r="F440" s="126"/>
      <c r="G440" s="298"/>
      <c r="H440" s="126"/>
      <c r="I440" s="297"/>
      <c r="J440" s="297"/>
      <c r="K440" s="297"/>
      <c r="L440" s="216">
        <f t="shared" si="12"/>
        <v>0</v>
      </c>
      <c r="M440" s="159" t="str">
        <f t="shared" si="13"/>
        <v/>
      </c>
      <c r="O440" s="158"/>
    </row>
    <row r="441" spans="1:15" x14ac:dyDescent="0.25">
      <c r="A441" s="126"/>
      <c r="B441" s="296"/>
      <c r="C441" s="126"/>
      <c r="D441" s="126"/>
      <c r="E441" s="126"/>
      <c r="F441" s="126"/>
      <c r="G441" s="298"/>
      <c r="H441" s="126"/>
      <c r="I441" s="297"/>
      <c r="J441" s="297"/>
      <c r="K441" s="297"/>
      <c r="L441" s="216">
        <f t="shared" si="12"/>
        <v>0</v>
      </c>
      <c r="M441" s="159" t="str">
        <f t="shared" si="13"/>
        <v/>
      </c>
      <c r="O441" s="158"/>
    </row>
    <row r="442" spans="1:15" x14ac:dyDescent="0.25">
      <c r="A442" s="126"/>
      <c r="B442" s="296"/>
      <c r="C442" s="126"/>
      <c r="D442" s="126"/>
      <c r="E442" s="126"/>
      <c r="F442" s="126"/>
      <c r="G442" s="298"/>
      <c r="H442" s="126"/>
      <c r="I442" s="297"/>
      <c r="J442" s="297"/>
      <c r="K442" s="297"/>
      <c r="L442" s="216">
        <f t="shared" si="12"/>
        <v>0</v>
      </c>
      <c r="M442" s="159" t="str">
        <f t="shared" si="13"/>
        <v/>
      </c>
      <c r="O442" s="158"/>
    </row>
    <row r="443" spans="1:15" x14ac:dyDescent="0.25">
      <c r="A443" s="126"/>
      <c r="B443" s="296"/>
      <c r="C443" s="126"/>
      <c r="D443" s="126"/>
      <c r="E443" s="126"/>
      <c r="F443" s="126"/>
      <c r="G443" s="298"/>
      <c r="H443" s="126"/>
      <c r="I443" s="297"/>
      <c r="J443" s="297"/>
      <c r="K443" s="297"/>
      <c r="L443" s="216">
        <f t="shared" si="12"/>
        <v>0</v>
      </c>
      <c r="M443" s="159" t="str">
        <f t="shared" si="13"/>
        <v/>
      </c>
      <c r="O443" s="158"/>
    </row>
    <row r="444" spans="1:15" x14ac:dyDescent="0.25">
      <c r="A444" s="126"/>
      <c r="B444" s="296"/>
      <c r="C444" s="126"/>
      <c r="D444" s="126"/>
      <c r="E444" s="126"/>
      <c r="F444" s="126"/>
      <c r="G444" s="298"/>
      <c r="H444" s="126"/>
      <c r="I444" s="297"/>
      <c r="J444" s="297"/>
      <c r="K444" s="297"/>
      <c r="L444" s="216">
        <f t="shared" si="12"/>
        <v>0</v>
      </c>
      <c r="M444" s="159" t="str">
        <f t="shared" si="13"/>
        <v/>
      </c>
      <c r="O444" s="158"/>
    </row>
    <row r="445" spans="1:15" x14ac:dyDescent="0.25">
      <c r="A445" s="126"/>
      <c r="B445" s="296"/>
      <c r="C445" s="126"/>
      <c r="D445" s="126"/>
      <c r="E445" s="126"/>
      <c r="F445" s="126"/>
      <c r="G445" s="298"/>
      <c r="H445" s="126"/>
      <c r="I445" s="297"/>
      <c r="J445" s="297"/>
      <c r="K445" s="297"/>
      <c r="L445" s="216">
        <f t="shared" si="12"/>
        <v>0</v>
      </c>
      <c r="M445" s="159" t="str">
        <f t="shared" si="13"/>
        <v/>
      </c>
      <c r="O445" s="158"/>
    </row>
    <row r="446" spans="1:15" x14ac:dyDescent="0.25">
      <c r="A446" s="126"/>
      <c r="B446" s="296"/>
      <c r="C446" s="126"/>
      <c r="D446" s="126"/>
      <c r="E446" s="126"/>
      <c r="F446" s="126"/>
      <c r="G446" s="298"/>
      <c r="H446" s="126"/>
      <c r="I446" s="297"/>
      <c r="J446" s="297"/>
      <c r="K446" s="297"/>
      <c r="L446" s="216">
        <f t="shared" si="12"/>
        <v>0</v>
      </c>
      <c r="M446" s="159" t="str">
        <f t="shared" si="13"/>
        <v/>
      </c>
      <c r="O446" s="158"/>
    </row>
    <row r="447" spans="1:15" x14ac:dyDescent="0.25">
      <c r="A447" s="126"/>
      <c r="B447" s="296"/>
      <c r="C447" s="126"/>
      <c r="D447" s="126"/>
      <c r="E447" s="126"/>
      <c r="F447" s="126"/>
      <c r="G447" s="298"/>
      <c r="H447" s="126"/>
      <c r="I447" s="297"/>
      <c r="J447" s="297"/>
      <c r="K447" s="297"/>
      <c r="L447" s="216">
        <f t="shared" si="12"/>
        <v>0</v>
      </c>
      <c r="M447" s="159" t="str">
        <f t="shared" si="13"/>
        <v/>
      </c>
      <c r="O447" s="158"/>
    </row>
    <row r="448" spans="1:15" x14ac:dyDescent="0.25">
      <c r="A448" s="126"/>
      <c r="B448" s="296"/>
      <c r="C448" s="126"/>
      <c r="D448" s="126"/>
      <c r="E448" s="126"/>
      <c r="F448" s="126"/>
      <c r="G448" s="298"/>
      <c r="H448" s="126"/>
      <c r="I448" s="297"/>
      <c r="J448" s="297"/>
      <c r="K448" s="297"/>
      <c r="L448" s="216">
        <f t="shared" si="12"/>
        <v>0</v>
      </c>
      <c r="M448" s="159" t="str">
        <f t="shared" si="13"/>
        <v/>
      </c>
      <c r="O448" s="158"/>
    </row>
    <row r="449" spans="1:15" x14ac:dyDescent="0.25">
      <c r="A449" s="126"/>
      <c r="B449" s="296"/>
      <c r="C449" s="126"/>
      <c r="D449" s="126"/>
      <c r="E449" s="126"/>
      <c r="F449" s="126"/>
      <c r="G449" s="298"/>
      <c r="H449" s="126"/>
      <c r="I449" s="297"/>
      <c r="J449" s="297"/>
      <c r="K449" s="297"/>
      <c r="L449" s="216">
        <f t="shared" si="12"/>
        <v>0</v>
      </c>
      <c r="M449" s="159" t="str">
        <f t="shared" si="13"/>
        <v/>
      </c>
      <c r="O449" s="158"/>
    </row>
    <row r="450" spans="1:15" x14ac:dyDescent="0.25">
      <c r="A450" s="126"/>
      <c r="B450" s="296"/>
      <c r="C450" s="126"/>
      <c r="D450" s="126"/>
      <c r="E450" s="126"/>
      <c r="F450" s="126"/>
      <c r="G450" s="298"/>
      <c r="H450" s="126"/>
      <c r="I450" s="297"/>
      <c r="J450" s="297"/>
      <c r="K450" s="297"/>
      <c r="L450" s="216">
        <f t="shared" ref="L450:L513" si="14">K450*1.1</f>
        <v>0</v>
      </c>
      <c r="M450" s="159" t="str">
        <f t="shared" ref="M450:M513" si="15">IF(ISNUMBER(SEARCH("Azarine",H450)),"AZARINE",IF(ISNUMBER(SEARCH("Baking Soda",H450)),"BAKING SODA",IF(ISNUMBER(SEARCH("Fujitsu",H450)),"FUJITSU",IF(ISNUMBER(SEARCH("Coleman",H450)),"COLEMAN",""))))</f>
        <v/>
      </c>
      <c r="O450" s="158"/>
    </row>
    <row r="451" spans="1:15" x14ac:dyDescent="0.25">
      <c r="A451" s="126"/>
      <c r="B451" s="296"/>
      <c r="C451" s="126"/>
      <c r="D451" s="126"/>
      <c r="E451" s="126"/>
      <c r="F451" s="126"/>
      <c r="G451" s="298"/>
      <c r="H451" s="126"/>
      <c r="I451" s="297"/>
      <c r="J451" s="297"/>
      <c r="K451" s="297"/>
      <c r="L451" s="216">
        <f t="shared" si="14"/>
        <v>0</v>
      </c>
      <c r="M451" s="159" t="str">
        <f t="shared" si="15"/>
        <v/>
      </c>
      <c r="O451" s="158"/>
    </row>
    <row r="452" spans="1:15" x14ac:dyDescent="0.25">
      <c r="A452" s="126"/>
      <c r="B452" s="296"/>
      <c r="C452" s="126"/>
      <c r="D452" s="126"/>
      <c r="E452" s="126"/>
      <c r="F452" s="126"/>
      <c r="G452" s="298"/>
      <c r="H452" s="126"/>
      <c r="I452" s="297"/>
      <c r="J452" s="297"/>
      <c r="K452" s="297"/>
      <c r="L452" s="216">
        <f t="shared" si="14"/>
        <v>0</v>
      </c>
      <c r="M452" s="159" t="str">
        <f t="shared" si="15"/>
        <v/>
      </c>
      <c r="O452" s="158"/>
    </row>
    <row r="453" spans="1:15" x14ac:dyDescent="0.25">
      <c r="A453" s="126"/>
      <c r="B453" s="296"/>
      <c r="C453" s="126"/>
      <c r="D453" s="126"/>
      <c r="E453" s="126"/>
      <c r="F453" s="126"/>
      <c r="G453" s="298"/>
      <c r="H453" s="126"/>
      <c r="I453" s="297"/>
      <c r="J453" s="297"/>
      <c r="K453" s="297"/>
      <c r="L453" s="216">
        <f t="shared" si="14"/>
        <v>0</v>
      </c>
      <c r="M453" s="159" t="str">
        <f t="shared" si="15"/>
        <v/>
      </c>
      <c r="O453" s="158"/>
    </row>
    <row r="454" spans="1:15" x14ac:dyDescent="0.25">
      <c r="A454" s="126"/>
      <c r="B454" s="296"/>
      <c r="C454" s="126"/>
      <c r="D454" s="126"/>
      <c r="E454" s="126"/>
      <c r="F454" s="126"/>
      <c r="G454" s="298"/>
      <c r="H454" s="126"/>
      <c r="I454" s="297"/>
      <c r="J454" s="297"/>
      <c r="K454" s="297"/>
      <c r="L454" s="216">
        <f t="shared" si="14"/>
        <v>0</v>
      </c>
      <c r="M454" s="159" t="str">
        <f t="shared" si="15"/>
        <v/>
      </c>
      <c r="O454" s="158"/>
    </row>
    <row r="455" spans="1:15" x14ac:dyDescent="0.25">
      <c r="A455" s="126"/>
      <c r="B455" s="296"/>
      <c r="C455" s="126"/>
      <c r="D455" s="126"/>
      <c r="E455" s="126"/>
      <c r="F455" s="126"/>
      <c r="G455" s="298"/>
      <c r="H455" s="126"/>
      <c r="I455" s="297"/>
      <c r="J455" s="297"/>
      <c r="K455" s="297"/>
      <c r="L455" s="216">
        <f t="shared" si="14"/>
        <v>0</v>
      </c>
      <c r="M455" s="159" t="str">
        <f t="shared" si="15"/>
        <v/>
      </c>
      <c r="O455" s="158"/>
    </row>
    <row r="456" spans="1:15" x14ac:dyDescent="0.25">
      <c r="A456" s="126"/>
      <c r="B456" s="296"/>
      <c r="C456" s="126"/>
      <c r="D456" s="126"/>
      <c r="E456" s="126"/>
      <c r="F456" s="126"/>
      <c r="G456" s="298"/>
      <c r="H456" s="126"/>
      <c r="I456" s="297"/>
      <c r="J456" s="297"/>
      <c r="K456" s="297"/>
      <c r="L456" s="216">
        <f t="shared" si="14"/>
        <v>0</v>
      </c>
      <c r="M456" s="159" t="str">
        <f t="shared" si="15"/>
        <v/>
      </c>
      <c r="O456" s="158"/>
    </row>
    <row r="457" spans="1:15" x14ac:dyDescent="0.25">
      <c r="A457" s="126"/>
      <c r="B457" s="296"/>
      <c r="C457" s="126"/>
      <c r="D457" s="126"/>
      <c r="E457" s="126"/>
      <c r="F457" s="126"/>
      <c r="G457" s="298"/>
      <c r="H457" s="126"/>
      <c r="I457" s="297"/>
      <c r="J457" s="297"/>
      <c r="K457" s="297"/>
      <c r="L457" s="216">
        <f t="shared" si="14"/>
        <v>0</v>
      </c>
      <c r="M457" s="159" t="str">
        <f t="shared" si="15"/>
        <v/>
      </c>
      <c r="O457" s="158"/>
    </row>
    <row r="458" spans="1:15" x14ac:dyDescent="0.25">
      <c r="A458" s="126"/>
      <c r="B458" s="296"/>
      <c r="C458" s="126"/>
      <c r="D458" s="126"/>
      <c r="E458" s="126"/>
      <c r="F458" s="126"/>
      <c r="G458" s="298"/>
      <c r="H458" s="126"/>
      <c r="I458" s="297"/>
      <c r="J458" s="297"/>
      <c r="K458" s="297"/>
      <c r="L458" s="216">
        <f t="shared" si="14"/>
        <v>0</v>
      </c>
      <c r="M458" s="159" t="str">
        <f t="shared" si="15"/>
        <v/>
      </c>
      <c r="O458" s="158"/>
    </row>
    <row r="459" spans="1:15" x14ac:dyDescent="0.25">
      <c r="A459" s="126"/>
      <c r="B459" s="296"/>
      <c r="C459" s="126"/>
      <c r="D459" s="126"/>
      <c r="E459" s="126"/>
      <c r="F459" s="126"/>
      <c r="G459" s="298"/>
      <c r="H459" s="126"/>
      <c r="I459" s="297"/>
      <c r="J459" s="297"/>
      <c r="K459" s="297"/>
      <c r="L459" s="216">
        <f t="shared" si="14"/>
        <v>0</v>
      </c>
      <c r="M459" s="159" t="str">
        <f t="shared" si="15"/>
        <v/>
      </c>
      <c r="O459" s="158"/>
    </row>
    <row r="460" spans="1:15" x14ac:dyDescent="0.25">
      <c r="A460" s="126"/>
      <c r="B460" s="296"/>
      <c r="C460" s="126"/>
      <c r="D460" s="126"/>
      <c r="E460" s="126"/>
      <c r="F460" s="126"/>
      <c r="G460" s="298"/>
      <c r="H460" s="126"/>
      <c r="I460" s="297"/>
      <c r="J460" s="297"/>
      <c r="K460" s="297"/>
      <c r="L460" s="216">
        <f t="shared" si="14"/>
        <v>0</v>
      </c>
      <c r="M460" s="159" t="str">
        <f t="shared" si="15"/>
        <v/>
      </c>
      <c r="O460" s="158"/>
    </row>
    <row r="461" spans="1:15" x14ac:dyDescent="0.25">
      <c r="A461" s="126"/>
      <c r="B461" s="296"/>
      <c r="C461" s="126"/>
      <c r="D461" s="126"/>
      <c r="E461" s="126"/>
      <c r="F461" s="126"/>
      <c r="G461" s="298"/>
      <c r="H461" s="126"/>
      <c r="I461" s="297"/>
      <c r="J461" s="297"/>
      <c r="K461" s="297"/>
      <c r="L461" s="216">
        <f t="shared" si="14"/>
        <v>0</v>
      </c>
      <c r="M461" s="159" t="str">
        <f t="shared" si="15"/>
        <v/>
      </c>
      <c r="O461" s="158"/>
    </row>
    <row r="462" spans="1:15" x14ac:dyDescent="0.25">
      <c r="A462" s="126"/>
      <c r="B462" s="296"/>
      <c r="C462" s="126"/>
      <c r="D462" s="126"/>
      <c r="E462" s="126"/>
      <c r="F462" s="126"/>
      <c r="G462" s="298"/>
      <c r="H462" s="126"/>
      <c r="I462" s="297"/>
      <c r="J462" s="297"/>
      <c r="K462" s="297"/>
      <c r="L462" s="216">
        <f t="shared" si="14"/>
        <v>0</v>
      </c>
      <c r="M462" s="159" t="str">
        <f t="shared" si="15"/>
        <v/>
      </c>
      <c r="O462" s="158"/>
    </row>
    <row r="463" spans="1:15" x14ac:dyDescent="0.25">
      <c r="A463" s="126"/>
      <c r="B463" s="296"/>
      <c r="C463" s="126"/>
      <c r="D463" s="126"/>
      <c r="E463" s="126"/>
      <c r="F463" s="126"/>
      <c r="G463" s="298"/>
      <c r="H463" s="126"/>
      <c r="I463" s="297"/>
      <c r="J463" s="297"/>
      <c r="K463" s="297"/>
      <c r="L463" s="216">
        <f t="shared" si="14"/>
        <v>0</v>
      </c>
      <c r="M463" s="159" t="str">
        <f t="shared" si="15"/>
        <v/>
      </c>
      <c r="O463" s="158"/>
    </row>
    <row r="464" spans="1:15" x14ac:dyDescent="0.25">
      <c r="A464" s="126"/>
      <c r="B464" s="296"/>
      <c r="C464" s="126"/>
      <c r="D464" s="126"/>
      <c r="E464" s="126"/>
      <c r="F464" s="126"/>
      <c r="G464" s="298"/>
      <c r="H464" s="126"/>
      <c r="I464" s="297"/>
      <c r="J464" s="297"/>
      <c r="K464" s="297"/>
      <c r="L464" s="216">
        <f t="shared" si="14"/>
        <v>0</v>
      </c>
      <c r="M464" s="159" t="str">
        <f t="shared" si="15"/>
        <v/>
      </c>
      <c r="O464" s="158"/>
    </row>
    <row r="465" spans="1:15" x14ac:dyDescent="0.25">
      <c r="A465" s="126"/>
      <c r="B465" s="296"/>
      <c r="C465" s="126"/>
      <c r="D465" s="126"/>
      <c r="E465" s="126"/>
      <c r="F465" s="126"/>
      <c r="G465" s="298"/>
      <c r="H465" s="126"/>
      <c r="I465" s="297"/>
      <c r="J465" s="297"/>
      <c r="K465" s="297"/>
      <c r="L465" s="216">
        <f t="shared" si="14"/>
        <v>0</v>
      </c>
      <c r="M465" s="159" t="str">
        <f t="shared" si="15"/>
        <v/>
      </c>
      <c r="O465" s="158"/>
    </row>
    <row r="466" spans="1:15" x14ac:dyDescent="0.25">
      <c r="A466" s="126"/>
      <c r="B466" s="296"/>
      <c r="C466" s="126"/>
      <c r="D466" s="126"/>
      <c r="E466" s="126"/>
      <c r="F466" s="126"/>
      <c r="G466" s="298"/>
      <c r="H466" s="126"/>
      <c r="I466" s="297"/>
      <c r="J466" s="297"/>
      <c r="K466" s="297"/>
      <c r="L466" s="216">
        <f t="shared" si="14"/>
        <v>0</v>
      </c>
      <c r="M466" s="159" t="str">
        <f t="shared" si="15"/>
        <v/>
      </c>
      <c r="O466" s="158"/>
    </row>
    <row r="467" spans="1:15" x14ac:dyDescent="0.25">
      <c r="A467" s="126"/>
      <c r="B467" s="296"/>
      <c r="C467" s="126"/>
      <c r="D467" s="126"/>
      <c r="E467" s="126"/>
      <c r="F467" s="126"/>
      <c r="G467" s="298"/>
      <c r="H467" s="126"/>
      <c r="I467" s="297"/>
      <c r="J467" s="297"/>
      <c r="K467" s="297"/>
      <c r="L467" s="216">
        <f t="shared" si="14"/>
        <v>0</v>
      </c>
      <c r="M467" s="159" t="str">
        <f t="shared" si="15"/>
        <v/>
      </c>
      <c r="O467" s="158"/>
    </row>
    <row r="468" spans="1:15" x14ac:dyDescent="0.25">
      <c r="A468" s="126"/>
      <c r="B468" s="296"/>
      <c r="C468" s="126"/>
      <c r="D468" s="126"/>
      <c r="E468" s="126"/>
      <c r="F468" s="126"/>
      <c r="G468" s="298"/>
      <c r="H468" s="126"/>
      <c r="I468" s="297"/>
      <c r="J468" s="297"/>
      <c r="K468" s="297"/>
      <c r="L468" s="216">
        <f t="shared" si="14"/>
        <v>0</v>
      </c>
      <c r="M468" s="159" t="str">
        <f t="shared" si="15"/>
        <v/>
      </c>
      <c r="O468" s="158"/>
    </row>
    <row r="469" spans="1:15" x14ac:dyDescent="0.25">
      <c r="A469" s="126"/>
      <c r="B469" s="296"/>
      <c r="C469" s="126"/>
      <c r="D469" s="126"/>
      <c r="E469" s="126"/>
      <c r="F469" s="126"/>
      <c r="G469" s="298"/>
      <c r="H469" s="126"/>
      <c r="I469" s="297"/>
      <c r="J469" s="297"/>
      <c r="K469" s="297"/>
      <c r="L469" s="216">
        <f t="shared" si="14"/>
        <v>0</v>
      </c>
      <c r="M469" s="159" t="str">
        <f t="shared" si="15"/>
        <v/>
      </c>
      <c r="O469" s="158"/>
    </row>
    <row r="470" spans="1:15" x14ac:dyDescent="0.25">
      <c r="A470" s="126"/>
      <c r="B470" s="296"/>
      <c r="C470" s="126"/>
      <c r="D470" s="126"/>
      <c r="E470" s="126"/>
      <c r="F470" s="126"/>
      <c r="G470" s="298"/>
      <c r="H470" s="126"/>
      <c r="I470" s="297"/>
      <c r="J470" s="297"/>
      <c r="K470" s="297"/>
      <c r="L470" s="216">
        <f t="shared" si="14"/>
        <v>0</v>
      </c>
      <c r="M470" s="159" t="str">
        <f t="shared" si="15"/>
        <v/>
      </c>
      <c r="O470" s="158"/>
    </row>
    <row r="471" spans="1:15" x14ac:dyDescent="0.25">
      <c r="A471" s="126"/>
      <c r="B471" s="296"/>
      <c r="C471" s="126"/>
      <c r="D471" s="126"/>
      <c r="E471" s="126"/>
      <c r="F471" s="126"/>
      <c r="G471" s="298"/>
      <c r="H471" s="126"/>
      <c r="I471" s="297"/>
      <c r="J471" s="297"/>
      <c r="K471" s="297"/>
      <c r="L471" s="216">
        <f t="shared" si="14"/>
        <v>0</v>
      </c>
      <c r="M471" s="159" t="str">
        <f t="shared" si="15"/>
        <v/>
      </c>
      <c r="O471" s="158"/>
    </row>
    <row r="472" spans="1:15" x14ac:dyDescent="0.25">
      <c r="A472" s="126"/>
      <c r="B472" s="296"/>
      <c r="C472" s="126"/>
      <c r="D472" s="126"/>
      <c r="E472" s="126"/>
      <c r="F472" s="126"/>
      <c r="G472" s="298"/>
      <c r="H472" s="126"/>
      <c r="I472" s="297"/>
      <c r="J472" s="297"/>
      <c r="K472" s="297"/>
      <c r="L472" s="216">
        <f t="shared" si="14"/>
        <v>0</v>
      </c>
      <c r="M472" s="159" t="str">
        <f t="shared" si="15"/>
        <v/>
      </c>
      <c r="O472" s="158"/>
    </row>
    <row r="473" spans="1:15" x14ac:dyDescent="0.25">
      <c r="A473" s="126"/>
      <c r="B473" s="296"/>
      <c r="C473" s="126"/>
      <c r="D473" s="126"/>
      <c r="E473" s="126"/>
      <c r="F473" s="126"/>
      <c r="G473" s="298"/>
      <c r="H473" s="126"/>
      <c r="I473" s="297"/>
      <c r="J473" s="297"/>
      <c r="K473" s="297"/>
      <c r="L473" s="216">
        <f t="shared" si="14"/>
        <v>0</v>
      </c>
      <c r="M473" s="159" t="str">
        <f t="shared" si="15"/>
        <v/>
      </c>
      <c r="O473" s="158"/>
    </row>
    <row r="474" spans="1:15" x14ac:dyDescent="0.25">
      <c r="A474" s="126"/>
      <c r="B474" s="296"/>
      <c r="C474" s="126"/>
      <c r="D474" s="126"/>
      <c r="E474" s="126"/>
      <c r="F474" s="126"/>
      <c r="G474" s="298"/>
      <c r="H474" s="126"/>
      <c r="I474" s="297"/>
      <c r="J474" s="297"/>
      <c r="K474" s="297"/>
      <c r="L474" s="216">
        <f t="shared" si="14"/>
        <v>0</v>
      </c>
      <c r="M474" s="159" t="str">
        <f t="shared" si="15"/>
        <v/>
      </c>
      <c r="O474" s="158"/>
    </row>
    <row r="475" spans="1:15" x14ac:dyDescent="0.25">
      <c r="A475" s="126"/>
      <c r="B475" s="296"/>
      <c r="C475" s="126"/>
      <c r="D475" s="126"/>
      <c r="E475" s="126"/>
      <c r="F475" s="126"/>
      <c r="G475" s="298"/>
      <c r="H475" s="126"/>
      <c r="I475" s="297"/>
      <c r="J475" s="297"/>
      <c r="K475" s="297"/>
      <c r="L475" s="216">
        <f t="shared" si="14"/>
        <v>0</v>
      </c>
      <c r="M475" s="159" t="str">
        <f t="shared" si="15"/>
        <v/>
      </c>
      <c r="O475" s="158"/>
    </row>
    <row r="476" spans="1:15" x14ac:dyDescent="0.25">
      <c r="A476" s="126"/>
      <c r="B476" s="296"/>
      <c r="C476" s="126"/>
      <c r="D476" s="126"/>
      <c r="E476" s="126"/>
      <c r="F476" s="126"/>
      <c r="G476" s="298"/>
      <c r="H476" s="126"/>
      <c r="I476" s="297"/>
      <c r="J476" s="297"/>
      <c r="K476" s="297"/>
      <c r="L476" s="216">
        <f t="shared" si="14"/>
        <v>0</v>
      </c>
      <c r="M476" s="159" t="str">
        <f t="shared" si="15"/>
        <v/>
      </c>
      <c r="O476" s="158"/>
    </row>
    <row r="477" spans="1:15" x14ac:dyDescent="0.25">
      <c r="A477" s="126"/>
      <c r="B477" s="296"/>
      <c r="C477" s="126"/>
      <c r="D477" s="126"/>
      <c r="E477" s="126"/>
      <c r="F477" s="126"/>
      <c r="G477" s="298"/>
      <c r="H477" s="126"/>
      <c r="I477" s="297"/>
      <c r="J477" s="297"/>
      <c r="K477" s="297"/>
      <c r="L477" s="216">
        <f t="shared" si="14"/>
        <v>0</v>
      </c>
      <c r="M477" s="159" t="str">
        <f t="shared" si="15"/>
        <v/>
      </c>
      <c r="O477" s="158"/>
    </row>
    <row r="478" spans="1:15" x14ac:dyDescent="0.25">
      <c r="A478" s="126"/>
      <c r="B478" s="296"/>
      <c r="C478" s="126"/>
      <c r="D478" s="126"/>
      <c r="E478" s="126"/>
      <c r="F478" s="126"/>
      <c r="G478" s="298"/>
      <c r="H478" s="126"/>
      <c r="I478" s="297"/>
      <c r="J478" s="297"/>
      <c r="K478" s="297"/>
      <c r="L478" s="216">
        <f t="shared" si="14"/>
        <v>0</v>
      </c>
      <c r="M478" s="159" t="str">
        <f t="shared" si="15"/>
        <v/>
      </c>
      <c r="O478" s="158"/>
    </row>
    <row r="479" spans="1:15" x14ac:dyDescent="0.25">
      <c r="A479" s="126"/>
      <c r="B479" s="296"/>
      <c r="C479" s="126"/>
      <c r="D479" s="126"/>
      <c r="E479" s="126"/>
      <c r="F479" s="126"/>
      <c r="G479" s="298"/>
      <c r="H479" s="126"/>
      <c r="I479" s="297"/>
      <c r="J479" s="297"/>
      <c r="K479" s="297"/>
      <c r="L479" s="216">
        <f t="shared" si="14"/>
        <v>0</v>
      </c>
      <c r="M479" s="159" t="str">
        <f t="shared" si="15"/>
        <v/>
      </c>
      <c r="O479" s="158"/>
    </row>
    <row r="480" spans="1:15" x14ac:dyDescent="0.25">
      <c r="A480" s="126"/>
      <c r="B480" s="296"/>
      <c r="C480" s="126"/>
      <c r="D480" s="126"/>
      <c r="E480" s="126"/>
      <c r="F480" s="126"/>
      <c r="G480" s="298"/>
      <c r="H480" s="126"/>
      <c r="I480" s="297"/>
      <c r="J480" s="297"/>
      <c r="K480" s="297"/>
      <c r="L480" s="216">
        <f t="shared" si="14"/>
        <v>0</v>
      </c>
      <c r="M480" s="159" t="str">
        <f t="shared" si="15"/>
        <v/>
      </c>
      <c r="O480" s="158"/>
    </row>
    <row r="481" spans="1:15" x14ac:dyDescent="0.25">
      <c r="A481" s="126"/>
      <c r="B481" s="296"/>
      <c r="C481" s="126"/>
      <c r="D481" s="126"/>
      <c r="E481" s="126"/>
      <c r="F481" s="126"/>
      <c r="G481" s="298"/>
      <c r="H481" s="126"/>
      <c r="I481" s="297"/>
      <c r="J481" s="297"/>
      <c r="K481" s="297"/>
      <c r="L481" s="216">
        <f t="shared" si="14"/>
        <v>0</v>
      </c>
      <c r="M481" s="159" t="str">
        <f t="shared" si="15"/>
        <v/>
      </c>
      <c r="O481" s="158"/>
    </row>
    <row r="482" spans="1:15" x14ac:dyDescent="0.25">
      <c r="A482" s="126"/>
      <c r="B482" s="296"/>
      <c r="C482" s="126"/>
      <c r="D482" s="126"/>
      <c r="E482" s="126"/>
      <c r="F482" s="126"/>
      <c r="G482" s="298"/>
      <c r="H482" s="126"/>
      <c r="I482" s="297"/>
      <c r="J482" s="297"/>
      <c r="K482" s="297"/>
      <c r="L482" s="216">
        <f t="shared" si="14"/>
        <v>0</v>
      </c>
      <c r="M482" s="159" t="str">
        <f t="shared" si="15"/>
        <v/>
      </c>
      <c r="O482" s="158"/>
    </row>
    <row r="483" spans="1:15" x14ac:dyDescent="0.25">
      <c r="A483" s="126"/>
      <c r="B483" s="296"/>
      <c r="C483" s="126"/>
      <c r="D483" s="126"/>
      <c r="E483" s="126"/>
      <c r="F483" s="126"/>
      <c r="G483" s="298"/>
      <c r="H483" s="126"/>
      <c r="I483" s="297"/>
      <c r="J483" s="297"/>
      <c r="K483" s="297"/>
      <c r="L483" s="216">
        <f t="shared" si="14"/>
        <v>0</v>
      </c>
      <c r="M483" s="159" t="str">
        <f t="shared" si="15"/>
        <v/>
      </c>
      <c r="O483" s="158"/>
    </row>
    <row r="484" spans="1:15" x14ac:dyDescent="0.25">
      <c r="A484" s="126"/>
      <c r="B484" s="296"/>
      <c r="C484" s="126"/>
      <c r="D484" s="126"/>
      <c r="E484" s="126"/>
      <c r="F484" s="126"/>
      <c r="G484" s="298"/>
      <c r="H484" s="126"/>
      <c r="I484" s="297"/>
      <c r="J484" s="297"/>
      <c r="K484" s="297"/>
      <c r="L484" s="216">
        <f t="shared" si="14"/>
        <v>0</v>
      </c>
      <c r="M484" s="159" t="str">
        <f t="shared" si="15"/>
        <v/>
      </c>
      <c r="O484" s="158"/>
    </row>
    <row r="485" spans="1:15" x14ac:dyDescent="0.25">
      <c r="A485" s="126"/>
      <c r="B485" s="296"/>
      <c r="C485" s="126"/>
      <c r="D485" s="126"/>
      <c r="E485" s="126"/>
      <c r="F485" s="126"/>
      <c r="G485" s="298"/>
      <c r="H485" s="126"/>
      <c r="I485" s="297"/>
      <c r="J485" s="297"/>
      <c r="K485" s="297"/>
      <c r="L485" s="216">
        <f t="shared" si="14"/>
        <v>0</v>
      </c>
      <c r="M485" s="159" t="str">
        <f t="shared" si="15"/>
        <v/>
      </c>
      <c r="O485" s="158"/>
    </row>
    <row r="486" spans="1:15" x14ac:dyDescent="0.25">
      <c r="A486" s="126"/>
      <c r="B486" s="296"/>
      <c r="C486" s="126"/>
      <c r="D486" s="126"/>
      <c r="E486" s="126"/>
      <c r="F486" s="126"/>
      <c r="G486" s="298"/>
      <c r="H486" s="126"/>
      <c r="I486" s="297"/>
      <c r="J486" s="297"/>
      <c r="K486" s="297"/>
      <c r="L486" s="216">
        <f t="shared" si="14"/>
        <v>0</v>
      </c>
      <c r="M486" s="159" t="str">
        <f t="shared" si="15"/>
        <v/>
      </c>
      <c r="O486" s="158"/>
    </row>
    <row r="487" spans="1:15" x14ac:dyDescent="0.25">
      <c r="A487" s="126"/>
      <c r="B487" s="296"/>
      <c r="C487" s="126"/>
      <c r="D487" s="126"/>
      <c r="E487" s="126"/>
      <c r="F487" s="126"/>
      <c r="G487" s="298"/>
      <c r="H487" s="126"/>
      <c r="I487" s="297"/>
      <c r="J487" s="297"/>
      <c r="K487" s="297"/>
      <c r="L487" s="216">
        <f t="shared" si="14"/>
        <v>0</v>
      </c>
      <c r="M487" s="159" t="str">
        <f t="shared" si="15"/>
        <v/>
      </c>
      <c r="O487" s="158"/>
    </row>
    <row r="488" spans="1:15" x14ac:dyDescent="0.25">
      <c r="A488" s="126"/>
      <c r="B488" s="296"/>
      <c r="C488" s="126"/>
      <c r="D488" s="126"/>
      <c r="E488" s="126"/>
      <c r="F488" s="126"/>
      <c r="G488" s="298"/>
      <c r="H488" s="126"/>
      <c r="I488" s="297"/>
      <c r="J488" s="297"/>
      <c r="K488" s="297"/>
      <c r="L488" s="216">
        <f t="shared" si="14"/>
        <v>0</v>
      </c>
      <c r="M488" s="159" t="str">
        <f t="shared" si="15"/>
        <v/>
      </c>
      <c r="O488" s="158"/>
    </row>
    <row r="489" spans="1:15" x14ac:dyDescent="0.25">
      <c r="A489" s="126"/>
      <c r="B489" s="296"/>
      <c r="C489" s="126"/>
      <c r="D489" s="126"/>
      <c r="E489" s="126"/>
      <c r="F489" s="126"/>
      <c r="G489" s="298"/>
      <c r="H489" s="126"/>
      <c r="I489" s="297"/>
      <c r="J489" s="297"/>
      <c r="K489" s="297"/>
      <c r="L489" s="216">
        <f t="shared" si="14"/>
        <v>0</v>
      </c>
      <c r="M489" s="159" t="str">
        <f t="shared" si="15"/>
        <v/>
      </c>
      <c r="O489" s="158"/>
    </row>
    <row r="490" spans="1:15" x14ac:dyDescent="0.25">
      <c r="A490" s="126"/>
      <c r="B490" s="296"/>
      <c r="C490" s="126"/>
      <c r="D490" s="126"/>
      <c r="E490" s="126"/>
      <c r="F490" s="126"/>
      <c r="G490" s="298"/>
      <c r="H490" s="126"/>
      <c r="I490" s="297"/>
      <c r="J490" s="297"/>
      <c r="K490" s="297"/>
      <c r="L490" s="216">
        <f t="shared" si="14"/>
        <v>0</v>
      </c>
      <c r="M490" s="159" t="str">
        <f t="shared" si="15"/>
        <v/>
      </c>
      <c r="O490" s="158"/>
    </row>
    <row r="491" spans="1:15" x14ac:dyDescent="0.25">
      <c r="A491" s="126"/>
      <c r="B491" s="296"/>
      <c r="C491" s="126"/>
      <c r="D491" s="126"/>
      <c r="E491" s="126"/>
      <c r="F491" s="126"/>
      <c r="G491" s="298"/>
      <c r="H491" s="126"/>
      <c r="I491" s="297"/>
      <c r="J491" s="297"/>
      <c r="K491" s="297"/>
      <c r="L491" s="216">
        <f t="shared" si="14"/>
        <v>0</v>
      </c>
      <c r="M491" s="159" t="str">
        <f t="shared" si="15"/>
        <v/>
      </c>
      <c r="O491" s="158"/>
    </row>
    <row r="492" spans="1:15" x14ac:dyDescent="0.25">
      <c r="A492" s="126"/>
      <c r="B492" s="296"/>
      <c r="C492" s="126"/>
      <c r="D492" s="126"/>
      <c r="E492" s="126"/>
      <c r="F492" s="126"/>
      <c r="G492" s="298"/>
      <c r="H492" s="126"/>
      <c r="I492" s="297"/>
      <c r="J492" s="297"/>
      <c r="K492" s="297"/>
      <c r="L492" s="216">
        <f t="shared" si="14"/>
        <v>0</v>
      </c>
      <c r="M492" s="159" t="str">
        <f t="shared" si="15"/>
        <v/>
      </c>
      <c r="O492" s="158"/>
    </row>
    <row r="493" spans="1:15" x14ac:dyDescent="0.25">
      <c r="A493" s="126"/>
      <c r="B493" s="296"/>
      <c r="C493" s="126"/>
      <c r="D493" s="126"/>
      <c r="E493" s="126"/>
      <c r="F493" s="126"/>
      <c r="G493" s="298"/>
      <c r="H493" s="126"/>
      <c r="I493" s="297"/>
      <c r="J493" s="297"/>
      <c r="K493" s="297"/>
      <c r="L493" s="216">
        <f t="shared" si="14"/>
        <v>0</v>
      </c>
      <c r="M493" s="159" t="str">
        <f t="shared" si="15"/>
        <v/>
      </c>
      <c r="O493" s="158"/>
    </row>
    <row r="494" spans="1:15" x14ac:dyDescent="0.25">
      <c r="A494" s="126"/>
      <c r="B494" s="296"/>
      <c r="C494" s="126"/>
      <c r="D494" s="126"/>
      <c r="E494" s="126"/>
      <c r="F494" s="126"/>
      <c r="G494" s="298"/>
      <c r="H494" s="126"/>
      <c r="I494" s="297"/>
      <c r="J494" s="297"/>
      <c r="K494" s="297"/>
      <c r="L494" s="216">
        <f t="shared" si="14"/>
        <v>0</v>
      </c>
      <c r="M494" s="159" t="str">
        <f t="shared" si="15"/>
        <v/>
      </c>
      <c r="O494" s="158"/>
    </row>
    <row r="495" spans="1:15" x14ac:dyDescent="0.25">
      <c r="A495" s="126"/>
      <c r="B495" s="296"/>
      <c r="C495" s="126"/>
      <c r="D495" s="126"/>
      <c r="E495" s="126"/>
      <c r="F495" s="126"/>
      <c r="G495" s="298"/>
      <c r="H495" s="126"/>
      <c r="I495" s="297"/>
      <c r="J495" s="297"/>
      <c r="K495" s="297"/>
      <c r="L495" s="216">
        <f t="shared" si="14"/>
        <v>0</v>
      </c>
      <c r="M495" s="159" t="str">
        <f t="shared" si="15"/>
        <v/>
      </c>
      <c r="O495" s="158"/>
    </row>
    <row r="496" spans="1:15" x14ac:dyDescent="0.25">
      <c r="A496" s="126"/>
      <c r="B496" s="296"/>
      <c r="C496" s="126"/>
      <c r="D496" s="126"/>
      <c r="E496" s="126"/>
      <c r="F496" s="126"/>
      <c r="G496" s="298"/>
      <c r="H496" s="126"/>
      <c r="I496" s="297"/>
      <c r="J496" s="297"/>
      <c r="K496" s="297"/>
      <c r="L496" s="216">
        <f t="shared" si="14"/>
        <v>0</v>
      </c>
      <c r="M496" s="159" t="str">
        <f t="shared" si="15"/>
        <v/>
      </c>
      <c r="O496" s="158"/>
    </row>
    <row r="497" spans="1:15" x14ac:dyDescent="0.25">
      <c r="A497" s="126"/>
      <c r="B497" s="296"/>
      <c r="C497" s="126"/>
      <c r="D497" s="126"/>
      <c r="E497" s="126"/>
      <c r="F497" s="126"/>
      <c r="G497" s="298"/>
      <c r="H497" s="126"/>
      <c r="I497" s="297"/>
      <c r="J497" s="297"/>
      <c r="K497" s="297"/>
      <c r="L497" s="216">
        <f t="shared" si="14"/>
        <v>0</v>
      </c>
      <c r="M497" s="159" t="str">
        <f t="shared" si="15"/>
        <v/>
      </c>
      <c r="O497" s="158"/>
    </row>
    <row r="498" spans="1:15" x14ac:dyDescent="0.25">
      <c r="A498" s="126"/>
      <c r="B498" s="296"/>
      <c r="C498" s="126"/>
      <c r="D498" s="126"/>
      <c r="E498" s="126"/>
      <c r="F498" s="126"/>
      <c r="G498" s="298"/>
      <c r="H498" s="126"/>
      <c r="I498" s="297"/>
      <c r="J498" s="297"/>
      <c r="K498" s="297"/>
      <c r="L498" s="216">
        <f t="shared" si="14"/>
        <v>0</v>
      </c>
      <c r="M498" s="159" t="str">
        <f t="shared" si="15"/>
        <v/>
      </c>
      <c r="O498" s="158"/>
    </row>
    <row r="499" spans="1:15" x14ac:dyDescent="0.25">
      <c r="A499" s="126"/>
      <c r="B499" s="296"/>
      <c r="C499" s="126"/>
      <c r="D499" s="126"/>
      <c r="E499" s="126"/>
      <c r="F499" s="126"/>
      <c r="G499" s="298"/>
      <c r="H499" s="126"/>
      <c r="I499" s="297"/>
      <c r="J499" s="297"/>
      <c r="K499" s="297"/>
      <c r="L499" s="216">
        <f t="shared" si="14"/>
        <v>0</v>
      </c>
      <c r="M499" s="159" t="str">
        <f t="shared" si="15"/>
        <v/>
      </c>
      <c r="O499" s="158"/>
    </row>
    <row r="500" spans="1:15" x14ac:dyDescent="0.25">
      <c r="A500" s="126"/>
      <c r="B500" s="296"/>
      <c r="C500" s="126"/>
      <c r="D500" s="126"/>
      <c r="E500" s="126"/>
      <c r="F500" s="126"/>
      <c r="G500" s="298"/>
      <c r="H500" s="126"/>
      <c r="I500" s="297"/>
      <c r="J500" s="297"/>
      <c r="K500" s="297"/>
      <c r="L500" s="216">
        <f t="shared" si="14"/>
        <v>0</v>
      </c>
      <c r="M500" s="159" t="str">
        <f t="shared" si="15"/>
        <v/>
      </c>
      <c r="O500" s="158"/>
    </row>
    <row r="501" spans="1:15" x14ac:dyDescent="0.25">
      <c r="A501" s="126"/>
      <c r="B501" s="296"/>
      <c r="C501" s="126"/>
      <c r="D501" s="126"/>
      <c r="E501" s="126"/>
      <c r="F501" s="126"/>
      <c r="G501" s="298"/>
      <c r="H501" s="126"/>
      <c r="I501" s="297"/>
      <c r="J501" s="297"/>
      <c r="K501" s="297"/>
      <c r="L501" s="216">
        <f t="shared" si="14"/>
        <v>0</v>
      </c>
      <c r="M501" s="159" t="str">
        <f t="shared" si="15"/>
        <v/>
      </c>
      <c r="O501" s="158"/>
    </row>
    <row r="502" spans="1:15" x14ac:dyDescent="0.25">
      <c r="A502" s="126"/>
      <c r="B502" s="296"/>
      <c r="C502" s="126"/>
      <c r="D502" s="126"/>
      <c r="E502" s="126"/>
      <c r="F502" s="126"/>
      <c r="G502" s="298"/>
      <c r="H502" s="126"/>
      <c r="I502" s="297"/>
      <c r="J502" s="297"/>
      <c r="K502" s="297"/>
      <c r="L502" s="216">
        <f t="shared" si="14"/>
        <v>0</v>
      </c>
      <c r="M502" s="159" t="str">
        <f t="shared" si="15"/>
        <v/>
      </c>
      <c r="O502" s="158"/>
    </row>
    <row r="503" spans="1:15" x14ac:dyDescent="0.25">
      <c r="A503" s="126"/>
      <c r="B503" s="296"/>
      <c r="C503" s="126"/>
      <c r="D503" s="126"/>
      <c r="E503" s="126"/>
      <c r="F503" s="126"/>
      <c r="G503" s="298"/>
      <c r="H503" s="126"/>
      <c r="I503" s="297"/>
      <c r="J503" s="297"/>
      <c r="K503" s="297"/>
      <c r="L503" s="216">
        <f t="shared" si="14"/>
        <v>0</v>
      </c>
      <c r="M503" s="159" t="str">
        <f t="shared" si="15"/>
        <v/>
      </c>
      <c r="O503" s="158"/>
    </row>
    <row r="504" spans="1:15" x14ac:dyDescent="0.25">
      <c r="A504" s="126"/>
      <c r="B504" s="296"/>
      <c r="C504" s="126"/>
      <c r="D504" s="126"/>
      <c r="E504" s="126"/>
      <c r="F504" s="126"/>
      <c r="G504" s="298"/>
      <c r="H504" s="126"/>
      <c r="I504" s="297"/>
      <c r="J504" s="297"/>
      <c r="K504" s="297"/>
      <c r="L504" s="216">
        <f t="shared" si="14"/>
        <v>0</v>
      </c>
      <c r="M504" s="159" t="str">
        <f t="shared" si="15"/>
        <v/>
      </c>
      <c r="O504" s="158"/>
    </row>
    <row r="505" spans="1:15" x14ac:dyDescent="0.25">
      <c r="A505" s="126"/>
      <c r="B505" s="296"/>
      <c r="C505" s="126"/>
      <c r="D505" s="126"/>
      <c r="E505" s="126"/>
      <c r="F505" s="126"/>
      <c r="G505" s="298"/>
      <c r="H505" s="126"/>
      <c r="I505" s="297"/>
      <c r="J505" s="297"/>
      <c r="K505" s="297"/>
      <c r="L505" s="216">
        <f t="shared" si="14"/>
        <v>0</v>
      </c>
      <c r="M505" s="159" t="str">
        <f t="shared" si="15"/>
        <v/>
      </c>
      <c r="O505" s="158"/>
    </row>
    <row r="506" spans="1:15" x14ac:dyDescent="0.25">
      <c r="A506" s="126"/>
      <c r="B506" s="296"/>
      <c r="C506" s="126"/>
      <c r="D506" s="126"/>
      <c r="E506" s="126"/>
      <c r="F506" s="126"/>
      <c r="G506" s="298"/>
      <c r="H506" s="126"/>
      <c r="I506" s="297"/>
      <c r="J506" s="297"/>
      <c r="K506" s="297"/>
      <c r="L506" s="216">
        <f t="shared" si="14"/>
        <v>0</v>
      </c>
      <c r="M506" s="159" t="str">
        <f t="shared" si="15"/>
        <v/>
      </c>
      <c r="O506" s="158"/>
    </row>
    <row r="507" spans="1:15" x14ac:dyDescent="0.25">
      <c r="A507" s="126"/>
      <c r="B507" s="296"/>
      <c r="C507" s="126"/>
      <c r="D507" s="126"/>
      <c r="E507" s="126"/>
      <c r="F507" s="126"/>
      <c r="G507" s="298"/>
      <c r="H507" s="126"/>
      <c r="I507" s="297"/>
      <c r="J507" s="297"/>
      <c r="K507" s="297"/>
      <c r="L507" s="216">
        <f t="shared" si="14"/>
        <v>0</v>
      </c>
      <c r="M507" s="159" t="str">
        <f t="shared" si="15"/>
        <v/>
      </c>
      <c r="O507" s="158"/>
    </row>
    <row r="508" spans="1:15" x14ac:dyDescent="0.25">
      <c r="A508" s="126"/>
      <c r="B508" s="296"/>
      <c r="C508" s="126"/>
      <c r="D508" s="126"/>
      <c r="E508" s="126"/>
      <c r="F508" s="126"/>
      <c r="G508" s="298"/>
      <c r="H508" s="126"/>
      <c r="I508" s="297"/>
      <c r="J508" s="297"/>
      <c r="K508" s="297"/>
      <c r="L508" s="216">
        <f t="shared" si="14"/>
        <v>0</v>
      </c>
      <c r="M508" s="159" t="str">
        <f t="shared" si="15"/>
        <v/>
      </c>
      <c r="O508" s="158"/>
    </row>
    <row r="509" spans="1:15" x14ac:dyDescent="0.25">
      <c r="A509" s="126"/>
      <c r="B509" s="296"/>
      <c r="C509" s="126"/>
      <c r="D509" s="126"/>
      <c r="E509" s="126"/>
      <c r="F509" s="126"/>
      <c r="G509" s="298"/>
      <c r="H509" s="126"/>
      <c r="I509" s="297"/>
      <c r="J509" s="297"/>
      <c r="K509" s="297"/>
      <c r="L509" s="216">
        <f t="shared" si="14"/>
        <v>0</v>
      </c>
      <c r="M509" s="159" t="str">
        <f t="shared" si="15"/>
        <v/>
      </c>
      <c r="O509" s="158"/>
    </row>
    <row r="510" spans="1:15" x14ac:dyDescent="0.25">
      <c r="A510" s="126"/>
      <c r="B510" s="296"/>
      <c r="C510" s="126"/>
      <c r="D510" s="126"/>
      <c r="E510" s="126"/>
      <c r="F510" s="126"/>
      <c r="G510" s="298"/>
      <c r="H510" s="126"/>
      <c r="I510" s="297"/>
      <c r="J510" s="297"/>
      <c r="K510" s="297"/>
      <c r="L510" s="216">
        <f t="shared" si="14"/>
        <v>0</v>
      </c>
      <c r="M510" s="159" t="str">
        <f t="shared" si="15"/>
        <v/>
      </c>
      <c r="O510" s="158"/>
    </row>
    <row r="511" spans="1:15" x14ac:dyDescent="0.25">
      <c r="A511" s="126"/>
      <c r="B511" s="296"/>
      <c r="C511" s="126"/>
      <c r="D511" s="126"/>
      <c r="E511" s="126"/>
      <c r="F511" s="126"/>
      <c r="G511" s="298"/>
      <c r="H511" s="126"/>
      <c r="I511" s="297"/>
      <c r="J511" s="297"/>
      <c r="K511" s="297"/>
      <c r="L511" s="216">
        <f t="shared" si="14"/>
        <v>0</v>
      </c>
      <c r="M511" s="159" t="str">
        <f t="shared" si="15"/>
        <v/>
      </c>
      <c r="O511" s="158"/>
    </row>
    <row r="512" spans="1:15" x14ac:dyDescent="0.25">
      <c r="A512" s="126"/>
      <c r="B512" s="296"/>
      <c r="C512" s="126"/>
      <c r="D512" s="126"/>
      <c r="E512" s="126"/>
      <c r="F512" s="126"/>
      <c r="G512" s="298"/>
      <c r="H512" s="126"/>
      <c r="I512" s="297"/>
      <c r="J512" s="297"/>
      <c r="K512" s="297"/>
      <c r="L512" s="216">
        <f t="shared" si="14"/>
        <v>0</v>
      </c>
      <c r="M512" s="159" t="str">
        <f t="shared" si="15"/>
        <v/>
      </c>
      <c r="O512" s="158"/>
    </row>
    <row r="513" spans="1:15" x14ac:dyDescent="0.25">
      <c r="A513" s="126"/>
      <c r="B513" s="296"/>
      <c r="C513" s="126"/>
      <c r="D513" s="126"/>
      <c r="E513" s="126"/>
      <c r="F513" s="126"/>
      <c r="G513" s="298"/>
      <c r="H513" s="126"/>
      <c r="I513" s="297"/>
      <c r="J513" s="297"/>
      <c r="K513" s="297"/>
      <c r="L513" s="216">
        <f t="shared" si="14"/>
        <v>0</v>
      </c>
      <c r="M513" s="159" t="str">
        <f t="shared" si="15"/>
        <v/>
      </c>
      <c r="O513" s="158"/>
    </row>
    <row r="514" spans="1:15" x14ac:dyDescent="0.25">
      <c r="A514" s="126"/>
      <c r="B514" s="296"/>
      <c r="C514" s="126"/>
      <c r="D514" s="126"/>
      <c r="E514" s="126"/>
      <c r="F514" s="126"/>
      <c r="G514" s="298"/>
      <c r="H514" s="126"/>
      <c r="I514" s="297"/>
      <c r="J514" s="297"/>
      <c r="K514" s="297"/>
      <c r="L514" s="216">
        <f t="shared" ref="L514:L577" si="16">K514*1.1</f>
        <v>0</v>
      </c>
      <c r="M514" s="159" t="str">
        <f t="shared" ref="M514:M577" si="17">IF(ISNUMBER(SEARCH("Azarine",H514)),"AZARINE",IF(ISNUMBER(SEARCH("Baking Soda",H514)),"BAKING SODA",IF(ISNUMBER(SEARCH("Fujitsu",H514)),"FUJITSU",IF(ISNUMBER(SEARCH("Coleman",H514)),"COLEMAN",""))))</f>
        <v/>
      </c>
      <c r="O514" s="158"/>
    </row>
    <row r="515" spans="1:15" x14ac:dyDescent="0.25">
      <c r="A515" s="126"/>
      <c r="B515" s="296"/>
      <c r="C515" s="126"/>
      <c r="D515" s="126"/>
      <c r="E515" s="126"/>
      <c r="F515" s="126"/>
      <c r="G515" s="298"/>
      <c r="H515" s="126"/>
      <c r="I515" s="297"/>
      <c r="J515" s="297"/>
      <c r="K515" s="297"/>
      <c r="L515" s="216">
        <f t="shared" si="16"/>
        <v>0</v>
      </c>
      <c r="M515" s="159" t="str">
        <f t="shared" si="17"/>
        <v/>
      </c>
      <c r="O515" s="158"/>
    </row>
    <row r="516" spans="1:15" x14ac:dyDescent="0.25">
      <c r="A516" s="126"/>
      <c r="B516" s="296"/>
      <c r="C516" s="126"/>
      <c r="D516" s="126"/>
      <c r="E516" s="126"/>
      <c r="F516" s="126"/>
      <c r="G516" s="298"/>
      <c r="H516" s="126"/>
      <c r="I516" s="297"/>
      <c r="J516" s="297"/>
      <c r="K516" s="297"/>
      <c r="L516" s="216">
        <f t="shared" si="16"/>
        <v>0</v>
      </c>
      <c r="M516" s="159" t="str">
        <f t="shared" si="17"/>
        <v/>
      </c>
      <c r="O516" s="158"/>
    </row>
    <row r="517" spans="1:15" x14ac:dyDescent="0.25">
      <c r="A517" s="126"/>
      <c r="B517" s="296"/>
      <c r="C517" s="126"/>
      <c r="D517" s="126"/>
      <c r="E517" s="126"/>
      <c r="F517" s="126"/>
      <c r="G517" s="298"/>
      <c r="H517" s="126"/>
      <c r="I517" s="297"/>
      <c r="J517" s="297"/>
      <c r="K517" s="297"/>
      <c r="L517" s="216">
        <f t="shared" si="16"/>
        <v>0</v>
      </c>
      <c r="M517" s="159" t="str">
        <f t="shared" si="17"/>
        <v/>
      </c>
      <c r="O517" s="158"/>
    </row>
    <row r="518" spans="1:15" x14ac:dyDescent="0.25">
      <c r="A518" s="126"/>
      <c r="B518" s="296"/>
      <c r="C518" s="126"/>
      <c r="D518" s="126"/>
      <c r="E518" s="126"/>
      <c r="F518" s="126"/>
      <c r="G518" s="298"/>
      <c r="H518" s="126"/>
      <c r="I518" s="297"/>
      <c r="J518" s="297"/>
      <c r="K518" s="297"/>
      <c r="L518" s="216">
        <f t="shared" si="16"/>
        <v>0</v>
      </c>
      <c r="M518" s="159" t="str">
        <f t="shared" si="17"/>
        <v/>
      </c>
      <c r="O518" s="158"/>
    </row>
    <row r="519" spans="1:15" x14ac:dyDescent="0.25">
      <c r="A519" s="126"/>
      <c r="B519" s="296"/>
      <c r="C519" s="126"/>
      <c r="D519" s="126"/>
      <c r="E519" s="126"/>
      <c r="F519" s="126"/>
      <c r="G519" s="298"/>
      <c r="H519" s="126"/>
      <c r="I519" s="297"/>
      <c r="J519" s="297"/>
      <c r="K519" s="297"/>
      <c r="L519" s="216">
        <f t="shared" si="16"/>
        <v>0</v>
      </c>
      <c r="M519" s="159" t="str">
        <f t="shared" si="17"/>
        <v/>
      </c>
      <c r="O519" s="158"/>
    </row>
    <row r="520" spans="1:15" x14ac:dyDescent="0.25">
      <c r="A520" s="126"/>
      <c r="B520" s="296"/>
      <c r="C520" s="126"/>
      <c r="D520" s="126"/>
      <c r="E520" s="126"/>
      <c r="F520" s="126"/>
      <c r="G520" s="298"/>
      <c r="H520" s="126"/>
      <c r="I520" s="297"/>
      <c r="J520" s="297"/>
      <c r="K520" s="297"/>
      <c r="L520" s="216">
        <f t="shared" si="16"/>
        <v>0</v>
      </c>
      <c r="M520" s="159" t="str">
        <f t="shared" si="17"/>
        <v/>
      </c>
      <c r="O520" s="158"/>
    </row>
    <row r="521" spans="1:15" x14ac:dyDescent="0.25">
      <c r="A521" s="126"/>
      <c r="B521" s="296"/>
      <c r="C521" s="126"/>
      <c r="D521" s="126"/>
      <c r="E521" s="126"/>
      <c r="F521" s="126"/>
      <c r="G521" s="298"/>
      <c r="H521" s="126"/>
      <c r="I521" s="297"/>
      <c r="J521" s="297"/>
      <c r="K521" s="297"/>
      <c r="L521" s="216">
        <f t="shared" si="16"/>
        <v>0</v>
      </c>
      <c r="M521" s="159" t="str">
        <f t="shared" si="17"/>
        <v/>
      </c>
      <c r="O521" s="158"/>
    </row>
    <row r="522" spans="1:15" x14ac:dyDescent="0.25">
      <c r="A522" s="126"/>
      <c r="B522" s="296"/>
      <c r="C522" s="126"/>
      <c r="D522" s="126"/>
      <c r="E522" s="126"/>
      <c r="F522" s="126"/>
      <c r="G522" s="298"/>
      <c r="H522" s="126"/>
      <c r="I522" s="297"/>
      <c r="J522" s="297"/>
      <c r="K522" s="297"/>
      <c r="L522" s="216">
        <f t="shared" si="16"/>
        <v>0</v>
      </c>
      <c r="M522" s="159" t="str">
        <f t="shared" si="17"/>
        <v/>
      </c>
      <c r="O522" s="158"/>
    </row>
    <row r="523" spans="1:15" x14ac:dyDescent="0.25">
      <c r="A523" s="126"/>
      <c r="B523" s="296"/>
      <c r="C523" s="126"/>
      <c r="D523" s="126"/>
      <c r="E523" s="126"/>
      <c r="F523" s="126"/>
      <c r="G523" s="298"/>
      <c r="H523" s="126"/>
      <c r="I523" s="297"/>
      <c r="J523" s="297"/>
      <c r="K523" s="297"/>
      <c r="L523" s="216">
        <f t="shared" si="16"/>
        <v>0</v>
      </c>
      <c r="M523" s="159" t="str">
        <f t="shared" si="17"/>
        <v/>
      </c>
      <c r="O523" s="158"/>
    </row>
    <row r="524" spans="1:15" x14ac:dyDescent="0.25">
      <c r="A524" s="126"/>
      <c r="B524" s="296"/>
      <c r="C524" s="126"/>
      <c r="D524" s="126"/>
      <c r="E524" s="126"/>
      <c r="F524" s="126"/>
      <c r="G524" s="298"/>
      <c r="H524" s="126"/>
      <c r="I524" s="297"/>
      <c r="J524" s="297"/>
      <c r="K524" s="297"/>
      <c r="L524" s="216">
        <f t="shared" si="16"/>
        <v>0</v>
      </c>
      <c r="M524" s="159" t="str">
        <f t="shared" si="17"/>
        <v/>
      </c>
      <c r="O524" s="158"/>
    </row>
    <row r="525" spans="1:15" x14ac:dyDescent="0.25">
      <c r="A525" s="126"/>
      <c r="B525" s="296"/>
      <c r="C525" s="126"/>
      <c r="D525" s="126"/>
      <c r="E525" s="126"/>
      <c r="F525" s="126"/>
      <c r="G525" s="298"/>
      <c r="H525" s="126"/>
      <c r="I525" s="297"/>
      <c r="J525" s="297"/>
      <c r="K525" s="297"/>
      <c r="L525" s="216">
        <f t="shared" si="16"/>
        <v>0</v>
      </c>
      <c r="M525" s="159" t="str">
        <f t="shared" si="17"/>
        <v/>
      </c>
      <c r="O525" s="158"/>
    </row>
    <row r="526" spans="1:15" x14ac:dyDescent="0.25">
      <c r="A526" s="126"/>
      <c r="B526" s="296"/>
      <c r="C526" s="126"/>
      <c r="D526" s="126"/>
      <c r="E526" s="126"/>
      <c r="F526" s="126"/>
      <c r="G526" s="298"/>
      <c r="H526" s="126"/>
      <c r="I526" s="297"/>
      <c r="J526" s="297"/>
      <c r="K526" s="297"/>
      <c r="L526" s="216">
        <f t="shared" si="16"/>
        <v>0</v>
      </c>
      <c r="M526" s="159" t="str">
        <f t="shared" si="17"/>
        <v/>
      </c>
      <c r="O526" s="158"/>
    </row>
    <row r="527" spans="1:15" x14ac:dyDescent="0.25">
      <c r="A527" s="126"/>
      <c r="B527" s="296"/>
      <c r="C527" s="126"/>
      <c r="D527" s="126"/>
      <c r="E527" s="126"/>
      <c r="F527" s="126"/>
      <c r="G527" s="298"/>
      <c r="H527" s="126"/>
      <c r="I527" s="297"/>
      <c r="J527" s="297"/>
      <c r="K527" s="297"/>
      <c r="L527" s="216">
        <f t="shared" si="16"/>
        <v>0</v>
      </c>
      <c r="M527" s="159" t="str">
        <f t="shared" si="17"/>
        <v/>
      </c>
      <c r="O527" s="158"/>
    </row>
    <row r="528" spans="1:15" x14ac:dyDescent="0.25">
      <c r="A528" s="126"/>
      <c r="B528" s="296"/>
      <c r="C528" s="126"/>
      <c r="D528" s="126"/>
      <c r="E528" s="126"/>
      <c r="F528" s="126"/>
      <c r="G528" s="298"/>
      <c r="H528" s="126"/>
      <c r="I528" s="297"/>
      <c r="J528" s="297"/>
      <c r="K528" s="297"/>
      <c r="L528" s="216">
        <f t="shared" si="16"/>
        <v>0</v>
      </c>
      <c r="M528" s="159" t="str">
        <f t="shared" si="17"/>
        <v/>
      </c>
      <c r="O528" s="158"/>
    </row>
    <row r="529" spans="1:15" x14ac:dyDescent="0.25">
      <c r="A529" s="126"/>
      <c r="B529" s="296"/>
      <c r="C529" s="126"/>
      <c r="D529" s="126"/>
      <c r="E529" s="126"/>
      <c r="F529" s="126"/>
      <c r="G529" s="298"/>
      <c r="H529" s="126"/>
      <c r="I529" s="297"/>
      <c r="J529" s="297"/>
      <c r="K529" s="297"/>
      <c r="L529" s="216">
        <f t="shared" si="16"/>
        <v>0</v>
      </c>
      <c r="M529" s="159" t="str">
        <f t="shared" si="17"/>
        <v/>
      </c>
      <c r="O529" s="158"/>
    </row>
    <row r="530" spans="1:15" x14ac:dyDescent="0.25">
      <c r="A530" s="126"/>
      <c r="B530" s="296"/>
      <c r="C530" s="126"/>
      <c r="D530" s="126"/>
      <c r="E530" s="126"/>
      <c r="F530" s="126"/>
      <c r="G530" s="298"/>
      <c r="H530" s="126"/>
      <c r="I530" s="297"/>
      <c r="J530" s="297"/>
      <c r="K530" s="297"/>
      <c r="L530" s="216">
        <f t="shared" si="16"/>
        <v>0</v>
      </c>
      <c r="M530" s="159" t="str">
        <f t="shared" si="17"/>
        <v/>
      </c>
      <c r="O530" s="158"/>
    </row>
    <row r="531" spans="1:15" x14ac:dyDescent="0.25">
      <c r="A531" s="126"/>
      <c r="B531" s="296"/>
      <c r="C531" s="126"/>
      <c r="D531" s="126"/>
      <c r="E531" s="126"/>
      <c r="F531" s="126"/>
      <c r="G531" s="298"/>
      <c r="H531" s="126"/>
      <c r="I531" s="297"/>
      <c r="J531" s="297"/>
      <c r="K531" s="297"/>
      <c r="L531" s="216">
        <f t="shared" si="16"/>
        <v>0</v>
      </c>
      <c r="M531" s="159" t="str">
        <f t="shared" si="17"/>
        <v/>
      </c>
      <c r="O531" s="158"/>
    </row>
    <row r="532" spans="1:15" x14ac:dyDescent="0.25">
      <c r="A532" s="126"/>
      <c r="B532" s="296"/>
      <c r="C532" s="126"/>
      <c r="D532" s="126"/>
      <c r="E532" s="126"/>
      <c r="F532" s="126"/>
      <c r="G532" s="298"/>
      <c r="H532" s="126"/>
      <c r="I532" s="297"/>
      <c r="J532" s="297"/>
      <c r="K532" s="297"/>
      <c r="L532" s="216">
        <f t="shared" si="16"/>
        <v>0</v>
      </c>
      <c r="M532" s="159" t="str">
        <f t="shared" si="17"/>
        <v/>
      </c>
      <c r="O532" s="158"/>
    </row>
    <row r="533" spans="1:15" x14ac:dyDescent="0.25">
      <c r="A533" s="126"/>
      <c r="B533" s="296"/>
      <c r="C533" s="126"/>
      <c r="D533" s="126"/>
      <c r="E533" s="126"/>
      <c r="F533" s="126"/>
      <c r="G533" s="298"/>
      <c r="H533" s="126"/>
      <c r="I533" s="297"/>
      <c r="J533" s="297"/>
      <c r="K533" s="297"/>
      <c r="L533" s="216">
        <f t="shared" si="16"/>
        <v>0</v>
      </c>
      <c r="M533" s="159" t="str">
        <f t="shared" si="17"/>
        <v/>
      </c>
      <c r="O533" s="158"/>
    </row>
    <row r="534" spans="1:15" x14ac:dyDescent="0.25">
      <c r="A534" s="126"/>
      <c r="B534" s="296"/>
      <c r="C534" s="126"/>
      <c r="D534" s="126"/>
      <c r="E534" s="126"/>
      <c r="F534" s="126"/>
      <c r="G534" s="298"/>
      <c r="H534" s="126"/>
      <c r="I534" s="297"/>
      <c r="J534" s="297"/>
      <c r="K534" s="297"/>
      <c r="L534" s="216">
        <f t="shared" si="16"/>
        <v>0</v>
      </c>
      <c r="M534" s="159" t="str">
        <f t="shared" si="17"/>
        <v/>
      </c>
      <c r="O534" s="158"/>
    </row>
    <row r="535" spans="1:15" x14ac:dyDescent="0.25">
      <c r="A535" s="126"/>
      <c r="B535" s="296"/>
      <c r="C535" s="126"/>
      <c r="D535" s="126"/>
      <c r="E535" s="126"/>
      <c r="F535" s="126"/>
      <c r="G535" s="298"/>
      <c r="H535" s="126"/>
      <c r="I535" s="297"/>
      <c r="J535" s="297"/>
      <c r="K535" s="297"/>
      <c r="L535" s="216">
        <f t="shared" si="16"/>
        <v>0</v>
      </c>
      <c r="M535" s="159" t="str">
        <f t="shared" si="17"/>
        <v/>
      </c>
      <c r="O535" s="158"/>
    </row>
    <row r="536" spans="1:15" x14ac:dyDescent="0.25">
      <c r="A536" s="126"/>
      <c r="B536" s="296"/>
      <c r="C536" s="126"/>
      <c r="D536" s="126"/>
      <c r="E536" s="126"/>
      <c r="F536" s="126"/>
      <c r="G536" s="298"/>
      <c r="H536" s="126"/>
      <c r="I536" s="297"/>
      <c r="J536" s="297"/>
      <c r="K536" s="297"/>
      <c r="L536" s="216">
        <f t="shared" si="16"/>
        <v>0</v>
      </c>
      <c r="M536" s="159" t="str">
        <f t="shared" si="17"/>
        <v/>
      </c>
      <c r="O536" s="158"/>
    </row>
    <row r="537" spans="1:15" x14ac:dyDescent="0.25">
      <c r="A537" s="126"/>
      <c r="B537" s="296"/>
      <c r="C537" s="126"/>
      <c r="D537" s="126"/>
      <c r="E537" s="126"/>
      <c r="F537" s="126"/>
      <c r="G537" s="298"/>
      <c r="H537" s="126"/>
      <c r="I537" s="297"/>
      <c r="J537" s="297"/>
      <c r="K537" s="297"/>
      <c r="L537" s="216">
        <f t="shared" si="16"/>
        <v>0</v>
      </c>
      <c r="M537" s="159" t="str">
        <f t="shared" si="17"/>
        <v/>
      </c>
      <c r="O537" s="158"/>
    </row>
    <row r="538" spans="1:15" x14ac:dyDescent="0.25">
      <c r="A538" s="126"/>
      <c r="B538" s="296"/>
      <c r="C538" s="126"/>
      <c r="D538" s="126"/>
      <c r="E538" s="126"/>
      <c r="F538" s="126"/>
      <c r="G538" s="298"/>
      <c r="H538" s="126"/>
      <c r="I538" s="297"/>
      <c r="J538" s="297"/>
      <c r="K538" s="297"/>
      <c r="L538" s="216">
        <f t="shared" si="16"/>
        <v>0</v>
      </c>
      <c r="M538" s="159" t="str">
        <f t="shared" si="17"/>
        <v/>
      </c>
      <c r="O538" s="158"/>
    </row>
    <row r="539" spans="1:15" x14ac:dyDescent="0.25">
      <c r="A539" s="126"/>
      <c r="B539" s="296"/>
      <c r="C539" s="126"/>
      <c r="D539" s="126"/>
      <c r="E539" s="126"/>
      <c r="F539" s="126"/>
      <c r="G539" s="298"/>
      <c r="H539" s="126"/>
      <c r="I539" s="297"/>
      <c r="J539" s="297"/>
      <c r="K539" s="297"/>
      <c r="L539" s="216">
        <f t="shared" si="16"/>
        <v>0</v>
      </c>
      <c r="M539" s="159" t="str">
        <f t="shared" si="17"/>
        <v/>
      </c>
      <c r="O539" s="158"/>
    </row>
    <row r="540" spans="1:15" x14ac:dyDescent="0.25">
      <c r="A540" s="126"/>
      <c r="B540" s="296"/>
      <c r="C540" s="126"/>
      <c r="D540" s="126"/>
      <c r="E540" s="126"/>
      <c r="F540" s="126"/>
      <c r="G540" s="298"/>
      <c r="H540" s="126"/>
      <c r="I540" s="297"/>
      <c r="J540" s="297"/>
      <c r="K540" s="297"/>
      <c r="L540" s="216">
        <f t="shared" si="16"/>
        <v>0</v>
      </c>
      <c r="M540" s="159" t="str">
        <f t="shared" si="17"/>
        <v/>
      </c>
      <c r="O540" s="158"/>
    </row>
    <row r="541" spans="1:15" x14ac:dyDescent="0.25">
      <c r="A541" s="126"/>
      <c r="B541" s="296"/>
      <c r="C541" s="126"/>
      <c r="D541" s="126"/>
      <c r="E541" s="126"/>
      <c r="F541" s="126"/>
      <c r="G541" s="298"/>
      <c r="H541" s="126"/>
      <c r="I541" s="297"/>
      <c r="J541" s="297"/>
      <c r="K541" s="297"/>
      <c r="L541" s="216">
        <f t="shared" si="16"/>
        <v>0</v>
      </c>
      <c r="M541" s="159" t="str">
        <f t="shared" si="17"/>
        <v/>
      </c>
      <c r="O541" s="158"/>
    </row>
    <row r="542" spans="1:15" x14ac:dyDescent="0.25">
      <c r="A542" s="126"/>
      <c r="B542" s="296"/>
      <c r="C542" s="126"/>
      <c r="D542" s="126"/>
      <c r="E542" s="126"/>
      <c r="F542" s="126"/>
      <c r="G542" s="298"/>
      <c r="H542" s="126"/>
      <c r="I542" s="297"/>
      <c r="J542" s="297"/>
      <c r="K542" s="297"/>
      <c r="L542" s="216">
        <f t="shared" si="16"/>
        <v>0</v>
      </c>
      <c r="M542" s="159" t="str">
        <f t="shared" si="17"/>
        <v/>
      </c>
      <c r="O542" s="158"/>
    </row>
    <row r="543" spans="1:15" x14ac:dyDescent="0.25">
      <c r="A543" s="126"/>
      <c r="B543" s="296"/>
      <c r="C543" s="126"/>
      <c r="D543" s="126"/>
      <c r="E543" s="126"/>
      <c r="F543" s="126"/>
      <c r="G543" s="298"/>
      <c r="H543" s="126"/>
      <c r="I543" s="297"/>
      <c r="J543" s="297"/>
      <c r="K543" s="297"/>
      <c r="L543" s="216">
        <f t="shared" si="16"/>
        <v>0</v>
      </c>
      <c r="M543" s="159" t="str">
        <f t="shared" si="17"/>
        <v/>
      </c>
      <c r="O543" s="158"/>
    </row>
    <row r="544" spans="1:15" x14ac:dyDescent="0.25">
      <c r="A544" s="126"/>
      <c r="B544" s="296"/>
      <c r="C544" s="126"/>
      <c r="D544" s="126"/>
      <c r="E544" s="126"/>
      <c r="F544" s="126"/>
      <c r="G544" s="298"/>
      <c r="H544" s="126"/>
      <c r="I544" s="297"/>
      <c r="J544" s="297"/>
      <c r="K544" s="297"/>
      <c r="L544" s="216">
        <f t="shared" si="16"/>
        <v>0</v>
      </c>
      <c r="M544" s="159" t="str">
        <f t="shared" si="17"/>
        <v/>
      </c>
      <c r="O544" s="158"/>
    </row>
    <row r="545" spans="1:15" x14ac:dyDescent="0.25">
      <c r="A545" s="126"/>
      <c r="B545" s="296"/>
      <c r="C545" s="126"/>
      <c r="D545" s="126"/>
      <c r="E545" s="126"/>
      <c r="F545" s="126"/>
      <c r="G545" s="298"/>
      <c r="H545" s="126"/>
      <c r="I545" s="297"/>
      <c r="J545" s="297"/>
      <c r="K545" s="297"/>
      <c r="L545" s="216">
        <f t="shared" si="16"/>
        <v>0</v>
      </c>
      <c r="M545" s="159" t="str">
        <f t="shared" si="17"/>
        <v/>
      </c>
      <c r="O545" s="158"/>
    </row>
    <row r="546" spans="1:15" x14ac:dyDescent="0.25">
      <c r="A546" s="126"/>
      <c r="B546" s="296"/>
      <c r="C546" s="126"/>
      <c r="D546" s="126"/>
      <c r="E546" s="126"/>
      <c r="F546" s="126"/>
      <c r="G546" s="298"/>
      <c r="H546" s="126"/>
      <c r="I546" s="297"/>
      <c r="J546" s="297"/>
      <c r="K546" s="297"/>
      <c r="L546" s="216">
        <f t="shared" si="16"/>
        <v>0</v>
      </c>
      <c r="M546" s="159" t="str">
        <f t="shared" si="17"/>
        <v/>
      </c>
      <c r="O546" s="158"/>
    </row>
    <row r="547" spans="1:15" x14ac:dyDescent="0.25">
      <c r="A547" s="126"/>
      <c r="B547" s="296"/>
      <c r="C547" s="126"/>
      <c r="D547" s="126"/>
      <c r="E547" s="126"/>
      <c r="F547" s="126"/>
      <c r="G547" s="298"/>
      <c r="H547" s="126"/>
      <c r="I547" s="297"/>
      <c r="J547" s="297"/>
      <c r="K547" s="297"/>
      <c r="L547" s="216">
        <f t="shared" si="16"/>
        <v>0</v>
      </c>
      <c r="M547" s="159" t="str">
        <f t="shared" si="17"/>
        <v/>
      </c>
      <c r="O547" s="158"/>
    </row>
    <row r="548" spans="1:15" x14ac:dyDescent="0.25">
      <c r="A548" s="126"/>
      <c r="B548" s="296"/>
      <c r="C548" s="126"/>
      <c r="D548" s="126"/>
      <c r="E548" s="126"/>
      <c r="F548" s="126"/>
      <c r="G548" s="298"/>
      <c r="H548" s="126"/>
      <c r="I548" s="297"/>
      <c r="J548" s="297"/>
      <c r="K548" s="297"/>
      <c r="L548" s="216">
        <f t="shared" si="16"/>
        <v>0</v>
      </c>
      <c r="M548" s="159" t="str">
        <f t="shared" si="17"/>
        <v/>
      </c>
      <c r="O548" s="158"/>
    </row>
    <row r="549" spans="1:15" x14ac:dyDescent="0.25">
      <c r="A549" s="126"/>
      <c r="B549" s="296"/>
      <c r="C549" s="126"/>
      <c r="D549" s="126"/>
      <c r="E549" s="126"/>
      <c r="F549" s="126"/>
      <c r="G549" s="298"/>
      <c r="H549" s="126"/>
      <c r="I549" s="297"/>
      <c r="J549" s="297"/>
      <c r="K549" s="297"/>
      <c r="L549" s="216">
        <f t="shared" si="16"/>
        <v>0</v>
      </c>
      <c r="M549" s="159" t="str">
        <f t="shared" si="17"/>
        <v/>
      </c>
      <c r="O549" s="158"/>
    </row>
    <row r="550" spans="1:15" x14ac:dyDescent="0.25">
      <c r="A550" s="126"/>
      <c r="B550" s="296"/>
      <c r="C550" s="126"/>
      <c r="D550" s="126"/>
      <c r="E550" s="126"/>
      <c r="F550" s="126"/>
      <c r="G550" s="298"/>
      <c r="H550" s="126"/>
      <c r="I550" s="297"/>
      <c r="J550" s="297"/>
      <c r="K550" s="297"/>
      <c r="L550" s="216">
        <f t="shared" si="16"/>
        <v>0</v>
      </c>
      <c r="M550" s="159" t="str">
        <f t="shared" si="17"/>
        <v/>
      </c>
      <c r="O550" s="158"/>
    </row>
    <row r="551" spans="1:15" x14ac:dyDescent="0.25">
      <c r="A551" s="126"/>
      <c r="B551" s="296"/>
      <c r="C551" s="126"/>
      <c r="D551" s="126"/>
      <c r="E551" s="126"/>
      <c r="F551" s="126"/>
      <c r="G551" s="298"/>
      <c r="H551" s="126"/>
      <c r="I551" s="297"/>
      <c r="J551" s="297"/>
      <c r="K551" s="297"/>
      <c r="L551" s="216">
        <f t="shared" si="16"/>
        <v>0</v>
      </c>
      <c r="M551" s="159" t="str">
        <f t="shared" si="17"/>
        <v/>
      </c>
      <c r="O551" s="158"/>
    </row>
    <row r="552" spans="1:15" x14ac:dyDescent="0.25">
      <c r="A552" s="126"/>
      <c r="B552" s="296"/>
      <c r="C552" s="126"/>
      <c r="D552" s="126"/>
      <c r="E552" s="126"/>
      <c r="F552" s="126"/>
      <c r="G552" s="298"/>
      <c r="H552" s="126"/>
      <c r="I552" s="297"/>
      <c r="J552" s="297"/>
      <c r="K552" s="297"/>
      <c r="L552" s="216">
        <f t="shared" si="16"/>
        <v>0</v>
      </c>
      <c r="M552" s="159" t="str">
        <f t="shared" si="17"/>
        <v/>
      </c>
      <c r="O552" s="158"/>
    </row>
    <row r="553" spans="1:15" x14ac:dyDescent="0.25">
      <c r="A553" s="126"/>
      <c r="B553" s="296"/>
      <c r="C553" s="126"/>
      <c r="D553" s="126"/>
      <c r="E553" s="126"/>
      <c r="F553" s="126"/>
      <c r="G553" s="298"/>
      <c r="H553" s="126"/>
      <c r="I553" s="297"/>
      <c r="J553" s="297"/>
      <c r="K553" s="297"/>
      <c r="L553" s="216">
        <f t="shared" si="16"/>
        <v>0</v>
      </c>
      <c r="M553" s="159" t="str">
        <f t="shared" si="17"/>
        <v/>
      </c>
      <c r="O553" s="158"/>
    </row>
    <row r="554" spans="1:15" x14ac:dyDescent="0.25">
      <c r="A554" s="126"/>
      <c r="B554" s="296"/>
      <c r="C554" s="126"/>
      <c r="D554" s="126"/>
      <c r="E554" s="126"/>
      <c r="F554" s="126"/>
      <c r="G554" s="298"/>
      <c r="H554" s="126"/>
      <c r="I554" s="297"/>
      <c r="J554" s="297"/>
      <c r="K554" s="297"/>
      <c r="L554" s="216">
        <f t="shared" si="16"/>
        <v>0</v>
      </c>
      <c r="M554" s="159" t="str">
        <f t="shared" si="17"/>
        <v/>
      </c>
      <c r="O554" s="158"/>
    </row>
    <row r="555" spans="1:15" x14ac:dyDescent="0.25">
      <c r="A555" s="126"/>
      <c r="B555" s="296"/>
      <c r="C555" s="126"/>
      <c r="D555" s="126"/>
      <c r="E555" s="126"/>
      <c r="F555" s="126"/>
      <c r="G555" s="298"/>
      <c r="H555" s="126"/>
      <c r="I555" s="297"/>
      <c r="J555" s="297"/>
      <c r="K555" s="297"/>
      <c r="L555" s="216">
        <f t="shared" si="16"/>
        <v>0</v>
      </c>
      <c r="M555" s="159" t="str">
        <f t="shared" si="17"/>
        <v/>
      </c>
      <c r="O555" s="158"/>
    </row>
    <row r="556" spans="1:15" x14ac:dyDescent="0.25">
      <c r="A556" s="126"/>
      <c r="B556" s="296"/>
      <c r="C556" s="126"/>
      <c r="D556" s="126"/>
      <c r="E556" s="126"/>
      <c r="F556" s="126"/>
      <c r="G556" s="298"/>
      <c r="H556" s="126"/>
      <c r="I556" s="297"/>
      <c r="J556" s="297"/>
      <c r="K556" s="297"/>
      <c r="L556" s="216">
        <f t="shared" si="16"/>
        <v>0</v>
      </c>
      <c r="M556" s="159" t="str">
        <f t="shared" si="17"/>
        <v/>
      </c>
      <c r="O556" s="158"/>
    </row>
    <row r="557" spans="1:15" x14ac:dyDescent="0.25">
      <c r="A557" s="126"/>
      <c r="B557" s="296"/>
      <c r="C557" s="126"/>
      <c r="D557" s="126"/>
      <c r="E557" s="126"/>
      <c r="F557" s="126"/>
      <c r="G557" s="298"/>
      <c r="H557" s="126"/>
      <c r="I557" s="297"/>
      <c r="J557" s="297"/>
      <c r="K557" s="297"/>
      <c r="L557" s="216">
        <f t="shared" si="16"/>
        <v>0</v>
      </c>
      <c r="M557" s="159" t="str">
        <f t="shared" si="17"/>
        <v/>
      </c>
      <c r="O557" s="158"/>
    </row>
    <row r="558" spans="1:15" x14ac:dyDescent="0.25">
      <c r="A558" s="126"/>
      <c r="B558" s="296"/>
      <c r="C558" s="126"/>
      <c r="D558" s="126"/>
      <c r="E558" s="126"/>
      <c r="F558" s="126"/>
      <c r="G558" s="298"/>
      <c r="H558" s="126"/>
      <c r="I558" s="297"/>
      <c r="J558" s="297"/>
      <c r="K558" s="297"/>
      <c r="L558" s="216">
        <f t="shared" si="16"/>
        <v>0</v>
      </c>
      <c r="M558" s="159" t="str">
        <f t="shared" si="17"/>
        <v/>
      </c>
      <c r="O558" s="158"/>
    </row>
    <row r="559" spans="1:15" x14ac:dyDescent="0.25">
      <c r="A559" s="126"/>
      <c r="B559" s="296"/>
      <c r="C559" s="126"/>
      <c r="D559" s="126"/>
      <c r="E559" s="126"/>
      <c r="F559" s="126"/>
      <c r="G559" s="298"/>
      <c r="H559" s="126"/>
      <c r="I559" s="297"/>
      <c r="J559" s="297"/>
      <c r="K559" s="297"/>
      <c r="L559" s="216">
        <f t="shared" si="16"/>
        <v>0</v>
      </c>
      <c r="M559" s="159" t="str">
        <f t="shared" si="17"/>
        <v/>
      </c>
      <c r="O559" s="158"/>
    </row>
    <row r="560" spans="1:15" x14ac:dyDescent="0.25">
      <c r="A560" s="126"/>
      <c r="B560" s="296"/>
      <c r="C560" s="126"/>
      <c r="D560" s="126"/>
      <c r="E560" s="126"/>
      <c r="F560" s="126"/>
      <c r="G560" s="298"/>
      <c r="H560" s="126"/>
      <c r="I560" s="297"/>
      <c r="J560" s="297"/>
      <c r="K560" s="297"/>
      <c r="L560" s="216">
        <f t="shared" si="16"/>
        <v>0</v>
      </c>
      <c r="M560" s="159" t="str">
        <f t="shared" si="17"/>
        <v/>
      </c>
      <c r="O560" s="158"/>
    </row>
    <row r="561" spans="1:15" x14ac:dyDescent="0.25">
      <c r="A561" s="126"/>
      <c r="B561" s="296"/>
      <c r="C561" s="126"/>
      <c r="D561" s="126"/>
      <c r="E561" s="126"/>
      <c r="F561" s="126"/>
      <c r="G561" s="298"/>
      <c r="H561" s="126"/>
      <c r="I561" s="297"/>
      <c r="J561" s="297"/>
      <c r="K561" s="297"/>
      <c r="L561" s="216">
        <f t="shared" si="16"/>
        <v>0</v>
      </c>
      <c r="M561" s="159" t="str">
        <f t="shared" si="17"/>
        <v/>
      </c>
      <c r="O561" s="158"/>
    </row>
    <row r="562" spans="1:15" x14ac:dyDescent="0.25">
      <c r="A562" s="126"/>
      <c r="B562" s="296"/>
      <c r="C562" s="126"/>
      <c r="D562" s="126"/>
      <c r="E562" s="126"/>
      <c r="F562" s="126"/>
      <c r="G562" s="298"/>
      <c r="H562" s="126"/>
      <c r="I562" s="297"/>
      <c r="J562" s="297"/>
      <c r="K562" s="297"/>
      <c r="L562" s="216">
        <f t="shared" si="16"/>
        <v>0</v>
      </c>
      <c r="M562" s="159" t="str">
        <f t="shared" si="17"/>
        <v/>
      </c>
      <c r="O562" s="158"/>
    </row>
    <row r="563" spans="1:15" x14ac:dyDescent="0.25">
      <c r="A563" s="126"/>
      <c r="B563" s="296"/>
      <c r="C563" s="126"/>
      <c r="D563" s="126"/>
      <c r="E563" s="126"/>
      <c r="F563" s="126"/>
      <c r="G563" s="298"/>
      <c r="H563" s="126"/>
      <c r="I563" s="297"/>
      <c r="J563" s="297"/>
      <c r="K563" s="297"/>
      <c r="L563" s="216">
        <f t="shared" si="16"/>
        <v>0</v>
      </c>
      <c r="M563" s="159" t="str">
        <f t="shared" si="17"/>
        <v/>
      </c>
      <c r="O563" s="158"/>
    </row>
    <row r="564" spans="1:15" x14ac:dyDescent="0.25">
      <c r="A564" s="126"/>
      <c r="B564" s="296"/>
      <c r="C564" s="126"/>
      <c r="D564" s="126"/>
      <c r="E564" s="126"/>
      <c r="F564" s="126"/>
      <c r="G564" s="298"/>
      <c r="H564" s="126"/>
      <c r="I564" s="297"/>
      <c r="J564" s="297"/>
      <c r="K564" s="297"/>
      <c r="L564" s="216">
        <f t="shared" si="16"/>
        <v>0</v>
      </c>
      <c r="M564" s="159" t="str">
        <f t="shared" si="17"/>
        <v/>
      </c>
      <c r="O564" s="158"/>
    </row>
    <row r="565" spans="1:15" x14ac:dyDescent="0.25">
      <c r="A565" s="126"/>
      <c r="B565" s="296"/>
      <c r="C565" s="126"/>
      <c r="D565" s="126"/>
      <c r="E565" s="126"/>
      <c r="F565" s="126"/>
      <c r="G565" s="298"/>
      <c r="H565" s="126"/>
      <c r="I565" s="297"/>
      <c r="J565" s="297"/>
      <c r="K565" s="297"/>
      <c r="L565" s="216">
        <f t="shared" si="16"/>
        <v>0</v>
      </c>
      <c r="M565" s="159" t="str">
        <f t="shared" si="17"/>
        <v/>
      </c>
      <c r="O565" s="158"/>
    </row>
    <row r="566" spans="1:15" x14ac:dyDescent="0.25">
      <c r="A566" s="126"/>
      <c r="B566" s="296"/>
      <c r="C566" s="126"/>
      <c r="D566" s="126"/>
      <c r="E566" s="126"/>
      <c r="F566" s="126"/>
      <c r="G566" s="298"/>
      <c r="H566" s="126"/>
      <c r="I566" s="297"/>
      <c r="J566" s="297"/>
      <c r="K566" s="297"/>
      <c r="L566" s="216">
        <f t="shared" si="16"/>
        <v>0</v>
      </c>
      <c r="M566" s="159" t="str">
        <f t="shared" si="17"/>
        <v/>
      </c>
      <c r="O566" s="158"/>
    </row>
    <row r="567" spans="1:15" x14ac:dyDescent="0.25">
      <c r="A567" s="126"/>
      <c r="B567" s="296"/>
      <c r="C567" s="126"/>
      <c r="D567" s="126"/>
      <c r="E567" s="126"/>
      <c r="F567" s="126"/>
      <c r="G567" s="298"/>
      <c r="H567" s="126"/>
      <c r="I567" s="297"/>
      <c r="J567" s="297"/>
      <c r="K567" s="297"/>
      <c r="L567" s="216">
        <f t="shared" si="16"/>
        <v>0</v>
      </c>
      <c r="M567" s="159" t="str">
        <f t="shared" si="17"/>
        <v/>
      </c>
      <c r="O567" s="158"/>
    </row>
    <row r="568" spans="1:15" x14ac:dyDescent="0.25">
      <c r="A568" s="126"/>
      <c r="B568" s="296"/>
      <c r="C568" s="126"/>
      <c r="D568" s="126"/>
      <c r="E568" s="126"/>
      <c r="F568" s="126"/>
      <c r="G568" s="298"/>
      <c r="H568" s="126"/>
      <c r="I568" s="297"/>
      <c r="J568" s="297"/>
      <c r="K568" s="297"/>
      <c r="L568" s="216">
        <f t="shared" si="16"/>
        <v>0</v>
      </c>
      <c r="M568" s="159" t="str">
        <f t="shared" si="17"/>
        <v/>
      </c>
      <c r="O568" s="158"/>
    </row>
    <row r="569" spans="1:15" x14ac:dyDescent="0.25">
      <c r="A569" s="126"/>
      <c r="B569" s="296"/>
      <c r="C569" s="126"/>
      <c r="D569" s="126"/>
      <c r="E569" s="126"/>
      <c r="F569" s="126"/>
      <c r="G569" s="298"/>
      <c r="H569" s="126"/>
      <c r="I569" s="297"/>
      <c r="J569" s="297"/>
      <c r="K569" s="297"/>
      <c r="L569" s="216">
        <f t="shared" si="16"/>
        <v>0</v>
      </c>
      <c r="M569" s="159" t="str">
        <f t="shared" si="17"/>
        <v/>
      </c>
      <c r="O569" s="158"/>
    </row>
    <row r="570" spans="1:15" x14ac:dyDescent="0.25">
      <c r="A570" s="126"/>
      <c r="B570" s="296"/>
      <c r="C570" s="126"/>
      <c r="D570" s="126"/>
      <c r="E570" s="126"/>
      <c r="F570" s="126"/>
      <c r="G570" s="298"/>
      <c r="H570" s="126"/>
      <c r="I570" s="297"/>
      <c r="J570" s="297"/>
      <c r="K570" s="297"/>
      <c r="L570" s="216">
        <f t="shared" si="16"/>
        <v>0</v>
      </c>
      <c r="M570" s="159" t="str">
        <f t="shared" si="17"/>
        <v/>
      </c>
      <c r="O570" s="158"/>
    </row>
    <row r="571" spans="1:15" x14ac:dyDescent="0.25">
      <c r="A571" s="126"/>
      <c r="B571" s="296"/>
      <c r="C571" s="126"/>
      <c r="D571" s="126"/>
      <c r="E571" s="126"/>
      <c r="F571" s="126"/>
      <c r="G571" s="298"/>
      <c r="H571" s="126"/>
      <c r="I571" s="297"/>
      <c r="J571" s="297"/>
      <c r="K571" s="297"/>
      <c r="L571" s="216">
        <f t="shared" si="16"/>
        <v>0</v>
      </c>
      <c r="M571" s="159" t="str">
        <f t="shared" si="17"/>
        <v/>
      </c>
      <c r="O571" s="158"/>
    </row>
    <row r="572" spans="1:15" x14ac:dyDescent="0.25">
      <c r="A572" s="126"/>
      <c r="B572" s="296"/>
      <c r="C572" s="126"/>
      <c r="D572" s="126"/>
      <c r="E572" s="126"/>
      <c r="F572" s="126"/>
      <c r="G572" s="298"/>
      <c r="H572" s="126"/>
      <c r="I572" s="297"/>
      <c r="J572" s="297"/>
      <c r="K572" s="297"/>
      <c r="L572" s="216">
        <f t="shared" si="16"/>
        <v>0</v>
      </c>
      <c r="M572" s="159" t="str">
        <f t="shared" si="17"/>
        <v/>
      </c>
      <c r="O572" s="158"/>
    </row>
    <row r="573" spans="1:15" x14ac:dyDescent="0.25">
      <c r="A573" s="126"/>
      <c r="B573" s="296"/>
      <c r="C573" s="126"/>
      <c r="D573" s="126"/>
      <c r="E573" s="126"/>
      <c r="F573" s="126"/>
      <c r="G573" s="298"/>
      <c r="H573" s="126"/>
      <c r="I573" s="297"/>
      <c r="J573" s="297"/>
      <c r="K573" s="297"/>
      <c r="L573" s="216">
        <f t="shared" si="16"/>
        <v>0</v>
      </c>
      <c r="M573" s="159" t="str">
        <f t="shared" si="17"/>
        <v/>
      </c>
      <c r="O573" s="158"/>
    </row>
    <row r="574" spans="1:15" x14ac:dyDescent="0.25">
      <c r="A574" s="126"/>
      <c r="B574" s="296"/>
      <c r="C574" s="126"/>
      <c r="D574" s="126"/>
      <c r="E574" s="126"/>
      <c r="F574" s="126"/>
      <c r="G574" s="298"/>
      <c r="H574" s="126"/>
      <c r="I574" s="297"/>
      <c r="J574" s="297"/>
      <c r="K574" s="297"/>
      <c r="L574" s="216">
        <f t="shared" si="16"/>
        <v>0</v>
      </c>
      <c r="M574" s="159" t="str">
        <f t="shared" si="17"/>
        <v/>
      </c>
      <c r="O574" s="158"/>
    </row>
    <row r="575" spans="1:15" x14ac:dyDescent="0.25">
      <c r="A575" s="126"/>
      <c r="B575" s="296"/>
      <c r="C575" s="126"/>
      <c r="D575" s="126"/>
      <c r="E575" s="126"/>
      <c r="F575" s="126"/>
      <c r="G575" s="298"/>
      <c r="H575" s="126"/>
      <c r="I575" s="297"/>
      <c r="J575" s="297"/>
      <c r="K575" s="297"/>
      <c r="L575" s="216">
        <f t="shared" si="16"/>
        <v>0</v>
      </c>
      <c r="M575" s="159" t="str">
        <f t="shared" si="17"/>
        <v/>
      </c>
      <c r="O575" s="158"/>
    </row>
    <row r="576" spans="1:15" x14ac:dyDescent="0.25">
      <c r="A576" s="126"/>
      <c r="B576" s="296"/>
      <c r="C576" s="126"/>
      <c r="D576" s="126"/>
      <c r="E576" s="126"/>
      <c r="F576" s="126"/>
      <c r="G576" s="298"/>
      <c r="H576" s="126"/>
      <c r="I576" s="297"/>
      <c r="J576" s="297"/>
      <c r="K576" s="297"/>
      <c r="L576" s="216">
        <f t="shared" si="16"/>
        <v>0</v>
      </c>
      <c r="M576" s="159" t="str">
        <f t="shared" si="17"/>
        <v/>
      </c>
      <c r="O576" s="158"/>
    </row>
    <row r="577" spans="1:15" x14ac:dyDescent="0.25">
      <c r="A577" s="126"/>
      <c r="B577" s="296"/>
      <c r="C577" s="126"/>
      <c r="D577" s="126"/>
      <c r="E577" s="126"/>
      <c r="F577" s="126"/>
      <c r="G577" s="298"/>
      <c r="H577" s="126"/>
      <c r="I577" s="297"/>
      <c r="J577" s="297"/>
      <c r="K577" s="297"/>
      <c r="L577" s="216">
        <f t="shared" si="16"/>
        <v>0</v>
      </c>
      <c r="M577" s="159" t="str">
        <f t="shared" si="17"/>
        <v/>
      </c>
      <c r="O577" s="158"/>
    </row>
    <row r="578" spans="1:15" x14ac:dyDescent="0.25">
      <c r="A578" s="126"/>
      <c r="B578" s="296"/>
      <c r="C578" s="126"/>
      <c r="D578" s="126"/>
      <c r="E578" s="126"/>
      <c r="F578" s="126"/>
      <c r="G578" s="298"/>
      <c r="H578" s="126"/>
      <c r="I578" s="297"/>
      <c r="J578" s="297"/>
      <c r="K578" s="297"/>
      <c r="L578" s="216">
        <f t="shared" ref="L578:L641" si="18">K578*1.1</f>
        <v>0</v>
      </c>
      <c r="M578" s="159" t="str">
        <f t="shared" ref="M578:M641" si="19">IF(ISNUMBER(SEARCH("Azarine",H578)),"AZARINE",IF(ISNUMBER(SEARCH("Baking Soda",H578)),"BAKING SODA",IF(ISNUMBER(SEARCH("Fujitsu",H578)),"FUJITSU",IF(ISNUMBER(SEARCH("Coleman",H578)),"COLEMAN",""))))</f>
        <v/>
      </c>
      <c r="O578" s="158"/>
    </row>
    <row r="579" spans="1:15" x14ac:dyDescent="0.25">
      <c r="A579" s="126"/>
      <c r="B579" s="296"/>
      <c r="C579" s="126"/>
      <c r="D579" s="126"/>
      <c r="E579" s="126"/>
      <c r="F579" s="126"/>
      <c r="G579" s="298"/>
      <c r="H579" s="126"/>
      <c r="I579" s="297"/>
      <c r="J579" s="297"/>
      <c r="K579" s="297"/>
      <c r="L579" s="216">
        <f t="shared" si="18"/>
        <v>0</v>
      </c>
      <c r="M579" s="159" t="str">
        <f t="shared" si="19"/>
        <v/>
      </c>
      <c r="O579" s="158"/>
    </row>
    <row r="580" spans="1:15" x14ac:dyDescent="0.25">
      <c r="A580" s="126"/>
      <c r="B580" s="296"/>
      <c r="C580" s="126"/>
      <c r="D580" s="126"/>
      <c r="E580" s="126"/>
      <c r="F580" s="126"/>
      <c r="G580" s="298"/>
      <c r="H580" s="126"/>
      <c r="I580" s="297"/>
      <c r="J580" s="297"/>
      <c r="K580" s="297"/>
      <c r="L580" s="216">
        <f t="shared" si="18"/>
        <v>0</v>
      </c>
      <c r="M580" s="159" t="str">
        <f t="shared" si="19"/>
        <v/>
      </c>
      <c r="O580" s="158"/>
    </row>
    <row r="581" spans="1:15" x14ac:dyDescent="0.25">
      <c r="A581" s="126"/>
      <c r="B581" s="296"/>
      <c r="C581" s="126"/>
      <c r="D581" s="126"/>
      <c r="E581" s="126"/>
      <c r="F581" s="126"/>
      <c r="G581" s="298"/>
      <c r="H581" s="126"/>
      <c r="I581" s="297"/>
      <c r="J581" s="297"/>
      <c r="K581" s="297"/>
      <c r="L581" s="216">
        <f t="shared" si="18"/>
        <v>0</v>
      </c>
      <c r="M581" s="159" t="str">
        <f t="shared" si="19"/>
        <v/>
      </c>
      <c r="O581" s="158"/>
    </row>
    <row r="582" spans="1:15" x14ac:dyDescent="0.25">
      <c r="A582" s="126"/>
      <c r="B582" s="296"/>
      <c r="C582" s="126"/>
      <c r="D582" s="126"/>
      <c r="E582" s="126"/>
      <c r="F582" s="126"/>
      <c r="G582" s="298"/>
      <c r="H582" s="126"/>
      <c r="I582" s="297"/>
      <c r="J582" s="297"/>
      <c r="K582" s="297"/>
      <c r="L582" s="216">
        <f t="shared" si="18"/>
        <v>0</v>
      </c>
      <c r="M582" s="159" t="str">
        <f t="shared" si="19"/>
        <v/>
      </c>
      <c r="O582" s="158"/>
    </row>
    <row r="583" spans="1:15" x14ac:dyDescent="0.25">
      <c r="A583" s="126"/>
      <c r="B583" s="296"/>
      <c r="C583" s="126"/>
      <c r="D583" s="126"/>
      <c r="E583" s="126"/>
      <c r="F583" s="126"/>
      <c r="G583" s="298"/>
      <c r="H583" s="126"/>
      <c r="I583" s="297"/>
      <c r="J583" s="297"/>
      <c r="K583" s="297"/>
      <c r="L583" s="216">
        <f t="shared" si="18"/>
        <v>0</v>
      </c>
      <c r="M583" s="159" t="str">
        <f t="shared" si="19"/>
        <v/>
      </c>
      <c r="O583" s="158"/>
    </row>
    <row r="584" spans="1:15" x14ac:dyDescent="0.25">
      <c r="A584" s="126"/>
      <c r="B584" s="296"/>
      <c r="C584" s="126"/>
      <c r="D584" s="126"/>
      <c r="E584" s="126"/>
      <c r="F584" s="126"/>
      <c r="G584" s="298"/>
      <c r="H584" s="126"/>
      <c r="I584" s="297"/>
      <c r="J584" s="297"/>
      <c r="K584" s="297"/>
      <c r="L584" s="216">
        <f t="shared" si="18"/>
        <v>0</v>
      </c>
      <c r="M584" s="159" t="str">
        <f t="shared" si="19"/>
        <v/>
      </c>
      <c r="O584" s="158"/>
    </row>
    <row r="585" spans="1:15" x14ac:dyDescent="0.25">
      <c r="A585" s="126"/>
      <c r="B585" s="296"/>
      <c r="C585" s="126"/>
      <c r="D585" s="126"/>
      <c r="E585" s="126"/>
      <c r="F585" s="126"/>
      <c r="G585" s="298"/>
      <c r="H585" s="126"/>
      <c r="I585" s="297"/>
      <c r="J585" s="297"/>
      <c r="K585" s="297"/>
      <c r="L585" s="216">
        <f t="shared" si="18"/>
        <v>0</v>
      </c>
      <c r="M585" s="159" t="str">
        <f t="shared" si="19"/>
        <v/>
      </c>
      <c r="O585" s="158"/>
    </row>
    <row r="586" spans="1:15" x14ac:dyDescent="0.25">
      <c r="A586" s="126"/>
      <c r="B586" s="296"/>
      <c r="C586" s="126"/>
      <c r="D586" s="126"/>
      <c r="E586" s="126"/>
      <c r="F586" s="126"/>
      <c r="G586" s="298"/>
      <c r="H586" s="126"/>
      <c r="I586" s="297"/>
      <c r="J586" s="297"/>
      <c r="K586" s="297"/>
      <c r="L586" s="216">
        <f t="shared" si="18"/>
        <v>0</v>
      </c>
      <c r="M586" s="159" t="str">
        <f t="shared" si="19"/>
        <v/>
      </c>
      <c r="O586" s="158"/>
    </row>
    <row r="587" spans="1:15" x14ac:dyDescent="0.25">
      <c r="A587" s="126"/>
      <c r="B587" s="296"/>
      <c r="C587" s="126"/>
      <c r="D587" s="126"/>
      <c r="E587" s="126"/>
      <c r="F587" s="126"/>
      <c r="G587" s="298"/>
      <c r="H587" s="126"/>
      <c r="I587" s="297"/>
      <c r="J587" s="297"/>
      <c r="K587" s="297"/>
      <c r="L587" s="216">
        <f t="shared" si="18"/>
        <v>0</v>
      </c>
      <c r="M587" s="159" t="str">
        <f t="shared" si="19"/>
        <v/>
      </c>
      <c r="O587" s="158"/>
    </row>
    <row r="588" spans="1:15" x14ac:dyDescent="0.25">
      <c r="A588" s="126"/>
      <c r="B588" s="296"/>
      <c r="C588" s="126"/>
      <c r="D588" s="126"/>
      <c r="E588" s="126"/>
      <c r="F588" s="126"/>
      <c r="G588" s="298"/>
      <c r="H588" s="126"/>
      <c r="I588" s="297"/>
      <c r="J588" s="297"/>
      <c r="K588" s="297"/>
      <c r="L588" s="216">
        <f t="shared" si="18"/>
        <v>0</v>
      </c>
      <c r="M588" s="159" t="str">
        <f t="shared" si="19"/>
        <v/>
      </c>
      <c r="O588" s="158"/>
    </row>
    <row r="589" spans="1:15" x14ac:dyDescent="0.25">
      <c r="A589" s="126"/>
      <c r="B589" s="296"/>
      <c r="C589" s="126"/>
      <c r="D589" s="126"/>
      <c r="E589" s="126"/>
      <c r="F589" s="126"/>
      <c r="G589" s="298"/>
      <c r="H589" s="126"/>
      <c r="I589" s="297"/>
      <c r="J589" s="297"/>
      <c r="K589" s="297"/>
      <c r="L589" s="216">
        <f t="shared" si="18"/>
        <v>0</v>
      </c>
      <c r="M589" s="159" t="str">
        <f t="shared" si="19"/>
        <v/>
      </c>
      <c r="O589" s="158"/>
    </row>
    <row r="590" spans="1:15" x14ac:dyDescent="0.25">
      <c r="A590" s="126"/>
      <c r="B590" s="296"/>
      <c r="C590" s="126"/>
      <c r="D590" s="126"/>
      <c r="E590" s="126"/>
      <c r="F590" s="126"/>
      <c r="G590" s="298"/>
      <c r="H590" s="126"/>
      <c r="I590" s="297"/>
      <c r="J590" s="297"/>
      <c r="K590" s="297"/>
      <c r="L590" s="216">
        <f t="shared" si="18"/>
        <v>0</v>
      </c>
      <c r="M590" s="159" t="str">
        <f t="shared" si="19"/>
        <v/>
      </c>
      <c r="O590" s="158"/>
    </row>
    <row r="591" spans="1:15" x14ac:dyDescent="0.25">
      <c r="A591" s="126"/>
      <c r="B591" s="296"/>
      <c r="C591" s="126"/>
      <c r="D591" s="126"/>
      <c r="E591" s="126"/>
      <c r="F591" s="126"/>
      <c r="G591" s="298"/>
      <c r="H591" s="126"/>
      <c r="I591" s="297"/>
      <c r="J591" s="297"/>
      <c r="K591" s="297"/>
      <c r="L591" s="216">
        <f t="shared" si="18"/>
        <v>0</v>
      </c>
      <c r="M591" s="159" t="str">
        <f t="shared" si="19"/>
        <v/>
      </c>
      <c r="O591" s="158"/>
    </row>
    <row r="592" spans="1:15" x14ac:dyDescent="0.25">
      <c r="A592" s="126"/>
      <c r="B592" s="296"/>
      <c r="C592" s="126"/>
      <c r="D592" s="126"/>
      <c r="E592" s="126"/>
      <c r="F592" s="126"/>
      <c r="G592" s="298"/>
      <c r="H592" s="126"/>
      <c r="I592" s="297"/>
      <c r="J592" s="297"/>
      <c r="K592" s="297"/>
      <c r="L592" s="216">
        <f t="shared" si="18"/>
        <v>0</v>
      </c>
      <c r="M592" s="159" t="str">
        <f t="shared" si="19"/>
        <v/>
      </c>
      <c r="O592" s="158"/>
    </row>
    <row r="593" spans="1:15" x14ac:dyDescent="0.25">
      <c r="A593" s="126"/>
      <c r="B593" s="296"/>
      <c r="C593" s="126"/>
      <c r="D593" s="126"/>
      <c r="E593" s="126"/>
      <c r="F593" s="126"/>
      <c r="G593" s="298"/>
      <c r="H593" s="126"/>
      <c r="I593" s="297"/>
      <c r="J593" s="297"/>
      <c r="K593" s="297"/>
      <c r="L593" s="216">
        <f t="shared" si="18"/>
        <v>0</v>
      </c>
      <c r="M593" s="159" t="str">
        <f t="shared" si="19"/>
        <v/>
      </c>
      <c r="O593" s="158"/>
    </row>
    <row r="594" spans="1:15" x14ac:dyDescent="0.25">
      <c r="A594" s="126"/>
      <c r="B594" s="296"/>
      <c r="C594" s="126"/>
      <c r="D594" s="126"/>
      <c r="E594" s="126"/>
      <c r="F594" s="126"/>
      <c r="G594" s="298"/>
      <c r="H594" s="126"/>
      <c r="I594" s="297"/>
      <c r="J594" s="297"/>
      <c r="K594" s="297"/>
      <c r="L594" s="216">
        <f t="shared" si="18"/>
        <v>0</v>
      </c>
      <c r="M594" s="159" t="str">
        <f t="shared" si="19"/>
        <v/>
      </c>
      <c r="O594" s="158"/>
    </row>
    <row r="595" spans="1:15" x14ac:dyDescent="0.25">
      <c r="A595" s="126"/>
      <c r="B595" s="296"/>
      <c r="C595" s="126"/>
      <c r="D595" s="126"/>
      <c r="E595" s="126"/>
      <c r="F595" s="126"/>
      <c r="G595" s="298"/>
      <c r="H595" s="126"/>
      <c r="I595" s="297"/>
      <c r="J595" s="297"/>
      <c r="K595" s="297"/>
      <c r="L595" s="216">
        <f t="shared" si="18"/>
        <v>0</v>
      </c>
      <c r="M595" s="159" t="str">
        <f t="shared" si="19"/>
        <v/>
      </c>
      <c r="O595" s="158"/>
    </row>
    <row r="596" spans="1:15" x14ac:dyDescent="0.25">
      <c r="A596" s="126"/>
      <c r="B596" s="296"/>
      <c r="C596" s="126"/>
      <c r="D596" s="126"/>
      <c r="E596" s="126"/>
      <c r="F596" s="126"/>
      <c r="G596" s="298"/>
      <c r="H596" s="126"/>
      <c r="I596" s="297"/>
      <c r="J596" s="297"/>
      <c r="K596" s="297"/>
      <c r="L596" s="216">
        <f t="shared" si="18"/>
        <v>0</v>
      </c>
      <c r="M596" s="159" t="str">
        <f t="shared" si="19"/>
        <v/>
      </c>
      <c r="O596" s="158"/>
    </row>
    <row r="597" spans="1:15" x14ac:dyDescent="0.25">
      <c r="A597" s="126"/>
      <c r="B597" s="296"/>
      <c r="C597" s="126"/>
      <c r="D597" s="126"/>
      <c r="E597" s="126"/>
      <c r="F597" s="126"/>
      <c r="G597" s="298"/>
      <c r="H597" s="126"/>
      <c r="I597" s="297"/>
      <c r="J597" s="297"/>
      <c r="K597" s="297"/>
      <c r="L597" s="216">
        <f t="shared" si="18"/>
        <v>0</v>
      </c>
      <c r="M597" s="159" t="str">
        <f t="shared" si="19"/>
        <v/>
      </c>
      <c r="O597" s="158"/>
    </row>
    <row r="598" spans="1:15" x14ac:dyDescent="0.25">
      <c r="A598" s="126"/>
      <c r="B598" s="296"/>
      <c r="C598" s="126"/>
      <c r="D598" s="126"/>
      <c r="E598" s="126"/>
      <c r="F598" s="126"/>
      <c r="G598" s="298"/>
      <c r="H598" s="126"/>
      <c r="I598" s="297"/>
      <c r="J598" s="297"/>
      <c r="K598" s="297"/>
      <c r="L598" s="216">
        <f t="shared" si="18"/>
        <v>0</v>
      </c>
      <c r="M598" s="159" t="str">
        <f t="shared" si="19"/>
        <v/>
      </c>
      <c r="O598" s="158"/>
    </row>
    <row r="599" spans="1:15" x14ac:dyDescent="0.25">
      <c r="A599" s="126"/>
      <c r="B599" s="296"/>
      <c r="C599" s="126"/>
      <c r="D599" s="126"/>
      <c r="E599" s="126"/>
      <c r="F599" s="126"/>
      <c r="G599" s="298"/>
      <c r="H599" s="126"/>
      <c r="I599" s="297"/>
      <c r="J599" s="297"/>
      <c r="K599" s="297"/>
      <c r="L599" s="216">
        <f t="shared" si="18"/>
        <v>0</v>
      </c>
      <c r="M599" s="159" t="str">
        <f t="shared" si="19"/>
        <v/>
      </c>
      <c r="O599" s="158"/>
    </row>
    <row r="600" spans="1:15" x14ac:dyDescent="0.25">
      <c r="A600" s="126"/>
      <c r="B600" s="296"/>
      <c r="C600" s="126"/>
      <c r="D600" s="126"/>
      <c r="E600" s="126"/>
      <c r="F600" s="126"/>
      <c r="G600" s="298"/>
      <c r="H600" s="126"/>
      <c r="I600" s="297"/>
      <c r="J600" s="297"/>
      <c r="K600" s="297"/>
      <c r="L600" s="216">
        <f t="shared" si="18"/>
        <v>0</v>
      </c>
      <c r="M600" s="159" t="str">
        <f t="shared" si="19"/>
        <v/>
      </c>
      <c r="O600" s="158"/>
    </row>
    <row r="601" spans="1:15" x14ac:dyDescent="0.25">
      <c r="A601" s="126"/>
      <c r="B601" s="296"/>
      <c r="C601" s="126"/>
      <c r="D601" s="126"/>
      <c r="E601" s="126"/>
      <c r="F601" s="126"/>
      <c r="G601" s="298"/>
      <c r="H601" s="126"/>
      <c r="I601" s="297"/>
      <c r="J601" s="297"/>
      <c r="K601" s="297"/>
      <c r="L601" s="216">
        <f t="shared" si="18"/>
        <v>0</v>
      </c>
      <c r="M601" s="159" t="str">
        <f t="shared" si="19"/>
        <v/>
      </c>
      <c r="O601" s="158"/>
    </row>
    <row r="602" spans="1:15" x14ac:dyDescent="0.25">
      <c r="A602" s="126"/>
      <c r="B602" s="296"/>
      <c r="C602" s="126"/>
      <c r="D602" s="126"/>
      <c r="E602" s="126"/>
      <c r="F602" s="126"/>
      <c r="G602" s="298"/>
      <c r="H602" s="126"/>
      <c r="I602" s="297"/>
      <c r="J602" s="297"/>
      <c r="K602" s="297"/>
      <c r="L602" s="216">
        <f t="shared" si="18"/>
        <v>0</v>
      </c>
      <c r="M602" s="159" t="str">
        <f t="shared" si="19"/>
        <v/>
      </c>
      <c r="O602" s="158"/>
    </row>
    <row r="603" spans="1:15" x14ac:dyDescent="0.25">
      <c r="A603" s="126"/>
      <c r="B603" s="296"/>
      <c r="C603" s="126"/>
      <c r="D603" s="126"/>
      <c r="E603" s="126"/>
      <c r="F603" s="126"/>
      <c r="G603" s="298"/>
      <c r="H603" s="126"/>
      <c r="I603" s="297"/>
      <c r="J603" s="297"/>
      <c r="K603" s="297"/>
      <c r="L603" s="216">
        <f t="shared" si="18"/>
        <v>0</v>
      </c>
      <c r="M603" s="159" t="str">
        <f t="shared" si="19"/>
        <v/>
      </c>
      <c r="O603" s="158"/>
    </row>
    <row r="604" spans="1:15" x14ac:dyDescent="0.25">
      <c r="A604" s="126"/>
      <c r="B604" s="296"/>
      <c r="C604" s="126"/>
      <c r="D604" s="126"/>
      <c r="E604" s="126"/>
      <c r="F604" s="126"/>
      <c r="G604" s="298"/>
      <c r="H604" s="126"/>
      <c r="I604" s="297"/>
      <c r="J604" s="297"/>
      <c r="K604" s="297"/>
      <c r="L604" s="216">
        <f t="shared" si="18"/>
        <v>0</v>
      </c>
      <c r="M604" s="159" t="str">
        <f t="shared" si="19"/>
        <v/>
      </c>
      <c r="O604" s="158"/>
    </row>
    <row r="605" spans="1:15" x14ac:dyDescent="0.25">
      <c r="A605" s="126"/>
      <c r="B605" s="296"/>
      <c r="C605" s="126"/>
      <c r="D605" s="126"/>
      <c r="E605" s="126"/>
      <c r="F605" s="126"/>
      <c r="G605" s="298"/>
      <c r="H605" s="126"/>
      <c r="I605" s="297"/>
      <c r="J605" s="297"/>
      <c r="K605" s="297"/>
      <c r="L605" s="216">
        <f t="shared" si="18"/>
        <v>0</v>
      </c>
      <c r="M605" s="159" t="str">
        <f t="shared" si="19"/>
        <v/>
      </c>
      <c r="O605" s="158"/>
    </row>
    <row r="606" spans="1:15" x14ac:dyDescent="0.25">
      <c r="A606" s="126"/>
      <c r="B606" s="296"/>
      <c r="C606" s="126"/>
      <c r="D606" s="126"/>
      <c r="E606" s="126"/>
      <c r="F606" s="126"/>
      <c r="G606" s="298"/>
      <c r="H606" s="126"/>
      <c r="I606" s="297"/>
      <c r="J606" s="297"/>
      <c r="K606" s="297"/>
      <c r="L606" s="216">
        <f t="shared" si="18"/>
        <v>0</v>
      </c>
      <c r="M606" s="159" t="str">
        <f t="shared" si="19"/>
        <v/>
      </c>
      <c r="O606" s="158"/>
    </row>
    <row r="607" spans="1:15" x14ac:dyDescent="0.25">
      <c r="A607" s="126"/>
      <c r="B607" s="296"/>
      <c r="C607" s="126"/>
      <c r="D607" s="126"/>
      <c r="E607" s="126"/>
      <c r="F607" s="126"/>
      <c r="G607" s="298"/>
      <c r="H607" s="126"/>
      <c r="I607" s="297"/>
      <c r="J607" s="297"/>
      <c r="K607" s="297"/>
      <c r="L607" s="216">
        <f t="shared" si="18"/>
        <v>0</v>
      </c>
      <c r="M607" s="159" t="str">
        <f t="shared" si="19"/>
        <v/>
      </c>
      <c r="O607" s="158"/>
    </row>
    <row r="608" spans="1:15" x14ac:dyDescent="0.25">
      <c r="A608" s="126"/>
      <c r="B608" s="296"/>
      <c r="C608" s="126"/>
      <c r="D608" s="126"/>
      <c r="E608" s="126"/>
      <c r="F608" s="126"/>
      <c r="G608" s="298"/>
      <c r="H608" s="126"/>
      <c r="I608" s="297"/>
      <c r="J608" s="297"/>
      <c r="K608" s="297"/>
      <c r="L608" s="216">
        <f t="shared" si="18"/>
        <v>0</v>
      </c>
      <c r="M608" s="159" t="str">
        <f t="shared" si="19"/>
        <v/>
      </c>
      <c r="O608" s="158"/>
    </row>
    <row r="609" spans="1:15" x14ac:dyDescent="0.25">
      <c r="A609" s="126"/>
      <c r="B609" s="296"/>
      <c r="C609" s="126"/>
      <c r="D609" s="126"/>
      <c r="E609" s="126"/>
      <c r="F609" s="126"/>
      <c r="G609" s="298"/>
      <c r="H609" s="126"/>
      <c r="I609" s="297"/>
      <c r="J609" s="297"/>
      <c r="K609" s="297"/>
      <c r="L609" s="216">
        <f t="shared" si="18"/>
        <v>0</v>
      </c>
      <c r="M609" s="159" t="str">
        <f t="shared" si="19"/>
        <v/>
      </c>
      <c r="O609" s="158"/>
    </row>
    <row r="610" spans="1:15" x14ac:dyDescent="0.25">
      <c r="A610" s="126"/>
      <c r="B610" s="296"/>
      <c r="C610" s="126"/>
      <c r="D610" s="126"/>
      <c r="E610" s="126"/>
      <c r="F610" s="126"/>
      <c r="G610" s="298"/>
      <c r="H610" s="126"/>
      <c r="I610" s="297"/>
      <c r="J610" s="297"/>
      <c r="K610" s="297"/>
      <c r="L610" s="216">
        <f t="shared" si="18"/>
        <v>0</v>
      </c>
      <c r="M610" s="159" t="str">
        <f t="shared" si="19"/>
        <v/>
      </c>
      <c r="O610" s="158"/>
    </row>
    <row r="611" spans="1:15" x14ac:dyDescent="0.25">
      <c r="A611" s="126"/>
      <c r="B611" s="296"/>
      <c r="C611" s="126"/>
      <c r="D611" s="126"/>
      <c r="E611" s="126"/>
      <c r="F611" s="126"/>
      <c r="G611" s="298"/>
      <c r="H611" s="126"/>
      <c r="I611" s="297"/>
      <c r="J611" s="297"/>
      <c r="K611" s="297"/>
      <c r="L611" s="216">
        <f t="shared" si="18"/>
        <v>0</v>
      </c>
      <c r="M611" s="159" t="str">
        <f t="shared" si="19"/>
        <v/>
      </c>
      <c r="O611" s="158"/>
    </row>
    <row r="612" spans="1:15" x14ac:dyDescent="0.25">
      <c r="A612" s="126"/>
      <c r="B612" s="296"/>
      <c r="C612" s="126"/>
      <c r="D612" s="126"/>
      <c r="E612" s="126"/>
      <c r="F612" s="126"/>
      <c r="G612" s="298"/>
      <c r="H612" s="126"/>
      <c r="I612" s="297"/>
      <c r="J612" s="297"/>
      <c r="K612" s="297"/>
      <c r="L612" s="216">
        <f t="shared" si="18"/>
        <v>0</v>
      </c>
      <c r="M612" s="159" t="str">
        <f t="shared" si="19"/>
        <v/>
      </c>
      <c r="O612" s="158"/>
    </row>
    <row r="613" spans="1:15" x14ac:dyDescent="0.25">
      <c r="A613" s="126"/>
      <c r="B613" s="296"/>
      <c r="C613" s="126"/>
      <c r="D613" s="126"/>
      <c r="E613" s="126"/>
      <c r="F613" s="126"/>
      <c r="G613" s="298"/>
      <c r="H613" s="126"/>
      <c r="I613" s="297"/>
      <c r="J613" s="297"/>
      <c r="K613" s="297"/>
      <c r="L613" s="216">
        <f t="shared" si="18"/>
        <v>0</v>
      </c>
      <c r="M613" s="159" t="str">
        <f t="shared" si="19"/>
        <v/>
      </c>
      <c r="O613" s="158"/>
    </row>
    <row r="614" spans="1:15" x14ac:dyDescent="0.25">
      <c r="A614" s="126"/>
      <c r="B614" s="296"/>
      <c r="C614" s="126"/>
      <c r="D614" s="126"/>
      <c r="E614" s="126"/>
      <c r="F614" s="126"/>
      <c r="G614" s="298"/>
      <c r="H614" s="126"/>
      <c r="I614" s="297"/>
      <c r="J614" s="297"/>
      <c r="K614" s="297"/>
      <c r="L614" s="216">
        <f t="shared" si="18"/>
        <v>0</v>
      </c>
      <c r="M614" s="159" t="str">
        <f t="shared" si="19"/>
        <v/>
      </c>
      <c r="O614" s="158"/>
    </row>
    <row r="615" spans="1:15" x14ac:dyDescent="0.25">
      <c r="A615" s="126"/>
      <c r="B615" s="296"/>
      <c r="C615" s="126"/>
      <c r="D615" s="126"/>
      <c r="E615" s="126"/>
      <c r="F615" s="126"/>
      <c r="G615" s="298"/>
      <c r="H615" s="126"/>
      <c r="I615" s="297"/>
      <c r="J615" s="297"/>
      <c r="K615" s="297"/>
      <c r="L615" s="216">
        <f t="shared" si="18"/>
        <v>0</v>
      </c>
      <c r="M615" s="159" t="str">
        <f t="shared" si="19"/>
        <v/>
      </c>
      <c r="O615" s="158"/>
    </row>
    <row r="616" spans="1:15" x14ac:dyDescent="0.25">
      <c r="A616" s="126"/>
      <c r="B616" s="296"/>
      <c r="C616" s="126"/>
      <c r="D616" s="126"/>
      <c r="E616" s="126"/>
      <c r="F616" s="126"/>
      <c r="G616" s="298"/>
      <c r="H616" s="126"/>
      <c r="I616" s="297"/>
      <c r="J616" s="297"/>
      <c r="K616" s="297"/>
      <c r="L616" s="216">
        <f t="shared" si="18"/>
        <v>0</v>
      </c>
      <c r="M616" s="159" t="str">
        <f t="shared" si="19"/>
        <v/>
      </c>
      <c r="O616" s="158"/>
    </row>
    <row r="617" spans="1:15" x14ac:dyDescent="0.25">
      <c r="A617" s="126"/>
      <c r="B617" s="296"/>
      <c r="C617" s="126"/>
      <c r="D617" s="126"/>
      <c r="E617" s="126"/>
      <c r="F617" s="126"/>
      <c r="G617" s="298"/>
      <c r="H617" s="126"/>
      <c r="I617" s="297"/>
      <c r="J617" s="297"/>
      <c r="K617" s="297"/>
      <c r="L617" s="216">
        <f t="shared" si="18"/>
        <v>0</v>
      </c>
      <c r="M617" s="159" t="str">
        <f t="shared" si="19"/>
        <v/>
      </c>
      <c r="O617" s="158"/>
    </row>
    <row r="618" spans="1:15" x14ac:dyDescent="0.25">
      <c r="A618" s="126"/>
      <c r="B618" s="296"/>
      <c r="C618" s="126"/>
      <c r="D618" s="126"/>
      <c r="E618" s="126"/>
      <c r="F618" s="126"/>
      <c r="G618" s="298"/>
      <c r="H618" s="126"/>
      <c r="I618" s="297"/>
      <c r="J618" s="297"/>
      <c r="K618" s="297"/>
      <c r="L618" s="216">
        <f t="shared" si="18"/>
        <v>0</v>
      </c>
      <c r="M618" s="159" t="str">
        <f t="shared" si="19"/>
        <v/>
      </c>
      <c r="O618" s="158"/>
    </row>
    <row r="619" spans="1:15" x14ac:dyDescent="0.25">
      <c r="A619" s="126"/>
      <c r="B619" s="296"/>
      <c r="C619" s="126"/>
      <c r="D619" s="126"/>
      <c r="E619" s="126"/>
      <c r="F619" s="126"/>
      <c r="G619" s="298"/>
      <c r="H619" s="126"/>
      <c r="I619" s="297"/>
      <c r="J619" s="297"/>
      <c r="K619" s="297"/>
      <c r="L619" s="216">
        <f t="shared" si="18"/>
        <v>0</v>
      </c>
      <c r="M619" s="159" t="str">
        <f t="shared" si="19"/>
        <v/>
      </c>
      <c r="O619" s="158"/>
    </row>
    <row r="620" spans="1:15" x14ac:dyDescent="0.25">
      <c r="A620" s="126"/>
      <c r="B620" s="296"/>
      <c r="C620" s="126"/>
      <c r="D620" s="126"/>
      <c r="E620" s="126"/>
      <c r="F620" s="126"/>
      <c r="G620" s="298"/>
      <c r="H620" s="126"/>
      <c r="I620" s="297"/>
      <c r="J620" s="297"/>
      <c r="K620" s="297"/>
      <c r="L620" s="216">
        <f t="shared" si="18"/>
        <v>0</v>
      </c>
      <c r="M620" s="159" t="str">
        <f t="shared" si="19"/>
        <v/>
      </c>
      <c r="O620" s="158"/>
    </row>
    <row r="621" spans="1:15" x14ac:dyDescent="0.25">
      <c r="A621" s="126"/>
      <c r="B621" s="296"/>
      <c r="C621" s="126"/>
      <c r="D621" s="126"/>
      <c r="E621" s="126"/>
      <c r="F621" s="126"/>
      <c r="G621" s="298"/>
      <c r="H621" s="126"/>
      <c r="I621" s="297"/>
      <c r="J621" s="297"/>
      <c r="K621" s="297"/>
      <c r="L621" s="216">
        <f t="shared" si="18"/>
        <v>0</v>
      </c>
      <c r="M621" s="159" t="str">
        <f t="shared" si="19"/>
        <v/>
      </c>
      <c r="O621" s="158"/>
    </row>
    <row r="622" spans="1:15" x14ac:dyDescent="0.25">
      <c r="A622" s="126"/>
      <c r="B622" s="296"/>
      <c r="C622" s="126"/>
      <c r="D622" s="126"/>
      <c r="E622" s="126"/>
      <c r="F622" s="126"/>
      <c r="G622" s="298"/>
      <c r="H622" s="126"/>
      <c r="I622" s="297"/>
      <c r="J622" s="297"/>
      <c r="K622" s="297"/>
      <c r="L622" s="216">
        <f t="shared" si="18"/>
        <v>0</v>
      </c>
      <c r="M622" s="159" t="str">
        <f t="shared" si="19"/>
        <v/>
      </c>
      <c r="O622" s="158"/>
    </row>
    <row r="623" spans="1:15" x14ac:dyDescent="0.25">
      <c r="A623" s="126"/>
      <c r="B623" s="296"/>
      <c r="C623" s="126"/>
      <c r="D623" s="126"/>
      <c r="E623" s="126"/>
      <c r="F623" s="126"/>
      <c r="G623" s="298"/>
      <c r="H623" s="126"/>
      <c r="I623" s="297"/>
      <c r="J623" s="297"/>
      <c r="K623" s="297"/>
      <c r="L623" s="216">
        <f t="shared" si="18"/>
        <v>0</v>
      </c>
      <c r="M623" s="159" t="str">
        <f t="shared" si="19"/>
        <v/>
      </c>
      <c r="O623" s="158"/>
    </row>
    <row r="624" spans="1:15" x14ac:dyDescent="0.25">
      <c r="A624" s="126"/>
      <c r="B624" s="296"/>
      <c r="C624" s="126"/>
      <c r="D624" s="126"/>
      <c r="E624" s="126"/>
      <c r="F624" s="126"/>
      <c r="G624" s="298"/>
      <c r="H624" s="126"/>
      <c r="I624" s="297"/>
      <c r="J624" s="297"/>
      <c r="K624" s="297"/>
      <c r="L624" s="216">
        <f t="shared" si="18"/>
        <v>0</v>
      </c>
      <c r="M624" s="159" t="str">
        <f t="shared" si="19"/>
        <v/>
      </c>
      <c r="O624" s="158"/>
    </row>
    <row r="625" spans="1:15" x14ac:dyDescent="0.25">
      <c r="A625" s="126"/>
      <c r="B625" s="296"/>
      <c r="C625" s="126"/>
      <c r="D625" s="126"/>
      <c r="E625" s="126"/>
      <c r="F625" s="126"/>
      <c r="G625" s="298"/>
      <c r="H625" s="126"/>
      <c r="I625" s="297"/>
      <c r="J625" s="297"/>
      <c r="K625" s="297"/>
      <c r="L625" s="216">
        <f t="shared" si="18"/>
        <v>0</v>
      </c>
      <c r="M625" s="159" t="str">
        <f t="shared" si="19"/>
        <v/>
      </c>
      <c r="O625" s="158"/>
    </row>
    <row r="626" spans="1:15" x14ac:dyDescent="0.25">
      <c r="A626" s="126"/>
      <c r="B626" s="296"/>
      <c r="C626" s="126"/>
      <c r="D626" s="126"/>
      <c r="E626" s="126"/>
      <c r="F626" s="126"/>
      <c r="G626" s="298"/>
      <c r="H626" s="126"/>
      <c r="I626" s="297"/>
      <c r="J626" s="297"/>
      <c r="K626" s="297"/>
      <c r="L626" s="216">
        <f t="shared" si="18"/>
        <v>0</v>
      </c>
      <c r="M626" s="159" t="str">
        <f t="shared" si="19"/>
        <v/>
      </c>
      <c r="O626" s="158"/>
    </row>
    <row r="627" spans="1:15" x14ac:dyDescent="0.25">
      <c r="A627" s="126"/>
      <c r="B627" s="296"/>
      <c r="C627" s="126"/>
      <c r="D627" s="126"/>
      <c r="E627" s="126"/>
      <c r="F627" s="126"/>
      <c r="G627" s="298"/>
      <c r="H627" s="126"/>
      <c r="I627" s="297"/>
      <c r="J627" s="297"/>
      <c r="K627" s="297"/>
      <c r="L627" s="216">
        <f t="shared" si="18"/>
        <v>0</v>
      </c>
      <c r="M627" s="159" t="str">
        <f t="shared" si="19"/>
        <v/>
      </c>
      <c r="O627" s="158"/>
    </row>
    <row r="628" spans="1:15" x14ac:dyDescent="0.25">
      <c r="A628" s="126"/>
      <c r="B628" s="296"/>
      <c r="C628" s="126"/>
      <c r="D628" s="126"/>
      <c r="E628" s="126"/>
      <c r="F628" s="126"/>
      <c r="G628" s="298"/>
      <c r="H628" s="126"/>
      <c r="I628" s="297"/>
      <c r="J628" s="297"/>
      <c r="K628" s="297"/>
      <c r="L628" s="216">
        <f t="shared" si="18"/>
        <v>0</v>
      </c>
      <c r="M628" s="159" t="str">
        <f t="shared" si="19"/>
        <v/>
      </c>
      <c r="O628" s="158"/>
    </row>
    <row r="629" spans="1:15" x14ac:dyDescent="0.25">
      <c r="A629" s="126"/>
      <c r="B629" s="296"/>
      <c r="C629" s="126"/>
      <c r="D629" s="126"/>
      <c r="E629" s="126"/>
      <c r="F629" s="126"/>
      <c r="G629" s="298"/>
      <c r="H629" s="126"/>
      <c r="I629" s="297"/>
      <c r="J629" s="297"/>
      <c r="K629" s="297"/>
      <c r="L629" s="216">
        <f t="shared" si="18"/>
        <v>0</v>
      </c>
      <c r="M629" s="159" t="str">
        <f t="shared" si="19"/>
        <v/>
      </c>
      <c r="O629" s="158"/>
    </row>
    <row r="630" spans="1:15" x14ac:dyDescent="0.25">
      <c r="A630" s="126"/>
      <c r="B630" s="296"/>
      <c r="C630" s="126"/>
      <c r="D630" s="126"/>
      <c r="E630" s="126"/>
      <c r="F630" s="126"/>
      <c r="G630" s="298"/>
      <c r="H630" s="126"/>
      <c r="I630" s="297"/>
      <c r="J630" s="297"/>
      <c r="K630" s="297"/>
      <c r="L630" s="216">
        <f t="shared" si="18"/>
        <v>0</v>
      </c>
      <c r="M630" s="159" t="str">
        <f t="shared" si="19"/>
        <v/>
      </c>
      <c r="O630" s="158"/>
    </row>
    <row r="631" spans="1:15" x14ac:dyDescent="0.25">
      <c r="A631" s="126"/>
      <c r="B631" s="296"/>
      <c r="C631" s="126"/>
      <c r="D631" s="126"/>
      <c r="E631" s="126"/>
      <c r="F631" s="126"/>
      <c r="G631" s="298"/>
      <c r="H631" s="126"/>
      <c r="I631" s="297"/>
      <c r="J631" s="297"/>
      <c r="K631" s="297"/>
      <c r="L631" s="216">
        <f t="shared" si="18"/>
        <v>0</v>
      </c>
      <c r="M631" s="159" t="str">
        <f t="shared" si="19"/>
        <v/>
      </c>
      <c r="O631" s="158"/>
    </row>
    <row r="632" spans="1:15" x14ac:dyDescent="0.25">
      <c r="A632" s="126"/>
      <c r="B632" s="296"/>
      <c r="C632" s="126"/>
      <c r="D632" s="126"/>
      <c r="E632" s="126"/>
      <c r="F632" s="126"/>
      <c r="G632" s="298"/>
      <c r="H632" s="126"/>
      <c r="I632" s="297"/>
      <c r="J632" s="297"/>
      <c r="K632" s="297"/>
      <c r="L632" s="216">
        <f t="shared" si="18"/>
        <v>0</v>
      </c>
      <c r="M632" s="159" t="str">
        <f t="shared" si="19"/>
        <v/>
      </c>
      <c r="O632" s="158"/>
    </row>
    <row r="633" spans="1:15" x14ac:dyDescent="0.25">
      <c r="A633" s="126"/>
      <c r="B633" s="296"/>
      <c r="C633" s="126"/>
      <c r="D633" s="126"/>
      <c r="E633" s="126"/>
      <c r="F633" s="126"/>
      <c r="G633" s="298"/>
      <c r="H633" s="126"/>
      <c r="I633" s="297"/>
      <c r="J633" s="297"/>
      <c r="K633" s="297"/>
      <c r="L633" s="216">
        <f t="shared" si="18"/>
        <v>0</v>
      </c>
      <c r="M633" s="159" t="str">
        <f t="shared" si="19"/>
        <v/>
      </c>
      <c r="O633" s="158"/>
    </row>
    <row r="634" spans="1:15" x14ac:dyDescent="0.25">
      <c r="A634" s="126"/>
      <c r="B634" s="296"/>
      <c r="C634" s="126"/>
      <c r="D634" s="126"/>
      <c r="E634" s="126"/>
      <c r="F634" s="126"/>
      <c r="G634" s="298"/>
      <c r="H634" s="126"/>
      <c r="I634" s="297"/>
      <c r="J634" s="297"/>
      <c r="K634" s="297"/>
      <c r="L634" s="216">
        <f t="shared" si="18"/>
        <v>0</v>
      </c>
      <c r="M634" s="159" t="str">
        <f t="shared" si="19"/>
        <v/>
      </c>
      <c r="O634" s="158"/>
    </row>
    <row r="635" spans="1:15" x14ac:dyDescent="0.25">
      <c r="A635" s="126"/>
      <c r="B635" s="296"/>
      <c r="C635" s="126"/>
      <c r="D635" s="126"/>
      <c r="E635" s="126"/>
      <c r="F635" s="126"/>
      <c r="G635" s="298"/>
      <c r="H635" s="126"/>
      <c r="I635" s="297"/>
      <c r="J635" s="297"/>
      <c r="K635" s="297"/>
      <c r="L635" s="216">
        <f t="shared" si="18"/>
        <v>0</v>
      </c>
      <c r="M635" s="159" t="str">
        <f t="shared" si="19"/>
        <v/>
      </c>
      <c r="O635" s="158"/>
    </row>
    <row r="636" spans="1:15" x14ac:dyDescent="0.25">
      <c r="A636" s="126"/>
      <c r="B636" s="296"/>
      <c r="C636" s="126"/>
      <c r="D636" s="126"/>
      <c r="E636" s="126"/>
      <c r="F636" s="126"/>
      <c r="G636" s="298"/>
      <c r="H636" s="126"/>
      <c r="I636" s="297"/>
      <c r="J636" s="297"/>
      <c r="K636" s="297"/>
      <c r="L636" s="216">
        <f t="shared" si="18"/>
        <v>0</v>
      </c>
      <c r="M636" s="159" t="str">
        <f t="shared" si="19"/>
        <v/>
      </c>
      <c r="O636" s="158"/>
    </row>
    <row r="637" spans="1:15" x14ac:dyDescent="0.25">
      <c r="A637" s="126"/>
      <c r="B637" s="296"/>
      <c r="C637" s="126"/>
      <c r="D637" s="126"/>
      <c r="E637" s="126"/>
      <c r="F637" s="126"/>
      <c r="G637" s="298"/>
      <c r="H637" s="126"/>
      <c r="I637" s="297"/>
      <c r="J637" s="297"/>
      <c r="K637" s="297"/>
      <c r="L637" s="216">
        <f t="shared" si="18"/>
        <v>0</v>
      </c>
      <c r="M637" s="159" t="str">
        <f t="shared" si="19"/>
        <v/>
      </c>
      <c r="O637" s="158"/>
    </row>
    <row r="638" spans="1:15" x14ac:dyDescent="0.25">
      <c r="A638" s="126"/>
      <c r="B638" s="296"/>
      <c r="C638" s="126"/>
      <c r="D638" s="126"/>
      <c r="E638" s="126"/>
      <c r="F638" s="126"/>
      <c r="G638" s="298"/>
      <c r="H638" s="126"/>
      <c r="I638" s="297"/>
      <c r="J638" s="297"/>
      <c r="K638" s="297"/>
      <c r="L638" s="216">
        <f t="shared" si="18"/>
        <v>0</v>
      </c>
      <c r="M638" s="159" t="str">
        <f t="shared" si="19"/>
        <v/>
      </c>
      <c r="O638" s="158"/>
    </row>
    <row r="639" spans="1:15" x14ac:dyDescent="0.25">
      <c r="A639" s="126"/>
      <c r="B639" s="296"/>
      <c r="C639" s="126"/>
      <c r="D639" s="126"/>
      <c r="E639" s="126"/>
      <c r="F639" s="126"/>
      <c r="G639" s="298"/>
      <c r="H639" s="126"/>
      <c r="I639" s="297"/>
      <c r="J639" s="297"/>
      <c r="K639" s="297"/>
      <c r="L639" s="216">
        <f t="shared" si="18"/>
        <v>0</v>
      </c>
      <c r="M639" s="159" t="str">
        <f t="shared" si="19"/>
        <v/>
      </c>
      <c r="O639" s="158"/>
    </row>
    <row r="640" spans="1:15" x14ac:dyDescent="0.25">
      <c r="A640" s="126"/>
      <c r="B640" s="296"/>
      <c r="C640" s="126"/>
      <c r="D640" s="126"/>
      <c r="E640" s="126"/>
      <c r="F640" s="126"/>
      <c r="G640" s="298"/>
      <c r="H640" s="126"/>
      <c r="I640" s="297"/>
      <c r="J640" s="297"/>
      <c r="K640" s="297"/>
      <c r="L640" s="216">
        <f t="shared" si="18"/>
        <v>0</v>
      </c>
      <c r="M640" s="159" t="str">
        <f t="shared" si="19"/>
        <v/>
      </c>
      <c r="O640" s="158"/>
    </row>
    <row r="641" spans="1:15" x14ac:dyDescent="0.25">
      <c r="A641" s="126"/>
      <c r="B641" s="296"/>
      <c r="C641" s="126"/>
      <c r="D641" s="126"/>
      <c r="E641" s="126"/>
      <c r="F641" s="126"/>
      <c r="G641" s="298"/>
      <c r="H641" s="126"/>
      <c r="I641" s="297"/>
      <c r="J641" s="297"/>
      <c r="K641" s="297"/>
      <c r="L641" s="216">
        <f t="shared" si="18"/>
        <v>0</v>
      </c>
      <c r="M641" s="159" t="str">
        <f t="shared" si="19"/>
        <v/>
      </c>
      <c r="O641" s="158"/>
    </row>
    <row r="642" spans="1:15" x14ac:dyDescent="0.25">
      <c r="A642" s="126"/>
      <c r="B642" s="296"/>
      <c r="C642" s="126"/>
      <c r="D642" s="126"/>
      <c r="E642" s="126"/>
      <c r="F642" s="126"/>
      <c r="G642" s="298"/>
      <c r="H642" s="126"/>
      <c r="I642" s="297"/>
      <c r="J642" s="297"/>
      <c r="K642" s="297"/>
      <c r="L642" s="216">
        <f t="shared" ref="L642:L705" si="20">K642*1.1</f>
        <v>0</v>
      </c>
      <c r="M642" s="159" t="str">
        <f t="shared" ref="M642:M705" si="21">IF(ISNUMBER(SEARCH("Azarine",H642)),"AZARINE",IF(ISNUMBER(SEARCH("Baking Soda",H642)),"BAKING SODA",IF(ISNUMBER(SEARCH("Fujitsu",H642)),"FUJITSU",IF(ISNUMBER(SEARCH("Coleman",H642)),"COLEMAN",""))))</f>
        <v/>
      </c>
      <c r="O642" s="158"/>
    </row>
    <row r="643" spans="1:15" x14ac:dyDescent="0.25">
      <c r="A643" s="126"/>
      <c r="B643" s="296"/>
      <c r="C643" s="126"/>
      <c r="D643" s="126"/>
      <c r="E643" s="126"/>
      <c r="F643" s="126"/>
      <c r="G643" s="298"/>
      <c r="H643" s="126"/>
      <c r="I643" s="297"/>
      <c r="J643" s="297"/>
      <c r="K643" s="297"/>
      <c r="L643" s="216">
        <f t="shared" si="20"/>
        <v>0</v>
      </c>
      <c r="M643" s="159" t="str">
        <f t="shared" si="21"/>
        <v/>
      </c>
      <c r="O643" s="158"/>
    </row>
    <row r="644" spans="1:15" x14ac:dyDescent="0.25">
      <c r="A644" s="126"/>
      <c r="B644" s="296"/>
      <c r="C644" s="126"/>
      <c r="D644" s="126"/>
      <c r="E644" s="126"/>
      <c r="F644" s="126"/>
      <c r="G644" s="298"/>
      <c r="H644" s="126"/>
      <c r="I644" s="297"/>
      <c r="J644" s="297"/>
      <c r="K644" s="297"/>
      <c r="L644" s="216">
        <f t="shared" si="20"/>
        <v>0</v>
      </c>
      <c r="M644" s="159" t="str">
        <f t="shared" si="21"/>
        <v/>
      </c>
      <c r="O644" s="158"/>
    </row>
    <row r="645" spans="1:15" x14ac:dyDescent="0.25">
      <c r="A645" s="126"/>
      <c r="B645" s="296"/>
      <c r="C645" s="126"/>
      <c r="D645" s="126"/>
      <c r="E645" s="126"/>
      <c r="F645" s="126"/>
      <c r="G645" s="298"/>
      <c r="H645" s="126"/>
      <c r="I645" s="297"/>
      <c r="J645" s="297"/>
      <c r="K645" s="297"/>
      <c r="L645" s="216">
        <f t="shared" si="20"/>
        <v>0</v>
      </c>
      <c r="M645" s="159" t="str">
        <f t="shared" si="21"/>
        <v/>
      </c>
      <c r="O645" s="158"/>
    </row>
    <row r="646" spans="1:15" x14ac:dyDescent="0.25">
      <c r="A646" s="126"/>
      <c r="B646" s="296"/>
      <c r="C646" s="126"/>
      <c r="D646" s="126"/>
      <c r="E646" s="126"/>
      <c r="F646" s="126"/>
      <c r="G646" s="298"/>
      <c r="H646" s="126"/>
      <c r="I646" s="297"/>
      <c r="J646" s="297"/>
      <c r="K646" s="297"/>
      <c r="L646" s="216">
        <f t="shared" si="20"/>
        <v>0</v>
      </c>
      <c r="M646" s="159" t="str">
        <f t="shared" si="21"/>
        <v/>
      </c>
      <c r="O646" s="158"/>
    </row>
    <row r="647" spans="1:15" x14ac:dyDescent="0.25">
      <c r="A647" s="126"/>
      <c r="B647" s="296"/>
      <c r="C647" s="126"/>
      <c r="D647" s="126"/>
      <c r="E647" s="126"/>
      <c r="F647" s="126"/>
      <c r="G647" s="298"/>
      <c r="H647" s="126"/>
      <c r="I647" s="297"/>
      <c r="J647" s="297"/>
      <c r="K647" s="297"/>
      <c r="L647" s="216">
        <f t="shared" si="20"/>
        <v>0</v>
      </c>
      <c r="M647" s="159" t="str">
        <f t="shared" si="21"/>
        <v/>
      </c>
      <c r="O647" s="158"/>
    </row>
    <row r="648" spans="1:15" x14ac:dyDescent="0.25">
      <c r="A648" s="126"/>
      <c r="B648" s="296"/>
      <c r="C648" s="126"/>
      <c r="D648" s="126"/>
      <c r="E648" s="126"/>
      <c r="F648" s="126"/>
      <c r="G648" s="298"/>
      <c r="H648" s="126"/>
      <c r="I648" s="297"/>
      <c r="J648" s="297"/>
      <c r="K648" s="297"/>
      <c r="L648" s="216">
        <f t="shared" si="20"/>
        <v>0</v>
      </c>
      <c r="M648" s="159" t="str">
        <f t="shared" si="21"/>
        <v/>
      </c>
      <c r="O648" s="158"/>
    </row>
    <row r="649" spans="1:15" x14ac:dyDescent="0.25">
      <c r="A649" s="126"/>
      <c r="B649" s="296"/>
      <c r="C649" s="126"/>
      <c r="D649" s="126"/>
      <c r="E649" s="126"/>
      <c r="F649" s="126"/>
      <c r="G649" s="298"/>
      <c r="H649" s="126"/>
      <c r="I649" s="297"/>
      <c r="J649" s="297"/>
      <c r="K649" s="297"/>
      <c r="L649" s="216">
        <f t="shared" si="20"/>
        <v>0</v>
      </c>
      <c r="M649" s="159" t="str">
        <f t="shared" si="21"/>
        <v/>
      </c>
      <c r="O649" s="158"/>
    </row>
    <row r="650" spans="1:15" x14ac:dyDescent="0.25">
      <c r="A650" s="126"/>
      <c r="B650" s="296"/>
      <c r="C650" s="126"/>
      <c r="D650" s="126"/>
      <c r="E650" s="126"/>
      <c r="F650" s="126"/>
      <c r="G650" s="298"/>
      <c r="H650" s="126"/>
      <c r="I650" s="297"/>
      <c r="J650" s="297"/>
      <c r="K650" s="297"/>
      <c r="L650" s="216">
        <f t="shared" si="20"/>
        <v>0</v>
      </c>
      <c r="M650" s="159" t="str">
        <f t="shared" si="21"/>
        <v/>
      </c>
      <c r="O650" s="158"/>
    </row>
    <row r="651" spans="1:15" x14ac:dyDescent="0.25">
      <c r="A651" s="126"/>
      <c r="B651" s="296"/>
      <c r="C651" s="126"/>
      <c r="D651" s="126"/>
      <c r="E651" s="126"/>
      <c r="F651" s="126"/>
      <c r="G651" s="298"/>
      <c r="H651" s="126"/>
      <c r="I651" s="297"/>
      <c r="J651" s="297"/>
      <c r="K651" s="297"/>
      <c r="L651" s="216">
        <f t="shared" si="20"/>
        <v>0</v>
      </c>
      <c r="M651" s="159" t="str">
        <f t="shared" si="21"/>
        <v/>
      </c>
      <c r="O651" s="158"/>
    </row>
    <row r="652" spans="1:15" x14ac:dyDescent="0.25">
      <c r="A652" s="126"/>
      <c r="B652" s="296"/>
      <c r="C652" s="126"/>
      <c r="D652" s="126"/>
      <c r="E652" s="126"/>
      <c r="F652" s="126"/>
      <c r="G652" s="298"/>
      <c r="H652" s="126"/>
      <c r="I652" s="297"/>
      <c r="J652" s="297"/>
      <c r="K652" s="297"/>
      <c r="L652" s="216">
        <f t="shared" si="20"/>
        <v>0</v>
      </c>
      <c r="M652" s="159" t="str">
        <f t="shared" si="21"/>
        <v/>
      </c>
      <c r="O652" s="158"/>
    </row>
    <row r="653" spans="1:15" x14ac:dyDescent="0.25">
      <c r="A653" s="126"/>
      <c r="B653" s="296"/>
      <c r="C653" s="126"/>
      <c r="D653" s="126"/>
      <c r="E653" s="126"/>
      <c r="F653" s="126"/>
      <c r="G653" s="298"/>
      <c r="H653" s="126"/>
      <c r="I653" s="297"/>
      <c r="J653" s="297"/>
      <c r="K653" s="297"/>
      <c r="L653" s="216">
        <f t="shared" si="20"/>
        <v>0</v>
      </c>
      <c r="M653" s="159" t="str">
        <f t="shared" si="21"/>
        <v/>
      </c>
      <c r="O653" s="158"/>
    </row>
    <row r="654" spans="1:15" x14ac:dyDescent="0.25">
      <c r="A654" s="126"/>
      <c r="B654" s="296"/>
      <c r="C654" s="126"/>
      <c r="D654" s="126"/>
      <c r="E654" s="126"/>
      <c r="F654" s="126"/>
      <c r="G654" s="298"/>
      <c r="H654" s="126"/>
      <c r="I654" s="297"/>
      <c r="J654" s="297"/>
      <c r="K654" s="297"/>
      <c r="L654" s="216">
        <f t="shared" si="20"/>
        <v>0</v>
      </c>
      <c r="M654" s="159" t="str">
        <f t="shared" si="21"/>
        <v/>
      </c>
      <c r="O654" s="158"/>
    </row>
    <row r="655" spans="1:15" x14ac:dyDescent="0.25">
      <c r="A655" s="126"/>
      <c r="B655" s="296"/>
      <c r="C655" s="126"/>
      <c r="D655" s="126"/>
      <c r="E655" s="126"/>
      <c r="F655" s="126"/>
      <c r="G655" s="298"/>
      <c r="H655" s="126"/>
      <c r="I655" s="297"/>
      <c r="J655" s="297"/>
      <c r="K655" s="297"/>
      <c r="L655" s="216">
        <f t="shared" si="20"/>
        <v>0</v>
      </c>
      <c r="M655" s="159" t="str">
        <f t="shared" si="21"/>
        <v/>
      </c>
      <c r="O655" s="158"/>
    </row>
    <row r="656" spans="1:15" x14ac:dyDescent="0.25">
      <c r="A656" s="126"/>
      <c r="B656" s="296"/>
      <c r="C656" s="126"/>
      <c r="D656" s="126"/>
      <c r="E656" s="126"/>
      <c r="F656" s="126"/>
      <c r="G656" s="298"/>
      <c r="H656" s="126"/>
      <c r="I656" s="297"/>
      <c r="J656" s="297"/>
      <c r="K656" s="297"/>
      <c r="L656" s="216">
        <f t="shared" si="20"/>
        <v>0</v>
      </c>
      <c r="M656" s="159" t="str">
        <f t="shared" si="21"/>
        <v/>
      </c>
      <c r="O656" s="158"/>
    </row>
    <row r="657" spans="1:15" x14ac:dyDescent="0.25">
      <c r="A657" s="126"/>
      <c r="B657" s="296"/>
      <c r="C657" s="126"/>
      <c r="D657" s="126"/>
      <c r="E657" s="126"/>
      <c r="F657" s="126"/>
      <c r="G657" s="298"/>
      <c r="H657" s="126"/>
      <c r="I657" s="297"/>
      <c r="J657" s="297"/>
      <c r="K657" s="297"/>
      <c r="L657" s="216">
        <f t="shared" si="20"/>
        <v>0</v>
      </c>
      <c r="M657" s="159" t="str">
        <f t="shared" si="21"/>
        <v/>
      </c>
      <c r="O657" s="158"/>
    </row>
    <row r="658" spans="1:15" x14ac:dyDescent="0.25">
      <c r="A658" s="126"/>
      <c r="B658" s="296"/>
      <c r="C658" s="126"/>
      <c r="D658" s="126"/>
      <c r="E658" s="126"/>
      <c r="F658" s="126"/>
      <c r="G658" s="298"/>
      <c r="H658" s="126"/>
      <c r="I658" s="297"/>
      <c r="J658" s="297"/>
      <c r="K658" s="297"/>
      <c r="L658" s="216">
        <f t="shared" si="20"/>
        <v>0</v>
      </c>
      <c r="M658" s="159" t="str">
        <f t="shared" si="21"/>
        <v/>
      </c>
      <c r="O658" s="158"/>
    </row>
    <row r="659" spans="1:15" x14ac:dyDescent="0.25">
      <c r="A659" s="126"/>
      <c r="B659" s="296"/>
      <c r="C659" s="126"/>
      <c r="D659" s="126"/>
      <c r="E659" s="126"/>
      <c r="F659" s="126"/>
      <c r="G659" s="298"/>
      <c r="H659" s="126"/>
      <c r="I659" s="297"/>
      <c r="J659" s="297"/>
      <c r="K659" s="297"/>
      <c r="L659" s="216">
        <f t="shared" si="20"/>
        <v>0</v>
      </c>
      <c r="M659" s="159" t="str">
        <f t="shared" si="21"/>
        <v/>
      </c>
      <c r="O659" s="158"/>
    </row>
    <row r="660" spans="1:15" x14ac:dyDescent="0.25">
      <c r="A660" s="126"/>
      <c r="B660" s="296"/>
      <c r="C660" s="126"/>
      <c r="D660" s="126"/>
      <c r="E660" s="126"/>
      <c r="F660" s="126"/>
      <c r="G660" s="298"/>
      <c r="H660" s="126"/>
      <c r="I660" s="297"/>
      <c r="J660" s="297"/>
      <c r="K660" s="297"/>
      <c r="L660" s="216">
        <f t="shared" si="20"/>
        <v>0</v>
      </c>
      <c r="M660" s="159" t="str">
        <f t="shared" si="21"/>
        <v/>
      </c>
      <c r="O660" s="158"/>
    </row>
    <row r="661" spans="1:15" x14ac:dyDescent="0.25">
      <c r="A661" s="126"/>
      <c r="B661" s="296"/>
      <c r="C661" s="126"/>
      <c r="D661" s="126"/>
      <c r="E661" s="126"/>
      <c r="F661" s="126"/>
      <c r="G661" s="298"/>
      <c r="H661" s="126"/>
      <c r="I661" s="297"/>
      <c r="J661" s="297"/>
      <c r="K661" s="297"/>
      <c r="L661" s="216">
        <f t="shared" si="20"/>
        <v>0</v>
      </c>
      <c r="M661" s="159" t="str">
        <f t="shared" si="21"/>
        <v/>
      </c>
      <c r="O661" s="158"/>
    </row>
    <row r="662" spans="1:15" x14ac:dyDescent="0.25">
      <c r="A662" s="126"/>
      <c r="B662" s="296"/>
      <c r="C662" s="126"/>
      <c r="D662" s="126"/>
      <c r="E662" s="126"/>
      <c r="F662" s="126"/>
      <c r="G662" s="298"/>
      <c r="H662" s="126"/>
      <c r="I662" s="297"/>
      <c r="J662" s="297"/>
      <c r="K662" s="297"/>
      <c r="L662" s="216">
        <f t="shared" si="20"/>
        <v>0</v>
      </c>
      <c r="M662" s="159" t="str">
        <f t="shared" si="21"/>
        <v/>
      </c>
      <c r="O662" s="158"/>
    </row>
    <row r="663" spans="1:15" x14ac:dyDescent="0.25">
      <c r="A663" s="126"/>
      <c r="B663" s="296"/>
      <c r="C663" s="126"/>
      <c r="D663" s="126"/>
      <c r="E663" s="126"/>
      <c r="F663" s="126"/>
      <c r="G663" s="298"/>
      <c r="H663" s="126"/>
      <c r="I663" s="297"/>
      <c r="J663" s="297"/>
      <c r="K663" s="297"/>
      <c r="L663" s="216">
        <f t="shared" si="20"/>
        <v>0</v>
      </c>
      <c r="M663" s="159" t="str">
        <f t="shared" si="21"/>
        <v/>
      </c>
      <c r="O663" s="158"/>
    </row>
    <row r="664" spans="1:15" x14ac:dyDescent="0.25">
      <c r="A664" s="126"/>
      <c r="B664" s="296"/>
      <c r="C664" s="126"/>
      <c r="D664" s="126"/>
      <c r="E664" s="126"/>
      <c r="F664" s="126"/>
      <c r="G664" s="298"/>
      <c r="H664" s="126"/>
      <c r="I664" s="297"/>
      <c r="J664" s="297"/>
      <c r="K664" s="297"/>
      <c r="L664" s="216">
        <f t="shared" si="20"/>
        <v>0</v>
      </c>
      <c r="M664" s="159" t="str">
        <f t="shared" si="21"/>
        <v/>
      </c>
      <c r="O664" s="158"/>
    </row>
    <row r="665" spans="1:15" x14ac:dyDescent="0.25">
      <c r="A665" s="126"/>
      <c r="B665" s="296"/>
      <c r="C665" s="126"/>
      <c r="D665" s="126"/>
      <c r="E665" s="126"/>
      <c r="F665" s="126"/>
      <c r="G665" s="298"/>
      <c r="H665" s="126"/>
      <c r="I665" s="297"/>
      <c r="J665" s="297"/>
      <c r="K665" s="297"/>
      <c r="L665" s="216">
        <f t="shared" si="20"/>
        <v>0</v>
      </c>
      <c r="M665" s="159" t="str">
        <f t="shared" si="21"/>
        <v/>
      </c>
      <c r="O665" s="158"/>
    </row>
    <row r="666" spans="1:15" x14ac:dyDescent="0.25">
      <c r="A666" s="126"/>
      <c r="B666" s="296"/>
      <c r="C666" s="126"/>
      <c r="D666" s="126"/>
      <c r="E666" s="126"/>
      <c r="F666" s="126"/>
      <c r="G666" s="298"/>
      <c r="H666" s="126"/>
      <c r="I666" s="297"/>
      <c r="J666" s="297"/>
      <c r="K666" s="297"/>
      <c r="L666" s="216">
        <f t="shared" si="20"/>
        <v>0</v>
      </c>
      <c r="M666" s="159" t="str">
        <f t="shared" si="21"/>
        <v/>
      </c>
      <c r="O666" s="158"/>
    </row>
    <row r="667" spans="1:15" x14ac:dyDescent="0.25">
      <c r="A667" s="126"/>
      <c r="B667" s="296"/>
      <c r="C667" s="126"/>
      <c r="D667" s="126"/>
      <c r="E667" s="126"/>
      <c r="F667" s="126"/>
      <c r="G667" s="298"/>
      <c r="H667" s="126"/>
      <c r="I667" s="297"/>
      <c r="J667" s="297"/>
      <c r="K667" s="297"/>
      <c r="L667" s="216">
        <f t="shared" si="20"/>
        <v>0</v>
      </c>
      <c r="M667" s="159" t="str">
        <f t="shared" si="21"/>
        <v/>
      </c>
      <c r="O667" s="158"/>
    </row>
    <row r="668" spans="1:15" x14ac:dyDescent="0.25">
      <c r="A668" s="126"/>
      <c r="B668" s="296"/>
      <c r="C668" s="126"/>
      <c r="D668" s="126"/>
      <c r="E668" s="126"/>
      <c r="F668" s="126"/>
      <c r="G668" s="298"/>
      <c r="H668" s="126"/>
      <c r="I668" s="297"/>
      <c r="J668" s="297"/>
      <c r="K668" s="297"/>
      <c r="L668" s="216">
        <f t="shared" si="20"/>
        <v>0</v>
      </c>
      <c r="M668" s="159" t="str">
        <f t="shared" si="21"/>
        <v/>
      </c>
      <c r="O668" s="158"/>
    </row>
    <row r="669" spans="1:15" x14ac:dyDescent="0.25">
      <c r="A669" s="126"/>
      <c r="B669" s="296"/>
      <c r="C669" s="126"/>
      <c r="D669" s="126"/>
      <c r="E669" s="126"/>
      <c r="F669" s="126"/>
      <c r="G669" s="298"/>
      <c r="H669" s="126"/>
      <c r="I669" s="297"/>
      <c r="J669" s="297"/>
      <c r="K669" s="297"/>
      <c r="L669" s="216">
        <f t="shared" si="20"/>
        <v>0</v>
      </c>
      <c r="M669" s="159" t="str">
        <f t="shared" si="21"/>
        <v/>
      </c>
      <c r="O669" s="158"/>
    </row>
    <row r="670" spans="1:15" x14ac:dyDescent="0.25">
      <c r="A670" s="126"/>
      <c r="B670" s="296"/>
      <c r="C670" s="126"/>
      <c r="D670" s="126"/>
      <c r="E670" s="126"/>
      <c r="F670" s="126"/>
      <c r="G670" s="298"/>
      <c r="H670" s="126"/>
      <c r="I670" s="297"/>
      <c r="J670" s="297"/>
      <c r="K670" s="297"/>
      <c r="L670" s="216">
        <f t="shared" si="20"/>
        <v>0</v>
      </c>
      <c r="M670" s="159" t="str">
        <f t="shared" si="21"/>
        <v/>
      </c>
      <c r="O670" s="158"/>
    </row>
    <row r="671" spans="1:15" x14ac:dyDescent="0.25">
      <c r="A671" s="126"/>
      <c r="B671" s="296"/>
      <c r="C671" s="126"/>
      <c r="D671" s="126"/>
      <c r="E671" s="126"/>
      <c r="F671" s="126"/>
      <c r="G671" s="298"/>
      <c r="H671" s="126"/>
      <c r="I671" s="297"/>
      <c r="J671" s="297"/>
      <c r="K671" s="297"/>
      <c r="L671" s="216">
        <f t="shared" si="20"/>
        <v>0</v>
      </c>
      <c r="M671" s="159" t="str">
        <f t="shared" si="21"/>
        <v/>
      </c>
      <c r="O671" s="158"/>
    </row>
    <row r="672" spans="1:15" x14ac:dyDescent="0.25">
      <c r="A672" s="126"/>
      <c r="B672" s="296"/>
      <c r="C672" s="126"/>
      <c r="D672" s="126"/>
      <c r="E672" s="126"/>
      <c r="F672" s="126"/>
      <c r="G672" s="298"/>
      <c r="H672" s="126"/>
      <c r="I672" s="297"/>
      <c r="J672" s="297"/>
      <c r="K672" s="297"/>
      <c r="L672" s="216">
        <f t="shared" si="20"/>
        <v>0</v>
      </c>
      <c r="M672" s="159" t="str">
        <f t="shared" si="21"/>
        <v/>
      </c>
      <c r="O672" s="158"/>
    </row>
    <row r="673" spans="1:15" x14ac:dyDescent="0.25">
      <c r="A673" s="126"/>
      <c r="B673" s="296"/>
      <c r="C673" s="126"/>
      <c r="D673" s="126"/>
      <c r="E673" s="126"/>
      <c r="F673" s="126"/>
      <c r="G673" s="298"/>
      <c r="H673" s="126"/>
      <c r="I673" s="297"/>
      <c r="J673" s="297"/>
      <c r="K673" s="297"/>
      <c r="L673" s="216">
        <f t="shared" si="20"/>
        <v>0</v>
      </c>
      <c r="M673" s="159" t="str">
        <f t="shared" si="21"/>
        <v/>
      </c>
      <c r="O673" s="158"/>
    </row>
    <row r="674" spans="1:15" x14ac:dyDescent="0.25">
      <c r="A674" s="126"/>
      <c r="B674" s="296"/>
      <c r="C674" s="126"/>
      <c r="D674" s="126"/>
      <c r="E674" s="126"/>
      <c r="F674" s="126"/>
      <c r="G674" s="298"/>
      <c r="H674" s="126"/>
      <c r="I674" s="297"/>
      <c r="J674" s="297"/>
      <c r="K674" s="297"/>
      <c r="L674" s="216">
        <f t="shared" si="20"/>
        <v>0</v>
      </c>
      <c r="M674" s="159" t="str">
        <f t="shared" si="21"/>
        <v/>
      </c>
      <c r="O674" s="158"/>
    </row>
    <row r="675" spans="1:15" x14ac:dyDescent="0.25">
      <c r="A675" s="126"/>
      <c r="B675" s="296"/>
      <c r="C675" s="126"/>
      <c r="D675" s="126"/>
      <c r="E675" s="126"/>
      <c r="F675" s="126"/>
      <c r="G675" s="298"/>
      <c r="H675" s="126"/>
      <c r="I675" s="297"/>
      <c r="J675" s="297"/>
      <c r="K675" s="297"/>
      <c r="L675" s="216">
        <f t="shared" si="20"/>
        <v>0</v>
      </c>
      <c r="M675" s="159" t="str">
        <f t="shared" si="21"/>
        <v/>
      </c>
      <c r="O675" s="158"/>
    </row>
    <row r="676" spans="1:15" x14ac:dyDescent="0.25">
      <c r="A676" s="126"/>
      <c r="B676" s="296"/>
      <c r="C676" s="126"/>
      <c r="D676" s="126"/>
      <c r="E676" s="126"/>
      <c r="F676" s="126"/>
      <c r="G676" s="298"/>
      <c r="H676" s="126"/>
      <c r="I676" s="297"/>
      <c r="J676" s="297"/>
      <c r="K676" s="297"/>
      <c r="L676" s="216">
        <f t="shared" si="20"/>
        <v>0</v>
      </c>
      <c r="M676" s="159" t="str">
        <f t="shared" si="21"/>
        <v/>
      </c>
      <c r="O676" s="158"/>
    </row>
    <row r="677" spans="1:15" x14ac:dyDescent="0.25">
      <c r="A677" s="126"/>
      <c r="B677" s="296"/>
      <c r="C677" s="126"/>
      <c r="D677" s="126"/>
      <c r="E677" s="126"/>
      <c r="F677" s="126"/>
      <c r="G677" s="298"/>
      <c r="H677" s="126"/>
      <c r="I677" s="297"/>
      <c r="J677" s="297"/>
      <c r="K677" s="297"/>
      <c r="L677" s="216">
        <f t="shared" si="20"/>
        <v>0</v>
      </c>
      <c r="M677" s="159" t="str">
        <f t="shared" si="21"/>
        <v/>
      </c>
      <c r="O677" s="158"/>
    </row>
    <row r="678" spans="1:15" x14ac:dyDescent="0.25">
      <c r="A678" s="126"/>
      <c r="B678" s="296"/>
      <c r="C678" s="126"/>
      <c r="D678" s="126"/>
      <c r="E678" s="126"/>
      <c r="F678" s="126"/>
      <c r="G678" s="298"/>
      <c r="H678" s="126"/>
      <c r="I678" s="297"/>
      <c r="J678" s="297"/>
      <c r="K678" s="297"/>
      <c r="L678" s="216">
        <f t="shared" si="20"/>
        <v>0</v>
      </c>
      <c r="M678" s="159" t="str">
        <f t="shared" si="21"/>
        <v/>
      </c>
      <c r="O678" s="158"/>
    </row>
    <row r="679" spans="1:15" x14ac:dyDescent="0.25">
      <c r="A679" s="126"/>
      <c r="B679" s="296"/>
      <c r="C679" s="126"/>
      <c r="D679" s="126"/>
      <c r="E679" s="126"/>
      <c r="F679" s="126"/>
      <c r="G679" s="298"/>
      <c r="H679" s="126"/>
      <c r="I679" s="297"/>
      <c r="J679" s="297"/>
      <c r="K679" s="297"/>
      <c r="L679" s="216">
        <f t="shared" si="20"/>
        <v>0</v>
      </c>
      <c r="M679" s="159" t="str">
        <f t="shared" si="21"/>
        <v/>
      </c>
      <c r="O679" s="158"/>
    </row>
    <row r="680" spans="1:15" x14ac:dyDescent="0.25">
      <c r="A680" s="126"/>
      <c r="B680" s="296"/>
      <c r="C680" s="126"/>
      <c r="D680" s="126"/>
      <c r="E680" s="126"/>
      <c r="F680" s="126"/>
      <c r="G680" s="298"/>
      <c r="H680" s="126"/>
      <c r="I680" s="297"/>
      <c r="J680" s="297"/>
      <c r="K680" s="297"/>
      <c r="L680" s="216">
        <f t="shared" si="20"/>
        <v>0</v>
      </c>
      <c r="M680" s="159" t="str">
        <f t="shared" si="21"/>
        <v/>
      </c>
      <c r="O680" s="158"/>
    </row>
    <row r="681" spans="1:15" x14ac:dyDescent="0.25">
      <c r="A681" s="126"/>
      <c r="B681" s="296"/>
      <c r="C681" s="126"/>
      <c r="D681" s="126"/>
      <c r="E681" s="126"/>
      <c r="F681" s="126"/>
      <c r="G681" s="298"/>
      <c r="H681" s="126"/>
      <c r="I681" s="297"/>
      <c r="J681" s="297"/>
      <c r="K681" s="297"/>
      <c r="L681" s="216">
        <f t="shared" si="20"/>
        <v>0</v>
      </c>
      <c r="M681" s="159" t="str">
        <f t="shared" si="21"/>
        <v/>
      </c>
      <c r="O681" s="158"/>
    </row>
    <row r="682" spans="1:15" x14ac:dyDescent="0.25">
      <c r="A682" s="126"/>
      <c r="B682" s="296"/>
      <c r="C682" s="126"/>
      <c r="D682" s="126"/>
      <c r="E682" s="126"/>
      <c r="F682" s="126"/>
      <c r="G682" s="298"/>
      <c r="H682" s="126"/>
      <c r="I682" s="297"/>
      <c r="J682" s="297"/>
      <c r="K682" s="297"/>
      <c r="L682" s="216">
        <f t="shared" si="20"/>
        <v>0</v>
      </c>
      <c r="M682" s="159" t="str">
        <f t="shared" si="21"/>
        <v/>
      </c>
      <c r="O682" s="158"/>
    </row>
    <row r="683" spans="1:15" x14ac:dyDescent="0.25">
      <c r="A683" s="126"/>
      <c r="B683" s="296"/>
      <c r="C683" s="126"/>
      <c r="D683" s="126"/>
      <c r="E683" s="126"/>
      <c r="F683" s="126"/>
      <c r="G683" s="298"/>
      <c r="H683" s="126"/>
      <c r="I683" s="297"/>
      <c r="J683" s="297"/>
      <c r="K683" s="297"/>
      <c r="L683" s="216">
        <f t="shared" si="20"/>
        <v>0</v>
      </c>
      <c r="M683" s="159" t="str">
        <f t="shared" si="21"/>
        <v/>
      </c>
      <c r="O683" s="158"/>
    </row>
    <row r="684" spans="1:15" x14ac:dyDescent="0.25">
      <c r="A684" s="126"/>
      <c r="B684" s="296"/>
      <c r="C684" s="126"/>
      <c r="D684" s="126"/>
      <c r="E684" s="126"/>
      <c r="F684" s="126"/>
      <c r="G684" s="298"/>
      <c r="H684" s="126"/>
      <c r="I684" s="297"/>
      <c r="J684" s="297"/>
      <c r="K684" s="297"/>
      <c r="L684" s="216">
        <f t="shared" si="20"/>
        <v>0</v>
      </c>
      <c r="M684" s="159" t="str">
        <f t="shared" si="21"/>
        <v/>
      </c>
      <c r="O684" s="158"/>
    </row>
    <row r="685" spans="1:15" x14ac:dyDescent="0.25">
      <c r="A685" s="126"/>
      <c r="B685" s="296"/>
      <c r="C685" s="126"/>
      <c r="D685" s="126"/>
      <c r="E685" s="126"/>
      <c r="F685" s="126"/>
      <c r="G685" s="298"/>
      <c r="H685" s="126"/>
      <c r="I685" s="297"/>
      <c r="J685" s="297"/>
      <c r="K685" s="297"/>
      <c r="L685" s="216">
        <f t="shared" si="20"/>
        <v>0</v>
      </c>
      <c r="M685" s="159" t="str">
        <f t="shared" si="21"/>
        <v/>
      </c>
      <c r="O685" s="158"/>
    </row>
    <row r="686" spans="1:15" x14ac:dyDescent="0.25">
      <c r="A686" s="126"/>
      <c r="B686" s="296"/>
      <c r="C686" s="126"/>
      <c r="D686" s="126"/>
      <c r="E686" s="126"/>
      <c r="F686" s="126"/>
      <c r="G686" s="298"/>
      <c r="H686" s="126"/>
      <c r="I686" s="297"/>
      <c r="J686" s="297"/>
      <c r="K686" s="297"/>
      <c r="L686" s="216">
        <f t="shared" si="20"/>
        <v>0</v>
      </c>
      <c r="M686" s="159" t="str">
        <f t="shared" si="21"/>
        <v/>
      </c>
      <c r="O686" s="158"/>
    </row>
    <row r="687" spans="1:15" x14ac:dyDescent="0.25">
      <c r="A687" s="126"/>
      <c r="B687" s="296"/>
      <c r="C687" s="126"/>
      <c r="D687" s="126"/>
      <c r="E687" s="126"/>
      <c r="F687" s="126"/>
      <c r="G687" s="298"/>
      <c r="H687" s="126"/>
      <c r="I687" s="297"/>
      <c r="J687" s="297"/>
      <c r="K687" s="297"/>
      <c r="L687" s="216">
        <f t="shared" si="20"/>
        <v>0</v>
      </c>
      <c r="M687" s="159" t="str">
        <f t="shared" si="21"/>
        <v/>
      </c>
      <c r="O687" s="158"/>
    </row>
    <row r="688" spans="1:15" x14ac:dyDescent="0.25">
      <c r="A688" s="126"/>
      <c r="B688" s="296"/>
      <c r="C688" s="126"/>
      <c r="D688" s="126"/>
      <c r="E688" s="126"/>
      <c r="F688" s="126"/>
      <c r="G688" s="298"/>
      <c r="H688" s="126"/>
      <c r="I688" s="297"/>
      <c r="J688" s="297"/>
      <c r="K688" s="297"/>
      <c r="L688" s="216">
        <f t="shared" si="20"/>
        <v>0</v>
      </c>
      <c r="M688" s="159" t="str">
        <f t="shared" si="21"/>
        <v/>
      </c>
      <c r="O688" s="158"/>
    </row>
    <row r="689" spans="1:15" x14ac:dyDescent="0.25">
      <c r="A689" s="126"/>
      <c r="B689" s="296"/>
      <c r="C689" s="126"/>
      <c r="D689" s="126"/>
      <c r="E689" s="126"/>
      <c r="F689" s="126"/>
      <c r="G689" s="298"/>
      <c r="H689" s="126"/>
      <c r="I689" s="297"/>
      <c r="J689" s="297"/>
      <c r="K689" s="297"/>
      <c r="L689" s="216">
        <f t="shared" si="20"/>
        <v>0</v>
      </c>
      <c r="M689" s="159" t="str">
        <f t="shared" si="21"/>
        <v/>
      </c>
      <c r="O689" s="158"/>
    </row>
    <row r="690" spans="1:15" x14ac:dyDescent="0.25">
      <c r="A690" s="126"/>
      <c r="B690" s="296"/>
      <c r="C690" s="126"/>
      <c r="D690" s="126"/>
      <c r="E690" s="126"/>
      <c r="F690" s="126"/>
      <c r="G690" s="298"/>
      <c r="H690" s="126"/>
      <c r="I690" s="297"/>
      <c r="J690" s="297"/>
      <c r="K690" s="297"/>
      <c r="L690" s="216">
        <f t="shared" si="20"/>
        <v>0</v>
      </c>
      <c r="M690" s="159" t="str">
        <f t="shared" si="21"/>
        <v/>
      </c>
      <c r="O690" s="158"/>
    </row>
    <row r="691" spans="1:15" x14ac:dyDescent="0.25">
      <c r="A691" s="126"/>
      <c r="B691" s="296"/>
      <c r="C691" s="126"/>
      <c r="D691" s="126"/>
      <c r="E691" s="126"/>
      <c r="F691" s="126"/>
      <c r="G691" s="298"/>
      <c r="H691" s="126"/>
      <c r="I691" s="297"/>
      <c r="J691" s="297"/>
      <c r="K691" s="297"/>
      <c r="L691" s="216">
        <f t="shared" si="20"/>
        <v>0</v>
      </c>
      <c r="M691" s="159" t="str">
        <f t="shared" si="21"/>
        <v/>
      </c>
      <c r="O691" s="158"/>
    </row>
    <row r="692" spans="1:15" x14ac:dyDescent="0.25">
      <c r="A692" s="126"/>
      <c r="B692" s="296"/>
      <c r="C692" s="126"/>
      <c r="D692" s="126"/>
      <c r="E692" s="126"/>
      <c r="F692" s="126"/>
      <c r="G692" s="298"/>
      <c r="H692" s="126"/>
      <c r="I692" s="297"/>
      <c r="J692" s="297"/>
      <c r="K692" s="297"/>
      <c r="L692" s="216">
        <f t="shared" si="20"/>
        <v>0</v>
      </c>
      <c r="M692" s="159" t="str">
        <f t="shared" si="21"/>
        <v/>
      </c>
      <c r="O692" s="158"/>
    </row>
    <row r="693" spans="1:15" x14ac:dyDescent="0.25">
      <c r="A693" s="126"/>
      <c r="B693" s="296"/>
      <c r="C693" s="126"/>
      <c r="D693" s="126"/>
      <c r="E693" s="126"/>
      <c r="F693" s="126"/>
      <c r="G693" s="298"/>
      <c r="H693" s="126"/>
      <c r="I693" s="297"/>
      <c r="J693" s="297"/>
      <c r="K693" s="297"/>
      <c r="L693" s="216">
        <f t="shared" si="20"/>
        <v>0</v>
      </c>
      <c r="M693" s="159" t="str">
        <f t="shared" si="21"/>
        <v/>
      </c>
      <c r="O693" s="158"/>
    </row>
    <row r="694" spans="1:15" x14ac:dyDescent="0.25">
      <c r="A694" s="126"/>
      <c r="B694" s="296"/>
      <c r="C694" s="126"/>
      <c r="D694" s="126"/>
      <c r="E694" s="126"/>
      <c r="F694" s="126"/>
      <c r="G694" s="298"/>
      <c r="H694" s="126"/>
      <c r="I694" s="297"/>
      <c r="J694" s="297"/>
      <c r="K694" s="297"/>
      <c r="L694" s="216">
        <f t="shared" si="20"/>
        <v>0</v>
      </c>
      <c r="M694" s="159" t="str">
        <f t="shared" si="21"/>
        <v/>
      </c>
      <c r="O694" s="158"/>
    </row>
    <row r="695" spans="1:15" x14ac:dyDescent="0.25">
      <c r="A695" s="126"/>
      <c r="B695" s="296"/>
      <c r="C695" s="126"/>
      <c r="D695" s="126"/>
      <c r="E695" s="126"/>
      <c r="F695" s="126"/>
      <c r="G695" s="298"/>
      <c r="H695" s="126"/>
      <c r="I695" s="297"/>
      <c r="J695" s="297"/>
      <c r="K695" s="297"/>
      <c r="L695" s="216">
        <f t="shared" si="20"/>
        <v>0</v>
      </c>
      <c r="M695" s="159" t="str">
        <f t="shared" si="21"/>
        <v/>
      </c>
      <c r="O695" s="158"/>
    </row>
    <row r="696" spans="1:15" x14ac:dyDescent="0.25">
      <c r="A696" s="126"/>
      <c r="B696" s="296"/>
      <c r="C696" s="126"/>
      <c r="D696" s="126"/>
      <c r="E696" s="126"/>
      <c r="F696" s="126"/>
      <c r="G696" s="298"/>
      <c r="H696" s="126"/>
      <c r="I696" s="297"/>
      <c r="J696" s="297"/>
      <c r="K696" s="297"/>
      <c r="L696" s="216">
        <f t="shared" si="20"/>
        <v>0</v>
      </c>
      <c r="M696" s="159" t="str">
        <f t="shared" si="21"/>
        <v/>
      </c>
      <c r="O696" s="158"/>
    </row>
    <row r="697" spans="1:15" x14ac:dyDescent="0.25">
      <c r="A697" s="126"/>
      <c r="B697" s="296"/>
      <c r="C697" s="126"/>
      <c r="D697" s="126"/>
      <c r="E697" s="126"/>
      <c r="F697" s="126"/>
      <c r="G697" s="298"/>
      <c r="H697" s="126"/>
      <c r="I697" s="297"/>
      <c r="J697" s="297"/>
      <c r="K697" s="297"/>
      <c r="L697" s="216">
        <f t="shared" si="20"/>
        <v>0</v>
      </c>
      <c r="M697" s="159" t="str">
        <f t="shared" si="21"/>
        <v/>
      </c>
      <c r="O697" s="158"/>
    </row>
    <row r="698" spans="1:15" x14ac:dyDescent="0.25">
      <c r="A698" s="126"/>
      <c r="B698" s="296"/>
      <c r="C698" s="126"/>
      <c r="D698" s="126"/>
      <c r="E698" s="126"/>
      <c r="F698" s="126"/>
      <c r="G698" s="298"/>
      <c r="H698" s="126"/>
      <c r="I698" s="297"/>
      <c r="J698" s="297"/>
      <c r="K698" s="297"/>
      <c r="L698" s="216">
        <f t="shared" si="20"/>
        <v>0</v>
      </c>
      <c r="M698" s="159" t="str">
        <f t="shared" si="21"/>
        <v/>
      </c>
      <c r="O698" s="158"/>
    </row>
    <row r="699" spans="1:15" x14ac:dyDescent="0.25">
      <c r="A699" s="126"/>
      <c r="B699" s="296"/>
      <c r="C699" s="126"/>
      <c r="D699" s="126"/>
      <c r="E699" s="126"/>
      <c r="F699" s="126"/>
      <c r="G699" s="298"/>
      <c r="H699" s="126"/>
      <c r="I699" s="297"/>
      <c r="J699" s="297"/>
      <c r="K699" s="297"/>
      <c r="L699" s="216">
        <f t="shared" si="20"/>
        <v>0</v>
      </c>
      <c r="M699" s="159" t="str">
        <f t="shared" si="21"/>
        <v/>
      </c>
      <c r="O699" s="158"/>
    </row>
    <row r="700" spans="1:15" x14ac:dyDescent="0.25">
      <c r="A700" s="126"/>
      <c r="B700" s="296"/>
      <c r="C700" s="126"/>
      <c r="D700" s="126"/>
      <c r="E700" s="126"/>
      <c r="F700" s="126"/>
      <c r="G700" s="298"/>
      <c r="H700" s="126"/>
      <c r="I700" s="297"/>
      <c r="J700" s="297"/>
      <c r="K700" s="297"/>
      <c r="L700" s="216">
        <f t="shared" si="20"/>
        <v>0</v>
      </c>
      <c r="M700" s="159" t="str">
        <f t="shared" si="21"/>
        <v/>
      </c>
      <c r="O700" s="158"/>
    </row>
    <row r="701" spans="1:15" x14ac:dyDescent="0.25">
      <c r="A701" s="126"/>
      <c r="B701" s="296"/>
      <c r="C701" s="126"/>
      <c r="D701" s="126"/>
      <c r="E701" s="126"/>
      <c r="F701" s="126"/>
      <c r="G701" s="298"/>
      <c r="H701" s="126"/>
      <c r="I701" s="297"/>
      <c r="J701" s="297"/>
      <c r="K701" s="297"/>
      <c r="L701" s="216">
        <f t="shared" si="20"/>
        <v>0</v>
      </c>
      <c r="M701" s="159" t="str">
        <f t="shared" si="21"/>
        <v/>
      </c>
      <c r="O701" s="158"/>
    </row>
    <row r="702" spans="1:15" x14ac:dyDescent="0.25">
      <c r="A702" s="126"/>
      <c r="B702" s="296"/>
      <c r="C702" s="126"/>
      <c r="D702" s="126"/>
      <c r="E702" s="126"/>
      <c r="F702" s="126"/>
      <c r="G702" s="298"/>
      <c r="H702" s="126"/>
      <c r="I702" s="297"/>
      <c r="J702" s="297"/>
      <c r="K702" s="297"/>
      <c r="L702" s="216">
        <f t="shared" si="20"/>
        <v>0</v>
      </c>
      <c r="M702" s="159" t="str">
        <f t="shared" si="21"/>
        <v/>
      </c>
      <c r="O702" s="158"/>
    </row>
    <row r="703" spans="1:15" x14ac:dyDescent="0.25">
      <c r="A703" s="126"/>
      <c r="B703" s="296"/>
      <c r="C703" s="126"/>
      <c r="D703" s="126"/>
      <c r="E703" s="126"/>
      <c r="F703" s="126"/>
      <c r="G703" s="298"/>
      <c r="H703" s="126"/>
      <c r="I703" s="297"/>
      <c r="J703" s="297"/>
      <c r="K703" s="297"/>
      <c r="L703" s="216">
        <f t="shared" si="20"/>
        <v>0</v>
      </c>
      <c r="M703" s="159" t="str">
        <f t="shared" si="21"/>
        <v/>
      </c>
      <c r="O703" s="158"/>
    </row>
    <row r="704" spans="1:15" x14ac:dyDescent="0.25">
      <c r="A704" s="126"/>
      <c r="B704" s="296"/>
      <c r="C704" s="126"/>
      <c r="D704" s="126"/>
      <c r="E704" s="126"/>
      <c r="F704" s="126"/>
      <c r="G704" s="298"/>
      <c r="H704" s="126"/>
      <c r="I704" s="297"/>
      <c r="J704" s="297"/>
      <c r="K704" s="297"/>
      <c r="L704" s="216">
        <f t="shared" si="20"/>
        <v>0</v>
      </c>
      <c r="M704" s="159" t="str">
        <f t="shared" si="21"/>
        <v/>
      </c>
      <c r="O704" s="158"/>
    </row>
    <row r="705" spans="1:15" x14ac:dyDescent="0.25">
      <c r="A705" s="126"/>
      <c r="B705" s="296"/>
      <c r="C705" s="126"/>
      <c r="D705" s="126"/>
      <c r="E705" s="126"/>
      <c r="F705" s="126"/>
      <c r="G705" s="298"/>
      <c r="H705" s="126"/>
      <c r="I705" s="297"/>
      <c r="J705" s="297"/>
      <c r="K705" s="297"/>
      <c r="L705" s="216">
        <f t="shared" si="20"/>
        <v>0</v>
      </c>
      <c r="M705" s="159" t="str">
        <f t="shared" si="21"/>
        <v/>
      </c>
      <c r="O705" s="158"/>
    </row>
    <row r="706" spans="1:15" x14ac:dyDescent="0.25">
      <c r="A706" s="126"/>
      <c r="B706" s="296"/>
      <c r="C706" s="126"/>
      <c r="D706" s="126"/>
      <c r="E706" s="126"/>
      <c r="F706" s="126"/>
      <c r="G706" s="298"/>
      <c r="H706" s="126"/>
      <c r="I706" s="297"/>
      <c r="J706" s="297"/>
      <c r="K706" s="297"/>
      <c r="L706" s="216">
        <f t="shared" ref="L706:L769" si="22">K706*1.1</f>
        <v>0</v>
      </c>
      <c r="M706" s="159" t="str">
        <f t="shared" ref="M706:M769" si="23">IF(ISNUMBER(SEARCH("Azarine",H706)),"AZARINE",IF(ISNUMBER(SEARCH("Baking Soda",H706)),"BAKING SODA",IF(ISNUMBER(SEARCH("Fujitsu",H706)),"FUJITSU",IF(ISNUMBER(SEARCH("Coleman",H706)),"COLEMAN",""))))</f>
        <v/>
      </c>
      <c r="O706" s="158"/>
    </row>
    <row r="707" spans="1:15" x14ac:dyDescent="0.25">
      <c r="A707" s="126"/>
      <c r="B707" s="296"/>
      <c r="C707" s="126"/>
      <c r="D707" s="126"/>
      <c r="E707" s="126"/>
      <c r="F707" s="126"/>
      <c r="G707" s="298"/>
      <c r="H707" s="126"/>
      <c r="I707" s="297"/>
      <c r="J707" s="297"/>
      <c r="K707" s="297"/>
      <c r="L707" s="216">
        <f t="shared" si="22"/>
        <v>0</v>
      </c>
      <c r="M707" s="159" t="str">
        <f t="shared" si="23"/>
        <v/>
      </c>
      <c r="O707" s="158"/>
    </row>
    <row r="708" spans="1:15" x14ac:dyDescent="0.25">
      <c r="A708" s="126"/>
      <c r="B708" s="296"/>
      <c r="C708" s="126"/>
      <c r="D708" s="126"/>
      <c r="E708" s="126"/>
      <c r="F708" s="126"/>
      <c r="G708" s="298"/>
      <c r="H708" s="126"/>
      <c r="I708" s="297"/>
      <c r="J708" s="297"/>
      <c r="K708" s="297"/>
      <c r="L708" s="216">
        <f t="shared" si="22"/>
        <v>0</v>
      </c>
      <c r="M708" s="159" t="str">
        <f t="shared" si="23"/>
        <v/>
      </c>
      <c r="O708" s="158"/>
    </row>
    <row r="709" spans="1:15" x14ac:dyDescent="0.25">
      <c r="A709" s="126"/>
      <c r="B709" s="296"/>
      <c r="C709" s="126"/>
      <c r="D709" s="126"/>
      <c r="E709" s="126"/>
      <c r="F709" s="126"/>
      <c r="G709" s="298"/>
      <c r="H709" s="126"/>
      <c r="I709" s="297"/>
      <c r="J709" s="297"/>
      <c r="K709" s="297"/>
      <c r="L709" s="216">
        <f t="shared" si="22"/>
        <v>0</v>
      </c>
      <c r="M709" s="159" t="str">
        <f t="shared" si="23"/>
        <v/>
      </c>
      <c r="O709" s="158"/>
    </row>
    <row r="710" spans="1:15" x14ac:dyDescent="0.25">
      <c r="A710" s="126"/>
      <c r="B710" s="296"/>
      <c r="C710" s="126"/>
      <c r="D710" s="126"/>
      <c r="E710" s="126"/>
      <c r="F710" s="126"/>
      <c r="G710" s="298"/>
      <c r="H710" s="126"/>
      <c r="I710" s="297"/>
      <c r="J710" s="297"/>
      <c r="K710" s="297"/>
      <c r="L710" s="216">
        <f t="shared" si="22"/>
        <v>0</v>
      </c>
      <c r="M710" s="159" t="str">
        <f t="shared" si="23"/>
        <v/>
      </c>
      <c r="O710" s="158"/>
    </row>
    <row r="711" spans="1:15" x14ac:dyDescent="0.25">
      <c r="A711" s="126"/>
      <c r="B711" s="296"/>
      <c r="C711" s="126"/>
      <c r="D711" s="126"/>
      <c r="E711" s="126"/>
      <c r="F711" s="126"/>
      <c r="G711" s="298"/>
      <c r="H711" s="126"/>
      <c r="I711" s="297"/>
      <c r="J711" s="297"/>
      <c r="K711" s="297"/>
      <c r="L711" s="216">
        <f t="shared" si="22"/>
        <v>0</v>
      </c>
      <c r="M711" s="159" t="str">
        <f t="shared" si="23"/>
        <v/>
      </c>
      <c r="O711" s="158"/>
    </row>
    <row r="712" spans="1:15" x14ac:dyDescent="0.25">
      <c r="A712" s="126"/>
      <c r="B712" s="296"/>
      <c r="C712" s="126"/>
      <c r="D712" s="126"/>
      <c r="E712" s="126"/>
      <c r="F712" s="126"/>
      <c r="G712" s="298"/>
      <c r="H712" s="126"/>
      <c r="I712" s="297"/>
      <c r="J712" s="297"/>
      <c r="K712" s="297"/>
      <c r="L712" s="216">
        <f t="shared" si="22"/>
        <v>0</v>
      </c>
      <c r="M712" s="159" t="str">
        <f t="shared" si="23"/>
        <v/>
      </c>
      <c r="O712" s="158"/>
    </row>
    <row r="713" spans="1:15" x14ac:dyDescent="0.25">
      <c r="A713" s="126"/>
      <c r="B713" s="296"/>
      <c r="C713" s="126"/>
      <c r="D713" s="126"/>
      <c r="E713" s="126"/>
      <c r="F713" s="126"/>
      <c r="G713" s="298"/>
      <c r="H713" s="126"/>
      <c r="I713" s="297"/>
      <c r="J713" s="297"/>
      <c r="K713" s="297"/>
      <c r="L713" s="216">
        <f t="shared" si="22"/>
        <v>0</v>
      </c>
      <c r="M713" s="159" t="str">
        <f t="shared" si="23"/>
        <v/>
      </c>
      <c r="O713" s="158"/>
    </row>
    <row r="714" spans="1:15" x14ac:dyDescent="0.25">
      <c r="A714" s="126"/>
      <c r="B714" s="296"/>
      <c r="C714" s="126"/>
      <c r="D714" s="126"/>
      <c r="E714" s="126"/>
      <c r="F714" s="126"/>
      <c r="G714" s="298"/>
      <c r="H714" s="126"/>
      <c r="I714" s="297"/>
      <c r="J714" s="297"/>
      <c r="K714" s="297"/>
      <c r="L714" s="216">
        <f t="shared" si="22"/>
        <v>0</v>
      </c>
      <c r="M714" s="159" t="str">
        <f t="shared" si="23"/>
        <v/>
      </c>
      <c r="O714" s="158"/>
    </row>
    <row r="715" spans="1:15" x14ac:dyDescent="0.25">
      <c r="A715" s="126"/>
      <c r="B715" s="296"/>
      <c r="C715" s="126"/>
      <c r="D715" s="126"/>
      <c r="E715" s="126"/>
      <c r="F715" s="126"/>
      <c r="G715" s="298"/>
      <c r="H715" s="126"/>
      <c r="I715" s="297"/>
      <c r="J715" s="297"/>
      <c r="K715" s="297"/>
      <c r="L715" s="216">
        <f t="shared" si="22"/>
        <v>0</v>
      </c>
      <c r="M715" s="159" t="str">
        <f t="shared" si="23"/>
        <v/>
      </c>
      <c r="O715" s="158"/>
    </row>
    <row r="716" spans="1:15" x14ac:dyDescent="0.25">
      <c r="A716" s="126"/>
      <c r="B716" s="296"/>
      <c r="C716" s="126"/>
      <c r="D716" s="126"/>
      <c r="E716" s="126"/>
      <c r="F716" s="126"/>
      <c r="G716" s="298"/>
      <c r="H716" s="126"/>
      <c r="I716" s="297"/>
      <c r="J716" s="297"/>
      <c r="K716" s="297"/>
      <c r="L716" s="216">
        <f t="shared" si="22"/>
        <v>0</v>
      </c>
      <c r="M716" s="159" t="str">
        <f t="shared" si="23"/>
        <v/>
      </c>
      <c r="O716" s="158"/>
    </row>
    <row r="717" spans="1:15" x14ac:dyDescent="0.25">
      <c r="A717" s="126"/>
      <c r="B717" s="296"/>
      <c r="C717" s="126"/>
      <c r="D717" s="126"/>
      <c r="E717" s="126"/>
      <c r="F717" s="126"/>
      <c r="G717" s="298"/>
      <c r="H717" s="126"/>
      <c r="I717" s="297"/>
      <c r="J717" s="297"/>
      <c r="K717" s="297"/>
      <c r="L717" s="216">
        <f t="shared" si="22"/>
        <v>0</v>
      </c>
      <c r="M717" s="159" t="str">
        <f t="shared" si="23"/>
        <v/>
      </c>
      <c r="O717" s="158"/>
    </row>
    <row r="718" spans="1:15" x14ac:dyDescent="0.25">
      <c r="A718" s="126"/>
      <c r="B718" s="296"/>
      <c r="C718" s="126"/>
      <c r="D718" s="126"/>
      <c r="E718" s="126"/>
      <c r="F718" s="126"/>
      <c r="G718" s="298"/>
      <c r="H718" s="126"/>
      <c r="I718" s="297"/>
      <c r="J718" s="297"/>
      <c r="K718" s="297"/>
      <c r="L718" s="216">
        <f t="shared" si="22"/>
        <v>0</v>
      </c>
      <c r="M718" s="159" t="str">
        <f t="shared" si="23"/>
        <v/>
      </c>
      <c r="O718" s="158"/>
    </row>
    <row r="719" spans="1:15" x14ac:dyDescent="0.25">
      <c r="A719" s="126"/>
      <c r="B719" s="296"/>
      <c r="C719" s="126"/>
      <c r="D719" s="126"/>
      <c r="E719" s="126"/>
      <c r="F719" s="126"/>
      <c r="G719" s="298"/>
      <c r="H719" s="126"/>
      <c r="I719" s="297"/>
      <c r="J719" s="297"/>
      <c r="K719" s="297"/>
      <c r="L719" s="216">
        <f t="shared" si="22"/>
        <v>0</v>
      </c>
      <c r="M719" s="159" t="str">
        <f t="shared" si="23"/>
        <v/>
      </c>
      <c r="O719" s="158"/>
    </row>
    <row r="720" spans="1:15" x14ac:dyDescent="0.25">
      <c r="A720" s="126"/>
      <c r="B720" s="296"/>
      <c r="C720" s="126"/>
      <c r="D720" s="126"/>
      <c r="E720" s="126"/>
      <c r="F720" s="126"/>
      <c r="G720" s="298"/>
      <c r="H720" s="126"/>
      <c r="I720" s="297"/>
      <c r="J720" s="297"/>
      <c r="K720" s="297"/>
      <c r="L720" s="216">
        <f t="shared" si="22"/>
        <v>0</v>
      </c>
      <c r="M720" s="159" t="str">
        <f t="shared" si="23"/>
        <v/>
      </c>
      <c r="O720" s="158"/>
    </row>
    <row r="721" spans="1:15" x14ac:dyDescent="0.25">
      <c r="A721" s="126"/>
      <c r="B721" s="296"/>
      <c r="C721" s="126"/>
      <c r="D721" s="126"/>
      <c r="E721" s="126"/>
      <c r="F721" s="126"/>
      <c r="G721" s="298"/>
      <c r="H721" s="126"/>
      <c r="I721" s="297"/>
      <c r="J721" s="297"/>
      <c r="K721" s="297"/>
      <c r="L721" s="216">
        <f t="shared" si="22"/>
        <v>0</v>
      </c>
      <c r="M721" s="159" t="str">
        <f t="shared" si="23"/>
        <v/>
      </c>
      <c r="O721" s="158"/>
    </row>
    <row r="722" spans="1:15" x14ac:dyDescent="0.25">
      <c r="A722" s="126"/>
      <c r="B722" s="296"/>
      <c r="C722" s="126"/>
      <c r="D722" s="126"/>
      <c r="E722" s="126"/>
      <c r="F722" s="126"/>
      <c r="G722" s="298"/>
      <c r="H722" s="126"/>
      <c r="I722" s="297"/>
      <c r="J722" s="297"/>
      <c r="K722" s="297"/>
      <c r="L722" s="216">
        <f t="shared" si="22"/>
        <v>0</v>
      </c>
      <c r="M722" s="159" t="str">
        <f t="shared" si="23"/>
        <v/>
      </c>
      <c r="O722" s="158"/>
    </row>
    <row r="723" spans="1:15" x14ac:dyDescent="0.25">
      <c r="A723" s="126"/>
      <c r="B723" s="296"/>
      <c r="C723" s="126"/>
      <c r="D723" s="126"/>
      <c r="E723" s="126"/>
      <c r="F723" s="126"/>
      <c r="G723" s="298"/>
      <c r="H723" s="126"/>
      <c r="I723" s="297"/>
      <c r="J723" s="297"/>
      <c r="K723" s="297"/>
      <c r="L723" s="216">
        <f t="shared" si="22"/>
        <v>0</v>
      </c>
      <c r="M723" s="159" t="str">
        <f t="shared" si="23"/>
        <v/>
      </c>
      <c r="O723" s="158"/>
    </row>
    <row r="724" spans="1:15" x14ac:dyDescent="0.25">
      <c r="A724" s="126"/>
      <c r="B724" s="296"/>
      <c r="C724" s="126"/>
      <c r="D724" s="126"/>
      <c r="E724" s="126"/>
      <c r="F724" s="126"/>
      <c r="G724" s="298"/>
      <c r="H724" s="126"/>
      <c r="I724" s="297"/>
      <c r="J724" s="297"/>
      <c r="K724" s="297"/>
      <c r="L724" s="216">
        <f t="shared" si="22"/>
        <v>0</v>
      </c>
      <c r="M724" s="159" t="str">
        <f t="shared" si="23"/>
        <v/>
      </c>
      <c r="O724" s="158"/>
    </row>
    <row r="725" spans="1:15" x14ac:dyDescent="0.25">
      <c r="A725" s="126"/>
      <c r="B725" s="296"/>
      <c r="C725" s="126"/>
      <c r="D725" s="126"/>
      <c r="E725" s="126"/>
      <c r="F725" s="126"/>
      <c r="G725" s="298"/>
      <c r="H725" s="126"/>
      <c r="I725" s="297"/>
      <c r="J725" s="297"/>
      <c r="K725" s="297"/>
      <c r="L725" s="216">
        <f t="shared" si="22"/>
        <v>0</v>
      </c>
      <c r="M725" s="159" t="str">
        <f t="shared" si="23"/>
        <v/>
      </c>
      <c r="O725" s="158"/>
    </row>
    <row r="726" spans="1:15" x14ac:dyDescent="0.25">
      <c r="A726" s="126"/>
      <c r="B726" s="296"/>
      <c r="C726" s="126"/>
      <c r="D726" s="126"/>
      <c r="E726" s="126"/>
      <c r="F726" s="126"/>
      <c r="G726" s="298"/>
      <c r="H726" s="126"/>
      <c r="I726" s="297"/>
      <c r="J726" s="297"/>
      <c r="K726" s="297"/>
      <c r="L726" s="216">
        <f t="shared" si="22"/>
        <v>0</v>
      </c>
      <c r="M726" s="159" t="str">
        <f t="shared" si="23"/>
        <v/>
      </c>
      <c r="O726" s="158"/>
    </row>
    <row r="727" spans="1:15" x14ac:dyDescent="0.25">
      <c r="A727" s="126"/>
      <c r="B727" s="296"/>
      <c r="C727" s="126"/>
      <c r="D727" s="126"/>
      <c r="E727" s="126"/>
      <c r="F727" s="126"/>
      <c r="G727" s="298"/>
      <c r="H727" s="126"/>
      <c r="I727" s="297"/>
      <c r="J727" s="297"/>
      <c r="K727" s="297"/>
      <c r="L727" s="216">
        <f t="shared" si="22"/>
        <v>0</v>
      </c>
      <c r="M727" s="159" t="str">
        <f t="shared" si="23"/>
        <v/>
      </c>
      <c r="O727" s="158"/>
    </row>
    <row r="728" spans="1:15" x14ac:dyDescent="0.25">
      <c r="A728" s="126"/>
      <c r="B728" s="296"/>
      <c r="C728" s="126"/>
      <c r="D728" s="126"/>
      <c r="E728" s="126"/>
      <c r="F728" s="126"/>
      <c r="G728" s="298"/>
      <c r="H728" s="126"/>
      <c r="I728" s="297"/>
      <c r="J728" s="297"/>
      <c r="K728" s="297"/>
      <c r="L728" s="216">
        <f t="shared" si="22"/>
        <v>0</v>
      </c>
      <c r="M728" s="159" t="str">
        <f t="shared" si="23"/>
        <v/>
      </c>
      <c r="O728" s="158"/>
    </row>
    <row r="729" spans="1:15" x14ac:dyDescent="0.25">
      <c r="A729" s="126"/>
      <c r="B729" s="296"/>
      <c r="C729" s="126"/>
      <c r="D729" s="126"/>
      <c r="E729" s="126"/>
      <c r="F729" s="126"/>
      <c r="G729" s="298"/>
      <c r="H729" s="126"/>
      <c r="I729" s="297"/>
      <c r="J729" s="297"/>
      <c r="K729" s="297"/>
      <c r="L729" s="216">
        <f t="shared" si="22"/>
        <v>0</v>
      </c>
      <c r="M729" s="159" t="str">
        <f t="shared" si="23"/>
        <v/>
      </c>
      <c r="O729" s="158"/>
    </row>
    <row r="730" spans="1:15" x14ac:dyDescent="0.25">
      <c r="A730" s="126"/>
      <c r="B730" s="296"/>
      <c r="C730" s="126"/>
      <c r="D730" s="126"/>
      <c r="E730" s="126"/>
      <c r="F730" s="126"/>
      <c r="G730" s="298"/>
      <c r="H730" s="126"/>
      <c r="I730" s="297"/>
      <c r="J730" s="297"/>
      <c r="K730" s="297"/>
      <c r="L730" s="216">
        <f t="shared" si="22"/>
        <v>0</v>
      </c>
      <c r="M730" s="159" t="str">
        <f t="shared" si="23"/>
        <v/>
      </c>
      <c r="O730" s="158"/>
    </row>
    <row r="731" spans="1:15" x14ac:dyDescent="0.25">
      <c r="A731" s="126"/>
      <c r="B731" s="296"/>
      <c r="C731" s="126"/>
      <c r="D731" s="126"/>
      <c r="E731" s="126"/>
      <c r="F731" s="126"/>
      <c r="G731" s="298"/>
      <c r="H731" s="126"/>
      <c r="I731" s="297"/>
      <c r="J731" s="297"/>
      <c r="K731" s="297"/>
      <c r="L731" s="216">
        <f t="shared" si="22"/>
        <v>0</v>
      </c>
      <c r="M731" s="159" t="str">
        <f t="shared" si="23"/>
        <v/>
      </c>
      <c r="O731" s="158"/>
    </row>
    <row r="732" spans="1:15" x14ac:dyDescent="0.25">
      <c r="A732" s="126"/>
      <c r="B732" s="296"/>
      <c r="C732" s="126"/>
      <c r="D732" s="126"/>
      <c r="E732" s="126"/>
      <c r="F732" s="126"/>
      <c r="G732" s="298"/>
      <c r="H732" s="126"/>
      <c r="I732" s="297"/>
      <c r="J732" s="297"/>
      <c r="K732" s="297"/>
      <c r="L732" s="216">
        <f t="shared" si="22"/>
        <v>0</v>
      </c>
      <c r="M732" s="159" t="str">
        <f t="shared" si="23"/>
        <v/>
      </c>
      <c r="O732" s="158"/>
    </row>
    <row r="733" spans="1:15" x14ac:dyDescent="0.25">
      <c r="A733" s="126"/>
      <c r="B733" s="296"/>
      <c r="C733" s="126"/>
      <c r="D733" s="126"/>
      <c r="E733" s="126"/>
      <c r="F733" s="126"/>
      <c r="G733" s="298"/>
      <c r="H733" s="126"/>
      <c r="I733" s="297"/>
      <c r="J733" s="297"/>
      <c r="K733" s="297"/>
      <c r="L733" s="216">
        <f t="shared" si="22"/>
        <v>0</v>
      </c>
      <c r="M733" s="159" t="str">
        <f t="shared" si="23"/>
        <v/>
      </c>
      <c r="O733" s="158"/>
    </row>
    <row r="734" spans="1:15" x14ac:dyDescent="0.25">
      <c r="A734" s="126"/>
      <c r="B734" s="296"/>
      <c r="C734" s="126"/>
      <c r="D734" s="126"/>
      <c r="E734" s="126"/>
      <c r="F734" s="126"/>
      <c r="G734" s="298"/>
      <c r="H734" s="126"/>
      <c r="I734" s="297"/>
      <c r="J734" s="297"/>
      <c r="K734" s="297"/>
      <c r="L734" s="216">
        <f t="shared" si="22"/>
        <v>0</v>
      </c>
      <c r="M734" s="159" t="str">
        <f t="shared" si="23"/>
        <v/>
      </c>
      <c r="O734" s="158"/>
    </row>
    <row r="735" spans="1:15" x14ac:dyDescent="0.25">
      <c r="A735" s="126"/>
      <c r="B735" s="296"/>
      <c r="C735" s="126"/>
      <c r="D735" s="126"/>
      <c r="E735" s="126"/>
      <c r="F735" s="126"/>
      <c r="G735" s="298"/>
      <c r="H735" s="126"/>
      <c r="I735" s="297"/>
      <c r="J735" s="297"/>
      <c r="K735" s="297"/>
      <c r="L735" s="216">
        <f t="shared" si="22"/>
        <v>0</v>
      </c>
      <c r="M735" s="159" t="str">
        <f t="shared" si="23"/>
        <v/>
      </c>
      <c r="O735" s="158"/>
    </row>
    <row r="736" spans="1:15" x14ac:dyDescent="0.25">
      <c r="A736" s="126"/>
      <c r="B736" s="296"/>
      <c r="C736" s="126"/>
      <c r="D736" s="126"/>
      <c r="E736" s="126"/>
      <c r="F736" s="126"/>
      <c r="G736" s="298"/>
      <c r="H736" s="126"/>
      <c r="I736" s="297"/>
      <c r="J736" s="297"/>
      <c r="K736" s="297"/>
      <c r="L736" s="216">
        <f t="shared" si="22"/>
        <v>0</v>
      </c>
      <c r="M736" s="159" t="str">
        <f t="shared" si="23"/>
        <v/>
      </c>
      <c r="O736" s="158"/>
    </row>
    <row r="737" spans="1:15" x14ac:dyDescent="0.25">
      <c r="A737" s="126"/>
      <c r="B737" s="296"/>
      <c r="C737" s="126"/>
      <c r="D737" s="126"/>
      <c r="E737" s="126"/>
      <c r="F737" s="126"/>
      <c r="G737" s="298"/>
      <c r="H737" s="126"/>
      <c r="I737" s="297"/>
      <c r="J737" s="297"/>
      <c r="K737" s="297"/>
      <c r="L737" s="216">
        <f t="shared" si="22"/>
        <v>0</v>
      </c>
      <c r="M737" s="159" t="str">
        <f t="shared" si="23"/>
        <v/>
      </c>
      <c r="O737" s="158"/>
    </row>
    <row r="738" spans="1:15" x14ac:dyDescent="0.25">
      <c r="A738" s="126"/>
      <c r="B738" s="296"/>
      <c r="C738" s="126"/>
      <c r="D738" s="126"/>
      <c r="E738" s="126"/>
      <c r="F738" s="126"/>
      <c r="G738" s="298"/>
      <c r="H738" s="126"/>
      <c r="I738" s="297"/>
      <c r="J738" s="297"/>
      <c r="K738" s="297"/>
      <c r="L738" s="216">
        <f t="shared" si="22"/>
        <v>0</v>
      </c>
      <c r="M738" s="159" t="str">
        <f t="shared" si="23"/>
        <v/>
      </c>
      <c r="O738" s="158"/>
    </row>
    <row r="739" spans="1:15" x14ac:dyDescent="0.25">
      <c r="A739" s="126"/>
      <c r="B739" s="296"/>
      <c r="C739" s="126"/>
      <c r="D739" s="126"/>
      <c r="E739" s="126"/>
      <c r="F739" s="126"/>
      <c r="G739" s="298"/>
      <c r="H739" s="126"/>
      <c r="I739" s="297"/>
      <c r="J739" s="297"/>
      <c r="K739" s="297"/>
      <c r="L739" s="216">
        <f t="shared" si="22"/>
        <v>0</v>
      </c>
      <c r="M739" s="159" t="str">
        <f t="shared" si="23"/>
        <v/>
      </c>
      <c r="O739" s="158"/>
    </row>
    <row r="740" spans="1:15" x14ac:dyDescent="0.25">
      <c r="A740" s="126"/>
      <c r="B740" s="296"/>
      <c r="C740" s="126"/>
      <c r="D740" s="126"/>
      <c r="E740" s="126"/>
      <c r="F740" s="126"/>
      <c r="G740" s="298"/>
      <c r="H740" s="126"/>
      <c r="I740" s="297"/>
      <c r="J740" s="297"/>
      <c r="K740" s="297"/>
      <c r="L740" s="216">
        <f t="shared" si="22"/>
        <v>0</v>
      </c>
      <c r="M740" s="159" t="str">
        <f t="shared" si="23"/>
        <v/>
      </c>
      <c r="O740" s="158"/>
    </row>
    <row r="741" spans="1:15" x14ac:dyDescent="0.25">
      <c r="A741" s="126"/>
      <c r="B741" s="296"/>
      <c r="C741" s="126"/>
      <c r="D741" s="126"/>
      <c r="E741" s="126"/>
      <c r="F741" s="126"/>
      <c r="G741" s="298"/>
      <c r="H741" s="126"/>
      <c r="I741" s="297"/>
      <c r="J741" s="297"/>
      <c r="K741" s="297"/>
      <c r="L741" s="216">
        <f t="shared" si="22"/>
        <v>0</v>
      </c>
      <c r="M741" s="159" t="str">
        <f t="shared" si="23"/>
        <v/>
      </c>
      <c r="O741" s="158"/>
    </row>
    <row r="742" spans="1:15" x14ac:dyDescent="0.25">
      <c r="A742" s="126"/>
      <c r="B742" s="296"/>
      <c r="C742" s="126"/>
      <c r="D742" s="126"/>
      <c r="E742" s="126"/>
      <c r="F742" s="126"/>
      <c r="G742" s="298"/>
      <c r="H742" s="126"/>
      <c r="I742" s="297"/>
      <c r="J742" s="297"/>
      <c r="K742" s="297"/>
      <c r="L742" s="216">
        <f t="shared" si="22"/>
        <v>0</v>
      </c>
      <c r="M742" s="159" t="str">
        <f t="shared" si="23"/>
        <v/>
      </c>
      <c r="O742" s="158"/>
    </row>
    <row r="743" spans="1:15" x14ac:dyDescent="0.25">
      <c r="A743" s="126"/>
      <c r="B743" s="296"/>
      <c r="C743" s="126"/>
      <c r="D743" s="126"/>
      <c r="E743" s="126"/>
      <c r="F743" s="126"/>
      <c r="G743" s="298"/>
      <c r="H743" s="126"/>
      <c r="I743" s="297"/>
      <c r="J743" s="297"/>
      <c r="K743" s="297"/>
      <c r="L743" s="216">
        <f t="shared" si="22"/>
        <v>0</v>
      </c>
      <c r="M743" s="159" t="str">
        <f t="shared" si="23"/>
        <v/>
      </c>
      <c r="O743" s="158"/>
    </row>
    <row r="744" spans="1:15" x14ac:dyDescent="0.25">
      <c r="A744" s="126"/>
      <c r="B744" s="296"/>
      <c r="C744" s="126"/>
      <c r="D744" s="126"/>
      <c r="E744" s="126"/>
      <c r="F744" s="126"/>
      <c r="G744" s="298"/>
      <c r="H744" s="126"/>
      <c r="I744" s="297"/>
      <c r="J744" s="297"/>
      <c r="K744" s="297"/>
      <c r="L744" s="216">
        <f t="shared" si="22"/>
        <v>0</v>
      </c>
      <c r="M744" s="159" t="str">
        <f t="shared" si="23"/>
        <v/>
      </c>
      <c r="O744" s="158"/>
    </row>
    <row r="745" spans="1:15" x14ac:dyDescent="0.25">
      <c r="A745" s="126"/>
      <c r="B745" s="296"/>
      <c r="C745" s="126"/>
      <c r="D745" s="126"/>
      <c r="E745" s="126"/>
      <c r="F745" s="126"/>
      <c r="G745" s="298"/>
      <c r="H745" s="126"/>
      <c r="I745" s="297"/>
      <c r="J745" s="297"/>
      <c r="K745" s="297"/>
      <c r="L745" s="216">
        <f t="shared" si="22"/>
        <v>0</v>
      </c>
      <c r="M745" s="159" t="str">
        <f t="shared" si="23"/>
        <v/>
      </c>
      <c r="O745" s="158"/>
    </row>
    <row r="746" spans="1:15" x14ac:dyDescent="0.25">
      <c r="A746" s="126"/>
      <c r="B746" s="296"/>
      <c r="C746" s="126"/>
      <c r="D746" s="126"/>
      <c r="E746" s="126"/>
      <c r="F746" s="126"/>
      <c r="G746" s="298"/>
      <c r="H746" s="126"/>
      <c r="I746" s="297"/>
      <c r="J746" s="297"/>
      <c r="K746" s="297"/>
      <c r="L746" s="216">
        <f t="shared" si="22"/>
        <v>0</v>
      </c>
      <c r="M746" s="159" t="str">
        <f t="shared" si="23"/>
        <v/>
      </c>
      <c r="O746" s="158"/>
    </row>
    <row r="747" spans="1:15" x14ac:dyDescent="0.25">
      <c r="A747" s="126"/>
      <c r="B747" s="296"/>
      <c r="C747" s="126"/>
      <c r="D747" s="126"/>
      <c r="E747" s="126"/>
      <c r="F747" s="126"/>
      <c r="G747" s="298"/>
      <c r="H747" s="126"/>
      <c r="I747" s="297"/>
      <c r="J747" s="297"/>
      <c r="K747" s="297"/>
      <c r="L747" s="216">
        <f t="shared" si="22"/>
        <v>0</v>
      </c>
      <c r="M747" s="159" t="str">
        <f t="shared" si="23"/>
        <v/>
      </c>
      <c r="O747" s="158"/>
    </row>
    <row r="748" spans="1:15" x14ac:dyDescent="0.25">
      <c r="A748" s="126"/>
      <c r="B748" s="296"/>
      <c r="C748" s="126"/>
      <c r="D748" s="126"/>
      <c r="E748" s="126"/>
      <c r="F748" s="126"/>
      <c r="G748" s="298"/>
      <c r="H748" s="126"/>
      <c r="I748" s="297"/>
      <c r="J748" s="297"/>
      <c r="K748" s="297"/>
      <c r="L748" s="216">
        <f t="shared" si="22"/>
        <v>0</v>
      </c>
      <c r="M748" s="159" t="str">
        <f t="shared" si="23"/>
        <v/>
      </c>
      <c r="O748" s="158"/>
    </row>
    <row r="749" spans="1:15" x14ac:dyDescent="0.25">
      <c r="A749" s="126"/>
      <c r="B749" s="296"/>
      <c r="C749" s="126"/>
      <c r="D749" s="126"/>
      <c r="E749" s="126"/>
      <c r="F749" s="126"/>
      <c r="G749" s="298"/>
      <c r="H749" s="126"/>
      <c r="I749" s="297"/>
      <c r="J749" s="297"/>
      <c r="K749" s="297"/>
      <c r="L749" s="216">
        <f t="shared" si="22"/>
        <v>0</v>
      </c>
      <c r="M749" s="159" t="str">
        <f t="shared" si="23"/>
        <v/>
      </c>
      <c r="O749" s="158"/>
    </row>
    <row r="750" spans="1:15" x14ac:dyDescent="0.25">
      <c r="A750" s="126"/>
      <c r="B750" s="296"/>
      <c r="C750" s="126"/>
      <c r="D750" s="126"/>
      <c r="E750" s="126"/>
      <c r="F750" s="126"/>
      <c r="G750" s="298"/>
      <c r="H750" s="126"/>
      <c r="I750" s="297"/>
      <c r="J750" s="297"/>
      <c r="K750" s="297"/>
      <c r="L750" s="216">
        <f t="shared" si="22"/>
        <v>0</v>
      </c>
      <c r="M750" s="159" t="str">
        <f t="shared" si="23"/>
        <v/>
      </c>
      <c r="O750" s="158"/>
    </row>
    <row r="751" spans="1:15" x14ac:dyDescent="0.25">
      <c r="A751" s="126"/>
      <c r="B751" s="296"/>
      <c r="C751" s="126"/>
      <c r="D751" s="126"/>
      <c r="E751" s="126"/>
      <c r="F751" s="126"/>
      <c r="G751" s="298"/>
      <c r="H751" s="126"/>
      <c r="I751" s="297"/>
      <c r="J751" s="297"/>
      <c r="K751" s="297"/>
      <c r="L751" s="216">
        <f t="shared" si="22"/>
        <v>0</v>
      </c>
      <c r="M751" s="159" t="str">
        <f t="shared" si="23"/>
        <v/>
      </c>
      <c r="O751" s="158"/>
    </row>
    <row r="752" spans="1:15" x14ac:dyDescent="0.25">
      <c r="A752" s="126"/>
      <c r="B752" s="296"/>
      <c r="C752" s="126"/>
      <c r="D752" s="126"/>
      <c r="E752" s="126"/>
      <c r="F752" s="126"/>
      <c r="G752" s="298"/>
      <c r="H752" s="126"/>
      <c r="I752" s="297"/>
      <c r="J752" s="297"/>
      <c r="K752" s="297"/>
      <c r="L752" s="216">
        <f t="shared" si="22"/>
        <v>0</v>
      </c>
      <c r="M752" s="159" t="str">
        <f t="shared" si="23"/>
        <v/>
      </c>
      <c r="O752" s="158"/>
    </row>
    <row r="753" spans="1:15" x14ac:dyDescent="0.25">
      <c r="A753" s="126"/>
      <c r="B753" s="296"/>
      <c r="C753" s="126"/>
      <c r="D753" s="126"/>
      <c r="E753" s="126"/>
      <c r="F753" s="126"/>
      <c r="G753" s="298"/>
      <c r="H753" s="126"/>
      <c r="I753" s="297"/>
      <c r="J753" s="297"/>
      <c r="K753" s="297"/>
      <c r="L753" s="216">
        <f t="shared" si="22"/>
        <v>0</v>
      </c>
      <c r="M753" s="159" t="str">
        <f t="shared" si="23"/>
        <v/>
      </c>
      <c r="O753" s="158"/>
    </row>
    <row r="754" spans="1:15" x14ac:dyDescent="0.25">
      <c r="A754" s="126"/>
      <c r="B754" s="296"/>
      <c r="C754" s="126"/>
      <c r="D754" s="126"/>
      <c r="E754" s="126"/>
      <c r="F754" s="126"/>
      <c r="G754" s="298"/>
      <c r="H754" s="126"/>
      <c r="I754" s="297"/>
      <c r="J754" s="297"/>
      <c r="K754" s="297"/>
      <c r="L754" s="216">
        <f t="shared" si="22"/>
        <v>0</v>
      </c>
      <c r="M754" s="159" t="str">
        <f t="shared" si="23"/>
        <v/>
      </c>
      <c r="O754" s="158"/>
    </row>
    <row r="755" spans="1:15" x14ac:dyDescent="0.25">
      <c r="A755" s="126"/>
      <c r="B755" s="296"/>
      <c r="C755" s="126"/>
      <c r="D755" s="126"/>
      <c r="E755" s="126"/>
      <c r="F755" s="126"/>
      <c r="G755" s="298"/>
      <c r="H755" s="126"/>
      <c r="I755" s="297"/>
      <c r="J755" s="297"/>
      <c r="K755" s="297"/>
      <c r="L755" s="216">
        <f t="shared" si="22"/>
        <v>0</v>
      </c>
      <c r="M755" s="159" t="str">
        <f t="shared" si="23"/>
        <v/>
      </c>
      <c r="O755" s="158"/>
    </row>
    <row r="756" spans="1:15" x14ac:dyDescent="0.25">
      <c r="A756" s="126"/>
      <c r="B756" s="296"/>
      <c r="C756" s="126"/>
      <c r="D756" s="126"/>
      <c r="E756" s="126"/>
      <c r="F756" s="126"/>
      <c r="G756" s="298"/>
      <c r="H756" s="126"/>
      <c r="I756" s="297"/>
      <c r="J756" s="297"/>
      <c r="K756" s="297"/>
      <c r="L756" s="216">
        <f t="shared" si="22"/>
        <v>0</v>
      </c>
      <c r="M756" s="159" t="str">
        <f t="shared" si="23"/>
        <v/>
      </c>
      <c r="O756" s="158"/>
    </row>
    <row r="757" spans="1:15" x14ac:dyDescent="0.25">
      <c r="A757" s="126"/>
      <c r="B757" s="296"/>
      <c r="C757" s="126"/>
      <c r="D757" s="126"/>
      <c r="E757" s="126"/>
      <c r="F757" s="126"/>
      <c r="G757" s="298"/>
      <c r="H757" s="126"/>
      <c r="I757" s="297"/>
      <c r="J757" s="297"/>
      <c r="K757" s="297"/>
      <c r="L757" s="216">
        <f t="shared" si="22"/>
        <v>0</v>
      </c>
      <c r="M757" s="159" t="str">
        <f t="shared" si="23"/>
        <v/>
      </c>
      <c r="O757" s="158"/>
    </row>
    <row r="758" spans="1:15" x14ac:dyDescent="0.25">
      <c r="A758" s="126"/>
      <c r="B758" s="296"/>
      <c r="C758" s="126"/>
      <c r="D758" s="126"/>
      <c r="E758" s="126"/>
      <c r="F758" s="126"/>
      <c r="G758" s="298"/>
      <c r="H758" s="126"/>
      <c r="I758" s="297"/>
      <c r="J758" s="297"/>
      <c r="K758" s="297"/>
      <c r="L758" s="216">
        <f t="shared" si="22"/>
        <v>0</v>
      </c>
      <c r="M758" s="159" t="str">
        <f t="shared" si="23"/>
        <v/>
      </c>
      <c r="O758" s="158"/>
    </row>
    <row r="759" spans="1:15" x14ac:dyDescent="0.25">
      <c r="A759" s="126"/>
      <c r="B759" s="296"/>
      <c r="C759" s="126"/>
      <c r="D759" s="126"/>
      <c r="E759" s="126"/>
      <c r="F759" s="126"/>
      <c r="G759" s="298"/>
      <c r="H759" s="126"/>
      <c r="I759" s="297"/>
      <c r="J759" s="297"/>
      <c r="K759" s="297"/>
      <c r="L759" s="216">
        <f t="shared" si="22"/>
        <v>0</v>
      </c>
      <c r="M759" s="159" t="str">
        <f t="shared" si="23"/>
        <v/>
      </c>
      <c r="O759" s="158"/>
    </row>
    <row r="760" spans="1:15" x14ac:dyDescent="0.25">
      <c r="A760" s="126"/>
      <c r="B760" s="296"/>
      <c r="C760" s="126"/>
      <c r="D760" s="126"/>
      <c r="E760" s="126"/>
      <c r="F760" s="126"/>
      <c r="G760" s="298"/>
      <c r="H760" s="126"/>
      <c r="I760" s="297"/>
      <c r="J760" s="297"/>
      <c r="K760" s="297"/>
      <c r="L760" s="216">
        <f t="shared" si="22"/>
        <v>0</v>
      </c>
      <c r="M760" s="159" t="str">
        <f t="shared" si="23"/>
        <v/>
      </c>
      <c r="O760" s="158"/>
    </row>
    <row r="761" spans="1:15" x14ac:dyDescent="0.25">
      <c r="A761" s="126"/>
      <c r="B761" s="296"/>
      <c r="C761" s="126"/>
      <c r="D761" s="126"/>
      <c r="E761" s="126"/>
      <c r="F761" s="126"/>
      <c r="G761" s="298"/>
      <c r="H761" s="126"/>
      <c r="I761" s="297"/>
      <c r="J761" s="297"/>
      <c r="K761" s="297"/>
      <c r="L761" s="216">
        <f t="shared" si="22"/>
        <v>0</v>
      </c>
      <c r="M761" s="159" t="str">
        <f t="shared" si="23"/>
        <v/>
      </c>
      <c r="O761" s="158"/>
    </row>
    <row r="762" spans="1:15" x14ac:dyDescent="0.25">
      <c r="A762" s="126"/>
      <c r="B762" s="296"/>
      <c r="C762" s="126"/>
      <c r="D762" s="126"/>
      <c r="E762" s="126"/>
      <c r="F762" s="126"/>
      <c r="G762" s="298"/>
      <c r="H762" s="126"/>
      <c r="I762" s="297"/>
      <c r="J762" s="297"/>
      <c r="K762" s="297"/>
      <c r="L762" s="216">
        <f t="shared" si="22"/>
        <v>0</v>
      </c>
      <c r="M762" s="159" t="str">
        <f t="shared" si="23"/>
        <v/>
      </c>
      <c r="O762" s="158"/>
    </row>
    <row r="763" spans="1:15" x14ac:dyDescent="0.25">
      <c r="A763" s="126"/>
      <c r="B763" s="296"/>
      <c r="C763" s="126"/>
      <c r="D763" s="126"/>
      <c r="E763" s="126"/>
      <c r="F763" s="126"/>
      <c r="G763" s="298"/>
      <c r="H763" s="126"/>
      <c r="I763" s="297"/>
      <c r="J763" s="297"/>
      <c r="K763" s="297"/>
      <c r="L763" s="216">
        <f t="shared" si="22"/>
        <v>0</v>
      </c>
      <c r="M763" s="159" t="str">
        <f t="shared" si="23"/>
        <v/>
      </c>
      <c r="O763" s="158"/>
    </row>
    <row r="764" spans="1:15" x14ac:dyDescent="0.25">
      <c r="A764" s="126"/>
      <c r="B764" s="296"/>
      <c r="C764" s="126"/>
      <c r="D764" s="126"/>
      <c r="E764" s="126"/>
      <c r="F764" s="126"/>
      <c r="G764" s="298"/>
      <c r="H764" s="126"/>
      <c r="I764" s="297"/>
      <c r="J764" s="297"/>
      <c r="K764" s="297"/>
      <c r="L764" s="216">
        <f t="shared" si="22"/>
        <v>0</v>
      </c>
      <c r="M764" s="159" t="str">
        <f t="shared" si="23"/>
        <v/>
      </c>
      <c r="O764" s="158"/>
    </row>
    <row r="765" spans="1:15" x14ac:dyDescent="0.25">
      <c r="A765" s="126"/>
      <c r="B765" s="296"/>
      <c r="C765" s="126"/>
      <c r="D765" s="126"/>
      <c r="E765" s="126"/>
      <c r="F765" s="126"/>
      <c r="G765" s="298"/>
      <c r="H765" s="126"/>
      <c r="I765" s="297"/>
      <c r="J765" s="297"/>
      <c r="K765" s="297"/>
      <c r="L765" s="216">
        <f t="shared" si="22"/>
        <v>0</v>
      </c>
      <c r="M765" s="159" t="str">
        <f t="shared" si="23"/>
        <v/>
      </c>
      <c r="O765" s="158"/>
    </row>
    <row r="766" spans="1:15" x14ac:dyDescent="0.25">
      <c r="A766" s="126"/>
      <c r="B766" s="296"/>
      <c r="C766" s="126"/>
      <c r="D766" s="126"/>
      <c r="E766" s="126"/>
      <c r="F766" s="126"/>
      <c r="G766" s="298"/>
      <c r="H766" s="126"/>
      <c r="I766" s="297"/>
      <c r="J766" s="297"/>
      <c r="K766" s="297"/>
      <c r="L766" s="216">
        <f t="shared" si="22"/>
        <v>0</v>
      </c>
      <c r="M766" s="159" t="str">
        <f t="shared" si="23"/>
        <v/>
      </c>
      <c r="O766" s="158"/>
    </row>
    <row r="767" spans="1:15" x14ac:dyDescent="0.25">
      <c r="A767" s="126"/>
      <c r="B767" s="296"/>
      <c r="C767" s="126"/>
      <c r="D767" s="126"/>
      <c r="E767" s="126"/>
      <c r="F767" s="126"/>
      <c r="G767" s="298"/>
      <c r="H767" s="126"/>
      <c r="I767" s="297"/>
      <c r="J767" s="297"/>
      <c r="K767" s="297"/>
      <c r="L767" s="216">
        <f t="shared" si="22"/>
        <v>0</v>
      </c>
      <c r="M767" s="159" t="str">
        <f t="shared" si="23"/>
        <v/>
      </c>
      <c r="O767" s="158"/>
    </row>
    <row r="768" spans="1:15" x14ac:dyDescent="0.25">
      <c r="A768" s="126"/>
      <c r="B768" s="296"/>
      <c r="C768" s="126"/>
      <c r="D768" s="126"/>
      <c r="E768" s="126"/>
      <c r="F768" s="126"/>
      <c r="G768" s="298"/>
      <c r="H768" s="126"/>
      <c r="I768" s="297"/>
      <c r="J768" s="297"/>
      <c r="K768" s="297"/>
      <c r="L768" s="216">
        <f t="shared" si="22"/>
        <v>0</v>
      </c>
      <c r="M768" s="159" t="str">
        <f t="shared" si="23"/>
        <v/>
      </c>
      <c r="O768" s="158"/>
    </row>
    <row r="769" spans="1:15" x14ac:dyDescent="0.25">
      <c r="A769" s="126"/>
      <c r="B769" s="296"/>
      <c r="C769" s="126"/>
      <c r="D769" s="126"/>
      <c r="E769" s="126"/>
      <c r="F769" s="126"/>
      <c r="G769" s="298"/>
      <c r="H769" s="126"/>
      <c r="I769" s="297"/>
      <c r="J769" s="297"/>
      <c r="K769" s="297"/>
      <c r="L769" s="216">
        <f t="shared" si="22"/>
        <v>0</v>
      </c>
      <c r="M769" s="159" t="str">
        <f t="shared" si="23"/>
        <v/>
      </c>
      <c r="O769" s="158"/>
    </row>
    <row r="770" spans="1:15" x14ac:dyDescent="0.25">
      <c r="A770" s="126"/>
      <c r="B770" s="296"/>
      <c r="C770" s="126"/>
      <c r="D770" s="126"/>
      <c r="E770" s="126"/>
      <c r="F770" s="126"/>
      <c r="G770" s="298"/>
      <c r="H770" s="126"/>
      <c r="I770" s="297"/>
      <c r="J770" s="297"/>
      <c r="K770" s="297"/>
      <c r="L770" s="216">
        <f t="shared" ref="L770:L833" si="24">K770*1.1</f>
        <v>0</v>
      </c>
      <c r="M770" s="159" t="str">
        <f t="shared" ref="M770:M833" si="25">IF(ISNUMBER(SEARCH("Azarine",H770)),"AZARINE",IF(ISNUMBER(SEARCH("Baking Soda",H770)),"BAKING SODA",IF(ISNUMBER(SEARCH("Fujitsu",H770)),"FUJITSU",IF(ISNUMBER(SEARCH("Coleman",H770)),"COLEMAN",""))))</f>
        <v/>
      </c>
      <c r="O770" s="158"/>
    </row>
    <row r="771" spans="1:15" x14ac:dyDescent="0.25">
      <c r="A771" s="126"/>
      <c r="B771" s="296"/>
      <c r="C771" s="126"/>
      <c r="D771" s="126"/>
      <c r="E771" s="126"/>
      <c r="F771" s="126"/>
      <c r="G771" s="298"/>
      <c r="H771" s="126"/>
      <c r="I771" s="297"/>
      <c r="J771" s="297"/>
      <c r="K771" s="297"/>
      <c r="L771" s="216">
        <f t="shared" si="24"/>
        <v>0</v>
      </c>
      <c r="M771" s="159" t="str">
        <f t="shared" si="25"/>
        <v/>
      </c>
      <c r="O771" s="158"/>
    </row>
    <row r="772" spans="1:15" x14ac:dyDescent="0.25">
      <c r="A772" s="126"/>
      <c r="B772" s="296"/>
      <c r="C772" s="126"/>
      <c r="D772" s="126"/>
      <c r="E772" s="126"/>
      <c r="F772" s="126"/>
      <c r="G772" s="298"/>
      <c r="H772" s="126"/>
      <c r="I772" s="297"/>
      <c r="J772" s="297"/>
      <c r="K772" s="297"/>
      <c r="L772" s="216">
        <f t="shared" si="24"/>
        <v>0</v>
      </c>
      <c r="M772" s="159" t="str">
        <f t="shared" si="25"/>
        <v/>
      </c>
      <c r="O772" s="158"/>
    </row>
    <row r="773" spans="1:15" x14ac:dyDescent="0.25">
      <c r="A773" s="126"/>
      <c r="B773" s="296"/>
      <c r="C773" s="126"/>
      <c r="D773" s="126"/>
      <c r="E773" s="126"/>
      <c r="F773" s="126"/>
      <c r="G773" s="298"/>
      <c r="H773" s="126"/>
      <c r="I773" s="297"/>
      <c r="J773" s="297"/>
      <c r="K773" s="297"/>
      <c r="L773" s="216">
        <f t="shared" si="24"/>
        <v>0</v>
      </c>
      <c r="M773" s="159" t="str">
        <f t="shared" si="25"/>
        <v/>
      </c>
      <c r="O773" s="158"/>
    </row>
    <row r="774" spans="1:15" x14ac:dyDescent="0.25">
      <c r="A774" s="126"/>
      <c r="B774" s="296"/>
      <c r="C774" s="126"/>
      <c r="D774" s="126"/>
      <c r="E774" s="126"/>
      <c r="F774" s="126"/>
      <c r="G774" s="298"/>
      <c r="H774" s="126"/>
      <c r="I774" s="297"/>
      <c r="J774" s="297"/>
      <c r="K774" s="297"/>
      <c r="L774" s="216">
        <f t="shared" si="24"/>
        <v>0</v>
      </c>
      <c r="M774" s="159" t="str">
        <f t="shared" si="25"/>
        <v/>
      </c>
      <c r="O774" s="158"/>
    </row>
    <row r="775" spans="1:15" x14ac:dyDescent="0.25">
      <c r="A775" s="126"/>
      <c r="B775" s="296"/>
      <c r="C775" s="126"/>
      <c r="D775" s="126"/>
      <c r="E775" s="126"/>
      <c r="F775" s="126"/>
      <c r="G775" s="298"/>
      <c r="H775" s="126"/>
      <c r="I775" s="297"/>
      <c r="J775" s="297"/>
      <c r="K775" s="297"/>
      <c r="L775" s="216">
        <f t="shared" si="24"/>
        <v>0</v>
      </c>
      <c r="M775" s="159" t="str">
        <f t="shared" si="25"/>
        <v/>
      </c>
      <c r="O775" s="158"/>
    </row>
    <row r="776" spans="1:15" x14ac:dyDescent="0.25">
      <c r="A776" s="126"/>
      <c r="B776" s="296"/>
      <c r="C776" s="126"/>
      <c r="D776" s="126"/>
      <c r="E776" s="126"/>
      <c r="F776" s="126"/>
      <c r="G776" s="298"/>
      <c r="H776" s="126"/>
      <c r="I776" s="297"/>
      <c r="J776" s="297"/>
      <c r="K776" s="297"/>
      <c r="L776" s="216">
        <f t="shared" si="24"/>
        <v>0</v>
      </c>
      <c r="M776" s="159" t="str">
        <f t="shared" si="25"/>
        <v/>
      </c>
      <c r="O776" s="158"/>
    </row>
    <row r="777" spans="1:15" x14ac:dyDescent="0.25">
      <c r="A777" s="126"/>
      <c r="B777" s="296"/>
      <c r="C777" s="126"/>
      <c r="D777" s="126"/>
      <c r="E777" s="126"/>
      <c r="F777" s="126"/>
      <c r="G777" s="298"/>
      <c r="H777" s="126"/>
      <c r="I777" s="297"/>
      <c r="J777" s="297"/>
      <c r="K777" s="297"/>
      <c r="L777" s="216">
        <f t="shared" si="24"/>
        <v>0</v>
      </c>
      <c r="M777" s="159" t="str">
        <f t="shared" si="25"/>
        <v/>
      </c>
      <c r="O777" s="158"/>
    </row>
    <row r="778" spans="1:15" x14ac:dyDescent="0.25">
      <c r="A778" s="126"/>
      <c r="B778" s="296"/>
      <c r="C778" s="126"/>
      <c r="D778" s="126"/>
      <c r="E778" s="126"/>
      <c r="F778" s="126"/>
      <c r="G778" s="298"/>
      <c r="H778" s="126"/>
      <c r="I778" s="297"/>
      <c r="J778" s="297"/>
      <c r="K778" s="297"/>
      <c r="L778" s="216">
        <f t="shared" si="24"/>
        <v>0</v>
      </c>
      <c r="M778" s="159" t="str">
        <f t="shared" si="25"/>
        <v/>
      </c>
      <c r="O778" s="158"/>
    </row>
    <row r="779" spans="1:15" x14ac:dyDescent="0.25">
      <c r="A779" s="126"/>
      <c r="B779" s="296"/>
      <c r="C779" s="126"/>
      <c r="D779" s="126"/>
      <c r="E779" s="126"/>
      <c r="F779" s="126"/>
      <c r="G779" s="298"/>
      <c r="H779" s="126"/>
      <c r="I779" s="297"/>
      <c r="J779" s="297"/>
      <c r="K779" s="297"/>
      <c r="L779" s="216">
        <f t="shared" si="24"/>
        <v>0</v>
      </c>
      <c r="M779" s="159" t="str">
        <f t="shared" si="25"/>
        <v/>
      </c>
      <c r="O779" s="158"/>
    </row>
    <row r="780" spans="1:15" x14ac:dyDescent="0.25">
      <c r="A780" s="126"/>
      <c r="B780" s="296"/>
      <c r="C780" s="126"/>
      <c r="D780" s="126"/>
      <c r="E780" s="126"/>
      <c r="F780" s="126"/>
      <c r="G780" s="298"/>
      <c r="H780" s="126"/>
      <c r="I780" s="297"/>
      <c r="J780" s="297"/>
      <c r="K780" s="297"/>
      <c r="L780" s="216">
        <f t="shared" si="24"/>
        <v>0</v>
      </c>
      <c r="M780" s="159" t="str">
        <f t="shared" si="25"/>
        <v/>
      </c>
      <c r="O780" s="158"/>
    </row>
    <row r="781" spans="1:15" x14ac:dyDescent="0.25">
      <c r="A781" s="126"/>
      <c r="B781" s="296"/>
      <c r="C781" s="126"/>
      <c r="D781" s="126"/>
      <c r="E781" s="126"/>
      <c r="F781" s="126"/>
      <c r="G781" s="298"/>
      <c r="H781" s="126"/>
      <c r="I781" s="297"/>
      <c r="J781" s="297"/>
      <c r="K781" s="297"/>
      <c r="L781" s="216">
        <f t="shared" si="24"/>
        <v>0</v>
      </c>
      <c r="M781" s="159" t="str">
        <f t="shared" si="25"/>
        <v/>
      </c>
      <c r="O781" s="158"/>
    </row>
    <row r="782" spans="1:15" x14ac:dyDescent="0.25">
      <c r="A782" s="126"/>
      <c r="B782" s="296"/>
      <c r="C782" s="126"/>
      <c r="D782" s="126"/>
      <c r="E782" s="126"/>
      <c r="F782" s="126"/>
      <c r="G782" s="298"/>
      <c r="H782" s="126"/>
      <c r="I782" s="297"/>
      <c r="J782" s="297"/>
      <c r="K782" s="297"/>
      <c r="L782" s="216">
        <f t="shared" si="24"/>
        <v>0</v>
      </c>
      <c r="M782" s="159" t="str">
        <f t="shared" si="25"/>
        <v/>
      </c>
      <c r="O782" s="158"/>
    </row>
    <row r="783" spans="1:15" x14ac:dyDescent="0.25">
      <c r="A783" s="126"/>
      <c r="B783" s="296"/>
      <c r="C783" s="126"/>
      <c r="D783" s="126"/>
      <c r="E783" s="126"/>
      <c r="F783" s="126"/>
      <c r="G783" s="298"/>
      <c r="H783" s="126"/>
      <c r="I783" s="297"/>
      <c r="J783" s="297"/>
      <c r="K783" s="297"/>
      <c r="L783" s="216">
        <f t="shared" si="24"/>
        <v>0</v>
      </c>
      <c r="M783" s="159" t="str">
        <f t="shared" si="25"/>
        <v/>
      </c>
      <c r="O783" s="158"/>
    </row>
    <row r="784" spans="1:15" x14ac:dyDescent="0.25">
      <c r="A784" s="126"/>
      <c r="B784" s="296"/>
      <c r="C784" s="126"/>
      <c r="D784" s="126"/>
      <c r="E784" s="126"/>
      <c r="F784" s="126"/>
      <c r="G784" s="298"/>
      <c r="H784" s="126"/>
      <c r="I784" s="297"/>
      <c r="J784" s="297"/>
      <c r="K784" s="297"/>
      <c r="L784" s="216">
        <f t="shared" si="24"/>
        <v>0</v>
      </c>
      <c r="M784" s="159" t="str">
        <f t="shared" si="25"/>
        <v/>
      </c>
      <c r="O784" s="158"/>
    </row>
    <row r="785" spans="1:15" x14ac:dyDescent="0.25">
      <c r="A785" s="126"/>
      <c r="B785" s="296"/>
      <c r="C785" s="126"/>
      <c r="D785" s="126"/>
      <c r="E785" s="126"/>
      <c r="F785" s="126"/>
      <c r="G785" s="298"/>
      <c r="H785" s="126"/>
      <c r="I785" s="297"/>
      <c r="J785" s="297"/>
      <c r="K785" s="297"/>
      <c r="L785" s="216">
        <f t="shared" si="24"/>
        <v>0</v>
      </c>
      <c r="M785" s="159" t="str">
        <f t="shared" si="25"/>
        <v/>
      </c>
      <c r="O785" s="158"/>
    </row>
    <row r="786" spans="1:15" x14ac:dyDescent="0.25">
      <c r="A786" s="126"/>
      <c r="B786" s="296"/>
      <c r="C786" s="126"/>
      <c r="D786" s="126"/>
      <c r="E786" s="126"/>
      <c r="F786" s="126"/>
      <c r="G786" s="298"/>
      <c r="H786" s="126"/>
      <c r="I786" s="297"/>
      <c r="J786" s="297"/>
      <c r="K786" s="297"/>
      <c r="L786" s="216">
        <f t="shared" si="24"/>
        <v>0</v>
      </c>
      <c r="M786" s="159" t="str">
        <f t="shared" si="25"/>
        <v/>
      </c>
      <c r="O786" s="158"/>
    </row>
    <row r="787" spans="1:15" x14ac:dyDescent="0.25">
      <c r="A787" s="126"/>
      <c r="B787" s="296"/>
      <c r="C787" s="126"/>
      <c r="D787" s="126"/>
      <c r="E787" s="126"/>
      <c r="F787" s="126"/>
      <c r="G787" s="298"/>
      <c r="H787" s="126"/>
      <c r="I787" s="297"/>
      <c r="J787" s="297"/>
      <c r="K787" s="297"/>
      <c r="L787" s="216">
        <f t="shared" si="24"/>
        <v>0</v>
      </c>
      <c r="M787" s="159" t="str">
        <f t="shared" si="25"/>
        <v/>
      </c>
      <c r="O787" s="158"/>
    </row>
    <row r="788" spans="1:15" x14ac:dyDescent="0.25">
      <c r="A788" s="126"/>
      <c r="B788" s="296"/>
      <c r="C788" s="126"/>
      <c r="D788" s="126"/>
      <c r="E788" s="126"/>
      <c r="F788" s="126"/>
      <c r="G788" s="298"/>
      <c r="H788" s="126"/>
      <c r="I788" s="297"/>
      <c r="J788" s="297"/>
      <c r="K788" s="297"/>
      <c r="L788" s="216">
        <f t="shared" si="24"/>
        <v>0</v>
      </c>
      <c r="M788" s="159" t="str">
        <f t="shared" si="25"/>
        <v/>
      </c>
      <c r="O788" s="158"/>
    </row>
    <row r="789" spans="1:15" x14ac:dyDescent="0.25">
      <c r="A789" s="126"/>
      <c r="B789" s="296"/>
      <c r="C789" s="126"/>
      <c r="D789" s="126"/>
      <c r="E789" s="126"/>
      <c r="F789" s="126"/>
      <c r="G789" s="298"/>
      <c r="H789" s="126"/>
      <c r="I789" s="297"/>
      <c r="J789" s="297"/>
      <c r="K789" s="297"/>
      <c r="L789" s="216">
        <f t="shared" si="24"/>
        <v>0</v>
      </c>
      <c r="M789" s="159" t="str">
        <f t="shared" si="25"/>
        <v/>
      </c>
      <c r="O789" s="158"/>
    </row>
    <row r="790" spans="1:15" x14ac:dyDescent="0.25">
      <c r="A790" s="126"/>
      <c r="B790" s="296"/>
      <c r="C790" s="126"/>
      <c r="D790" s="126"/>
      <c r="E790" s="126"/>
      <c r="F790" s="126"/>
      <c r="G790" s="298"/>
      <c r="H790" s="126"/>
      <c r="I790" s="297"/>
      <c r="J790" s="297"/>
      <c r="K790" s="297"/>
      <c r="L790" s="216">
        <f t="shared" si="24"/>
        <v>0</v>
      </c>
      <c r="M790" s="159" t="str">
        <f t="shared" si="25"/>
        <v/>
      </c>
      <c r="O790" s="158"/>
    </row>
    <row r="791" spans="1:15" x14ac:dyDescent="0.25">
      <c r="A791" s="126"/>
      <c r="B791" s="296"/>
      <c r="C791" s="126"/>
      <c r="D791" s="126"/>
      <c r="E791" s="126"/>
      <c r="F791" s="126"/>
      <c r="G791" s="298"/>
      <c r="H791" s="126"/>
      <c r="I791" s="297"/>
      <c r="J791" s="297"/>
      <c r="K791" s="297"/>
      <c r="L791" s="216">
        <f t="shared" si="24"/>
        <v>0</v>
      </c>
      <c r="M791" s="159" t="str">
        <f t="shared" si="25"/>
        <v/>
      </c>
      <c r="O791" s="158"/>
    </row>
    <row r="792" spans="1:15" x14ac:dyDescent="0.25">
      <c r="A792" s="126"/>
      <c r="B792" s="296"/>
      <c r="C792" s="126"/>
      <c r="D792" s="126"/>
      <c r="E792" s="126"/>
      <c r="F792" s="126"/>
      <c r="G792" s="298"/>
      <c r="H792" s="126"/>
      <c r="I792" s="297"/>
      <c r="J792" s="297"/>
      <c r="K792" s="297"/>
      <c r="L792" s="216">
        <f t="shared" si="24"/>
        <v>0</v>
      </c>
      <c r="M792" s="159" t="str">
        <f t="shared" si="25"/>
        <v/>
      </c>
      <c r="O792" s="158"/>
    </row>
    <row r="793" spans="1:15" x14ac:dyDescent="0.25">
      <c r="A793" s="126"/>
      <c r="B793" s="296"/>
      <c r="C793" s="126"/>
      <c r="D793" s="126"/>
      <c r="E793" s="126"/>
      <c r="F793" s="126"/>
      <c r="G793" s="298"/>
      <c r="H793" s="126"/>
      <c r="I793" s="297"/>
      <c r="J793" s="297"/>
      <c r="K793" s="297"/>
      <c r="L793" s="216">
        <f t="shared" si="24"/>
        <v>0</v>
      </c>
      <c r="M793" s="159" t="str">
        <f t="shared" si="25"/>
        <v/>
      </c>
      <c r="O793" s="158"/>
    </row>
    <row r="794" spans="1:15" x14ac:dyDescent="0.25">
      <c r="A794" s="126"/>
      <c r="B794" s="296"/>
      <c r="C794" s="126"/>
      <c r="D794" s="126"/>
      <c r="E794" s="126"/>
      <c r="F794" s="126"/>
      <c r="G794" s="298"/>
      <c r="H794" s="126"/>
      <c r="I794" s="297"/>
      <c r="J794" s="297"/>
      <c r="K794" s="297"/>
      <c r="L794" s="216">
        <f t="shared" si="24"/>
        <v>0</v>
      </c>
      <c r="M794" s="159" t="str">
        <f t="shared" si="25"/>
        <v/>
      </c>
      <c r="O794" s="158"/>
    </row>
    <row r="795" spans="1:15" x14ac:dyDescent="0.25">
      <c r="A795" s="126"/>
      <c r="B795" s="296"/>
      <c r="C795" s="126"/>
      <c r="D795" s="126"/>
      <c r="E795" s="126"/>
      <c r="F795" s="126"/>
      <c r="G795" s="298"/>
      <c r="H795" s="126"/>
      <c r="I795" s="297"/>
      <c r="J795" s="297"/>
      <c r="K795" s="297"/>
      <c r="L795" s="216">
        <f t="shared" si="24"/>
        <v>0</v>
      </c>
      <c r="M795" s="159" t="str">
        <f t="shared" si="25"/>
        <v/>
      </c>
      <c r="O795" s="158"/>
    </row>
    <row r="796" spans="1:15" x14ac:dyDescent="0.25">
      <c r="A796" s="126"/>
      <c r="B796" s="296"/>
      <c r="C796" s="126"/>
      <c r="D796" s="126"/>
      <c r="E796" s="126"/>
      <c r="F796" s="126"/>
      <c r="G796" s="298"/>
      <c r="H796" s="126"/>
      <c r="I796" s="297"/>
      <c r="J796" s="297"/>
      <c r="K796" s="297"/>
      <c r="L796" s="216">
        <f t="shared" si="24"/>
        <v>0</v>
      </c>
      <c r="M796" s="159" t="str">
        <f t="shared" si="25"/>
        <v/>
      </c>
      <c r="O796" s="158"/>
    </row>
    <row r="797" spans="1:15" x14ac:dyDescent="0.25">
      <c r="A797" s="126"/>
      <c r="B797" s="296"/>
      <c r="C797" s="126"/>
      <c r="D797" s="126"/>
      <c r="E797" s="126"/>
      <c r="F797" s="126"/>
      <c r="G797" s="298"/>
      <c r="H797" s="126"/>
      <c r="I797" s="297"/>
      <c r="J797" s="297"/>
      <c r="K797" s="297"/>
      <c r="L797" s="216">
        <f t="shared" si="24"/>
        <v>0</v>
      </c>
      <c r="M797" s="159" t="str">
        <f t="shared" si="25"/>
        <v/>
      </c>
      <c r="O797" s="158"/>
    </row>
    <row r="798" spans="1:15" x14ac:dyDescent="0.25">
      <c r="A798" s="126"/>
      <c r="B798" s="296"/>
      <c r="C798" s="126"/>
      <c r="D798" s="126"/>
      <c r="E798" s="126"/>
      <c r="F798" s="126"/>
      <c r="G798" s="298"/>
      <c r="H798" s="126"/>
      <c r="I798" s="297"/>
      <c r="J798" s="297"/>
      <c r="K798" s="297"/>
      <c r="L798" s="216">
        <f t="shared" si="24"/>
        <v>0</v>
      </c>
      <c r="M798" s="159" t="str">
        <f t="shared" si="25"/>
        <v/>
      </c>
      <c r="O798" s="158"/>
    </row>
    <row r="799" spans="1:15" x14ac:dyDescent="0.25">
      <c r="A799" s="126"/>
      <c r="B799" s="296"/>
      <c r="C799" s="126"/>
      <c r="D799" s="126"/>
      <c r="E799" s="126"/>
      <c r="F799" s="126"/>
      <c r="G799" s="298"/>
      <c r="H799" s="126"/>
      <c r="I799" s="297"/>
      <c r="J799" s="297"/>
      <c r="K799" s="297"/>
      <c r="L799" s="216">
        <f t="shared" si="24"/>
        <v>0</v>
      </c>
      <c r="M799" s="159" t="str">
        <f t="shared" si="25"/>
        <v/>
      </c>
      <c r="O799" s="158"/>
    </row>
    <row r="800" spans="1:15" x14ac:dyDescent="0.25">
      <c r="A800" s="126"/>
      <c r="B800" s="296"/>
      <c r="C800" s="126"/>
      <c r="D800" s="126"/>
      <c r="E800" s="126"/>
      <c r="F800" s="126"/>
      <c r="G800" s="298"/>
      <c r="H800" s="126"/>
      <c r="I800" s="297"/>
      <c r="J800" s="297"/>
      <c r="K800" s="297"/>
      <c r="L800" s="216">
        <f t="shared" si="24"/>
        <v>0</v>
      </c>
      <c r="M800" s="159" t="str">
        <f t="shared" si="25"/>
        <v/>
      </c>
      <c r="O800" s="158"/>
    </row>
    <row r="801" spans="1:15" x14ac:dyDescent="0.25">
      <c r="A801" s="126"/>
      <c r="B801" s="296"/>
      <c r="C801" s="126"/>
      <c r="D801" s="126"/>
      <c r="E801" s="126"/>
      <c r="F801" s="126"/>
      <c r="G801" s="298"/>
      <c r="H801" s="126"/>
      <c r="I801" s="297"/>
      <c r="J801" s="297"/>
      <c r="K801" s="297"/>
      <c r="L801" s="216">
        <f t="shared" si="24"/>
        <v>0</v>
      </c>
      <c r="M801" s="159" t="str">
        <f t="shared" si="25"/>
        <v/>
      </c>
      <c r="O801" s="158"/>
    </row>
    <row r="802" spans="1:15" x14ac:dyDescent="0.25">
      <c r="A802" s="126"/>
      <c r="B802" s="296"/>
      <c r="C802" s="126"/>
      <c r="D802" s="126"/>
      <c r="E802" s="126"/>
      <c r="F802" s="126"/>
      <c r="G802" s="298"/>
      <c r="H802" s="126"/>
      <c r="I802" s="297"/>
      <c r="J802" s="297"/>
      <c r="K802" s="297"/>
      <c r="L802" s="216">
        <f t="shared" si="24"/>
        <v>0</v>
      </c>
      <c r="M802" s="159" t="str">
        <f t="shared" si="25"/>
        <v/>
      </c>
      <c r="O802" s="158"/>
    </row>
    <row r="803" spans="1:15" x14ac:dyDescent="0.25">
      <c r="A803" s="126"/>
      <c r="B803" s="296"/>
      <c r="C803" s="126"/>
      <c r="D803" s="126"/>
      <c r="E803" s="126"/>
      <c r="F803" s="126"/>
      <c r="G803" s="298"/>
      <c r="H803" s="126"/>
      <c r="I803" s="297"/>
      <c r="J803" s="297"/>
      <c r="K803" s="297"/>
      <c r="L803" s="216">
        <f t="shared" si="24"/>
        <v>0</v>
      </c>
      <c r="M803" s="159" t="str">
        <f t="shared" si="25"/>
        <v/>
      </c>
      <c r="O803" s="158"/>
    </row>
    <row r="804" spans="1:15" x14ac:dyDescent="0.25">
      <c r="A804" s="126"/>
      <c r="B804" s="296"/>
      <c r="C804" s="126"/>
      <c r="D804" s="126"/>
      <c r="E804" s="126"/>
      <c r="F804" s="126"/>
      <c r="G804" s="298"/>
      <c r="H804" s="126"/>
      <c r="I804" s="297"/>
      <c r="J804" s="297"/>
      <c r="K804" s="297"/>
      <c r="L804" s="216">
        <f t="shared" si="24"/>
        <v>0</v>
      </c>
      <c r="M804" s="159" t="str">
        <f t="shared" si="25"/>
        <v/>
      </c>
      <c r="O804" s="158"/>
    </row>
    <row r="805" spans="1:15" x14ac:dyDescent="0.25">
      <c r="A805" s="126"/>
      <c r="B805" s="296"/>
      <c r="C805" s="126"/>
      <c r="D805" s="126"/>
      <c r="E805" s="126"/>
      <c r="F805" s="126"/>
      <c r="G805" s="298"/>
      <c r="H805" s="126"/>
      <c r="I805" s="297"/>
      <c r="J805" s="297"/>
      <c r="K805" s="297"/>
      <c r="L805" s="216">
        <f t="shared" si="24"/>
        <v>0</v>
      </c>
      <c r="M805" s="159" t="str">
        <f t="shared" si="25"/>
        <v/>
      </c>
      <c r="O805" s="158"/>
    </row>
    <row r="806" spans="1:15" x14ac:dyDescent="0.25">
      <c r="A806" s="126"/>
      <c r="B806" s="296"/>
      <c r="C806" s="126"/>
      <c r="D806" s="126"/>
      <c r="E806" s="126"/>
      <c r="F806" s="126"/>
      <c r="G806" s="298"/>
      <c r="H806" s="126"/>
      <c r="I806" s="297"/>
      <c r="J806" s="297"/>
      <c r="K806" s="297"/>
      <c r="L806" s="216">
        <f t="shared" si="24"/>
        <v>0</v>
      </c>
      <c r="M806" s="159" t="str">
        <f t="shared" si="25"/>
        <v/>
      </c>
      <c r="O806" s="158"/>
    </row>
    <row r="807" spans="1:15" x14ac:dyDescent="0.25">
      <c r="A807" s="126"/>
      <c r="B807" s="296"/>
      <c r="C807" s="126"/>
      <c r="D807" s="126"/>
      <c r="E807" s="126"/>
      <c r="F807" s="126"/>
      <c r="G807" s="298"/>
      <c r="H807" s="126"/>
      <c r="I807" s="297"/>
      <c r="J807" s="297"/>
      <c r="K807" s="297"/>
      <c r="L807" s="216">
        <f t="shared" si="24"/>
        <v>0</v>
      </c>
      <c r="M807" s="159" t="str">
        <f t="shared" si="25"/>
        <v/>
      </c>
      <c r="O807" s="158"/>
    </row>
    <row r="808" spans="1:15" x14ac:dyDescent="0.25">
      <c r="A808" s="126"/>
      <c r="B808" s="296"/>
      <c r="C808" s="126"/>
      <c r="D808" s="126"/>
      <c r="E808" s="126"/>
      <c r="F808" s="126"/>
      <c r="G808" s="298"/>
      <c r="H808" s="126"/>
      <c r="I808" s="297"/>
      <c r="J808" s="297"/>
      <c r="K808" s="297"/>
      <c r="L808" s="216">
        <f t="shared" si="24"/>
        <v>0</v>
      </c>
      <c r="M808" s="159" t="str">
        <f t="shared" si="25"/>
        <v/>
      </c>
      <c r="O808" s="158"/>
    </row>
    <row r="809" spans="1:15" x14ac:dyDescent="0.25">
      <c r="A809" s="126"/>
      <c r="B809" s="296"/>
      <c r="C809" s="126"/>
      <c r="D809" s="126"/>
      <c r="E809" s="126"/>
      <c r="F809" s="126"/>
      <c r="G809" s="298"/>
      <c r="H809" s="126"/>
      <c r="I809" s="297"/>
      <c r="J809" s="297"/>
      <c r="K809" s="297"/>
      <c r="L809" s="216">
        <f t="shared" si="24"/>
        <v>0</v>
      </c>
      <c r="M809" s="159" t="str">
        <f t="shared" si="25"/>
        <v/>
      </c>
      <c r="O809" s="158"/>
    </row>
    <row r="810" spans="1:15" x14ac:dyDescent="0.25">
      <c r="A810" s="126"/>
      <c r="B810" s="296"/>
      <c r="C810" s="126"/>
      <c r="D810" s="126"/>
      <c r="E810" s="126"/>
      <c r="F810" s="126"/>
      <c r="G810" s="298"/>
      <c r="H810" s="126"/>
      <c r="I810" s="297"/>
      <c r="J810" s="297"/>
      <c r="K810" s="297"/>
      <c r="L810" s="216">
        <f t="shared" si="24"/>
        <v>0</v>
      </c>
      <c r="M810" s="159" t="str">
        <f t="shared" si="25"/>
        <v/>
      </c>
      <c r="O810" s="158"/>
    </row>
    <row r="811" spans="1:15" x14ac:dyDescent="0.25">
      <c r="A811" s="126"/>
      <c r="B811" s="296"/>
      <c r="C811" s="126"/>
      <c r="D811" s="126"/>
      <c r="E811" s="126"/>
      <c r="F811" s="126"/>
      <c r="G811" s="298"/>
      <c r="H811" s="126"/>
      <c r="I811" s="297"/>
      <c r="J811" s="297"/>
      <c r="K811" s="297"/>
      <c r="L811" s="216">
        <f t="shared" si="24"/>
        <v>0</v>
      </c>
      <c r="M811" s="159" t="str">
        <f t="shared" si="25"/>
        <v/>
      </c>
      <c r="O811" s="158"/>
    </row>
    <row r="812" spans="1:15" x14ac:dyDescent="0.25">
      <c r="A812" s="126"/>
      <c r="B812" s="296"/>
      <c r="C812" s="126"/>
      <c r="D812" s="126"/>
      <c r="E812" s="126"/>
      <c r="F812" s="126"/>
      <c r="G812" s="298"/>
      <c r="H812" s="126"/>
      <c r="I812" s="297"/>
      <c r="J812" s="297"/>
      <c r="K812" s="297"/>
      <c r="L812" s="216">
        <f t="shared" si="24"/>
        <v>0</v>
      </c>
      <c r="M812" s="159" t="str">
        <f t="shared" si="25"/>
        <v/>
      </c>
      <c r="O812" s="158"/>
    </row>
    <row r="813" spans="1:15" x14ac:dyDescent="0.25">
      <c r="A813" s="126"/>
      <c r="B813" s="296"/>
      <c r="C813" s="126"/>
      <c r="D813" s="126"/>
      <c r="E813" s="126"/>
      <c r="F813" s="126"/>
      <c r="G813" s="298"/>
      <c r="H813" s="126"/>
      <c r="I813" s="297"/>
      <c r="J813" s="297"/>
      <c r="K813" s="297"/>
      <c r="L813" s="216">
        <f t="shared" si="24"/>
        <v>0</v>
      </c>
      <c r="M813" s="159" t="str">
        <f t="shared" si="25"/>
        <v/>
      </c>
      <c r="O813" s="158"/>
    </row>
    <row r="814" spans="1:15" x14ac:dyDescent="0.25">
      <c r="A814" s="126"/>
      <c r="B814" s="296"/>
      <c r="C814" s="126"/>
      <c r="D814" s="126"/>
      <c r="E814" s="126"/>
      <c r="F814" s="126"/>
      <c r="G814" s="298"/>
      <c r="H814" s="126"/>
      <c r="I814" s="297"/>
      <c r="J814" s="297"/>
      <c r="K814" s="297"/>
      <c r="L814" s="216">
        <f t="shared" si="24"/>
        <v>0</v>
      </c>
      <c r="M814" s="159" t="str">
        <f t="shared" si="25"/>
        <v/>
      </c>
      <c r="O814" s="158"/>
    </row>
    <row r="815" spans="1:15" x14ac:dyDescent="0.25">
      <c r="A815" s="126"/>
      <c r="B815" s="296"/>
      <c r="C815" s="126"/>
      <c r="D815" s="126"/>
      <c r="E815" s="126"/>
      <c r="F815" s="126"/>
      <c r="G815" s="298"/>
      <c r="H815" s="126"/>
      <c r="I815" s="297"/>
      <c r="J815" s="297"/>
      <c r="K815" s="297"/>
      <c r="L815" s="216">
        <f t="shared" si="24"/>
        <v>0</v>
      </c>
      <c r="M815" s="159" t="str">
        <f t="shared" si="25"/>
        <v/>
      </c>
      <c r="O815" s="158"/>
    </row>
    <row r="816" spans="1:15" x14ac:dyDescent="0.25">
      <c r="A816" s="126"/>
      <c r="B816" s="296"/>
      <c r="C816" s="126"/>
      <c r="D816" s="126"/>
      <c r="E816" s="126"/>
      <c r="F816" s="126"/>
      <c r="G816" s="298"/>
      <c r="H816" s="126"/>
      <c r="I816" s="297"/>
      <c r="J816" s="297"/>
      <c r="K816" s="297"/>
      <c r="L816" s="216">
        <f t="shared" si="24"/>
        <v>0</v>
      </c>
      <c r="M816" s="159" t="str">
        <f t="shared" si="25"/>
        <v/>
      </c>
      <c r="O816" s="158"/>
    </row>
    <row r="817" spans="1:15" x14ac:dyDescent="0.25">
      <c r="A817" s="126"/>
      <c r="B817" s="296"/>
      <c r="C817" s="126"/>
      <c r="D817" s="126"/>
      <c r="E817" s="126"/>
      <c r="F817" s="126"/>
      <c r="G817" s="298"/>
      <c r="H817" s="126"/>
      <c r="I817" s="297"/>
      <c r="J817" s="297"/>
      <c r="K817" s="297"/>
      <c r="L817" s="216">
        <f t="shared" si="24"/>
        <v>0</v>
      </c>
      <c r="M817" s="159" t="str">
        <f t="shared" si="25"/>
        <v/>
      </c>
      <c r="O817" s="158"/>
    </row>
    <row r="818" spans="1:15" x14ac:dyDescent="0.25">
      <c r="A818" s="126"/>
      <c r="B818" s="296"/>
      <c r="C818" s="126"/>
      <c r="D818" s="126"/>
      <c r="E818" s="126"/>
      <c r="F818" s="126"/>
      <c r="G818" s="298"/>
      <c r="H818" s="126"/>
      <c r="I818" s="297"/>
      <c r="J818" s="297"/>
      <c r="K818" s="297"/>
      <c r="L818" s="216">
        <f t="shared" si="24"/>
        <v>0</v>
      </c>
      <c r="M818" s="159" t="str">
        <f t="shared" si="25"/>
        <v/>
      </c>
      <c r="O818" s="158"/>
    </row>
    <row r="819" spans="1:15" x14ac:dyDescent="0.25">
      <c r="A819" s="126"/>
      <c r="B819" s="296"/>
      <c r="C819" s="126"/>
      <c r="D819" s="126"/>
      <c r="E819" s="126"/>
      <c r="F819" s="126"/>
      <c r="G819" s="298"/>
      <c r="H819" s="126"/>
      <c r="I819" s="297"/>
      <c r="J819" s="297"/>
      <c r="K819" s="297"/>
      <c r="L819" s="216">
        <f t="shared" si="24"/>
        <v>0</v>
      </c>
      <c r="M819" s="159" t="str">
        <f t="shared" si="25"/>
        <v/>
      </c>
      <c r="O819" s="158"/>
    </row>
    <row r="820" spans="1:15" x14ac:dyDescent="0.25">
      <c r="A820" s="126"/>
      <c r="B820" s="296"/>
      <c r="C820" s="126"/>
      <c r="D820" s="126"/>
      <c r="E820" s="126"/>
      <c r="F820" s="126"/>
      <c r="G820" s="298"/>
      <c r="H820" s="126"/>
      <c r="I820" s="297"/>
      <c r="J820" s="297"/>
      <c r="K820" s="297"/>
      <c r="L820" s="216">
        <f t="shared" si="24"/>
        <v>0</v>
      </c>
      <c r="M820" s="159" t="str">
        <f t="shared" si="25"/>
        <v/>
      </c>
      <c r="O820" s="158"/>
    </row>
    <row r="821" spans="1:15" x14ac:dyDescent="0.25">
      <c r="A821" s="126"/>
      <c r="B821" s="296"/>
      <c r="C821" s="126"/>
      <c r="D821" s="126"/>
      <c r="E821" s="126"/>
      <c r="F821" s="126"/>
      <c r="G821" s="298"/>
      <c r="H821" s="126"/>
      <c r="I821" s="297"/>
      <c r="J821" s="297"/>
      <c r="K821" s="297"/>
      <c r="L821" s="216">
        <f t="shared" si="24"/>
        <v>0</v>
      </c>
      <c r="M821" s="159" t="str">
        <f t="shared" si="25"/>
        <v/>
      </c>
      <c r="O821" s="158"/>
    </row>
    <row r="822" spans="1:15" x14ac:dyDescent="0.25">
      <c r="A822" s="126"/>
      <c r="B822" s="296"/>
      <c r="C822" s="126"/>
      <c r="D822" s="126"/>
      <c r="E822" s="126"/>
      <c r="F822" s="126"/>
      <c r="G822" s="298"/>
      <c r="H822" s="126"/>
      <c r="I822" s="297"/>
      <c r="J822" s="297"/>
      <c r="K822" s="297"/>
      <c r="L822" s="216">
        <f t="shared" si="24"/>
        <v>0</v>
      </c>
      <c r="M822" s="159" t="str">
        <f t="shared" si="25"/>
        <v/>
      </c>
      <c r="O822" s="158"/>
    </row>
    <row r="823" spans="1:15" x14ac:dyDescent="0.25">
      <c r="A823" s="126"/>
      <c r="B823" s="296"/>
      <c r="C823" s="126"/>
      <c r="D823" s="126"/>
      <c r="E823" s="126"/>
      <c r="F823" s="126"/>
      <c r="G823" s="298"/>
      <c r="H823" s="126"/>
      <c r="I823" s="297"/>
      <c r="J823" s="297"/>
      <c r="K823" s="297"/>
      <c r="L823" s="216">
        <f t="shared" si="24"/>
        <v>0</v>
      </c>
      <c r="M823" s="159" t="str">
        <f t="shared" si="25"/>
        <v/>
      </c>
      <c r="O823" s="158"/>
    </row>
    <row r="824" spans="1:15" x14ac:dyDescent="0.25">
      <c r="A824" s="126"/>
      <c r="B824" s="296"/>
      <c r="C824" s="126"/>
      <c r="D824" s="126"/>
      <c r="E824" s="126"/>
      <c r="F824" s="126"/>
      <c r="G824" s="298"/>
      <c r="H824" s="126"/>
      <c r="I824" s="297"/>
      <c r="J824" s="297"/>
      <c r="K824" s="297"/>
      <c r="L824" s="216">
        <f t="shared" si="24"/>
        <v>0</v>
      </c>
      <c r="M824" s="159" t="str">
        <f t="shared" si="25"/>
        <v/>
      </c>
      <c r="O824" s="158"/>
    </row>
    <row r="825" spans="1:15" x14ac:dyDescent="0.25">
      <c r="A825" s="126"/>
      <c r="B825" s="296"/>
      <c r="C825" s="126"/>
      <c r="D825" s="126"/>
      <c r="E825" s="126"/>
      <c r="F825" s="126"/>
      <c r="G825" s="298"/>
      <c r="H825" s="126"/>
      <c r="I825" s="297"/>
      <c r="J825" s="297"/>
      <c r="K825" s="297"/>
      <c r="L825" s="216">
        <f t="shared" si="24"/>
        <v>0</v>
      </c>
      <c r="M825" s="159" t="str">
        <f t="shared" si="25"/>
        <v/>
      </c>
      <c r="O825" s="158"/>
    </row>
    <row r="826" spans="1:15" x14ac:dyDescent="0.25">
      <c r="A826" s="126"/>
      <c r="B826" s="296"/>
      <c r="C826" s="126"/>
      <c r="D826" s="126"/>
      <c r="E826" s="126"/>
      <c r="F826" s="126"/>
      <c r="G826" s="298"/>
      <c r="H826" s="126"/>
      <c r="I826" s="297"/>
      <c r="J826" s="297"/>
      <c r="K826" s="297"/>
      <c r="L826" s="216">
        <f t="shared" si="24"/>
        <v>0</v>
      </c>
      <c r="M826" s="159" t="str">
        <f t="shared" si="25"/>
        <v/>
      </c>
      <c r="O826" s="158"/>
    </row>
    <row r="827" spans="1:15" x14ac:dyDescent="0.25">
      <c r="A827" s="126"/>
      <c r="B827" s="296"/>
      <c r="C827" s="126"/>
      <c r="D827" s="126"/>
      <c r="E827" s="126"/>
      <c r="F827" s="126"/>
      <c r="G827" s="298"/>
      <c r="H827" s="126"/>
      <c r="I827" s="297"/>
      <c r="J827" s="297"/>
      <c r="K827" s="297"/>
      <c r="L827" s="216">
        <f t="shared" si="24"/>
        <v>0</v>
      </c>
      <c r="M827" s="159" t="str">
        <f t="shared" si="25"/>
        <v/>
      </c>
      <c r="O827" s="158"/>
    </row>
    <row r="828" spans="1:15" x14ac:dyDescent="0.25">
      <c r="A828" s="126"/>
      <c r="B828" s="296"/>
      <c r="C828" s="126"/>
      <c r="D828" s="126"/>
      <c r="E828" s="126"/>
      <c r="F828" s="126"/>
      <c r="G828" s="298"/>
      <c r="H828" s="126"/>
      <c r="I828" s="297"/>
      <c r="J828" s="297"/>
      <c r="K828" s="297"/>
      <c r="L828" s="216">
        <f t="shared" si="24"/>
        <v>0</v>
      </c>
      <c r="M828" s="159" t="str">
        <f t="shared" si="25"/>
        <v/>
      </c>
      <c r="O828" s="158"/>
    </row>
    <row r="829" spans="1:15" x14ac:dyDescent="0.25">
      <c r="A829" s="126"/>
      <c r="B829" s="296"/>
      <c r="C829" s="126"/>
      <c r="D829" s="126"/>
      <c r="E829" s="126"/>
      <c r="F829" s="126"/>
      <c r="G829" s="298"/>
      <c r="H829" s="126"/>
      <c r="I829" s="297"/>
      <c r="J829" s="297"/>
      <c r="K829" s="297"/>
      <c r="L829" s="216">
        <f t="shared" si="24"/>
        <v>0</v>
      </c>
      <c r="M829" s="159" t="str">
        <f t="shared" si="25"/>
        <v/>
      </c>
      <c r="O829" s="158"/>
    </row>
    <row r="830" spans="1:15" x14ac:dyDescent="0.25">
      <c r="A830" s="126"/>
      <c r="B830" s="296"/>
      <c r="C830" s="126"/>
      <c r="D830" s="126"/>
      <c r="E830" s="126"/>
      <c r="F830" s="126"/>
      <c r="G830" s="298"/>
      <c r="H830" s="126"/>
      <c r="I830" s="297"/>
      <c r="J830" s="297"/>
      <c r="K830" s="297"/>
      <c r="L830" s="216">
        <f t="shared" si="24"/>
        <v>0</v>
      </c>
      <c r="M830" s="159" t="str">
        <f t="shared" si="25"/>
        <v/>
      </c>
      <c r="O830" s="158"/>
    </row>
    <row r="831" spans="1:15" x14ac:dyDescent="0.25">
      <c r="A831" s="126"/>
      <c r="B831" s="296"/>
      <c r="C831" s="126"/>
      <c r="D831" s="126"/>
      <c r="E831" s="126"/>
      <c r="F831" s="126"/>
      <c r="G831" s="298"/>
      <c r="H831" s="126"/>
      <c r="I831" s="297"/>
      <c r="J831" s="297"/>
      <c r="K831" s="297"/>
      <c r="L831" s="216">
        <f t="shared" si="24"/>
        <v>0</v>
      </c>
      <c r="M831" s="159" t="str">
        <f t="shared" si="25"/>
        <v/>
      </c>
      <c r="O831" s="158"/>
    </row>
    <row r="832" spans="1:15" x14ac:dyDescent="0.25">
      <c r="A832" s="126"/>
      <c r="B832" s="296"/>
      <c r="C832" s="126"/>
      <c r="D832" s="126"/>
      <c r="E832" s="126"/>
      <c r="F832" s="126"/>
      <c r="G832" s="298"/>
      <c r="H832" s="126"/>
      <c r="I832" s="297"/>
      <c r="J832" s="297"/>
      <c r="K832" s="297"/>
      <c r="L832" s="216">
        <f t="shared" si="24"/>
        <v>0</v>
      </c>
      <c r="M832" s="159" t="str">
        <f t="shared" si="25"/>
        <v/>
      </c>
      <c r="O832" s="158"/>
    </row>
    <row r="833" spans="1:15" x14ac:dyDescent="0.25">
      <c r="A833" s="126"/>
      <c r="B833" s="296"/>
      <c r="C833" s="126"/>
      <c r="D833" s="126"/>
      <c r="E833" s="126"/>
      <c r="F833" s="126"/>
      <c r="G833" s="298"/>
      <c r="H833" s="126"/>
      <c r="I833" s="297"/>
      <c r="J833" s="297"/>
      <c r="K833" s="297"/>
      <c r="L833" s="216">
        <f t="shared" si="24"/>
        <v>0</v>
      </c>
      <c r="M833" s="159" t="str">
        <f t="shared" si="25"/>
        <v/>
      </c>
      <c r="O833" s="158"/>
    </row>
    <row r="834" spans="1:15" x14ac:dyDescent="0.25">
      <c r="A834" s="126"/>
      <c r="B834" s="296"/>
      <c r="C834" s="126"/>
      <c r="D834" s="126"/>
      <c r="E834" s="126"/>
      <c r="F834" s="126"/>
      <c r="G834" s="298"/>
      <c r="H834" s="126"/>
      <c r="I834" s="297"/>
      <c r="J834" s="297"/>
      <c r="K834" s="297"/>
      <c r="L834" s="216">
        <f t="shared" ref="L834:L897" si="26">K834*1.1</f>
        <v>0</v>
      </c>
      <c r="M834" s="159" t="str">
        <f t="shared" ref="M834:M897" si="27">IF(ISNUMBER(SEARCH("Azarine",H834)),"AZARINE",IF(ISNUMBER(SEARCH("Baking Soda",H834)),"BAKING SODA",IF(ISNUMBER(SEARCH("Fujitsu",H834)),"FUJITSU",IF(ISNUMBER(SEARCH("Coleman",H834)),"COLEMAN",""))))</f>
        <v/>
      </c>
      <c r="O834" s="158"/>
    </row>
    <row r="835" spans="1:15" x14ac:dyDescent="0.25">
      <c r="A835" s="126"/>
      <c r="B835" s="296"/>
      <c r="C835" s="126"/>
      <c r="D835" s="126"/>
      <c r="E835" s="126"/>
      <c r="F835" s="126"/>
      <c r="G835" s="298"/>
      <c r="H835" s="126"/>
      <c r="I835" s="297"/>
      <c r="J835" s="297"/>
      <c r="K835" s="297"/>
      <c r="L835" s="216">
        <f t="shared" si="26"/>
        <v>0</v>
      </c>
      <c r="M835" s="159" t="str">
        <f t="shared" si="27"/>
        <v/>
      </c>
      <c r="O835" s="158"/>
    </row>
    <row r="836" spans="1:15" x14ac:dyDescent="0.25">
      <c r="A836" s="126"/>
      <c r="B836" s="296"/>
      <c r="C836" s="126"/>
      <c r="D836" s="126"/>
      <c r="E836" s="126"/>
      <c r="F836" s="126"/>
      <c r="G836" s="298"/>
      <c r="H836" s="126"/>
      <c r="I836" s="297"/>
      <c r="J836" s="297"/>
      <c r="K836" s="297"/>
      <c r="L836" s="216">
        <f t="shared" si="26"/>
        <v>0</v>
      </c>
      <c r="M836" s="159" t="str">
        <f t="shared" si="27"/>
        <v/>
      </c>
      <c r="O836" s="158"/>
    </row>
    <row r="837" spans="1:15" x14ac:dyDescent="0.25">
      <c r="A837" s="126"/>
      <c r="B837" s="296"/>
      <c r="C837" s="126"/>
      <c r="D837" s="126"/>
      <c r="E837" s="126"/>
      <c r="F837" s="126"/>
      <c r="G837" s="298"/>
      <c r="H837" s="126"/>
      <c r="I837" s="297"/>
      <c r="J837" s="297"/>
      <c r="K837" s="297"/>
      <c r="L837" s="216">
        <f t="shared" si="26"/>
        <v>0</v>
      </c>
      <c r="M837" s="159" t="str">
        <f t="shared" si="27"/>
        <v/>
      </c>
      <c r="O837" s="158"/>
    </row>
    <row r="838" spans="1:15" x14ac:dyDescent="0.25">
      <c r="A838" s="126"/>
      <c r="B838" s="296"/>
      <c r="C838" s="126"/>
      <c r="D838" s="126"/>
      <c r="E838" s="126"/>
      <c r="F838" s="126"/>
      <c r="G838" s="298"/>
      <c r="H838" s="126"/>
      <c r="I838" s="297"/>
      <c r="J838" s="297"/>
      <c r="K838" s="297"/>
      <c r="L838" s="216">
        <f t="shared" si="26"/>
        <v>0</v>
      </c>
      <c r="M838" s="159" t="str">
        <f t="shared" si="27"/>
        <v/>
      </c>
      <c r="O838" s="158"/>
    </row>
    <row r="839" spans="1:15" x14ac:dyDescent="0.25">
      <c r="A839" s="126"/>
      <c r="B839" s="296"/>
      <c r="C839" s="126"/>
      <c r="D839" s="126"/>
      <c r="E839" s="126"/>
      <c r="F839" s="126"/>
      <c r="G839" s="298"/>
      <c r="H839" s="126"/>
      <c r="I839" s="297"/>
      <c r="J839" s="297"/>
      <c r="K839" s="297"/>
      <c r="L839" s="216">
        <f t="shared" si="26"/>
        <v>0</v>
      </c>
      <c r="M839" s="159" t="str">
        <f t="shared" si="27"/>
        <v/>
      </c>
      <c r="O839" s="158"/>
    </row>
    <row r="840" spans="1:15" x14ac:dyDescent="0.25">
      <c r="A840" s="126"/>
      <c r="B840" s="296"/>
      <c r="C840" s="126"/>
      <c r="D840" s="126"/>
      <c r="E840" s="126"/>
      <c r="F840" s="126"/>
      <c r="G840" s="298"/>
      <c r="H840" s="126"/>
      <c r="I840" s="297"/>
      <c r="J840" s="297"/>
      <c r="K840" s="297"/>
      <c r="L840" s="216">
        <f t="shared" si="26"/>
        <v>0</v>
      </c>
      <c r="M840" s="159" t="str">
        <f t="shared" si="27"/>
        <v/>
      </c>
      <c r="O840" s="158"/>
    </row>
    <row r="841" spans="1:15" x14ac:dyDescent="0.25">
      <c r="A841" s="126"/>
      <c r="B841" s="296"/>
      <c r="C841" s="126"/>
      <c r="D841" s="126"/>
      <c r="E841" s="126"/>
      <c r="F841" s="126"/>
      <c r="G841" s="298"/>
      <c r="H841" s="126"/>
      <c r="I841" s="297"/>
      <c r="J841" s="297"/>
      <c r="K841" s="297"/>
      <c r="L841" s="216">
        <f t="shared" si="26"/>
        <v>0</v>
      </c>
      <c r="M841" s="159" t="str">
        <f t="shared" si="27"/>
        <v/>
      </c>
      <c r="O841" s="158"/>
    </row>
    <row r="842" spans="1:15" x14ac:dyDescent="0.25">
      <c r="A842" s="126"/>
      <c r="B842" s="296"/>
      <c r="C842" s="126"/>
      <c r="D842" s="126"/>
      <c r="E842" s="126"/>
      <c r="F842" s="126"/>
      <c r="G842" s="298"/>
      <c r="H842" s="126"/>
      <c r="I842" s="297"/>
      <c r="J842" s="297"/>
      <c r="K842" s="297"/>
      <c r="L842" s="216">
        <f t="shared" si="26"/>
        <v>0</v>
      </c>
      <c r="M842" s="159" t="str">
        <f t="shared" si="27"/>
        <v/>
      </c>
      <c r="O842" s="158"/>
    </row>
    <row r="843" spans="1:15" x14ac:dyDescent="0.25">
      <c r="A843" s="126"/>
      <c r="B843" s="296"/>
      <c r="C843" s="126"/>
      <c r="D843" s="126"/>
      <c r="E843" s="126"/>
      <c r="F843" s="126"/>
      <c r="G843" s="298"/>
      <c r="H843" s="126"/>
      <c r="I843" s="297"/>
      <c r="J843" s="297"/>
      <c r="K843" s="297"/>
      <c r="L843" s="216">
        <f t="shared" si="26"/>
        <v>0</v>
      </c>
      <c r="M843" s="159" t="str">
        <f t="shared" si="27"/>
        <v/>
      </c>
      <c r="O843" s="158"/>
    </row>
    <row r="844" spans="1:15" x14ac:dyDescent="0.25">
      <c r="A844" s="126"/>
      <c r="B844" s="296"/>
      <c r="C844" s="126"/>
      <c r="D844" s="126"/>
      <c r="E844" s="126"/>
      <c r="F844" s="126"/>
      <c r="G844" s="298"/>
      <c r="H844" s="126"/>
      <c r="I844" s="297"/>
      <c r="J844" s="297"/>
      <c r="K844" s="297"/>
      <c r="L844" s="216">
        <f t="shared" si="26"/>
        <v>0</v>
      </c>
      <c r="M844" s="159" t="str">
        <f t="shared" si="27"/>
        <v/>
      </c>
      <c r="O844" s="158"/>
    </row>
    <row r="845" spans="1:15" x14ac:dyDescent="0.25">
      <c r="A845" s="126"/>
      <c r="B845" s="296"/>
      <c r="C845" s="126"/>
      <c r="D845" s="126"/>
      <c r="E845" s="126"/>
      <c r="F845" s="126"/>
      <c r="G845" s="298"/>
      <c r="H845" s="126"/>
      <c r="I845" s="297"/>
      <c r="J845" s="297"/>
      <c r="K845" s="297"/>
      <c r="L845" s="216">
        <f t="shared" si="26"/>
        <v>0</v>
      </c>
      <c r="M845" s="159" t="str">
        <f t="shared" si="27"/>
        <v/>
      </c>
      <c r="O845" s="158"/>
    </row>
    <row r="846" spans="1:15" x14ac:dyDescent="0.25">
      <c r="A846" s="126"/>
      <c r="B846" s="296"/>
      <c r="C846" s="126"/>
      <c r="D846" s="126"/>
      <c r="E846" s="126"/>
      <c r="F846" s="126"/>
      <c r="G846" s="298"/>
      <c r="H846" s="126"/>
      <c r="I846" s="297"/>
      <c r="J846" s="297"/>
      <c r="K846" s="297"/>
      <c r="L846" s="216">
        <f t="shared" si="26"/>
        <v>0</v>
      </c>
      <c r="M846" s="159" t="str">
        <f t="shared" si="27"/>
        <v/>
      </c>
      <c r="O846" s="158"/>
    </row>
    <row r="847" spans="1:15" x14ac:dyDescent="0.25">
      <c r="A847" s="126"/>
      <c r="B847" s="296"/>
      <c r="C847" s="126"/>
      <c r="D847" s="126"/>
      <c r="E847" s="126"/>
      <c r="F847" s="126"/>
      <c r="G847" s="298"/>
      <c r="H847" s="126"/>
      <c r="I847" s="297"/>
      <c r="J847" s="297"/>
      <c r="K847" s="297"/>
      <c r="L847" s="216">
        <f t="shared" si="26"/>
        <v>0</v>
      </c>
      <c r="M847" s="159" t="str">
        <f t="shared" si="27"/>
        <v/>
      </c>
      <c r="O847" s="158"/>
    </row>
    <row r="848" spans="1:15" x14ac:dyDescent="0.25">
      <c r="A848" s="126"/>
      <c r="B848" s="296"/>
      <c r="C848" s="126"/>
      <c r="D848" s="126"/>
      <c r="E848" s="126"/>
      <c r="F848" s="126"/>
      <c r="G848" s="298"/>
      <c r="H848" s="126"/>
      <c r="I848" s="297"/>
      <c r="J848" s="297"/>
      <c r="K848" s="297"/>
      <c r="L848" s="216">
        <f t="shared" si="26"/>
        <v>0</v>
      </c>
      <c r="M848" s="159" t="str">
        <f t="shared" si="27"/>
        <v/>
      </c>
      <c r="O848" s="158"/>
    </row>
    <row r="849" spans="1:15" x14ac:dyDescent="0.25">
      <c r="A849" s="126"/>
      <c r="B849" s="296"/>
      <c r="C849" s="126"/>
      <c r="D849" s="126"/>
      <c r="E849" s="126"/>
      <c r="F849" s="126"/>
      <c r="G849" s="298"/>
      <c r="H849" s="126"/>
      <c r="I849" s="297"/>
      <c r="J849" s="297"/>
      <c r="K849" s="297"/>
      <c r="L849" s="216">
        <f t="shared" si="26"/>
        <v>0</v>
      </c>
      <c r="M849" s="159" t="str">
        <f t="shared" si="27"/>
        <v/>
      </c>
      <c r="O849" s="158"/>
    </row>
    <row r="850" spans="1:15" x14ac:dyDescent="0.25">
      <c r="A850" s="126"/>
      <c r="B850" s="296"/>
      <c r="C850" s="126"/>
      <c r="D850" s="126"/>
      <c r="E850" s="126"/>
      <c r="F850" s="126"/>
      <c r="G850" s="298"/>
      <c r="H850" s="126"/>
      <c r="I850" s="297"/>
      <c r="J850" s="297"/>
      <c r="K850" s="297"/>
      <c r="L850" s="216">
        <f t="shared" si="26"/>
        <v>0</v>
      </c>
      <c r="M850" s="159" t="str">
        <f t="shared" si="27"/>
        <v/>
      </c>
      <c r="O850" s="158"/>
    </row>
    <row r="851" spans="1:15" x14ac:dyDescent="0.25">
      <c r="A851" s="126"/>
      <c r="B851" s="296"/>
      <c r="C851" s="126"/>
      <c r="D851" s="126"/>
      <c r="E851" s="126"/>
      <c r="F851" s="126"/>
      <c r="G851" s="298"/>
      <c r="H851" s="126"/>
      <c r="I851" s="297"/>
      <c r="J851" s="297"/>
      <c r="K851" s="297"/>
      <c r="L851" s="216">
        <f t="shared" si="26"/>
        <v>0</v>
      </c>
      <c r="M851" s="159" t="str">
        <f t="shared" si="27"/>
        <v/>
      </c>
      <c r="O851" s="158"/>
    </row>
    <row r="852" spans="1:15" x14ac:dyDescent="0.25">
      <c r="A852" s="126"/>
      <c r="B852" s="296"/>
      <c r="C852" s="126"/>
      <c r="D852" s="126"/>
      <c r="E852" s="126"/>
      <c r="F852" s="126"/>
      <c r="G852" s="298"/>
      <c r="H852" s="126"/>
      <c r="I852" s="297"/>
      <c r="J852" s="297"/>
      <c r="K852" s="297"/>
      <c r="L852" s="216">
        <f t="shared" si="26"/>
        <v>0</v>
      </c>
      <c r="M852" s="159" t="str">
        <f t="shared" si="27"/>
        <v/>
      </c>
      <c r="O852" s="158"/>
    </row>
    <row r="853" spans="1:15" x14ac:dyDescent="0.25">
      <c r="A853" s="126"/>
      <c r="B853" s="296"/>
      <c r="C853" s="126"/>
      <c r="D853" s="126"/>
      <c r="E853" s="126"/>
      <c r="F853" s="126"/>
      <c r="G853" s="298"/>
      <c r="H853" s="126"/>
      <c r="I853" s="297"/>
      <c r="J853" s="297"/>
      <c r="K853" s="297"/>
      <c r="L853" s="216">
        <f t="shared" si="26"/>
        <v>0</v>
      </c>
      <c r="M853" s="159" t="str">
        <f t="shared" si="27"/>
        <v/>
      </c>
      <c r="O853" s="158"/>
    </row>
    <row r="854" spans="1:15" x14ac:dyDescent="0.25">
      <c r="A854" s="126"/>
      <c r="B854" s="296"/>
      <c r="C854" s="126"/>
      <c r="D854" s="126"/>
      <c r="E854" s="126"/>
      <c r="F854" s="126"/>
      <c r="G854" s="298"/>
      <c r="H854" s="126"/>
      <c r="I854" s="297"/>
      <c r="J854" s="297"/>
      <c r="K854" s="297"/>
      <c r="L854" s="216">
        <f t="shared" si="26"/>
        <v>0</v>
      </c>
      <c r="M854" s="159" t="str">
        <f t="shared" si="27"/>
        <v/>
      </c>
      <c r="O854" s="158"/>
    </row>
    <row r="855" spans="1:15" x14ac:dyDescent="0.25">
      <c r="A855" s="126"/>
      <c r="B855" s="296"/>
      <c r="C855" s="126"/>
      <c r="D855" s="126"/>
      <c r="E855" s="126"/>
      <c r="F855" s="126"/>
      <c r="G855" s="298"/>
      <c r="H855" s="126"/>
      <c r="I855" s="297"/>
      <c r="J855" s="297"/>
      <c r="K855" s="297"/>
      <c r="L855" s="216">
        <f t="shared" si="26"/>
        <v>0</v>
      </c>
      <c r="M855" s="159" t="str">
        <f t="shared" si="27"/>
        <v/>
      </c>
      <c r="O855" s="158"/>
    </row>
    <row r="856" spans="1:15" x14ac:dyDescent="0.25">
      <c r="A856" s="126"/>
      <c r="B856" s="296"/>
      <c r="C856" s="126"/>
      <c r="D856" s="126"/>
      <c r="E856" s="126"/>
      <c r="F856" s="126"/>
      <c r="G856" s="298"/>
      <c r="H856" s="126"/>
      <c r="I856" s="297"/>
      <c r="J856" s="297"/>
      <c r="K856" s="297"/>
      <c r="L856" s="216">
        <f t="shared" si="26"/>
        <v>0</v>
      </c>
      <c r="M856" s="159" t="str">
        <f t="shared" si="27"/>
        <v/>
      </c>
      <c r="O856" s="158"/>
    </row>
    <row r="857" spans="1:15" x14ac:dyDescent="0.25">
      <c r="A857" s="126"/>
      <c r="B857" s="296"/>
      <c r="C857" s="126"/>
      <c r="D857" s="126"/>
      <c r="E857" s="126"/>
      <c r="F857" s="126"/>
      <c r="G857" s="298"/>
      <c r="H857" s="126"/>
      <c r="I857" s="297"/>
      <c r="J857" s="297"/>
      <c r="K857" s="297"/>
      <c r="L857" s="216">
        <f t="shared" si="26"/>
        <v>0</v>
      </c>
      <c r="M857" s="159" t="str">
        <f t="shared" si="27"/>
        <v/>
      </c>
      <c r="O857" s="158"/>
    </row>
    <row r="858" spans="1:15" x14ac:dyDescent="0.25">
      <c r="A858" s="126"/>
      <c r="B858" s="296"/>
      <c r="C858" s="126"/>
      <c r="D858" s="126"/>
      <c r="E858" s="126"/>
      <c r="F858" s="126"/>
      <c r="G858" s="298"/>
      <c r="H858" s="126"/>
      <c r="I858" s="297"/>
      <c r="J858" s="297"/>
      <c r="K858" s="297"/>
      <c r="L858" s="216">
        <f t="shared" si="26"/>
        <v>0</v>
      </c>
      <c r="M858" s="159" t="str">
        <f t="shared" si="27"/>
        <v/>
      </c>
      <c r="O858" s="158"/>
    </row>
    <row r="859" spans="1:15" x14ac:dyDescent="0.25">
      <c r="A859" s="126"/>
      <c r="B859" s="296"/>
      <c r="C859" s="126"/>
      <c r="D859" s="126"/>
      <c r="E859" s="126"/>
      <c r="F859" s="126"/>
      <c r="G859" s="298"/>
      <c r="H859" s="126"/>
      <c r="I859" s="297"/>
      <c r="J859" s="297"/>
      <c r="K859" s="297"/>
      <c r="L859" s="216">
        <f t="shared" si="26"/>
        <v>0</v>
      </c>
      <c r="M859" s="159" t="str">
        <f t="shared" si="27"/>
        <v/>
      </c>
      <c r="O859" s="158"/>
    </row>
    <row r="860" spans="1:15" x14ac:dyDescent="0.25">
      <c r="A860" s="126"/>
      <c r="B860" s="296"/>
      <c r="C860" s="126"/>
      <c r="D860" s="126"/>
      <c r="E860" s="126"/>
      <c r="F860" s="126"/>
      <c r="G860" s="298"/>
      <c r="H860" s="126"/>
      <c r="I860" s="297"/>
      <c r="J860" s="297"/>
      <c r="K860" s="297"/>
      <c r="L860" s="216">
        <f t="shared" si="26"/>
        <v>0</v>
      </c>
      <c r="M860" s="159" t="str">
        <f t="shared" si="27"/>
        <v/>
      </c>
      <c r="O860" s="158"/>
    </row>
    <row r="861" spans="1:15" x14ac:dyDescent="0.25">
      <c r="A861" s="126"/>
      <c r="B861" s="296"/>
      <c r="C861" s="126"/>
      <c r="D861" s="126"/>
      <c r="E861" s="126"/>
      <c r="F861" s="126"/>
      <c r="G861" s="298"/>
      <c r="H861" s="126"/>
      <c r="I861" s="297"/>
      <c r="J861" s="297"/>
      <c r="K861" s="297"/>
      <c r="L861" s="216">
        <f t="shared" si="26"/>
        <v>0</v>
      </c>
      <c r="M861" s="159" t="str">
        <f t="shared" si="27"/>
        <v/>
      </c>
      <c r="O861" s="158"/>
    </row>
    <row r="862" spans="1:15" x14ac:dyDescent="0.25">
      <c r="A862" s="126"/>
      <c r="B862" s="296"/>
      <c r="C862" s="126"/>
      <c r="D862" s="126"/>
      <c r="E862" s="126"/>
      <c r="F862" s="126"/>
      <c r="G862" s="298"/>
      <c r="H862" s="126"/>
      <c r="I862" s="297"/>
      <c r="J862" s="297"/>
      <c r="K862" s="297"/>
      <c r="L862" s="216">
        <f t="shared" si="26"/>
        <v>0</v>
      </c>
      <c r="M862" s="159" t="str">
        <f t="shared" si="27"/>
        <v/>
      </c>
      <c r="O862" s="158"/>
    </row>
    <row r="863" spans="1:15" x14ac:dyDescent="0.25">
      <c r="A863" s="126"/>
      <c r="B863" s="296"/>
      <c r="C863" s="126"/>
      <c r="D863" s="126"/>
      <c r="E863" s="126"/>
      <c r="F863" s="126"/>
      <c r="G863" s="298"/>
      <c r="H863" s="126"/>
      <c r="I863" s="297"/>
      <c r="J863" s="297"/>
      <c r="K863" s="297"/>
      <c r="L863" s="216">
        <f t="shared" si="26"/>
        <v>0</v>
      </c>
      <c r="M863" s="159" t="str">
        <f t="shared" si="27"/>
        <v/>
      </c>
      <c r="O863" s="158"/>
    </row>
    <row r="864" spans="1:15" x14ac:dyDescent="0.25">
      <c r="A864" s="126"/>
      <c r="B864" s="296"/>
      <c r="C864" s="126"/>
      <c r="D864" s="126"/>
      <c r="E864" s="126"/>
      <c r="F864" s="126"/>
      <c r="G864" s="298"/>
      <c r="H864" s="126"/>
      <c r="I864" s="297"/>
      <c r="J864" s="297"/>
      <c r="K864" s="297"/>
      <c r="L864" s="216">
        <f t="shared" si="26"/>
        <v>0</v>
      </c>
      <c r="M864" s="159" t="str">
        <f t="shared" si="27"/>
        <v/>
      </c>
      <c r="O864" s="158"/>
    </row>
    <row r="865" spans="1:15" x14ac:dyDescent="0.25">
      <c r="A865" s="126"/>
      <c r="B865" s="296"/>
      <c r="C865" s="126"/>
      <c r="D865" s="126"/>
      <c r="E865" s="126"/>
      <c r="F865" s="126"/>
      <c r="G865" s="298"/>
      <c r="H865" s="126"/>
      <c r="I865" s="297"/>
      <c r="J865" s="297"/>
      <c r="K865" s="297"/>
      <c r="L865" s="216">
        <f t="shared" si="26"/>
        <v>0</v>
      </c>
      <c r="M865" s="159" t="str">
        <f t="shared" si="27"/>
        <v/>
      </c>
      <c r="O865" s="158"/>
    </row>
    <row r="866" spans="1:15" x14ac:dyDescent="0.25">
      <c r="A866" s="126"/>
      <c r="B866" s="296"/>
      <c r="C866" s="126"/>
      <c r="D866" s="126"/>
      <c r="E866" s="126"/>
      <c r="F866" s="126"/>
      <c r="G866" s="298"/>
      <c r="H866" s="126"/>
      <c r="I866" s="297"/>
      <c r="J866" s="297"/>
      <c r="K866" s="297"/>
      <c r="L866" s="216">
        <f t="shared" si="26"/>
        <v>0</v>
      </c>
      <c r="M866" s="159" t="str">
        <f t="shared" si="27"/>
        <v/>
      </c>
      <c r="O866" s="158"/>
    </row>
    <row r="867" spans="1:15" x14ac:dyDescent="0.25">
      <c r="A867" s="126"/>
      <c r="B867" s="296"/>
      <c r="C867" s="126"/>
      <c r="D867" s="126"/>
      <c r="E867" s="126"/>
      <c r="F867" s="126"/>
      <c r="G867" s="298"/>
      <c r="H867" s="126"/>
      <c r="I867" s="297"/>
      <c r="J867" s="297"/>
      <c r="K867" s="297"/>
      <c r="L867" s="216">
        <f t="shared" si="26"/>
        <v>0</v>
      </c>
      <c r="M867" s="159" t="str">
        <f t="shared" si="27"/>
        <v/>
      </c>
      <c r="O867" s="158"/>
    </row>
    <row r="868" spans="1:15" x14ac:dyDescent="0.25">
      <c r="A868" s="126"/>
      <c r="B868" s="296"/>
      <c r="C868" s="126"/>
      <c r="D868" s="126"/>
      <c r="E868" s="126"/>
      <c r="F868" s="126"/>
      <c r="G868" s="298"/>
      <c r="H868" s="126"/>
      <c r="I868" s="297"/>
      <c r="J868" s="297"/>
      <c r="K868" s="297"/>
      <c r="L868" s="216">
        <f t="shared" si="26"/>
        <v>0</v>
      </c>
      <c r="M868" s="159" t="str">
        <f t="shared" si="27"/>
        <v/>
      </c>
      <c r="O868" s="158"/>
    </row>
    <row r="869" spans="1:15" x14ac:dyDescent="0.25">
      <c r="A869" s="126"/>
      <c r="B869" s="296"/>
      <c r="C869" s="126"/>
      <c r="D869" s="126"/>
      <c r="E869" s="126"/>
      <c r="F869" s="126"/>
      <c r="G869" s="298"/>
      <c r="H869" s="126"/>
      <c r="I869" s="297"/>
      <c r="J869" s="297"/>
      <c r="K869" s="297"/>
      <c r="L869" s="216">
        <f t="shared" si="26"/>
        <v>0</v>
      </c>
      <c r="M869" s="159" t="str">
        <f t="shared" si="27"/>
        <v/>
      </c>
      <c r="O869" s="158"/>
    </row>
    <row r="870" spans="1:15" x14ac:dyDescent="0.25">
      <c r="A870" s="126"/>
      <c r="B870" s="296"/>
      <c r="C870" s="126"/>
      <c r="D870" s="126"/>
      <c r="E870" s="126"/>
      <c r="F870" s="126"/>
      <c r="G870" s="298"/>
      <c r="H870" s="126"/>
      <c r="I870" s="297"/>
      <c r="J870" s="297"/>
      <c r="K870" s="297"/>
      <c r="L870" s="216">
        <f t="shared" si="26"/>
        <v>0</v>
      </c>
      <c r="M870" s="159" t="str">
        <f t="shared" si="27"/>
        <v/>
      </c>
      <c r="O870" s="158"/>
    </row>
    <row r="871" spans="1:15" x14ac:dyDescent="0.25">
      <c r="A871" s="126"/>
      <c r="B871" s="296"/>
      <c r="C871" s="126"/>
      <c r="D871" s="126"/>
      <c r="E871" s="126"/>
      <c r="F871" s="126"/>
      <c r="G871" s="298"/>
      <c r="H871" s="126"/>
      <c r="I871" s="297"/>
      <c r="J871" s="297"/>
      <c r="K871" s="297"/>
      <c r="L871" s="216">
        <f t="shared" si="26"/>
        <v>0</v>
      </c>
      <c r="M871" s="159" t="str">
        <f t="shared" si="27"/>
        <v/>
      </c>
      <c r="O871" s="158"/>
    </row>
    <row r="872" spans="1:15" x14ac:dyDescent="0.25">
      <c r="A872" s="126"/>
      <c r="B872" s="296"/>
      <c r="C872" s="126"/>
      <c r="D872" s="126"/>
      <c r="E872" s="126"/>
      <c r="F872" s="126"/>
      <c r="G872" s="298"/>
      <c r="H872" s="126"/>
      <c r="I872" s="297"/>
      <c r="J872" s="297"/>
      <c r="K872" s="297"/>
      <c r="L872" s="216">
        <f t="shared" si="26"/>
        <v>0</v>
      </c>
      <c r="M872" s="159" t="str">
        <f t="shared" si="27"/>
        <v/>
      </c>
      <c r="O872" s="158"/>
    </row>
    <row r="873" spans="1:15" x14ac:dyDescent="0.25">
      <c r="A873" s="126"/>
      <c r="B873" s="296"/>
      <c r="C873" s="126"/>
      <c r="D873" s="126"/>
      <c r="E873" s="126"/>
      <c r="F873" s="126"/>
      <c r="G873" s="298"/>
      <c r="H873" s="126"/>
      <c r="I873" s="297"/>
      <c r="J873" s="297"/>
      <c r="K873" s="297"/>
      <c r="L873" s="216">
        <f t="shared" si="26"/>
        <v>0</v>
      </c>
      <c r="M873" s="159" t="str">
        <f t="shared" si="27"/>
        <v/>
      </c>
      <c r="O873" s="158"/>
    </row>
    <row r="874" spans="1:15" x14ac:dyDescent="0.25">
      <c r="A874" s="126"/>
      <c r="B874" s="296"/>
      <c r="C874" s="126"/>
      <c r="D874" s="126"/>
      <c r="E874" s="126"/>
      <c r="F874" s="126"/>
      <c r="G874" s="298"/>
      <c r="H874" s="126"/>
      <c r="I874" s="297"/>
      <c r="J874" s="297"/>
      <c r="K874" s="297"/>
      <c r="L874" s="216">
        <f t="shared" si="26"/>
        <v>0</v>
      </c>
      <c r="M874" s="159" t="str">
        <f t="shared" si="27"/>
        <v/>
      </c>
      <c r="O874" s="158"/>
    </row>
    <row r="875" spans="1:15" x14ac:dyDescent="0.25">
      <c r="A875" s="126"/>
      <c r="B875" s="296"/>
      <c r="C875" s="126"/>
      <c r="D875" s="126"/>
      <c r="E875" s="126"/>
      <c r="F875" s="126"/>
      <c r="G875" s="298"/>
      <c r="H875" s="126"/>
      <c r="I875" s="297"/>
      <c r="J875" s="297"/>
      <c r="K875" s="297"/>
      <c r="L875" s="216">
        <f t="shared" si="26"/>
        <v>0</v>
      </c>
      <c r="M875" s="159" t="str">
        <f t="shared" si="27"/>
        <v/>
      </c>
      <c r="O875" s="158"/>
    </row>
    <row r="876" spans="1:15" x14ac:dyDescent="0.25">
      <c r="A876" s="126"/>
      <c r="B876" s="296"/>
      <c r="C876" s="126"/>
      <c r="D876" s="126"/>
      <c r="E876" s="126"/>
      <c r="F876" s="126"/>
      <c r="G876" s="298"/>
      <c r="H876" s="126"/>
      <c r="I876" s="297"/>
      <c r="J876" s="297"/>
      <c r="K876" s="297"/>
      <c r="L876" s="216">
        <f t="shared" si="26"/>
        <v>0</v>
      </c>
      <c r="M876" s="159" t="str">
        <f t="shared" si="27"/>
        <v/>
      </c>
      <c r="O876" s="158"/>
    </row>
    <row r="877" spans="1:15" x14ac:dyDescent="0.25">
      <c r="A877" s="126"/>
      <c r="B877" s="296"/>
      <c r="C877" s="126"/>
      <c r="D877" s="126"/>
      <c r="E877" s="126"/>
      <c r="F877" s="126"/>
      <c r="G877" s="298"/>
      <c r="H877" s="126"/>
      <c r="I877" s="297"/>
      <c r="J877" s="297"/>
      <c r="K877" s="297"/>
      <c r="L877" s="216">
        <f t="shared" si="26"/>
        <v>0</v>
      </c>
      <c r="M877" s="159" t="str">
        <f t="shared" si="27"/>
        <v/>
      </c>
      <c r="O877" s="158"/>
    </row>
    <row r="878" spans="1:15" x14ac:dyDescent="0.25">
      <c r="A878" s="126"/>
      <c r="B878" s="296"/>
      <c r="C878" s="126"/>
      <c r="D878" s="126"/>
      <c r="E878" s="126"/>
      <c r="F878" s="126"/>
      <c r="G878" s="298"/>
      <c r="H878" s="126"/>
      <c r="I878" s="297"/>
      <c r="J878" s="297"/>
      <c r="K878" s="297"/>
      <c r="L878" s="216">
        <f t="shared" si="26"/>
        <v>0</v>
      </c>
      <c r="M878" s="159" t="str">
        <f t="shared" si="27"/>
        <v/>
      </c>
      <c r="O878" s="158"/>
    </row>
    <row r="879" spans="1:15" x14ac:dyDescent="0.25">
      <c r="A879" s="126"/>
      <c r="B879" s="296"/>
      <c r="C879" s="126"/>
      <c r="D879" s="126"/>
      <c r="E879" s="126"/>
      <c r="F879" s="126"/>
      <c r="G879" s="298"/>
      <c r="H879" s="126"/>
      <c r="I879" s="297"/>
      <c r="J879" s="297"/>
      <c r="K879" s="297"/>
      <c r="L879" s="216">
        <f t="shared" si="26"/>
        <v>0</v>
      </c>
      <c r="M879" s="159" t="str">
        <f t="shared" si="27"/>
        <v/>
      </c>
      <c r="O879" s="158"/>
    </row>
    <row r="880" spans="1:15" x14ac:dyDescent="0.25">
      <c r="A880" s="126"/>
      <c r="B880" s="296"/>
      <c r="C880" s="126"/>
      <c r="D880" s="126"/>
      <c r="E880" s="126"/>
      <c r="F880" s="126"/>
      <c r="G880" s="298"/>
      <c r="H880" s="126"/>
      <c r="I880" s="297"/>
      <c r="J880" s="297"/>
      <c r="K880" s="297"/>
      <c r="L880" s="216">
        <f t="shared" si="26"/>
        <v>0</v>
      </c>
      <c r="M880" s="159" t="str">
        <f t="shared" si="27"/>
        <v/>
      </c>
      <c r="O880" s="158"/>
    </row>
    <row r="881" spans="1:15" x14ac:dyDescent="0.25">
      <c r="A881" s="126"/>
      <c r="B881" s="296"/>
      <c r="C881" s="126"/>
      <c r="D881" s="126"/>
      <c r="E881" s="126"/>
      <c r="F881" s="126"/>
      <c r="G881" s="298"/>
      <c r="H881" s="126"/>
      <c r="I881" s="297"/>
      <c r="J881" s="297"/>
      <c r="K881" s="297"/>
      <c r="L881" s="216">
        <f t="shared" si="26"/>
        <v>0</v>
      </c>
      <c r="M881" s="159" t="str">
        <f t="shared" si="27"/>
        <v/>
      </c>
      <c r="O881" s="158"/>
    </row>
    <row r="882" spans="1:15" x14ac:dyDescent="0.25">
      <c r="A882" s="126"/>
      <c r="B882" s="296"/>
      <c r="C882" s="126"/>
      <c r="D882" s="126"/>
      <c r="E882" s="126"/>
      <c r="F882" s="126"/>
      <c r="G882" s="298"/>
      <c r="H882" s="126"/>
      <c r="I882" s="297"/>
      <c r="J882" s="297"/>
      <c r="K882" s="297"/>
      <c r="L882" s="216">
        <f t="shared" si="26"/>
        <v>0</v>
      </c>
      <c r="M882" s="159" t="str">
        <f t="shared" si="27"/>
        <v/>
      </c>
      <c r="O882" s="158"/>
    </row>
    <row r="883" spans="1:15" x14ac:dyDescent="0.25">
      <c r="A883" s="126"/>
      <c r="B883" s="296"/>
      <c r="C883" s="126"/>
      <c r="D883" s="126"/>
      <c r="E883" s="126"/>
      <c r="F883" s="126"/>
      <c r="G883" s="298"/>
      <c r="H883" s="126"/>
      <c r="I883" s="297"/>
      <c r="J883" s="297"/>
      <c r="K883" s="297"/>
      <c r="L883" s="216">
        <f t="shared" si="26"/>
        <v>0</v>
      </c>
      <c r="M883" s="159" t="str">
        <f t="shared" si="27"/>
        <v/>
      </c>
      <c r="O883" s="158"/>
    </row>
    <row r="884" spans="1:15" x14ac:dyDescent="0.25">
      <c r="A884" s="126"/>
      <c r="B884" s="296"/>
      <c r="C884" s="126"/>
      <c r="D884" s="126"/>
      <c r="E884" s="126"/>
      <c r="F884" s="126"/>
      <c r="G884" s="298"/>
      <c r="H884" s="126"/>
      <c r="I884" s="297"/>
      <c r="J884" s="297"/>
      <c r="K884" s="297"/>
      <c r="L884" s="216">
        <f t="shared" si="26"/>
        <v>0</v>
      </c>
      <c r="M884" s="159" t="str">
        <f t="shared" si="27"/>
        <v/>
      </c>
      <c r="O884" s="158"/>
    </row>
    <row r="885" spans="1:15" x14ac:dyDescent="0.25">
      <c r="A885" s="126"/>
      <c r="B885" s="296"/>
      <c r="C885" s="126"/>
      <c r="D885" s="126"/>
      <c r="E885" s="126"/>
      <c r="F885" s="126"/>
      <c r="G885" s="298"/>
      <c r="H885" s="126"/>
      <c r="I885" s="297"/>
      <c r="J885" s="297"/>
      <c r="K885" s="297"/>
      <c r="L885" s="216">
        <f t="shared" si="26"/>
        <v>0</v>
      </c>
      <c r="M885" s="159" t="str">
        <f t="shared" si="27"/>
        <v/>
      </c>
      <c r="O885" s="158"/>
    </row>
    <row r="886" spans="1:15" x14ac:dyDescent="0.25">
      <c r="A886" s="126"/>
      <c r="B886" s="296"/>
      <c r="C886" s="126"/>
      <c r="D886" s="126"/>
      <c r="E886" s="126"/>
      <c r="F886" s="126"/>
      <c r="G886" s="298"/>
      <c r="H886" s="126"/>
      <c r="I886" s="297"/>
      <c r="J886" s="297"/>
      <c r="K886" s="297"/>
      <c r="L886" s="216">
        <f t="shared" si="26"/>
        <v>0</v>
      </c>
      <c r="M886" s="159" t="str">
        <f t="shared" si="27"/>
        <v/>
      </c>
      <c r="O886" s="158"/>
    </row>
    <row r="887" spans="1:15" x14ac:dyDescent="0.25">
      <c r="A887" s="126"/>
      <c r="B887" s="296"/>
      <c r="C887" s="126"/>
      <c r="D887" s="126"/>
      <c r="E887" s="126"/>
      <c r="F887" s="126"/>
      <c r="G887" s="298"/>
      <c r="H887" s="126"/>
      <c r="I887" s="297"/>
      <c r="J887" s="297"/>
      <c r="K887" s="297"/>
      <c r="L887" s="216">
        <f t="shared" si="26"/>
        <v>0</v>
      </c>
      <c r="M887" s="159" t="str">
        <f t="shared" si="27"/>
        <v/>
      </c>
      <c r="O887" s="158"/>
    </row>
    <row r="888" spans="1:15" x14ac:dyDescent="0.25">
      <c r="A888" s="126"/>
      <c r="B888" s="296"/>
      <c r="C888" s="126"/>
      <c r="D888" s="126"/>
      <c r="E888" s="126"/>
      <c r="F888" s="126"/>
      <c r="G888" s="298"/>
      <c r="H888" s="126"/>
      <c r="I888" s="297"/>
      <c r="J888" s="297"/>
      <c r="K888" s="297"/>
      <c r="L888" s="216">
        <f t="shared" si="26"/>
        <v>0</v>
      </c>
      <c r="M888" s="159" t="str">
        <f t="shared" si="27"/>
        <v/>
      </c>
      <c r="O888" s="158"/>
    </row>
    <row r="889" spans="1:15" x14ac:dyDescent="0.25">
      <c r="A889" s="126"/>
      <c r="B889" s="296"/>
      <c r="C889" s="126"/>
      <c r="D889" s="126"/>
      <c r="E889" s="126"/>
      <c r="F889" s="126"/>
      <c r="G889" s="298"/>
      <c r="H889" s="126"/>
      <c r="I889" s="297"/>
      <c r="J889" s="297"/>
      <c r="K889" s="297"/>
      <c r="L889" s="216">
        <f t="shared" si="26"/>
        <v>0</v>
      </c>
      <c r="M889" s="159" t="str">
        <f t="shared" si="27"/>
        <v/>
      </c>
      <c r="O889" s="158"/>
    </row>
    <row r="890" spans="1:15" x14ac:dyDescent="0.25">
      <c r="A890" s="126"/>
      <c r="B890" s="296"/>
      <c r="C890" s="126"/>
      <c r="D890" s="126"/>
      <c r="E890" s="126"/>
      <c r="F890" s="126"/>
      <c r="G890" s="298"/>
      <c r="H890" s="126"/>
      <c r="I890" s="297"/>
      <c r="J890" s="297"/>
      <c r="K890" s="297"/>
      <c r="L890" s="216">
        <f t="shared" si="26"/>
        <v>0</v>
      </c>
      <c r="M890" s="159" t="str">
        <f t="shared" si="27"/>
        <v/>
      </c>
      <c r="O890" s="158"/>
    </row>
    <row r="891" spans="1:15" x14ac:dyDescent="0.25">
      <c r="A891" s="126"/>
      <c r="B891" s="296"/>
      <c r="C891" s="126"/>
      <c r="D891" s="126"/>
      <c r="E891" s="126"/>
      <c r="F891" s="126"/>
      <c r="G891" s="298"/>
      <c r="H891" s="126"/>
      <c r="I891" s="297"/>
      <c r="J891" s="297"/>
      <c r="K891" s="297"/>
      <c r="L891" s="216">
        <f t="shared" si="26"/>
        <v>0</v>
      </c>
      <c r="M891" s="159" t="str">
        <f t="shared" si="27"/>
        <v/>
      </c>
      <c r="O891" s="158"/>
    </row>
    <row r="892" spans="1:15" x14ac:dyDescent="0.25">
      <c r="A892" s="126"/>
      <c r="B892" s="296"/>
      <c r="C892" s="126"/>
      <c r="D892" s="126"/>
      <c r="E892" s="126"/>
      <c r="F892" s="126"/>
      <c r="G892" s="298"/>
      <c r="H892" s="126"/>
      <c r="I892" s="297"/>
      <c r="J892" s="297"/>
      <c r="K892" s="297"/>
      <c r="L892" s="216">
        <f t="shared" si="26"/>
        <v>0</v>
      </c>
      <c r="M892" s="159" t="str">
        <f t="shared" si="27"/>
        <v/>
      </c>
      <c r="O892" s="158"/>
    </row>
    <row r="893" spans="1:15" x14ac:dyDescent="0.25">
      <c r="A893" s="126"/>
      <c r="B893" s="296"/>
      <c r="C893" s="126"/>
      <c r="D893" s="126"/>
      <c r="E893" s="126"/>
      <c r="F893" s="126"/>
      <c r="G893" s="298"/>
      <c r="H893" s="126"/>
      <c r="I893" s="297"/>
      <c r="J893" s="297"/>
      <c r="K893" s="297"/>
      <c r="L893" s="216">
        <f t="shared" si="26"/>
        <v>0</v>
      </c>
      <c r="M893" s="159" t="str">
        <f t="shared" si="27"/>
        <v/>
      </c>
      <c r="O893" s="158"/>
    </row>
    <row r="894" spans="1:15" x14ac:dyDescent="0.25">
      <c r="A894" s="126"/>
      <c r="B894" s="296"/>
      <c r="C894" s="126"/>
      <c r="D894" s="126"/>
      <c r="E894" s="126"/>
      <c r="F894" s="126"/>
      <c r="G894" s="298"/>
      <c r="H894" s="126"/>
      <c r="I894" s="297"/>
      <c r="J894" s="297"/>
      <c r="K894" s="297"/>
      <c r="L894" s="216">
        <f t="shared" si="26"/>
        <v>0</v>
      </c>
      <c r="M894" s="159" t="str">
        <f t="shared" si="27"/>
        <v/>
      </c>
      <c r="O894" s="158"/>
    </row>
    <row r="895" spans="1:15" x14ac:dyDescent="0.25">
      <c r="A895" s="126"/>
      <c r="B895" s="296"/>
      <c r="C895" s="126"/>
      <c r="D895" s="126"/>
      <c r="E895" s="126"/>
      <c r="F895" s="126"/>
      <c r="G895" s="298"/>
      <c r="H895" s="126"/>
      <c r="I895" s="297"/>
      <c r="J895" s="297"/>
      <c r="K895" s="297"/>
      <c r="L895" s="216">
        <f t="shared" si="26"/>
        <v>0</v>
      </c>
      <c r="M895" s="159" t="str">
        <f t="shared" si="27"/>
        <v/>
      </c>
      <c r="O895" s="158"/>
    </row>
    <row r="896" spans="1:15" x14ac:dyDescent="0.25">
      <c r="A896" s="126"/>
      <c r="B896" s="296"/>
      <c r="C896" s="126"/>
      <c r="D896" s="126"/>
      <c r="E896" s="126"/>
      <c r="F896" s="126"/>
      <c r="G896" s="298"/>
      <c r="H896" s="126"/>
      <c r="I896" s="297"/>
      <c r="J896" s="297"/>
      <c r="K896" s="297"/>
      <c r="L896" s="216">
        <f t="shared" si="26"/>
        <v>0</v>
      </c>
      <c r="M896" s="159" t="str">
        <f t="shared" si="27"/>
        <v/>
      </c>
      <c r="O896" s="158"/>
    </row>
    <row r="897" spans="1:15" x14ac:dyDescent="0.25">
      <c r="A897" s="126"/>
      <c r="B897" s="296"/>
      <c r="C897" s="126"/>
      <c r="D897" s="126"/>
      <c r="E897" s="126"/>
      <c r="F897" s="126"/>
      <c r="G897" s="298"/>
      <c r="H897" s="126"/>
      <c r="I897" s="297"/>
      <c r="J897" s="297"/>
      <c r="K897" s="297"/>
      <c r="L897" s="216">
        <f t="shared" si="26"/>
        <v>0</v>
      </c>
      <c r="M897" s="159" t="str">
        <f t="shared" si="27"/>
        <v/>
      </c>
      <c r="O897" s="158"/>
    </row>
    <row r="898" spans="1:15" x14ac:dyDescent="0.25">
      <c r="A898" s="126"/>
      <c r="B898" s="296"/>
      <c r="C898" s="126"/>
      <c r="D898" s="126"/>
      <c r="E898" s="126"/>
      <c r="F898" s="126"/>
      <c r="G898" s="298"/>
      <c r="H898" s="126"/>
      <c r="I898" s="297"/>
      <c r="J898" s="297"/>
      <c r="K898" s="297"/>
      <c r="L898" s="216">
        <f t="shared" ref="L898:L961" si="28">K898*1.1</f>
        <v>0</v>
      </c>
      <c r="M898" s="159" t="str">
        <f t="shared" ref="M898:M961" si="29">IF(ISNUMBER(SEARCH("Azarine",H898)),"AZARINE",IF(ISNUMBER(SEARCH("Baking Soda",H898)),"BAKING SODA",IF(ISNUMBER(SEARCH("Fujitsu",H898)),"FUJITSU",IF(ISNUMBER(SEARCH("Coleman",H898)),"COLEMAN",""))))</f>
        <v/>
      </c>
      <c r="O898" s="158"/>
    </row>
    <row r="899" spans="1:15" x14ac:dyDescent="0.25">
      <c r="A899" s="126"/>
      <c r="B899" s="296"/>
      <c r="C899" s="126"/>
      <c r="D899" s="126"/>
      <c r="E899" s="126"/>
      <c r="F899" s="126"/>
      <c r="G899" s="298"/>
      <c r="H899" s="126"/>
      <c r="I899" s="297"/>
      <c r="J899" s="297"/>
      <c r="K899" s="297"/>
      <c r="L899" s="216">
        <f t="shared" si="28"/>
        <v>0</v>
      </c>
      <c r="M899" s="159" t="str">
        <f t="shared" si="29"/>
        <v/>
      </c>
      <c r="O899" s="158"/>
    </row>
    <row r="900" spans="1:15" x14ac:dyDescent="0.25">
      <c r="A900" s="126"/>
      <c r="B900" s="296"/>
      <c r="C900" s="126"/>
      <c r="D900" s="126"/>
      <c r="E900" s="126"/>
      <c r="F900" s="126"/>
      <c r="G900" s="298"/>
      <c r="H900" s="126"/>
      <c r="I900" s="297"/>
      <c r="J900" s="297"/>
      <c r="K900" s="297"/>
      <c r="L900" s="216">
        <f t="shared" si="28"/>
        <v>0</v>
      </c>
      <c r="M900" s="159" t="str">
        <f t="shared" si="29"/>
        <v/>
      </c>
      <c r="O900" s="158"/>
    </row>
    <row r="901" spans="1:15" x14ac:dyDescent="0.25">
      <c r="A901" s="126"/>
      <c r="B901" s="296"/>
      <c r="C901" s="126"/>
      <c r="D901" s="126"/>
      <c r="E901" s="126"/>
      <c r="F901" s="126"/>
      <c r="G901" s="298"/>
      <c r="H901" s="126"/>
      <c r="I901" s="297"/>
      <c r="J901" s="297"/>
      <c r="K901" s="297"/>
      <c r="L901" s="216">
        <f t="shared" si="28"/>
        <v>0</v>
      </c>
      <c r="M901" s="159" t="str">
        <f t="shared" si="29"/>
        <v/>
      </c>
      <c r="O901" s="158"/>
    </row>
    <row r="902" spans="1:15" x14ac:dyDescent="0.25">
      <c r="A902" s="126"/>
      <c r="B902" s="296"/>
      <c r="C902" s="126"/>
      <c r="D902" s="126"/>
      <c r="E902" s="126"/>
      <c r="F902" s="126"/>
      <c r="G902" s="298"/>
      <c r="H902" s="126"/>
      <c r="I902" s="297"/>
      <c r="J902" s="297"/>
      <c r="K902" s="297"/>
      <c r="L902" s="216">
        <f t="shared" si="28"/>
        <v>0</v>
      </c>
      <c r="M902" s="159" t="str">
        <f t="shared" si="29"/>
        <v/>
      </c>
      <c r="O902" s="158"/>
    </row>
    <row r="903" spans="1:15" x14ac:dyDescent="0.25">
      <c r="A903" s="126"/>
      <c r="B903" s="296"/>
      <c r="C903" s="126"/>
      <c r="D903" s="126"/>
      <c r="E903" s="126"/>
      <c r="F903" s="126"/>
      <c r="G903" s="298"/>
      <c r="H903" s="126"/>
      <c r="I903" s="297"/>
      <c r="J903" s="297"/>
      <c r="K903" s="297"/>
      <c r="L903" s="216">
        <f t="shared" si="28"/>
        <v>0</v>
      </c>
      <c r="M903" s="159" t="str">
        <f t="shared" si="29"/>
        <v/>
      </c>
      <c r="O903" s="158"/>
    </row>
    <row r="904" spans="1:15" x14ac:dyDescent="0.25">
      <c r="A904" s="126"/>
      <c r="B904" s="296"/>
      <c r="C904" s="126"/>
      <c r="D904" s="126"/>
      <c r="E904" s="126"/>
      <c r="F904" s="126"/>
      <c r="G904" s="298"/>
      <c r="H904" s="126"/>
      <c r="I904" s="297"/>
      <c r="J904" s="297"/>
      <c r="K904" s="297"/>
      <c r="L904" s="216">
        <f t="shared" si="28"/>
        <v>0</v>
      </c>
      <c r="M904" s="159" t="str">
        <f t="shared" si="29"/>
        <v/>
      </c>
      <c r="O904" s="158"/>
    </row>
    <row r="905" spans="1:15" x14ac:dyDescent="0.25">
      <c r="A905" s="126"/>
      <c r="B905" s="296"/>
      <c r="C905" s="126"/>
      <c r="D905" s="126"/>
      <c r="E905" s="126"/>
      <c r="F905" s="126"/>
      <c r="G905" s="298"/>
      <c r="H905" s="126"/>
      <c r="I905" s="297"/>
      <c r="J905" s="297"/>
      <c r="K905" s="297"/>
      <c r="L905" s="216">
        <f t="shared" si="28"/>
        <v>0</v>
      </c>
      <c r="M905" s="159" t="str">
        <f t="shared" si="29"/>
        <v/>
      </c>
      <c r="O905" s="158"/>
    </row>
    <row r="906" spans="1:15" x14ac:dyDescent="0.25">
      <c r="A906" s="126"/>
      <c r="B906" s="296"/>
      <c r="C906" s="126"/>
      <c r="D906" s="126"/>
      <c r="E906" s="126"/>
      <c r="F906" s="126"/>
      <c r="G906" s="298"/>
      <c r="H906" s="126"/>
      <c r="I906" s="297"/>
      <c r="J906" s="297"/>
      <c r="K906" s="297"/>
      <c r="L906" s="216">
        <f t="shared" si="28"/>
        <v>0</v>
      </c>
      <c r="M906" s="159" t="str">
        <f t="shared" si="29"/>
        <v/>
      </c>
      <c r="O906" s="158"/>
    </row>
    <row r="907" spans="1:15" x14ac:dyDescent="0.25">
      <c r="A907" s="126"/>
      <c r="B907" s="296"/>
      <c r="C907" s="126"/>
      <c r="D907" s="126"/>
      <c r="E907" s="126"/>
      <c r="F907" s="126"/>
      <c r="G907" s="298"/>
      <c r="H907" s="126"/>
      <c r="I907" s="297"/>
      <c r="J907" s="297"/>
      <c r="K907" s="297"/>
      <c r="L907" s="216">
        <f t="shared" si="28"/>
        <v>0</v>
      </c>
      <c r="M907" s="159" t="str">
        <f t="shared" si="29"/>
        <v/>
      </c>
      <c r="O907" s="158"/>
    </row>
    <row r="908" spans="1:15" x14ac:dyDescent="0.25">
      <c r="A908" s="126"/>
      <c r="B908" s="296"/>
      <c r="C908" s="126"/>
      <c r="D908" s="126"/>
      <c r="E908" s="126"/>
      <c r="F908" s="126"/>
      <c r="G908" s="298"/>
      <c r="H908" s="126"/>
      <c r="I908" s="297"/>
      <c r="J908" s="297"/>
      <c r="K908" s="297"/>
      <c r="L908" s="216">
        <f t="shared" si="28"/>
        <v>0</v>
      </c>
      <c r="M908" s="159" t="str">
        <f t="shared" si="29"/>
        <v/>
      </c>
      <c r="O908" s="158"/>
    </row>
    <row r="909" spans="1:15" x14ac:dyDescent="0.25">
      <c r="A909" s="126"/>
      <c r="B909" s="296"/>
      <c r="C909" s="126"/>
      <c r="D909" s="126"/>
      <c r="E909" s="126"/>
      <c r="F909" s="126"/>
      <c r="G909" s="298"/>
      <c r="H909" s="126"/>
      <c r="I909" s="297"/>
      <c r="J909" s="297"/>
      <c r="K909" s="297"/>
      <c r="L909" s="216">
        <f t="shared" si="28"/>
        <v>0</v>
      </c>
      <c r="M909" s="159" t="str">
        <f t="shared" si="29"/>
        <v/>
      </c>
      <c r="O909" s="158"/>
    </row>
    <row r="910" spans="1:15" x14ac:dyDescent="0.25">
      <c r="A910" s="126"/>
      <c r="B910" s="296"/>
      <c r="C910" s="126"/>
      <c r="D910" s="126"/>
      <c r="E910" s="126"/>
      <c r="F910" s="126"/>
      <c r="G910" s="298"/>
      <c r="H910" s="126"/>
      <c r="I910" s="297"/>
      <c r="J910" s="297"/>
      <c r="K910" s="297"/>
      <c r="L910" s="216">
        <f t="shared" si="28"/>
        <v>0</v>
      </c>
      <c r="M910" s="159" t="str">
        <f t="shared" si="29"/>
        <v/>
      </c>
      <c r="O910" s="158"/>
    </row>
    <row r="911" spans="1:15" x14ac:dyDescent="0.25">
      <c r="A911" s="126"/>
      <c r="B911" s="296"/>
      <c r="C911" s="126"/>
      <c r="D911" s="126"/>
      <c r="E911" s="126"/>
      <c r="F911" s="126"/>
      <c r="G911" s="298"/>
      <c r="H911" s="126"/>
      <c r="I911" s="297"/>
      <c r="J911" s="297"/>
      <c r="K911" s="297"/>
      <c r="L911" s="216">
        <f t="shared" si="28"/>
        <v>0</v>
      </c>
      <c r="M911" s="159" t="str">
        <f t="shared" si="29"/>
        <v/>
      </c>
      <c r="O911" s="158"/>
    </row>
    <row r="912" spans="1:15" x14ac:dyDescent="0.25">
      <c r="A912" s="126"/>
      <c r="B912" s="296"/>
      <c r="C912" s="126"/>
      <c r="D912" s="126"/>
      <c r="E912" s="126"/>
      <c r="F912" s="126"/>
      <c r="G912" s="298"/>
      <c r="H912" s="126"/>
      <c r="I912" s="297"/>
      <c r="J912" s="297"/>
      <c r="K912" s="297"/>
      <c r="L912" s="216">
        <f t="shared" si="28"/>
        <v>0</v>
      </c>
      <c r="M912" s="159" t="str">
        <f t="shared" si="29"/>
        <v/>
      </c>
      <c r="O912" s="158"/>
    </row>
    <row r="913" spans="1:15" x14ac:dyDescent="0.25">
      <c r="A913" s="126"/>
      <c r="B913" s="296"/>
      <c r="C913" s="126"/>
      <c r="D913" s="126"/>
      <c r="E913" s="126"/>
      <c r="F913" s="126"/>
      <c r="G913" s="298"/>
      <c r="H913" s="126"/>
      <c r="I913" s="297"/>
      <c r="J913" s="297"/>
      <c r="K913" s="297"/>
      <c r="L913" s="216">
        <f t="shared" si="28"/>
        <v>0</v>
      </c>
      <c r="M913" s="159" t="str">
        <f t="shared" si="29"/>
        <v/>
      </c>
      <c r="O913" s="158"/>
    </row>
    <row r="914" spans="1:15" x14ac:dyDescent="0.25">
      <c r="A914" s="126"/>
      <c r="B914" s="296"/>
      <c r="C914" s="126"/>
      <c r="D914" s="126"/>
      <c r="E914" s="126"/>
      <c r="F914" s="126"/>
      <c r="G914" s="298"/>
      <c r="H914" s="126"/>
      <c r="I914" s="297"/>
      <c r="J914" s="297"/>
      <c r="K914" s="297"/>
      <c r="L914" s="216">
        <f t="shared" si="28"/>
        <v>0</v>
      </c>
      <c r="M914" s="159" t="str">
        <f t="shared" si="29"/>
        <v/>
      </c>
      <c r="O914" s="158"/>
    </row>
    <row r="915" spans="1:15" x14ac:dyDescent="0.25">
      <c r="A915" s="126"/>
      <c r="B915" s="296"/>
      <c r="C915" s="126"/>
      <c r="D915" s="126"/>
      <c r="E915" s="126"/>
      <c r="F915" s="126"/>
      <c r="G915" s="298"/>
      <c r="H915" s="126"/>
      <c r="I915" s="297"/>
      <c r="J915" s="297"/>
      <c r="K915" s="297"/>
      <c r="L915" s="216">
        <f t="shared" si="28"/>
        <v>0</v>
      </c>
      <c r="M915" s="159" t="str">
        <f t="shared" si="29"/>
        <v/>
      </c>
      <c r="O915" s="158"/>
    </row>
    <row r="916" spans="1:15" x14ac:dyDescent="0.25">
      <c r="A916" s="126"/>
      <c r="B916" s="296"/>
      <c r="C916" s="126"/>
      <c r="D916" s="126"/>
      <c r="E916" s="126"/>
      <c r="F916" s="126"/>
      <c r="G916" s="298"/>
      <c r="H916" s="126"/>
      <c r="I916" s="297"/>
      <c r="J916" s="297"/>
      <c r="K916" s="297"/>
      <c r="L916" s="216">
        <f t="shared" si="28"/>
        <v>0</v>
      </c>
      <c r="M916" s="159" t="str">
        <f t="shared" si="29"/>
        <v/>
      </c>
      <c r="O916" s="158"/>
    </row>
    <row r="917" spans="1:15" x14ac:dyDescent="0.25">
      <c r="A917" s="126"/>
      <c r="B917" s="296"/>
      <c r="C917" s="126"/>
      <c r="D917" s="126"/>
      <c r="E917" s="126"/>
      <c r="F917" s="126"/>
      <c r="G917" s="298"/>
      <c r="H917" s="126"/>
      <c r="I917" s="297"/>
      <c r="J917" s="297"/>
      <c r="K917" s="297"/>
      <c r="L917" s="216">
        <f t="shared" si="28"/>
        <v>0</v>
      </c>
      <c r="M917" s="159" t="str">
        <f t="shared" si="29"/>
        <v/>
      </c>
      <c r="O917" s="158"/>
    </row>
    <row r="918" spans="1:15" x14ac:dyDescent="0.25">
      <c r="A918" s="126"/>
      <c r="B918" s="296"/>
      <c r="C918" s="126"/>
      <c r="D918" s="126"/>
      <c r="E918" s="126"/>
      <c r="F918" s="126"/>
      <c r="G918" s="298"/>
      <c r="H918" s="126"/>
      <c r="I918" s="297"/>
      <c r="J918" s="297"/>
      <c r="K918" s="297"/>
      <c r="L918" s="216">
        <f t="shared" si="28"/>
        <v>0</v>
      </c>
      <c r="M918" s="159" t="str">
        <f t="shared" si="29"/>
        <v/>
      </c>
      <c r="O918" s="158"/>
    </row>
    <row r="919" spans="1:15" x14ac:dyDescent="0.25">
      <c r="A919" s="126"/>
      <c r="B919" s="296"/>
      <c r="C919" s="126"/>
      <c r="D919" s="126"/>
      <c r="E919" s="126"/>
      <c r="F919" s="126"/>
      <c r="G919" s="298"/>
      <c r="H919" s="126"/>
      <c r="I919" s="297"/>
      <c r="J919" s="297"/>
      <c r="K919" s="297"/>
      <c r="L919" s="216">
        <f t="shared" si="28"/>
        <v>0</v>
      </c>
      <c r="M919" s="159" t="str">
        <f t="shared" si="29"/>
        <v/>
      </c>
      <c r="O919" s="158"/>
    </row>
    <row r="920" spans="1:15" x14ac:dyDescent="0.25">
      <c r="A920" s="126"/>
      <c r="B920" s="296"/>
      <c r="C920" s="126"/>
      <c r="D920" s="126"/>
      <c r="E920" s="126"/>
      <c r="F920" s="126"/>
      <c r="G920" s="298"/>
      <c r="H920" s="126"/>
      <c r="I920" s="297"/>
      <c r="J920" s="297"/>
      <c r="K920" s="297"/>
      <c r="L920" s="216">
        <f t="shared" si="28"/>
        <v>0</v>
      </c>
      <c r="M920" s="159" t="str">
        <f t="shared" si="29"/>
        <v/>
      </c>
      <c r="O920" s="158"/>
    </row>
    <row r="921" spans="1:15" x14ac:dyDescent="0.25">
      <c r="A921" s="126"/>
      <c r="B921" s="296"/>
      <c r="C921" s="126"/>
      <c r="D921" s="126"/>
      <c r="E921" s="126"/>
      <c r="F921" s="126"/>
      <c r="G921" s="298"/>
      <c r="H921" s="126"/>
      <c r="I921" s="297"/>
      <c r="J921" s="297"/>
      <c r="K921" s="297"/>
      <c r="L921" s="216">
        <f t="shared" si="28"/>
        <v>0</v>
      </c>
      <c r="M921" s="159" t="str">
        <f t="shared" si="29"/>
        <v/>
      </c>
      <c r="O921" s="158"/>
    </row>
    <row r="922" spans="1:15" x14ac:dyDescent="0.25">
      <c r="A922" s="126"/>
      <c r="B922" s="296"/>
      <c r="C922" s="126"/>
      <c r="D922" s="126"/>
      <c r="E922" s="126"/>
      <c r="F922" s="126"/>
      <c r="G922" s="298"/>
      <c r="H922" s="126"/>
      <c r="I922" s="297"/>
      <c r="J922" s="297"/>
      <c r="K922" s="297"/>
      <c r="L922" s="216">
        <f t="shared" si="28"/>
        <v>0</v>
      </c>
      <c r="M922" s="159" t="str">
        <f t="shared" si="29"/>
        <v/>
      </c>
      <c r="O922" s="158"/>
    </row>
    <row r="923" spans="1:15" x14ac:dyDescent="0.25">
      <c r="A923" s="126"/>
      <c r="B923" s="296"/>
      <c r="C923" s="126"/>
      <c r="D923" s="126"/>
      <c r="E923" s="126"/>
      <c r="F923" s="126"/>
      <c r="G923" s="298"/>
      <c r="H923" s="126"/>
      <c r="I923" s="297"/>
      <c r="J923" s="297"/>
      <c r="K923" s="297"/>
      <c r="L923" s="216">
        <f t="shared" si="28"/>
        <v>0</v>
      </c>
      <c r="M923" s="159" t="str">
        <f t="shared" si="29"/>
        <v/>
      </c>
      <c r="O923" s="158"/>
    </row>
    <row r="924" spans="1:15" x14ac:dyDescent="0.25">
      <c r="A924" s="126"/>
      <c r="B924" s="296"/>
      <c r="C924" s="126"/>
      <c r="D924" s="126"/>
      <c r="E924" s="126"/>
      <c r="F924" s="126"/>
      <c r="G924" s="298"/>
      <c r="H924" s="126"/>
      <c r="I924" s="297"/>
      <c r="J924" s="297"/>
      <c r="K924" s="297"/>
      <c r="L924" s="216">
        <f t="shared" si="28"/>
        <v>0</v>
      </c>
      <c r="M924" s="159" t="str">
        <f t="shared" si="29"/>
        <v/>
      </c>
      <c r="O924" s="158"/>
    </row>
    <row r="925" spans="1:15" x14ac:dyDescent="0.25">
      <c r="A925" s="126"/>
      <c r="B925" s="296"/>
      <c r="C925" s="126"/>
      <c r="D925" s="126"/>
      <c r="E925" s="126"/>
      <c r="F925" s="126"/>
      <c r="G925" s="298"/>
      <c r="H925" s="126"/>
      <c r="I925" s="297"/>
      <c r="J925" s="297"/>
      <c r="K925" s="297"/>
      <c r="L925" s="216">
        <f t="shared" si="28"/>
        <v>0</v>
      </c>
      <c r="M925" s="159" t="str">
        <f t="shared" si="29"/>
        <v/>
      </c>
      <c r="O925" s="158"/>
    </row>
    <row r="926" spans="1:15" x14ac:dyDescent="0.25">
      <c r="A926" s="126"/>
      <c r="B926" s="296"/>
      <c r="C926" s="126"/>
      <c r="D926" s="126"/>
      <c r="E926" s="126"/>
      <c r="F926" s="126"/>
      <c r="G926" s="298"/>
      <c r="H926" s="126"/>
      <c r="I926" s="297"/>
      <c r="J926" s="297"/>
      <c r="K926" s="297"/>
      <c r="L926" s="216">
        <f t="shared" si="28"/>
        <v>0</v>
      </c>
      <c r="M926" s="159" t="str">
        <f t="shared" si="29"/>
        <v/>
      </c>
      <c r="O926" s="158"/>
    </row>
    <row r="927" spans="1:15" x14ac:dyDescent="0.25">
      <c r="A927" s="126"/>
      <c r="B927" s="296"/>
      <c r="C927" s="126"/>
      <c r="D927" s="126"/>
      <c r="E927" s="126"/>
      <c r="F927" s="126"/>
      <c r="G927" s="298"/>
      <c r="H927" s="126"/>
      <c r="I927" s="297"/>
      <c r="J927" s="297"/>
      <c r="K927" s="297"/>
      <c r="L927" s="216">
        <f t="shared" si="28"/>
        <v>0</v>
      </c>
      <c r="M927" s="159" t="str">
        <f t="shared" si="29"/>
        <v/>
      </c>
      <c r="O927" s="158"/>
    </row>
    <row r="928" spans="1:15" x14ac:dyDescent="0.25">
      <c r="A928" s="126"/>
      <c r="B928" s="296"/>
      <c r="C928" s="126"/>
      <c r="D928" s="126"/>
      <c r="E928" s="126"/>
      <c r="F928" s="126"/>
      <c r="G928" s="298"/>
      <c r="H928" s="126"/>
      <c r="I928" s="297"/>
      <c r="J928" s="297"/>
      <c r="K928" s="297"/>
      <c r="L928" s="216">
        <f t="shared" si="28"/>
        <v>0</v>
      </c>
      <c r="M928" s="159" t="str">
        <f t="shared" si="29"/>
        <v/>
      </c>
      <c r="O928" s="158"/>
    </row>
    <row r="929" spans="1:15" x14ac:dyDescent="0.25">
      <c r="A929" s="126"/>
      <c r="B929" s="296"/>
      <c r="C929" s="126"/>
      <c r="D929" s="126"/>
      <c r="E929" s="126"/>
      <c r="F929" s="126"/>
      <c r="G929" s="298"/>
      <c r="H929" s="126"/>
      <c r="I929" s="297"/>
      <c r="J929" s="297"/>
      <c r="K929" s="297"/>
      <c r="L929" s="216">
        <f t="shared" si="28"/>
        <v>0</v>
      </c>
      <c r="M929" s="159" t="str">
        <f t="shared" si="29"/>
        <v/>
      </c>
      <c r="O929" s="158"/>
    </row>
    <row r="930" spans="1:15" x14ac:dyDescent="0.25">
      <c r="A930" s="126"/>
      <c r="B930" s="296"/>
      <c r="C930" s="126"/>
      <c r="D930" s="126"/>
      <c r="E930" s="126"/>
      <c r="F930" s="126"/>
      <c r="G930" s="298"/>
      <c r="H930" s="126"/>
      <c r="I930" s="297"/>
      <c r="J930" s="297"/>
      <c r="K930" s="297"/>
      <c r="L930" s="216">
        <f t="shared" si="28"/>
        <v>0</v>
      </c>
      <c r="M930" s="159" t="str">
        <f t="shared" si="29"/>
        <v/>
      </c>
      <c r="O930" s="158"/>
    </row>
    <row r="931" spans="1:15" x14ac:dyDescent="0.25">
      <c r="A931" s="126"/>
      <c r="B931" s="296"/>
      <c r="C931" s="126"/>
      <c r="D931" s="126"/>
      <c r="E931" s="126"/>
      <c r="F931" s="126"/>
      <c r="G931" s="298"/>
      <c r="H931" s="126"/>
      <c r="I931" s="297"/>
      <c r="J931" s="297"/>
      <c r="K931" s="297"/>
      <c r="L931" s="216">
        <f t="shared" si="28"/>
        <v>0</v>
      </c>
      <c r="M931" s="159" t="str">
        <f t="shared" si="29"/>
        <v/>
      </c>
      <c r="O931" s="158"/>
    </row>
    <row r="932" spans="1:15" x14ac:dyDescent="0.25">
      <c r="A932" s="126"/>
      <c r="B932" s="296"/>
      <c r="C932" s="126"/>
      <c r="D932" s="126"/>
      <c r="E932" s="126"/>
      <c r="F932" s="126"/>
      <c r="G932" s="298"/>
      <c r="H932" s="126"/>
      <c r="I932" s="297"/>
      <c r="J932" s="297"/>
      <c r="K932" s="297"/>
      <c r="L932" s="216">
        <f t="shared" si="28"/>
        <v>0</v>
      </c>
      <c r="M932" s="159" t="str">
        <f t="shared" si="29"/>
        <v/>
      </c>
      <c r="O932" s="158"/>
    </row>
    <row r="933" spans="1:15" x14ac:dyDescent="0.25">
      <c r="A933" s="126"/>
      <c r="B933" s="296"/>
      <c r="C933" s="126"/>
      <c r="D933" s="126"/>
      <c r="E933" s="126"/>
      <c r="F933" s="126"/>
      <c r="G933" s="298"/>
      <c r="H933" s="126"/>
      <c r="I933" s="297"/>
      <c r="J933" s="297"/>
      <c r="K933" s="297"/>
      <c r="L933" s="216">
        <f t="shared" si="28"/>
        <v>0</v>
      </c>
      <c r="M933" s="159" t="str">
        <f t="shared" si="29"/>
        <v/>
      </c>
      <c r="O933" s="158"/>
    </row>
    <row r="934" spans="1:15" x14ac:dyDescent="0.25">
      <c r="A934" s="126"/>
      <c r="B934" s="296"/>
      <c r="C934" s="126"/>
      <c r="D934" s="126"/>
      <c r="E934" s="126"/>
      <c r="F934" s="126"/>
      <c r="G934" s="298"/>
      <c r="H934" s="126"/>
      <c r="I934" s="297"/>
      <c r="J934" s="297"/>
      <c r="K934" s="297"/>
      <c r="L934" s="216">
        <f t="shared" si="28"/>
        <v>0</v>
      </c>
      <c r="M934" s="159" t="str">
        <f t="shared" si="29"/>
        <v/>
      </c>
      <c r="O934" s="158"/>
    </row>
    <row r="935" spans="1:15" x14ac:dyDescent="0.25">
      <c r="A935" s="126"/>
      <c r="B935" s="296"/>
      <c r="C935" s="126"/>
      <c r="D935" s="126"/>
      <c r="E935" s="126"/>
      <c r="F935" s="126"/>
      <c r="G935" s="298"/>
      <c r="H935" s="126"/>
      <c r="I935" s="297"/>
      <c r="J935" s="297"/>
      <c r="K935" s="297"/>
      <c r="L935" s="216">
        <f t="shared" si="28"/>
        <v>0</v>
      </c>
      <c r="M935" s="159" t="str">
        <f t="shared" si="29"/>
        <v/>
      </c>
      <c r="O935" s="158"/>
    </row>
    <row r="936" spans="1:15" x14ac:dyDescent="0.25">
      <c r="A936" s="126"/>
      <c r="B936" s="296"/>
      <c r="C936" s="126"/>
      <c r="D936" s="126"/>
      <c r="E936" s="126"/>
      <c r="F936" s="126"/>
      <c r="G936" s="298"/>
      <c r="H936" s="126"/>
      <c r="I936" s="297"/>
      <c r="J936" s="297"/>
      <c r="K936" s="297"/>
      <c r="L936" s="216">
        <f t="shared" si="28"/>
        <v>0</v>
      </c>
      <c r="M936" s="159" t="str">
        <f t="shared" si="29"/>
        <v/>
      </c>
      <c r="O936" s="158"/>
    </row>
    <row r="937" spans="1:15" x14ac:dyDescent="0.25">
      <c r="A937" s="126"/>
      <c r="B937" s="296"/>
      <c r="C937" s="126"/>
      <c r="D937" s="126"/>
      <c r="E937" s="126"/>
      <c r="F937" s="126"/>
      <c r="G937" s="298"/>
      <c r="H937" s="126"/>
      <c r="I937" s="297"/>
      <c r="J937" s="297"/>
      <c r="K937" s="297"/>
      <c r="L937" s="216">
        <f t="shared" si="28"/>
        <v>0</v>
      </c>
      <c r="M937" s="159" t="str">
        <f t="shared" si="29"/>
        <v/>
      </c>
      <c r="O937" s="158"/>
    </row>
    <row r="938" spans="1:15" x14ac:dyDescent="0.25">
      <c r="A938" s="126"/>
      <c r="B938" s="296"/>
      <c r="C938" s="126"/>
      <c r="D938" s="126"/>
      <c r="E938" s="126"/>
      <c r="F938" s="126"/>
      <c r="G938" s="298"/>
      <c r="H938" s="126"/>
      <c r="I938" s="297"/>
      <c r="J938" s="297"/>
      <c r="K938" s="297"/>
      <c r="L938" s="216">
        <f t="shared" si="28"/>
        <v>0</v>
      </c>
      <c r="M938" s="159" t="str">
        <f t="shared" si="29"/>
        <v/>
      </c>
      <c r="O938" s="158"/>
    </row>
    <row r="939" spans="1:15" x14ac:dyDescent="0.25">
      <c r="A939" s="126"/>
      <c r="B939" s="296"/>
      <c r="C939" s="126"/>
      <c r="D939" s="126"/>
      <c r="E939" s="126"/>
      <c r="F939" s="126"/>
      <c r="G939" s="298"/>
      <c r="H939" s="126"/>
      <c r="I939" s="297"/>
      <c r="J939" s="297"/>
      <c r="K939" s="297"/>
      <c r="L939" s="216">
        <f t="shared" si="28"/>
        <v>0</v>
      </c>
      <c r="M939" s="159" t="str">
        <f t="shared" si="29"/>
        <v/>
      </c>
      <c r="O939" s="158"/>
    </row>
    <row r="940" spans="1:15" x14ac:dyDescent="0.25">
      <c r="A940" s="126"/>
      <c r="B940" s="296"/>
      <c r="C940" s="126"/>
      <c r="D940" s="126"/>
      <c r="E940" s="126"/>
      <c r="F940" s="126"/>
      <c r="G940" s="298"/>
      <c r="H940" s="126"/>
      <c r="I940" s="297"/>
      <c r="J940" s="297"/>
      <c r="K940" s="297"/>
      <c r="L940" s="216">
        <f t="shared" si="28"/>
        <v>0</v>
      </c>
      <c r="M940" s="159" t="str">
        <f t="shared" si="29"/>
        <v/>
      </c>
      <c r="O940" s="158"/>
    </row>
    <row r="941" spans="1:15" x14ac:dyDescent="0.25">
      <c r="A941" s="126"/>
      <c r="B941" s="296"/>
      <c r="C941" s="126"/>
      <c r="D941" s="126"/>
      <c r="E941" s="126"/>
      <c r="F941" s="126"/>
      <c r="G941" s="298"/>
      <c r="H941" s="126"/>
      <c r="I941" s="297"/>
      <c r="J941" s="297"/>
      <c r="K941" s="297"/>
      <c r="L941" s="216">
        <f t="shared" si="28"/>
        <v>0</v>
      </c>
      <c r="M941" s="159" t="str">
        <f t="shared" si="29"/>
        <v/>
      </c>
      <c r="O941" s="158"/>
    </row>
    <row r="942" spans="1:15" x14ac:dyDescent="0.25">
      <c r="A942" s="126"/>
      <c r="B942" s="296"/>
      <c r="C942" s="126"/>
      <c r="D942" s="126"/>
      <c r="E942" s="126"/>
      <c r="F942" s="126"/>
      <c r="G942" s="298"/>
      <c r="H942" s="126"/>
      <c r="I942" s="297"/>
      <c r="J942" s="297"/>
      <c r="K942" s="297"/>
      <c r="L942" s="216">
        <f t="shared" si="28"/>
        <v>0</v>
      </c>
      <c r="M942" s="159" t="str">
        <f t="shared" si="29"/>
        <v/>
      </c>
      <c r="O942" s="158"/>
    </row>
    <row r="943" spans="1:15" x14ac:dyDescent="0.25">
      <c r="A943" s="126"/>
      <c r="B943" s="296"/>
      <c r="C943" s="126"/>
      <c r="D943" s="126"/>
      <c r="E943" s="126"/>
      <c r="F943" s="126"/>
      <c r="G943" s="298"/>
      <c r="H943" s="126"/>
      <c r="I943" s="297"/>
      <c r="J943" s="297"/>
      <c r="K943" s="297"/>
      <c r="L943" s="216">
        <f t="shared" si="28"/>
        <v>0</v>
      </c>
      <c r="M943" s="159" t="str">
        <f t="shared" si="29"/>
        <v/>
      </c>
      <c r="O943" s="158"/>
    </row>
    <row r="944" spans="1:15" x14ac:dyDescent="0.25">
      <c r="A944" s="126"/>
      <c r="B944" s="296"/>
      <c r="C944" s="126"/>
      <c r="D944" s="126"/>
      <c r="E944" s="126"/>
      <c r="F944" s="126"/>
      <c r="G944" s="298"/>
      <c r="H944" s="126"/>
      <c r="I944" s="297"/>
      <c r="J944" s="297"/>
      <c r="K944" s="297"/>
      <c r="L944" s="216">
        <f t="shared" si="28"/>
        <v>0</v>
      </c>
      <c r="M944" s="159" t="str">
        <f t="shared" si="29"/>
        <v/>
      </c>
      <c r="O944" s="158"/>
    </row>
    <row r="945" spans="1:15" x14ac:dyDescent="0.25">
      <c r="A945" s="126"/>
      <c r="B945" s="296"/>
      <c r="C945" s="126"/>
      <c r="D945" s="126"/>
      <c r="E945" s="126"/>
      <c r="F945" s="126"/>
      <c r="G945" s="298"/>
      <c r="H945" s="126"/>
      <c r="I945" s="297"/>
      <c r="J945" s="297"/>
      <c r="K945" s="297"/>
      <c r="L945" s="216">
        <f t="shared" si="28"/>
        <v>0</v>
      </c>
      <c r="M945" s="159" t="str">
        <f t="shared" si="29"/>
        <v/>
      </c>
      <c r="O945" s="158"/>
    </row>
    <row r="946" spans="1:15" x14ac:dyDescent="0.25">
      <c r="A946" s="126"/>
      <c r="B946" s="296"/>
      <c r="C946" s="126"/>
      <c r="D946" s="126"/>
      <c r="E946" s="126"/>
      <c r="F946" s="126"/>
      <c r="G946" s="298"/>
      <c r="H946" s="126"/>
      <c r="I946" s="297"/>
      <c r="J946" s="297"/>
      <c r="K946" s="297"/>
      <c r="L946" s="216">
        <f t="shared" si="28"/>
        <v>0</v>
      </c>
      <c r="M946" s="159" t="str">
        <f t="shared" si="29"/>
        <v/>
      </c>
      <c r="O946" s="158"/>
    </row>
    <row r="947" spans="1:15" x14ac:dyDescent="0.25">
      <c r="A947" s="126"/>
      <c r="B947" s="296"/>
      <c r="C947" s="126"/>
      <c r="D947" s="126"/>
      <c r="E947" s="126"/>
      <c r="F947" s="126"/>
      <c r="G947" s="298"/>
      <c r="H947" s="126"/>
      <c r="I947" s="297"/>
      <c r="J947" s="297"/>
      <c r="K947" s="297"/>
      <c r="L947" s="216">
        <f t="shared" si="28"/>
        <v>0</v>
      </c>
      <c r="M947" s="159" t="str">
        <f t="shared" si="29"/>
        <v/>
      </c>
      <c r="O947" s="158"/>
    </row>
    <row r="948" spans="1:15" x14ac:dyDescent="0.25">
      <c r="A948" s="126"/>
      <c r="B948" s="296"/>
      <c r="C948" s="126"/>
      <c r="D948" s="126"/>
      <c r="E948" s="126"/>
      <c r="F948" s="126"/>
      <c r="G948" s="298"/>
      <c r="H948" s="126"/>
      <c r="I948" s="297"/>
      <c r="J948" s="297"/>
      <c r="K948" s="297"/>
      <c r="L948" s="216">
        <f t="shared" si="28"/>
        <v>0</v>
      </c>
      <c r="M948" s="159" t="str">
        <f t="shared" si="29"/>
        <v/>
      </c>
      <c r="O948" s="158"/>
    </row>
    <row r="949" spans="1:15" x14ac:dyDescent="0.25">
      <c r="A949" s="126"/>
      <c r="B949" s="296"/>
      <c r="C949" s="126"/>
      <c r="D949" s="126"/>
      <c r="E949" s="126"/>
      <c r="F949" s="126"/>
      <c r="G949" s="298"/>
      <c r="H949" s="126"/>
      <c r="I949" s="297"/>
      <c r="J949" s="297"/>
      <c r="K949" s="297"/>
      <c r="L949" s="216">
        <f t="shared" si="28"/>
        <v>0</v>
      </c>
      <c r="M949" s="159" t="str">
        <f t="shared" si="29"/>
        <v/>
      </c>
      <c r="O949" s="158"/>
    </row>
    <row r="950" spans="1:15" x14ac:dyDescent="0.25">
      <c r="A950" s="126"/>
      <c r="B950" s="296"/>
      <c r="C950" s="126"/>
      <c r="D950" s="126"/>
      <c r="E950" s="126"/>
      <c r="F950" s="126"/>
      <c r="G950" s="298"/>
      <c r="H950" s="126"/>
      <c r="I950" s="297"/>
      <c r="J950" s="297"/>
      <c r="K950" s="297"/>
      <c r="L950" s="216">
        <f t="shared" si="28"/>
        <v>0</v>
      </c>
      <c r="M950" s="159" t="str">
        <f t="shared" si="29"/>
        <v/>
      </c>
      <c r="O950" s="158"/>
    </row>
    <row r="951" spans="1:15" x14ac:dyDescent="0.25">
      <c r="A951" s="126"/>
      <c r="B951" s="296"/>
      <c r="C951" s="126"/>
      <c r="D951" s="126"/>
      <c r="E951" s="126"/>
      <c r="F951" s="126"/>
      <c r="G951" s="298"/>
      <c r="H951" s="126"/>
      <c r="I951" s="297"/>
      <c r="J951" s="297"/>
      <c r="K951" s="297"/>
      <c r="L951" s="216">
        <f t="shared" si="28"/>
        <v>0</v>
      </c>
      <c r="M951" s="159" t="str">
        <f t="shared" si="29"/>
        <v/>
      </c>
      <c r="O951" s="158"/>
    </row>
    <row r="952" spans="1:15" x14ac:dyDescent="0.25">
      <c r="A952" s="126"/>
      <c r="B952" s="296"/>
      <c r="C952" s="126"/>
      <c r="D952" s="126"/>
      <c r="E952" s="126"/>
      <c r="F952" s="126"/>
      <c r="G952" s="298"/>
      <c r="H952" s="126"/>
      <c r="I952" s="297"/>
      <c r="J952" s="297"/>
      <c r="K952" s="297"/>
      <c r="L952" s="216">
        <f t="shared" si="28"/>
        <v>0</v>
      </c>
      <c r="M952" s="159" t="str">
        <f t="shared" si="29"/>
        <v/>
      </c>
      <c r="O952" s="158"/>
    </row>
    <row r="953" spans="1:15" x14ac:dyDescent="0.25">
      <c r="A953" s="126"/>
      <c r="B953" s="296"/>
      <c r="C953" s="126"/>
      <c r="D953" s="126"/>
      <c r="E953" s="126"/>
      <c r="F953" s="126"/>
      <c r="G953" s="298"/>
      <c r="H953" s="126"/>
      <c r="I953" s="297"/>
      <c r="J953" s="297"/>
      <c r="K953" s="297"/>
      <c r="L953" s="216">
        <f t="shared" si="28"/>
        <v>0</v>
      </c>
      <c r="M953" s="159" t="str">
        <f t="shared" si="29"/>
        <v/>
      </c>
      <c r="O953" s="158"/>
    </row>
    <row r="954" spans="1:15" x14ac:dyDescent="0.25">
      <c r="A954" s="126"/>
      <c r="B954" s="296"/>
      <c r="C954" s="126"/>
      <c r="D954" s="126"/>
      <c r="E954" s="126"/>
      <c r="F954" s="126"/>
      <c r="G954" s="298"/>
      <c r="H954" s="126"/>
      <c r="I954" s="297"/>
      <c r="J954" s="297"/>
      <c r="K954" s="297"/>
      <c r="L954" s="216">
        <f t="shared" si="28"/>
        <v>0</v>
      </c>
      <c r="M954" s="159" t="str">
        <f t="shared" si="29"/>
        <v/>
      </c>
      <c r="O954" s="158"/>
    </row>
    <row r="955" spans="1:15" x14ac:dyDescent="0.25">
      <c r="A955" s="126"/>
      <c r="B955" s="296"/>
      <c r="C955" s="126"/>
      <c r="D955" s="126"/>
      <c r="E955" s="126"/>
      <c r="F955" s="126"/>
      <c r="G955" s="298"/>
      <c r="H955" s="126"/>
      <c r="I955" s="297"/>
      <c r="J955" s="297"/>
      <c r="K955" s="297"/>
      <c r="L955" s="216">
        <f t="shared" si="28"/>
        <v>0</v>
      </c>
      <c r="M955" s="159" t="str">
        <f t="shared" si="29"/>
        <v/>
      </c>
      <c r="O955" s="158"/>
    </row>
    <row r="956" spans="1:15" x14ac:dyDescent="0.25">
      <c r="A956" s="126"/>
      <c r="B956" s="296"/>
      <c r="C956" s="126"/>
      <c r="D956" s="126"/>
      <c r="E956" s="126"/>
      <c r="F956" s="126"/>
      <c r="G956" s="298"/>
      <c r="H956" s="126"/>
      <c r="I956" s="297"/>
      <c r="J956" s="297"/>
      <c r="K956" s="297"/>
      <c r="L956" s="216">
        <f t="shared" si="28"/>
        <v>0</v>
      </c>
      <c r="M956" s="159" t="str">
        <f t="shared" si="29"/>
        <v/>
      </c>
      <c r="O956" s="158"/>
    </row>
    <row r="957" spans="1:15" x14ac:dyDescent="0.25">
      <c r="A957" s="126"/>
      <c r="B957" s="296"/>
      <c r="C957" s="126"/>
      <c r="D957" s="126"/>
      <c r="E957" s="126"/>
      <c r="F957" s="126"/>
      <c r="G957" s="298"/>
      <c r="H957" s="126"/>
      <c r="I957" s="297"/>
      <c r="J957" s="297"/>
      <c r="K957" s="297"/>
      <c r="L957" s="216">
        <f t="shared" si="28"/>
        <v>0</v>
      </c>
      <c r="M957" s="159" t="str">
        <f t="shared" si="29"/>
        <v/>
      </c>
      <c r="O957" s="158"/>
    </row>
    <row r="958" spans="1:15" x14ac:dyDescent="0.25">
      <c r="A958" s="126"/>
      <c r="B958" s="296"/>
      <c r="C958" s="126"/>
      <c r="D958" s="126"/>
      <c r="E958" s="126"/>
      <c r="F958" s="126"/>
      <c r="G958" s="298"/>
      <c r="H958" s="126"/>
      <c r="I958" s="297"/>
      <c r="J958" s="297"/>
      <c r="K958" s="297"/>
      <c r="L958" s="216">
        <f t="shared" si="28"/>
        <v>0</v>
      </c>
      <c r="M958" s="159" t="str">
        <f t="shared" si="29"/>
        <v/>
      </c>
      <c r="O958" s="158"/>
    </row>
    <row r="959" spans="1:15" x14ac:dyDescent="0.25">
      <c r="A959" s="126"/>
      <c r="B959" s="296"/>
      <c r="C959" s="126"/>
      <c r="D959" s="126"/>
      <c r="E959" s="126"/>
      <c r="F959" s="126"/>
      <c r="G959" s="298"/>
      <c r="H959" s="126"/>
      <c r="I959" s="297"/>
      <c r="J959" s="297"/>
      <c r="K959" s="297"/>
      <c r="L959" s="216">
        <f t="shared" si="28"/>
        <v>0</v>
      </c>
      <c r="M959" s="159" t="str">
        <f t="shared" si="29"/>
        <v/>
      </c>
      <c r="O959" s="158"/>
    </row>
    <row r="960" spans="1:15" x14ac:dyDescent="0.25">
      <c r="A960" s="126"/>
      <c r="B960" s="296"/>
      <c r="C960" s="126"/>
      <c r="D960" s="126"/>
      <c r="E960" s="126"/>
      <c r="F960" s="126"/>
      <c r="G960" s="298"/>
      <c r="H960" s="126"/>
      <c r="I960" s="297"/>
      <c r="J960" s="297"/>
      <c r="K960" s="297"/>
      <c r="L960" s="216">
        <f t="shared" si="28"/>
        <v>0</v>
      </c>
      <c r="M960" s="159" t="str">
        <f t="shared" si="29"/>
        <v/>
      </c>
      <c r="O960" s="158"/>
    </row>
    <row r="961" spans="1:15" x14ac:dyDescent="0.25">
      <c r="A961" s="126"/>
      <c r="B961" s="296"/>
      <c r="C961" s="126"/>
      <c r="D961" s="126"/>
      <c r="E961" s="126"/>
      <c r="F961" s="126"/>
      <c r="G961" s="298"/>
      <c r="H961" s="126"/>
      <c r="I961" s="297"/>
      <c r="J961" s="297"/>
      <c r="K961" s="297"/>
      <c r="L961" s="216">
        <f t="shared" si="28"/>
        <v>0</v>
      </c>
      <c r="M961" s="159" t="str">
        <f t="shared" si="29"/>
        <v/>
      </c>
      <c r="O961" s="158"/>
    </row>
    <row r="962" spans="1:15" x14ac:dyDescent="0.25">
      <c r="A962" s="126"/>
      <c r="B962" s="296"/>
      <c r="C962" s="126"/>
      <c r="D962" s="126"/>
      <c r="E962" s="126"/>
      <c r="F962" s="126"/>
      <c r="G962" s="298"/>
      <c r="H962" s="126"/>
      <c r="I962" s="297"/>
      <c r="J962" s="297"/>
      <c r="K962" s="297"/>
      <c r="L962" s="216">
        <f t="shared" ref="L962:L1025" si="30">K962*1.1</f>
        <v>0</v>
      </c>
      <c r="M962" s="159" t="str">
        <f t="shared" ref="M962:M1025" si="31">IF(ISNUMBER(SEARCH("Azarine",H962)),"AZARINE",IF(ISNUMBER(SEARCH("Baking Soda",H962)),"BAKING SODA",IF(ISNUMBER(SEARCH("Fujitsu",H962)),"FUJITSU",IF(ISNUMBER(SEARCH("Coleman",H962)),"COLEMAN",""))))</f>
        <v/>
      </c>
      <c r="O962" s="158"/>
    </row>
    <row r="963" spans="1:15" x14ac:dyDescent="0.25">
      <c r="A963" s="126"/>
      <c r="B963" s="296"/>
      <c r="C963" s="126"/>
      <c r="D963" s="126"/>
      <c r="E963" s="126"/>
      <c r="F963" s="126"/>
      <c r="G963" s="298"/>
      <c r="H963" s="126"/>
      <c r="I963" s="297"/>
      <c r="J963" s="297"/>
      <c r="K963" s="297"/>
      <c r="L963" s="216">
        <f t="shared" si="30"/>
        <v>0</v>
      </c>
      <c r="M963" s="159" t="str">
        <f t="shared" si="31"/>
        <v/>
      </c>
      <c r="O963" s="158"/>
    </row>
    <row r="964" spans="1:15" x14ac:dyDescent="0.25">
      <c r="A964" s="126"/>
      <c r="B964" s="296"/>
      <c r="C964" s="126"/>
      <c r="D964" s="126"/>
      <c r="E964" s="126"/>
      <c r="F964" s="126"/>
      <c r="G964" s="298"/>
      <c r="H964" s="126"/>
      <c r="I964" s="297"/>
      <c r="J964" s="297"/>
      <c r="K964" s="297"/>
      <c r="L964" s="216">
        <f t="shared" si="30"/>
        <v>0</v>
      </c>
      <c r="M964" s="159" t="str">
        <f t="shared" si="31"/>
        <v/>
      </c>
      <c r="O964" s="158"/>
    </row>
    <row r="965" spans="1:15" x14ac:dyDescent="0.25">
      <c r="A965" s="126"/>
      <c r="B965" s="296"/>
      <c r="C965" s="126"/>
      <c r="D965" s="126"/>
      <c r="E965" s="126"/>
      <c r="F965" s="126"/>
      <c r="G965" s="298"/>
      <c r="H965" s="126"/>
      <c r="I965" s="297"/>
      <c r="J965" s="297"/>
      <c r="K965" s="297"/>
      <c r="L965" s="216">
        <f t="shared" si="30"/>
        <v>0</v>
      </c>
      <c r="M965" s="159" t="str">
        <f t="shared" si="31"/>
        <v/>
      </c>
      <c r="O965" s="158"/>
    </row>
    <row r="966" spans="1:15" x14ac:dyDescent="0.25">
      <c r="A966" s="126"/>
      <c r="B966" s="296"/>
      <c r="C966" s="126"/>
      <c r="D966" s="126"/>
      <c r="E966" s="126"/>
      <c r="F966" s="126"/>
      <c r="G966" s="298"/>
      <c r="H966" s="126"/>
      <c r="I966" s="297"/>
      <c r="J966" s="297"/>
      <c r="K966" s="297"/>
      <c r="L966" s="216">
        <f t="shared" si="30"/>
        <v>0</v>
      </c>
      <c r="M966" s="159" t="str">
        <f t="shared" si="31"/>
        <v/>
      </c>
      <c r="O966" s="158"/>
    </row>
    <row r="967" spans="1:15" x14ac:dyDescent="0.25">
      <c r="A967" s="126"/>
      <c r="B967" s="296"/>
      <c r="C967" s="126"/>
      <c r="D967" s="126"/>
      <c r="E967" s="126"/>
      <c r="F967" s="126"/>
      <c r="G967" s="298"/>
      <c r="H967" s="126"/>
      <c r="I967" s="297"/>
      <c r="J967" s="297"/>
      <c r="K967" s="297"/>
      <c r="L967" s="216">
        <f t="shared" si="30"/>
        <v>0</v>
      </c>
      <c r="M967" s="159" t="str">
        <f t="shared" si="31"/>
        <v/>
      </c>
      <c r="O967" s="158"/>
    </row>
    <row r="968" spans="1:15" x14ac:dyDescent="0.25">
      <c r="A968" s="126"/>
      <c r="B968" s="296"/>
      <c r="C968" s="126"/>
      <c r="D968" s="126"/>
      <c r="E968" s="126"/>
      <c r="F968" s="126"/>
      <c r="G968" s="298"/>
      <c r="H968" s="126"/>
      <c r="I968" s="297"/>
      <c r="J968" s="297"/>
      <c r="K968" s="297"/>
      <c r="L968" s="216">
        <f t="shared" si="30"/>
        <v>0</v>
      </c>
      <c r="M968" s="159" t="str">
        <f t="shared" si="31"/>
        <v/>
      </c>
      <c r="O968" s="158"/>
    </row>
    <row r="969" spans="1:15" x14ac:dyDescent="0.25">
      <c r="A969" s="126"/>
      <c r="B969" s="296"/>
      <c r="C969" s="126"/>
      <c r="D969" s="126"/>
      <c r="E969" s="126"/>
      <c r="F969" s="126"/>
      <c r="G969" s="298"/>
      <c r="H969" s="126"/>
      <c r="I969" s="297"/>
      <c r="J969" s="297"/>
      <c r="K969" s="297"/>
      <c r="L969" s="216">
        <f t="shared" si="30"/>
        <v>0</v>
      </c>
      <c r="M969" s="159" t="str">
        <f t="shared" si="31"/>
        <v/>
      </c>
      <c r="O969" s="158"/>
    </row>
    <row r="970" spans="1:15" x14ac:dyDescent="0.25">
      <c r="A970" s="126"/>
      <c r="B970" s="296"/>
      <c r="C970" s="126"/>
      <c r="D970" s="126"/>
      <c r="E970" s="126"/>
      <c r="F970" s="126"/>
      <c r="G970" s="298"/>
      <c r="H970" s="126"/>
      <c r="I970" s="297"/>
      <c r="J970" s="297"/>
      <c r="K970" s="297"/>
      <c r="L970" s="216">
        <f t="shared" si="30"/>
        <v>0</v>
      </c>
      <c r="M970" s="159" t="str">
        <f t="shared" si="31"/>
        <v/>
      </c>
      <c r="O970" s="158"/>
    </row>
    <row r="971" spans="1:15" x14ac:dyDescent="0.25">
      <c r="A971" s="126"/>
      <c r="B971" s="296"/>
      <c r="C971" s="126"/>
      <c r="D971" s="126"/>
      <c r="E971" s="126"/>
      <c r="F971" s="126"/>
      <c r="G971" s="298"/>
      <c r="H971" s="126"/>
      <c r="I971" s="297"/>
      <c r="J971" s="297"/>
      <c r="K971" s="297"/>
      <c r="L971" s="216">
        <f t="shared" si="30"/>
        <v>0</v>
      </c>
      <c r="M971" s="159" t="str">
        <f t="shared" si="31"/>
        <v/>
      </c>
      <c r="O971" s="158"/>
    </row>
    <row r="972" spans="1:15" x14ac:dyDescent="0.25">
      <c r="A972" s="126"/>
      <c r="B972" s="296"/>
      <c r="C972" s="126"/>
      <c r="D972" s="126"/>
      <c r="E972" s="126"/>
      <c r="F972" s="126"/>
      <c r="G972" s="298"/>
      <c r="H972" s="126"/>
      <c r="I972" s="297"/>
      <c r="J972" s="297"/>
      <c r="K972" s="297"/>
      <c r="L972" s="216">
        <f t="shared" si="30"/>
        <v>0</v>
      </c>
      <c r="M972" s="159" t="str">
        <f t="shared" si="31"/>
        <v/>
      </c>
      <c r="O972" s="158"/>
    </row>
    <row r="973" spans="1:15" x14ac:dyDescent="0.25">
      <c r="A973" s="126"/>
      <c r="B973" s="296"/>
      <c r="C973" s="126"/>
      <c r="D973" s="126"/>
      <c r="E973" s="126"/>
      <c r="F973" s="126"/>
      <c r="G973" s="298"/>
      <c r="H973" s="126"/>
      <c r="I973" s="297"/>
      <c r="J973" s="297"/>
      <c r="K973" s="297"/>
      <c r="L973" s="216">
        <f t="shared" si="30"/>
        <v>0</v>
      </c>
      <c r="M973" s="159" t="str">
        <f t="shared" si="31"/>
        <v/>
      </c>
      <c r="O973" s="158"/>
    </row>
    <row r="974" spans="1:15" x14ac:dyDescent="0.25">
      <c r="A974" s="126"/>
      <c r="B974" s="296"/>
      <c r="C974" s="126"/>
      <c r="D974" s="126"/>
      <c r="E974" s="126"/>
      <c r="F974" s="126"/>
      <c r="G974" s="298"/>
      <c r="H974" s="126"/>
      <c r="I974" s="297"/>
      <c r="J974" s="297"/>
      <c r="K974" s="297"/>
      <c r="L974" s="216">
        <f t="shared" si="30"/>
        <v>0</v>
      </c>
      <c r="M974" s="159" t="str">
        <f t="shared" si="31"/>
        <v/>
      </c>
      <c r="O974" s="158"/>
    </row>
    <row r="975" spans="1:15" x14ac:dyDescent="0.25">
      <c r="A975" s="126"/>
      <c r="B975" s="296"/>
      <c r="C975" s="126"/>
      <c r="D975" s="126"/>
      <c r="E975" s="126"/>
      <c r="F975" s="126"/>
      <c r="G975" s="298"/>
      <c r="H975" s="126"/>
      <c r="I975" s="297"/>
      <c r="J975" s="297"/>
      <c r="K975" s="297"/>
      <c r="L975" s="216">
        <f t="shared" si="30"/>
        <v>0</v>
      </c>
      <c r="M975" s="159" t="str">
        <f t="shared" si="31"/>
        <v/>
      </c>
      <c r="O975" s="158"/>
    </row>
    <row r="976" spans="1:15" x14ac:dyDescent="0.25">
      <c r="A976" s="126"/>
      <c r="B976" s="296"/>
      <c r="C976" s="126"/>
      <c r="D976" s="126"/>
      <c r="E976" s="126"/>
      <c r="F976" s="126"/>
      <c r="G976" s="298"/>
      <c r="H976" s="126"/>
      <c r="I976" s="297"/>
      <c r="J976" s="297"/>
      <c r="K976" s="297"/>
      <c r="L976" s="216">
        <f t="shared" si="30"/>
        <v>0</v>
      </c>
      <c r="M976" s="159" t="str">
        <f t="shared" si="31"/>
        <v/>
      </c>
      <c r="O976" s="158"/>
    </row>
    <row r="977" spans="1:15" x14ac:dyDescent="0.25">
      <c r="A977" s="126"/>
      <c r="B977" s="296"/>
      <c r="C977" s="126"/>
      <c r="D977" s="126"/>
      <c r="E977" s="126"/>
      <c r="F977" s="126"/>
      <c r="G977" s="298"/>
      <c r="H977" s="126"/>
      <c r="I977" s="297"/>
      <c r="J977" s="297"/>
      <c r="K977" s="297"/>
      <c r="L977" s="216">
        <f t="shared" si="30"/>
        <v>0</v>
      </c>
      <c r="M977" s="159" t="str">
        <f t="shared" si="31"/>
        <v/>
      </c>
      <c r="O977" s="158"/>
    </row>
    <row r="978" spans="1:15" x14ac:dyDescent="0.25">
      <c r="A978" s="126"/>
      <c r="B978" s="296"/>
      <c r="C978" s="126"/>
      <c r="D978" s="126"/>
      <c r="E978" s="126"/>
      <c r="F978" s="126"/>
      <c r="G978" s="298"/>
      <c r="H978" s="126"/>
      <c r="I978" s="297"/>
      <c r="J978" s="297"/>
      <c r="K978" s="297"/>
      <c r="L978" s="216">
        <f t="shared" si="30"/>
        <v>0</v>
      </c>
      <c r="M978" s="159" t="str">
        <f t="shared" si="31"/>
        <v/>
      </c>
      <c r="O978" s="158"/>
    </row>
    <row r="979" spans="1:15" x14ac:dyDescent="0.25">
      <c r="A979" s="126"/>
      <c r="B979" s="296"/>
      <c r="C979" s="126"/>
      <c r="D979" s="126"/>
      <c r="E979" s="126"/>
      <c r="F979" s="126"/>
      <c r="G979" s="298"/>
      <c r="H979" s="126"/>
      <c r="I979" s="297"/>
      <c r="J979" s="297"/>
      <c r="K979" s="297"/>
      <c r="L979" s="216">
        <f t="shared" si="30"/>
        <v>0</v>
      </c>
      <c r="M979" s="159" t="str">
        <f t="shared" si="31"/>
        <v/>
      </c>
      <c r="O979" s="158"/>
    </row>
    <row r="980" spans="1:15" x14ac:dyDescent="0.25">
      <c r="A980" s="126"/>
      <c r="B980" s="296"/>
      <c r="C980" s="126"/>
      <c r="D980" s="126"/>
      <c r="E980" s="126"/>
      <c r="F980" s="126"/>
      <c r="G980" s="298"/>
      <c r="H980" s="126"/>
      <c r="I980" s="297"/>
      <c r="J980" s="297"/>
      <c r="K980" s="297"/>
      <c r="L980" s="216">
        <f t="shared" si="30"/>
        <v>0</v>
      </c>
      <c r="M980" s="159" t="str">
        <f t="shared" si="31"/>
        <v/>
      </c>
      <c r="O980" s="158"/>
    </row>
    <row r="981" spans="1:15" x14ac:dyDescent="0.25">
      <c r="A981" s="126"/>
      <c r="B981" s="296"/>
      <c r="C981" s="126"/>
      <c r="D981" s="126"/>
      <c r="E981" s="126"/>
      <c r="F981" s="126"/>
      <c r="G981" s="298"/>
      <c r="H981" s="126"/>
      <c r="I981" s="297"/>
      <c r="J981" s="297"/>
      <c r="K981" s="297"/>
      <c r="L981" s="216">
        <f t="shared" si="30"/>
        <v>0</v>
      </c>
      <c r="M981" s="159" t="str">
        <f t="shared" si="31"/>
        <v/>
      </c>
      <c r="O981" s="158"/>
    </row>
    <row r="982" spans="1:15" x14ac:dyDescent="0.25">
      <c r="A982" s="126"/>
      <c r="B982" s="296"/>
      <c r="C982" s="126"/>
      <c r="D982" s="126"/>
      <c r="E982" s="126"/>
      <c r="F982" s="126"/>
      <c r="G982" s="298"/>
      <c r="H982" s="126"/>
      <c r="I982" s="297"/>
      <c r="J982" s="297"/>
      <c r="K982" s="297"/>
      <c r="L982" s="216">
        <f t="shared" si="30"/>
        <v>0</v>
      </c>
      <c r="M982" s="159" t="str">
        <f t="shared" si="31"/>
        <v/>
      </c>
      <c r="O982" s="158"/>
    </row>
    <row r="983" spans="1:15" x14ac:dyDescent="0.25">
      <c r="A983" s="126"/>
      <c r="B983" s="296"/>
      <c r="C983" s="126"/>
      <c r="D983" s="126"/>
      <c r="E983" s="126"/>
      <c r="F983" s="126"/>
      <c r="G983" s="298"/>
      <c r="H983" s="126"/>
      <c r="I983" s="297"/>
      <c r="J983" s="297"/>
      <c r="K983" s="297"/>
      <c r="L983" s="216">
        <f t="shared" si="30"/>
        <v>0</v>
      </c>
      <c r="M983" s="159" t="str">
        <f t="shared" si="31"/>
        <v/>
      </c>
      <c r="O983" s="158"/>
    </row>
    <row r="984" spans="1:15" x14ac:dyDescent="0.25">
      <c r="A984" s="126"/>
      <c r="B984" s="296"/>
      <c r="C984" s="126"/>
      <c r="D984" s="126"/>
      <c r="E984" s="126"/>
      <c r="F984" s="126"/>
      <c r="G984" s="298"/>
      <c r="H984" s="126"/>
      <c r="I984" s="297"/>
      <c r="J984" s="297"/>
      <c r="K984" s="297"/>
      <c r="L984" s="216">
        <f t="shared" si="30"/>
        <v>0</v>
      </c>
      <c r="M984" s="159" t="str">
        <f t="shared" si="31"/>
        <v/>
      </c>
      <c r="O984" s="158"/>
    </row>
    <row r="985" spans="1:15" x14ac:dyDescent="0.25">
      <c r="A985" s="126"/>
      <c r="B985" s="296"/>
      <c r="C985" s="126"/>
      <c r="D985" s="126"/>
      <c r="E985" s="126"/>
      <c r="F985" s="126"/>
      <c r="G985" s="298"/>
      <c r="H985" s="126"/>
      <c r="I985" s="297"/>
      <c r="J985" s="297"/>
      <c r="K985" s="297"/>
      <c r="L985" s="216">
        <f t="shared" si="30"/>
        <v>0</v>
      </c>
      <c r="M985" s="159" t="str">
        <f t="shared" si="31"/>
        <v/>
      </c>
      <c r="O985" s="158"/>
    </row>
    <row r="986" spans="1:15" x14ac:dyDescent="0.25">
      <c r="A986" s="126"/>
      <c r="B986" s="296"/>
      <c r="C986" s="126"/>
      <c r="D986" s="126"/>
      <c r="E986" s="126"/>
      <c r="F986" s="126"/>
      <c r="G986" s="298"/>
      <c r="H986" s="126"/>
      <c r="I986" s="297"/>
      <c r="J986" s="297"/>
      <c r="K986" s="297"/>
      <c r="L986" s="216">
        <f t="shared" si="30"/>
        <v>0</v>
      </c>
      <c r="M986" s="159" t="str">
        <f t="shared" si="31"/>
        <v/>
      </c>
      <c r="O986" s="158"/>
    </row>
    <row r="987" spans="1:15" x14ac:dyDescent="0.25">
      <c r="A987" s="126"/>
      <c r="B987" s="296"/>
      <c r="C987" s="126"/>
      <c r="D987" s="126"/>
      <c r="E987" s="126"/>
      <c r="F987" s="126"/>
      <c r="G987" s="298"/>
      <c r="H987" s="126"/>
      <c r="I987" s="297"/>
      <c r="J987" s="297"/>
      <c r="K987" s="297"/>
      <c r="L987" s="216">
        <f t="shared" si="30"/>
        <v>0</v>
      </c>
      <c r="M987" s="159" t="str">
        <f t="shared" si="31"/>
        <v/>
      </c>
      <c r="O987" s="158"/>
    </row>
    <row r="988" spans="1:15" x14ac:dyDescent="0.25">
      <c r="A988" s="126"/>
      <c r="B988" s="296"/>
      <c r="C988" s="126"/>
      <c r="D988" s="126"/>
      <c r="E988" s="126"/>
      <c r="F988" s="126"/>
      <c r="G988" s="298"/>
      <c r="H988" s="126"/>
      <c r="I988" s="297"/>
      <c r="J988" s="297"/>
      <c r="K988" s="297"/>
      <c r="L988" s="216">
        <f t="shared" si="30"/>
        <v>0</v>
      </c>
      <c r="M988" s="159" t="str">
        <f t="shared" si="31"/>
        <v/>
      </c>
      <c r="O988" s="158"/>
    </row>
    <row r="989" spans="1:15" x14ac:dyDescent="0.25">
      <c r="A989" s="126"/>
      <c r="B989" s="296"/>
      <c r="C989" s="126"/>
      <c r="D989" s="126"/>
      <c r="E989" s="126"/>
      <c r="F989" s="126"/>
      <c r="G989" s="298"/>
      <c r="H989" s="126"/>
      <c r="I989" s="297"/>
      <c r="J989" s="297"/>
      <c r="K989" s="297"/>
      <c r="L989" s="216">
        <f t="shared" si="30"/>
        <v>0</v>
      </c>
      <c r="M989" s="159" t="str">
        <f t="shared" si="31"/>
        <v/>
      </c>
      <c r="O989" s="158"/>
    </row>
    <row r="990" spans="1:15" x14ac:dyDescent="0.25">
      <c r="A990" s="126"/>
      <c r="B990" s="296"/>
      <c r="C990" s="126"/>
      <c r="D990" s="126"/>
      <c r="E990" s="126"/>
      <c r="F990" s="126"/>
      <c r="G990" s="298"/>
      <c r="H990" s="126"/>
      <c r="I990" s="297"/>
      <c r="J990" s="297"/>
      <c r="K990" s="297"/>
      <c r="L990" s="216">
        <f t="shared" si="30"/>
        <v>0</v>
      </c>
      <c r="M990" s="159" t="str">
        <f t="shared" si="31"/>
        <v/>
      </c>
      <c r="O990" s="158"/>
    </row>
    <row r="991" spans="1:15" x14ac:dyDescent="0.25">
      <c r="A991" s="126"/>
      <c r="B991" s="296"/>
      <c r="C991" s="126"/>
      <c r="D991" s="126"/>
      <c r="E991" s="126"/>
      <c r="F991" s="126"/>
      <c r="G991" s="298"/>
      <c r="H991" s="126"/>
      <c r="I991" s="297"/>
      <c r="J991" s="297"/>
      <c r="K991" s="297"/>
      <c r="L991" s="216">
        <f t="shared" si="30"/>
        <v>0</v>
      </c>
      <c r="M991" s="159" t="str">
        <f t="shared" si="31"/>
        <v/>
      </c>
      <c r="O991" s="158"/>
    </row>
    <row r="992" spans="1:15" x14ac:dyDescent="0.25">
      <c r="A992" s="126"/>
      <c r="B992" s="296"/>
      <c r="C992" s="126"/>
      <c r="D992" s="126"/>
      <c r="E992" s="126"/>
      <c r="F992" s="126"/>
      <c r="G992" s="298"/>
      <c r="H992" s="126"/>
      <c r="I992" s="297"/>
      <c r="J992" s="297"/>
      <c r="K992" s="297"/>
      <c r="L992" s="216">
        <f t="shared" si="30"/>
        <v>0</v>
      </c>
      <c r="M992" s="159" t="str">
        <f t="shared" si="31"/>
        <v/>
      </c>
      <c r="O992" s="158"/>
    </row>
    <row r="993" spans="1:15" x14ac:dyDescent="0.25">
      <c r="A993" s="126"/>
      <c r="B993" s="296"/>
      <c r="C993" s="126"/>
      <c r="D993" s="126"/>
      <c r="E993" s="126"/>
      <c r="F993" s="126"/>
      <c r="G993" s="298"/>
      <c r="H993" s="126"/>
      <c r="I993" s="297"/>
      <c r="J993" s="297"/>
      <c r="K993" s="297"/>
      <c r="L993" s="216">
        <f t="shared" si="30"/>
        <v>0</v>
      </c>
      <c r="M993" s="159" t="str">
        <f t="shared" si="31"/>
        <v/>
      </c>
      <c r="O993" s="158"/>
    </row>
    <row r="994" spans="1:15" x14ac:dyDescent="0.25">
      <c r="A994" s="126"/>
      <c r="B994" s="296"/>
      <c r="C994" s="126"/>
      <c r="D994" s="126"/>
      <c r="E994" s="126"/>
      <c r="F994" s="126"/>
      <c r="G994" s="298"/>
      <c r="H994" s="126"/>
      <c r="I994" s="297"/>
      <c r="J994" s="297"/>
      <c r="K994" s="297"/>
      <c r="L994" s="216">
        <f t="shared" si="30"/>
        <v>0</v>
      </c>
      <c r="M994" s="159" t="str">
        <f t="shared" si="31"/>
        <v/>
      </c>
      <c r="O994" s="158"/>
    </row>
    <row r="995" spans="1:15" x14ac:dyDescent="0.25">
      <c r="A995" s="126"/>
      <c r="B995" s="296"/>
      <c r="C995" s="126"/>
      <c r="D995" s="126"/>
      <c r="E995" s="126"/>
      <c r="F995" s="126"/>
      <c r="G995" s="298"/>
      <c r="H995" s="126"/>
      <c r="I995" s="297"/>
      <c r="J995" s="297"/>
      <c r="K995" s="297"/>
      <c r="L995" s="216">
        <f t="shared" si="30"/>
        <v>0</v>
      </c>
      <c r="M995" s="159" t="str">
        <f t="shared" si="31"/>
        <v/>
      </c>
      <c r="O995" s="158"/>
    </row>
    <row r="996" spans="1:15" x14ac:dyDescent="0.25">
      <c r="A996" s="126"/>
      <c r="B996" s="296"/>
      <c r="C996" s="126"/>
      <c r="D996" s="126"/>
      <c r="E996" s="126"/>
      <c r="F996" s="126"/>
      <c r="G996" s="298"/>
      <c r="H996" s="126"/>
      <c r="I996" s="297"/>
      <c r="J996" s="297"/>
      <c r="K996" s="297"/>
      <c r="L996" s="216">
        <f t="shared" si="30"/>
        <v>0</v>
      </c>
      <c r="M996" s="159" t="str">
        <f t="shared" si="31"/>
        <v/>
      </c>
      <c r="O996" s="158"/>
    </row>
    <row r="997" spans="1:15" x14ac:dyDescent="0.25">
      <c r="A997" s="126"/>
      <c r="B997" s="296"/>
      <c r="C997" s="126"/>
      <c r="D997" s="126"/>
      <c r="E997" s="126"/>
      <c r="F997" s="126"/>
      <c r="G997" s="298"/>
      <c r="H997" s="126"/>
      <c r="I997" s="297"/>
      <c r="J997" s="297"/>
      <c r="K997" s="297"/>
      <c r="L997" s="216">
        <f t="shared" si="30"/>
        <v>0</v>
      </c>
      <c r="M997" s="159" t="str">
        <f t="shared" si="31"/>
        <v/>
      </c>
      <c r="O997" s="158"/>
    </row>
    <row r="998" spans="1:15" x14ac:dyDescent="0.25">
      <c r="A998" s="126"/>
      <c r="B998" s="296"/>
      <c r="C998" s="126"/>
      <c r="D998" s="126"/>
      <c r="E998" s="126"/>
      <c r="F998" s="126"/>
      <c r="G998" s="298"/>
      <c r="H998" s="126"/>
      <c r="I998" s="297"/>
      <c r="J998" s="297"/>
      <c r="K998" s="297"/>
      <c r="L998" s="216">
        <f t="shared" si="30"/>
        <v>0</v>
      </c>
      <c r="M998" s="159" t="str">
        <f t="shared" si="31"/>
        <v/>
      </c>
      <c r="O998" s="158"/>
    </row>
    <row r="999" spans="1:15" x14ac:dyDescent="0.25">
      <c r="A999" s="126"/>
      <c r="B999" s="296"/>
      <c r="C999" s="126"/>
      <c r="D999" s="126"/>
      <c r="E999" s="126"/>
      <c r="F999" s="126"/>
      <c r="G999" s="298"/>
      <c r="H999" s="126"/>
      <c r="I999" s="297"/>
      <c r="J999" s="297"/>
      <c r="K999" s="297"/>
      <c r="L999" s="216">
        <f t="shared" si="30"/>
        <v>0</v>
      </c>
      <c r="M999" s="159" t="str">
        <f t="shared" si="31"/>
        <v/>
      </c>
      <c r="O999" s="158"/>
    </row>
    <row r="1000" spans="1:15" x14ac:dyDescent="0.25">
      <c r="A1000" s="126"/>
      <c r="B1000" s="296"/>
      <c r="C1000" s="126"/>
      <c r="D1000" s="126"/>
      <c r="E1000" s="126"/>
      <c r="F1000" s="126"/>
      <c r="G1000" s="298"/>
      <c r="H1000" s="126"/>
      <c r="I1000" s="297"/>
      <c r="J1000" s="297"/>
      <c r="K1000" s="297"/>
      <c r="L1000" s="216">
        <f t="shared" si="30"/>
        <v>0</v>
      </c>
      <c r="M1000" s="159" t="str">
        <f t="shared" si="31"/>
        <v/>
      </c>
      <c r="O1000" s="158"/>
    </row>
    <row r="1001" spans="1:15" x14ac:dyDescent="0.25">
      <c r="A1001" s="126"/>
      <c r="B1001" s="296"/>
      <c r="C1001" s="126"/>
      <c r="D1001" s="126"/>
      <c r="E1001" s="126"/>
      <c r="F1001" s="126"/>
      <c r="G1001" s="298"/>
      <c r="H1001" s="126"/>
      <c r="I1001" s="297"/>
      <c r="J1001" s="297"/>
      <c r="K1001" s="297"/>
      <c r="L1001" s="216">
        <f t="shared" si="30"/>
        <v>0</v>
      </c>
      <c r="M1001" s="159" t="str">
        <f t="shared" si="31"/>
        <v/>
      </c>
      <c r="O1001" s="158"/>
    </row>
    <row r="1002" spans="1:15" x14ac:dyDescent="0.25">
      <c r="A1002" s="126"/>
      <c r="B1002" s="296"/>
      <c r="C1002" s="126"/>
      <c r="D1002" s="126"/>
      <c r="E1002" s="126"/>
      <c r="F1002" s="126"/>
      <c r="G1002" s="298"/>
      <c r="H1002" s="126"/>
      <c r="I1002" s="297"/>
      <c r="J1002" s="297"/>
      <c r="K1002" s="297"/>
      <c r="L1002" s="216">
        <f t="shared" si="30"/>
        <v>0</v>
      </c>
      <c r="M1002" s="159" t="str">
        <f t="shared" si="31"/>
        <v/>
      </c>
      <c r="O1002" s="158"/>
    </row>
    <row r="1003" spans="1:15" x14ac:dyDescent="0.25">
      <c r="A1003" s="126"/>
      <c r="B1003" s="296"/>
      <c r="C1003" s="126"/>
      <c r="D1003" s="126"/>
      <c r="E1003" s="126"/>
      <c r="F1003" s="126"/>
      <c r="G1003" s="298"/>
      <c r="H1003" s="126"/>
      <c r="I1003" s="297"/>
      <c r="J1003" s="297"/>
      <c r="K1003" s="297"/>
      <c r="L1003" s="216">
        <f t="shared" si="30"/>
        <v>0</v>
      </c>
      <c r="M1003" s="159" t="str">
        <f t="shared" si="31"/>
        <v/>
      </c>
      <c r="O1003" s="158"/>
    </row>
    <row r="1004" spans="1:15" x14ac:dyDescent="0.25">
      <c r="A1004" s="126"/>
      <c r="B1004" s="296"/>
      <c r="C1004" s="126"/>
      <c r="D1004" s="126"/>
      <c r="E1004" s="126"/>
      <c r="F1004" s="126"/>
      <c r="G1004" s="298"/>
      <c r="H1004" s="126"/>
      <c r="I1004" s="297"/>
      <c r="J1004" s="297"/>
      <c r="K1004" s="297"/>
      <c r="L1004" s="216">
        <f t="shared" si="30"/>
        <v>0</v>
      </c>
      <c r="M1004" s="159" t="str">
        <f t="shared" si="31"/>
        <v/>
      </c>
      <c r="O1004" s="158"/>
    </row>
    <row r="1005" spans="1:15" x14ac:dyDescent="0.25">
      <c r="A1005" s="126"/>
      <c r="B1005" s="296"/>
      <c r="C1005" s="126"/>
      <c r="D1005" s="126"/>
      <c r="E1005" s="126"/>
      <c r="F1005" s="126"/>
      <c r="G1005" s="298"/>
      <c r="H1005" s="126"/>
      <c r="I1005" s="297"/>
      <c r="J1005" s="297"/>
      <c r="K1005" s="297"/>
      <c r="L1005" s="216">
        <f t="shared" si="30"/>
        <v>0</v>
      </c>
      <c r="M1005" s="159" t="str">
        <f t="shared" si="31"/>
        <v/>
      </c>
      <c r="O1005" s="158"/>
    </row>
    <row r="1006" spans="1:15" x14ac:dyDescent="0.25">
      <c r="A1006" s="126"/>
      <c r="B1006" s="296"/>
      <c r="C1006" s="126"/>
      <c r="D1006" s="126"/>
      <c r="E1006" s="126"/>
      <c r="F1006" s="126"/>
      <c r="G1006" s="298"/>
      <c r="H1006" s="126"/>
      <c r="I1006" s="297"/>
      <c r="J1006" s="297"/>
      <c r="K1006" s="297"/>
      <c r="L1006" s="216">
        <f t="shared" si="30"/>
        <v>0</v>
      </c>
      <c r="M1006" s="159" t="str">
        <f t="shared" si="31"/>
        <v/>
      </c>
      <c r="O1006" s="158"/>
    </row>
    <row r="1007" spans="1:15" x14ac:dyDescent="0.25">
      <c r="A1007" s="126"/>
      <c r="B1007" s="296"/>
      <c r="C1007" s="126"/>
      <c r="D1007" s="126"/>
      <c r="E1007" s="126"/>
      <c r="F1007" s="126"/>
      <c r="G1007" s="298"/>
      <c r="H1007" s="126"/>
      <c r="I1007" s="297"/>
      <c r="J1007" s="297"/>
      <c r="K1007" s="297"/>
      <c r="L1007" s="216">
        <f t="shared" si="30"/>
        <v>0</v>
      </c>
      <c r="M1007" s="159" t="str">
        <f t="shared" si="31"/>
        <v/>
      </c>
      <c r="O1007" s="158"/>
    </row>
    <row r="1008" spans="1:15" x14ac:dyDescent="0.25">
      <c r="A1008" s="126"/>
      <c r="B1008" s="296"/>
      <c r="C1008" s="126"/>
      <c r="D1008" s="126"/>
      <c r="E1008" s="126"/>
      <c r="F1008" s="126"/>
      <c r="G1008" s="298"/>
      <c r="H1008" s="126"/>
      <c r="I1008" s="297"/>
      <c r="J1008" s="297"/>
      <c r="K1008" s="297"/>
      <c r="L1008" s="216">
        <f t="shared" si="30"/>
        <v>0</v>
      </c>
      <c r="M1008" s="159" t="str">
        <f t="shared" si="31"/>
        <v/>
      </c>
      <c r="O1008" s="158"/>
    </row>
    <row r="1009" spans="1:15" x14ac:dyDescent="0.25">
      <c r="A1009" s="126"/>
      <c r="B1009" s="296"/>
      <c r="C1009" s="126"/>
      <c r="D1009" s="126"/>
      <c r="E1009" s="126"/>
      <c r="F1009" s="126"/>
      <c r="G1009" s="298"/>
      <c r="H1009" s="126"/>
      <c r="I1009" s="297"/>
      <c r="J1009" s="297"/>
      <c r="K1009" s="297"/>
      <c r="L1009" s="216">
        <f t="shared" si="30"/>
        <v>0</v>
      </c>
      <c r="M1009" s="159" t="str">
        <f t="shared" si="31"/>
        <v/>
      </c>
      <c r="O1009" s="158"/>
    </row>
    <row r="1010" spans="1:15" x14ac:dyDescent="0.25">
      <c r="A1010" s="126"/>
      <c r="B1010" s="296"/>
      <c r="C1010" s="126"/>
      <c r="D1010" s="126"/>
      <c r="E1010" s="126"/>
      <c r="F1010" s="126"/>
      <c r="G1010" s="298"/>
      <c r="H1010" s="126"/>
      <c r="I1010" s="297"/>
      <c r="J1010" s="297"/>
      <c r="K1010" s="297"/>
      <c r="L1010" s="216">
        <f t="shared" si="30"/>
        <v>0</v>
      </c>
      <c r="M1010" s="159" t="str">
        <f t="shared" si="31"/>
        <v/>
      </c>
      <c r="O1010" s="158"/>
    </row>
    <row r="1011" spans="1:15" x14ac:dyDescent="0.25">
      <c r="A1011" s="126"/>
      <c r="B1011" s="296"/>
      <c r="C1011" s="126"/>
      <c r="D1011" s="126"/>
      <c r="E1011" s="126"/>
      <c r="F1011" s="126"/>
      <c r="G1011" s="298"/>
      <c r="H1011" s="126"/>
      <c r="I1011" s="297"/>
      <c r="J1011" s="297"/>
      <c r="K1011" s="297"/>
      <c r="L1011" s="216">
        <f t="shared" si="30"/>
        <v>0</v>
      </c>
      <c r="M1011" s="159" t="str">
        <f t="shared" si="31"/>
        <v/>
      </c>
      <c r="O1011" s="158"/>
    </row>
    <row r="1012" spans="1:15" x14ac:dyDescent="0.25">
      <c r="A1012" s="126"/>
      <c r="B1012" s="296"/>
      <c r="C1012" s="126"/>
      <c r="D1012" s="126"/>
      <c r="E1012" s="126"/>
      <c r="F1012" s="126"/>
      <c r="G1012" s="298"/>
      <c r="H1012" s="126"/>
      <c r="I1012" s="297"/>
      <c r="J1012" s="297"/>
      <c r="K1012" s="297"/>
      <c r="L1012" s="216">
        <f t="shared" si="30"/>
        <v>0</v>
      </c>
      <c r="M1012" s="159" t="str">
        <f t="shared" si="31"/>
        <v/>
      </c>
      <c r="O1012" s="158"/>
    </row>
    <row r="1013" spans="1:15" x14ac:dyDescent="0.25">
      <c r="A1013" s="126"/>
      <c r="B1013" s="296"/>
      <c r="C1013" s="126"/>
      <c r="D1013" s="126"/>
      <c r="E1013" s="126"/>
      <c r="F1013" s="126"/>
      <c r="G1013" s="298"/>
      <c r="H1013" s="126"/>
      <c r="I1013" s="297"/>
      <c r="J1013" s="297"/>
      <c r="K1013" s="297"/>
      <c r="L1013" s="216">
        <f t="shared" si="30"/>
        <v>0</v>
      </c>
      <c r="M1013" s="159" t="str">
        <f t="shared" si="31"/>
        <v/>
      </c>
      <c r="O1013" s="158"/>
    </row>
    <row r="1014" spans="1:15" x14ac:dyDescent="0.25">
      <c r="A1014" s="126"/>
      <c r="B1014" s="296"/>
      <c r="C1014" s="126"/>
      <c r="D1014" s="126"/>
      <c r="E1014" s="126"/>
      <c r="F1014" s="126"/>
      <c r="G1014" s="298"/>
      <c r="H1014" s="126"/>
      <c r="I1014" s="297"/>
      <c r="J1014" s="297"/>
      <c r="K1014" s="297"/>
      <c r="L1014" s="216">
        <f t="shared" si="30"/>
        <v>0</v>
      </c>
      <c r="M1014" s="159" t="str">
        <f t="shared" si="31"/>
        <v/>
      </c>
      <c r="O1014" s="158"/>
    </row>
    <row r="1015" spans="1:15" x14ac:dyDescent="0.25">
      <c r="A1015" s="126"/>
      <c r="B1015" s="296"/>
      <c r="C1015" s="126"/>
      <c r="D1015" s="126"/>
      <c r="E1015" s="126"/>
      <c r="F1015" s="126"/>
      <c r="G1015" s="298"/>
      <c r="H1015" s="126"/>
      <c r="I1015" s="297"/>
      <c r="J1015" s="297"/>
      <c r="K1015" s="297"/>
      <c r="L1015" s="216">
        <f t="shared" si="30"/>
        <v>0</v>
      </c>
      <c r="M1015" s="159" t="str">
        <f t="shared" si="31"/>
        <v/>
      </c>
      <c r="O1015" s="158"/>
    </row>
    <row r="1016" spans="1:15" x14ac:dyDescent="0.25">
      <c r="A1016" s="126"/>
      <c r="B1016" s="296"/>
      <c r="C1016" s="126"/>
      <c r="D1016" s="126"/>
      <c r="E1016" s="126"/>
      <c r="F1016" s="126"/>
      <c r="G1016" s="298"/>
      <c r="H1016" s="126"/>
      <c r="I1016" s="297"/>
      <c r="J1016" s="297"/>
      <c r="K1016" s="297"/>
      <c r="L1016" s="216">
        <f t="shared" si="30"/>
        <v>0</v>
      </c>
      <c r="M1016" s="159" t="str">
        <f t="shared" si="31"/>
        <v/>
      </c>
      <c r="O1016" s="158"/>
    </row>
    <row r="1017" spans="1:15" x14ac:dyDescent="0.25">
      <c r="A1017" s="126"/>
      <c r="B1017" s="296"/>
      <c r="C1017" s="126"/>
      <c r="D1017" s="126"/>
      <c r="E1017" s="126"/>
      <c r="F1017" s="126"/>
      <c r="G1017" s="298"/>
      <c r="H1017" s="126"/>
      <c r="I1017" s="297"/>
      <c r="J1017" s="297"/>
      <c r="K1017" s="297"/>
      <c r="L1017" s="216">
        <f t="shared" si="30"/>
        <v>0</v>
      </c>
      <c r="M1017" s="159" t="str">
        <f t="shared" si="31"/>
        <v/>
      </c>
      <c r="O1017" s="158"/>
    </row>
    <row r="1018" spans="1:15" x14ac:dyDescent="0.25">
      <c r="A1018" s="126"/>
      <c r="B1018" s="296"/>
      <c r="C1018" s="126"/>
      <c r="D1018" s="126"/>
      <c r="E1018" s="126"/>
      <c r="F1018" s="126"/>
      <c r="G1018" s="298"/>
      <c r="H1018" s="126"/>
      <c r="I1018" s="297"/>
      <c r="J1018" s="297"/>
      <c r="K1018" s="297"/>
      <c r="L1018" s="216">
        <f t="shared" si="30"/>
        <v>0</v>
      </c>
      <c r="M1018" s="159" t="str">
        <f t="shared" si="31"/>
        <v/>
      </c>
      <c r="O1018" s="158"/>
    </row>
    <row r="1019" spans="1:15" x14ac:dyDescent="0.25">
      <c r="A1019" s="126"/>
      <c r="B1019" s="296"/>
      <c r="C1019" s="126"/>
      <c r="D1019" s="126"/>
      <c r="E1019" s="126"/>
      <c r="F1019" s="126"/>
      <c r="G1019" s="298"/>
      <c r="H1019" s="126"/>
      <c r="I1019" s="297"/>
      <c r="J1019" s="297"/>
      <c r="K1019" s="297"/>
      <c r="L1019" s="216">
        <f t="shared" si="30"/>
        <v>0</v>
      </c>
      <c r="M1019" s="159" t="str">
        <f t="shared" si="31"/>
        <v/>
      </c>
      <c r="O1019" s="158"/>
    </row>
    <row r="1020" spans="1:15" x14ac:dyDescent="0.25">
      <c r="A1020" s="126"/>
      <c r="B1020" s="296"/>
      <c r="C1020" s="126"/>
      <c r="D1020" s="126"/>
      <c r="E1020" s="126"/>
      <c r="F1020" s="126"/>
      <c r="G1020" s="298"/>
      <c r="H1020" s="126"/>
      <c r="I1020" s="297"/>
      <c r="J1020" s="297"/>
      <c r="K1020" s="297"/>
      <c r="L1020" s="216">
        <f t="shared" si="30"/>
        <v>0</v>
      </c>
      <c r="M1020" s="159" t="str">
        <f t="shared" si="31"/>
        <v/>
      </c>
      <c r="O1020" s="158"/>
    </row>
    <row r="1021" spans="1:15" x14ac:dyDescent="0.25">
      <c r="A1021" s="126"/>
      <c r="B1021" s="296"/>
      <c r="C1021" s="126"/>
      <c r="D1021" s="126"/>
      <c r="E1021" s="126"/>
      <c r="F1021" s="126"/>
      <c r="G1021" s="298"/>
      <c r="H1021" s="126"/>
      <c r="I1021" s="297"/>
      <c r="J1021" s="297"/>
      <c r="K1021" s="297"/>
      <c r="L1021" s="216">
        <f t="shared" si="30"/>
        <v>0</v>
      </c>
      <c r="M1021" s="159" t="str">
        <f t="shared" si="31"/>
        <v/>
      </c>
      <c r="O1021" s="158"/>
    </row>
    <row r="1022" spans="1:15" x14ac:dyDescent="0.25">
      <c r="A1022" s="126"/>
      <c r="B1022" s="296"/>
      <c r="C1022" s="126"/>
      <c r="D1022" s="126"/>
      <c r="E1022" s="126"/>
      <c r="F1022" s="126"/>
      <c r="G1022" s="298"/>
      <c r="H1022" s="126"/>
      <c r="I1022" s="297"/>
      <c r="J1022" s="297"/>
      <c r="K1022" s="297"/>
      <c r="L1022" s="216">
        <f t="shared" si="30"/>
        <v>0</v>
      </c>
      <c r="M1022" s="159" t="str">
        <f t="shared" si="31"/>
        <v/>
      </c>
      <c r="O1022" s="158"/>
    </row>
    <row r="1023" spans="1:15" x14ac:dyDescent="0.25">
      <c r="A1023" s="126"/>
      <c r="B1023" s="296"/>
      <c r="C1023" s="126"/>
      <c r="D1023" s="126"/>
      <c r="E1023" s="126"/>
      <c r="F1023" s="126"/>
      <c r="G1023" s="298"/>
      <c r="H1023" s="126"/>
      <c r="I1023" s="297"/>
      <c r="J1023" s="297"/>
      <c r="K1023" s="297"/>
      <c r="L1023" s="216">
        <f t="shared" si="30"/>
        <v>0</v>
      </c>
      <c r="M1023" s="159" t="str">
        <f t="shared" si="31"/>
        <v/>
      </c>
      <c r="O1023" s="158"/>
    </row>
    <row r="1024" spans="1:15" x14ac:dyDescent="0.25">
      <c r="A1024" s="126"/>
      <c r="B1024" s="296"/>
      <c r="C1024" s="126"/>
      <c r="D1024" s="126"/>
      <c r="E1024" s="126"/>
      <c r="F1024" s="126"/>
      <c r="G1024" s="298"/>
      <c r="H1024" s="126"/>
      <c r="I1024" s="297"/>
      <c r="J1024" s="297"/>
      <c r="K1024" s="297"/>
      <c r="L1024" s="216">
        <f t="shared" si="30"/>
        <v>0</v>
      </c>
      <c r="M1024" s="159" t="str">
        <f t="shared" si="31"/>
        <v/>
      </c>
      <c r="O1024" s="158"/>
    </row>
    <row r="1025" spans="1:15" x14ac:dyDescent="0.25">
      <c r="A1025" s="126"/>
      <c r="B1025" s="296"/>
      <c r="C1025" s="126"/>
      <c r="D1025" s="126"/>
      <c r="E1025" s="126"/>
      <c r="F1025" s="126"/>
      <c r="G1025" s="298"/>
      <c r="H1025" s="126"/>
      <c r="I1025" s="297"/>
      <c r="J1025" s="297"/>
      <c r="K1025" s="297"/>
      <c r="L1025" s="216">
        <f t="shared" si="30"/>
        <v>0</v>
      </c>
      <c r="M1025" s="159" t="str">
        <f t="shared" si="31"/>
        <v/>
      </c>
      <c r="O1025" s="158"/>
    </row>
    <row r="1026" spans="1:15" x14ac:dyDescent="0.25">
      <c r="A1026" s="126"/>
      <c r="B1026" s="296"/>
      <c r="C1026" s="126"/>
      <c r="D1026" s="126"/>
      <c r="E1026" s="126"/>
      <c r="F1026" s="126"/>
      <c r="G1026" s="298"/>
      <c r="H1026" s="126"/>
      <c r="I1026" s="297"/>
      <c r="J1026" s="297"/>
      <c r="K1026" s="297"/>
      <c r="L1026" s="216">
        <f t="shared" ref="L1026:L1089" si="32">K1026*1.1</f>
        <v>0</v>
      </c>
      <c r="M1026" s="159" t="str">
        <f t="shared" ref="M1026:M1089" si="33">IF(ISNUMBER(SEARCH("Azarine",H1026)),"AZARINE",IF(ISNUMBER(SEARCH("Baking Soda",H1026)),"BAKING SODA",IF(ISNUMBER(SEARCH("Fujitsu",H1026)),"FUJITSU",IF(ISNUMBER(SEARCH("Coleman",H1026)),"COLEMAN",""))))</f>
        <v/>
      </c>
      <c r="O1026" s="158"/>
    </row>
    <row r="1027" spans="1:15" x14ac:dyDescent="0.25">
      <c r="A1027" s="126"/>
      <c r="B1027" s="296"/>
      <c r="C1027" s="126"/>
      <c r="D1027" s="126"/>
      <c r="E1027" s="126"/>
      <c r="F1027" s="126"/>
      <c r="G1027" s="298"/>
      <c r="H1027" s="126"/>
      <c r="I1027" s="297"/>
      <c r="J1027" s="297"/>
      <c r="K1027" s="297"/>
      <c r="L1027" s="216">
        <f t="shared" si="32"/>
        <v>0</v>
      </c>
      <c r="M1027" s="159" t="str">
        <f t="shared" si="33"/>
        <v/>
      </c>
      <c r="O1027" s="158"/>
    </row>
    <row r="1028" spans="1:15" x14ac:dyDescent="0.25">
      <c r="A1028" s="126"/>
      <c r="B1028" s="296"/>
      <c r="C1028" s="126"/>
      <c r="D1028" s="126"/>
      <c r="E1028" s="126"/>
      <c r="F1028" s="126"/>
      <c r="G1028" s="298"/>
      <c r="H1028" s="126"/>
      <c r="I1028" s="297"/>
      <c r="J1028" s="297"/>
      <c r="K1028" s="297"/>
      <c r="L1028" s="216">
        <f t="shared" si="32"/>
        <v>0</v>
      </c>
      <c r="M1028" s="159" t="str">
        <f t="shared" si="33"/>
        <v/>
      </c>
      <c r="O1028" s="158"/>
    </row>
    <row r="1029" spans="1:15" x14ac:dyDescent="0.25">
      <c r="A1029" s="126"/>
      <c r="B1029" s="296"/>
      <c r="C1029" s="126"/>
      <c r="D1029" s="126"/>
      <c r="E1029" s="126"/>
      <c r="F1029" s="126"/>
      <c r="G1029" s="298"/>
      <c r="H1029" s="126"/>
      <c r="I1029" s="297"/>
      <c r="J1029" s="297"/>
      <c r="K1029" s="297"/>
      <c r="L1029" s="216">
        <f t="shared" si="32"/>
        <v>0</v>
      </c>
      <c r="M1029" s="159" t="str">
        <f t="shared" si="33"/>
        <v/>
      </c>
      <c r="O1029" s="158"/>
    </row>
    <row r="1030" spans="1:15" x14ac:dyDescent="0.25">
      <c r="A1030" s="126"/>
      <c r="B1030" s="296"/>
      <c r="C1030" s="126"/>
      <c r="D1030" s="126"/>
      <c r="E1030" s="126"/>
      <c r="F1030" s="126"/>
      <c r="G1030" s="298"/>
      <c r="H1030" s="126"/>
      <c r="I1030" s="297"/>
      <c r="J1030" s="297"/>
      <c r="K1030" s="297"/>
      <c r="L1030" s="216">
        <f t="shared" si="32"/>
        <v>0</v>
      </c>
      <c r="M1030" s="159" t="str">
        <f t="shared" si="33"/>
        <v/>
      </c>
      <c r="O1030" s="158"/>
    </row>
    <row r="1031" spans="1:15" x14ac:dyDescent="0.25">
      <c r="A1031" s="126"/>
      <c r="B1031" s="296"/>
      <c r="C1031" s="126"/>
      <c r="D1031" s="126"/>
      <c r="E1031" s="126"/>
      <c r="F1031" s="126"/>
      <c r="G1031" s="298"/>
      <c r="H1031" s="126"/>
      <c r="I1031" s="297"/>
      <c r="J1031" s="297"/>
      <c r="K1031" s="297"/>
      <c r="L1031" s="216">
        <f t="shared" si="32"/>
        <v>0</v>
      </c>
      <c r="M1031" s="159" t="str">
        <f t="shared" si="33"/>
        <v/>
      </c>
      <c r="O1031" s="158"/>
    </row>
    <row r="1032" spans="1:15" x14ac:dyDescent="0.25">
      <c r="A1032" s="126"/>
      <c r="B1032" s="296"/>
      <c r="C1032" s="126"/>
      <c r="D1032" s="126"/>
      <c r="E1032" s="126"/>
      <c r="F1032" s="126"/>
      <c r="G1032" s="298"/>
      <c r="H1032" s="126"/>
      <c r="I1032" s="297"/>
      <c r="J1032" s="297"/>
      <c r="K1032" s="297"/>
      <c r="L1032" s="216">
        <f t="shared" si="32"/>
        <v>0</v>
      </c>
      <c r="M1032" s="159" t="str">
        <f t="shared" si="33"/>
        <v/>
      </c>
      <c r="O1032" s="158"/>
    </row>
    <row r="1033" spans="1:15" x14ac:dyDescent="0.25">
      <c r="A1033" s="126"/>
      <c r="B1033" s="296"/>
      <c r="C1033" s="126"/>
      <c r="D1033" s="126"/>
      <c r="E1033" s="126"/>
      <c r="F1033" s="126"/>
      <c r="G1033" s="298"/>
      <c r="H1033" s="126"/>
      <c r="I1033" s="297"/>
      <c r="J1033" s="297"/>
      <c r="K1033" s="297"/>
      <c r="L1033" s="216">
        <f t="shared" si="32"/>
        <v>0</v>
      </c>
      <c r="M1033" s="159" t="str">
        <f t="shared" si="33"/>
        <v/>
      </c>
      <c r="O1033" s="158"/>
    </row>
    <row r="1034" spans="1:15" x14ac:dyDescent="0.25">
      <c r="A1034" s="126"/>
      <c r="B1034" s="296"/>
      <c r="C1034" s="126"/>
      <c r="D1034" s="126"/>
      <c r="E1034" s="126"/>
      <c r="F1034" s="126"/>
      <c r="G1034" s="298"/>
      <c r="H1034" s="126"/>
      <c r="I1034" s="297"/>
      <c r="J1034" s="297"/>
      <c r="K1034" s="297"/>
      <c r="L1034" s="216">
        <f t="shared" si="32"/>
        <v>0</v>
      </c>
      <c r="M1034" s="159" t="str">
        <f t="shared" si="33"/>
        <v/>
      </c>
      <c r="O1034" s="158"/>
    </row>
    <row r="1035" spans="1:15" x14ac:dyDescent="0.25">
      <c r="A1035" s="126"/>
      <c r="B1035" s="296"/>
      <c r="C1035" s="126"/>
      <c r="D1035" s="126"/>
      <c r="E1035" s="126"/>
      <c r="F1035" s="126"/>
      <c r="G1035" s="298"/>
      <c r="H1035" s="126"/>
      <c r="I1035" s="297"/>
      <c r="J1035" s="297"/>
      <c r="K1035" s="297"/>
      <c r="L1035" s="216">
        <f t="shared" si="32"/>
        <v>0</v>
      </c>
      <c r="M1035" s="159" t="str">
        <f t="shared" si="33"/>
        <v/>
      </c>
      <c r="O1035" s="158"/>
    </row>
    <row r="1036" spans="1:15" x14ac:dyDescent="0.25">
      <c r="A1036" s="126"/>
      <c r="B1036" s="296"/>
      <c r="C1036" s="126"/>
      <c r="D1036" s="126"/>
      <c r="E1036" s="126"/>
      <c r="F1036" s="126"/>
      <c r="G1036" s="298"/>
      <c r="H1036" s="126"/>
      <c r="I1036" s="297"/>
      <c r="J1036" s="297"/>
      <c r="K1036" s="297"/>
      <c r="L1036" s="216">
        <f t="shared" si="32"/>
        <v>0</v>
      </c>
      <c r="M1036" s="159" t="str">
        <f t="shared" si="33"/>
        <v/>
      </c>
      <c r="O1036" s="158"/>
    </row>
    <row r="1037" spans="1:15" x14ac:dyDescent="0.25">
      <c r="A1037" s="126"/>
      <c r="B1037" s="296"/>
      <c r="C1037" s="126"/>
      <c r="D1037" s="126"/>
      <c r="E1037" s="126"/>
      <c r="F1037" s="126"/>
      <c r="G1037" s="298"/>
      <c r="H1037" s="126"/>
      <c r="I1037" s="297"/>
      <c r="J1037" s="297"/>
      <c r="K1037" s="297"/>
      <c r="L1037" s="216">
        <f t="shared" si="32"/>
        <v>0</v>
      </c>
      <c r="M1037" s="159" t="str">
        <f t="shared" si="33"/>
        <v/>
      </c>
      <c r="O1037" s="158"/>
    </row>
    <row r="1038" spans="1:15" x14ac:dyDescent="0.25">
      <c r="A1038" s="126"/>
      <c r="B1038" s="296"/>
      <c r="C1038" s="126"/>
      <c r="D1038" s="126"/>
      <c r="E1038" s="126"/>
      <c r="F1038" s="126"/>
      <c r="G1038" s="298"/>
      <c r="H1038" s="126"/>
      <c r="I1038" s="297"/>
      <c r="J1038" s="297"/>
      <c r="K1038" s="297"/>
      <c r="L1038" s="216">
        <f t="shared" si="32"/>
        <v>0</v>
      </c>
      <c r="M1038" s="159" t="str">
        <f t="shared" si="33"/>
        <v/>
      </c>
      <c r="O1038" s="158"/>
    </row>
    <row r="1039" spans="1:15" x14ac:dyDescent="0.25">
      <c r="A1039" s="126"/>
      <c r="B1039" s="296"/>
      <c r="C1039" s="126"/>
      <c r="D1039" s="126"/>
      <c r="E1039" s="126"/>
      <c r="F1039" s="126"/>
      <c r="G1039" s="298"/>
      <c r="H1039" s="126"/>
      <c r="I1039" s="297"/>
      <c r="J1039" s="297"/>
      <c r="K1039" s="297"/>
      <c r="L1039" s="216">
        <f t="shared" si="32"/>
        <v>0</v>
      </c>
      <c r="M1039" s="159" t="str">
        <f t="shared" si="33"/>
        <v/>
      </c>
      <c r="O1039" s="158"/>
    </row>
    <row r="1040" spans="1:15" x14ac:dyDescent="0.25">
      <c r="A1040" s="126"/>
      <c r="B1040" s="296"/>
      <c r="C1040" s="126"/>
      <c r="D1040" s="126"/>
      <c r="E1040" s="126"/>
      <c r="F1040" s="126"/>
      <c r="G1040" s="298"/>
      <c r="H1040" s="126"/>
      <c r="I1040" s="297"/>
      <c r="J1040" s="297"/>
      <c r="K1040" s="297"/>
      <c r="L1040" s="216">
        <f t="shared" si="32"/>
        <v>0</v>
      </c>
      <c r="M1040" s="159" t="str">
        <f t="shared" si="33"/>
        <v/>
      </c>
      <c r="O1040" s="158"/>
    </row>
    <row r="1041" spans="1:15" x14ac:dyDescent="0.25">
      <c r="A1041" s="126"/>
      <c r="B1041" s="296"/>
      <c r="C1041" s="126"/>
      <c r="D1041" s="126"/>
      <c r="E1041" s="126"/>
      <c r="F1041" s="126"/>
      <c r="G1041" s="298"/>
      <c r="H1041" s="126"/>
      <c r="I1041" s="297"/>
      <c r="J1041" s="297"/>
      <c r="K1041" s="297"/>
      <c r="L1041" s="216">
        <f t="shared" si="32"/>
        <v>0</v>
      </c>
      <c r="M1041" s="159" t="str">
        <f t="shared" si="33"/>
        <v/>
      </c>
      <c r="O1041" s="158"/>
    </row>
    <row r="1042" spans="1:15" x14ac:dyDescent="0.25">
      <c r="A1042" s="126"/>
      <c r="B1042" s="296"/>
      <c r="C1042" s="126"/>
      <c r="D1042" s="126"/>
      <c r="E1042" s="126"/>
      <c r="F1042" s="126"/>
      <c r="G1042" s="298"/>
      <c r="H1042" s="126"/>
      <c r="I1042" s="297"/>
      <c r="J1042" s="297"/>
      <c r="K1042" s="297"/>
      <c r="L1042" s="216">
        <f t="shared" si="32"/>
        <v>0</v>
      </c>
      <c r="M1042" s="159" t="str">
        <f t="shared" si="33"/>
        <v/>
      </c>
      <c r="O1042" s="158"/>
    </row>
    <row r="1043" spans="1:15" x14ac:dyDescent="0.25">
      <c r="A1043" s="126"/>
      <c r="B1043" s="296"/>
      <c r="C1043" s="126"/>
      <c r="D1043" s="126"/>
      <c r="E1043" s="126"/>
      <c r="F1043" s="126"/>
      <c r="G1043" s="298"/>
      <c r="H1043" s="126"/>
      <c r="I1043" s="297"/>
      <c r="J1043" s="297"/>
      <c r="K1043" s="297"/>
      <c r="L1043" s="216">
        <f t="shared" si="32"/>
        <v>0</v>
      </c>
      <c r="M1043" s="159" t="str">
        <f t="shared" si="33"/>
        <v/>
      </c>
      <c r="O1043" s="158"/>
    </row>
    <row r="1044" spans="1:15" x14ac:dyDescent="0.25">
      <c r="A1044" s="126"/>
      <c r="B1044" s="296"/>
      <c r="C1044" s="126"/>
      <c r="D1044" s="126"/>
      <c r="E1044" s="126"/>
      <c r="F1044" s="126"/>
      <c r="G1044" s="298"/>
      <c r="H1044" s="126"/>
      <c r="I1044" s="297"/>
      <c r="J1044" s="297"/>
      <c r="K1044" s="297"/>
      <c r="L1044" s="216">
        <f t="shared" si="32"/>
        <v>0</v>
      </c>
      <c r="M1044" s="159" t="str">
        <f t="shared" si="33"/>
        <v/>
      </c>
      <c r="O1044" s="158"/>
    </row>
    <row r="1045" spans="1:15" x14ac:dyDescent="0.25">
      <c r="A1045" s="126"/>
      <c r="B1045" s="296"/>
      <c r="C1045" s="126"/>
      <c r="D1045" s="126"/>
      <c r="E1045" s="126"/>
      <c r="F1045" s="126"/>
      <c r="G1045" s="298"/>
      <c r="H1045" s="126"/>
      <c r="I1045" s="297"/>
      <c r="J1045" s="297"/>
      <c r="K1045" s="297"/>
      <c r="L1045" s="216">
        <f t="shared" si="32"/>
        <v>0</v>
      </c>
      <c r="M1045" s="159" t="str">
        <f t="shared" si="33"/>
        <v/>
      </c>
      <c r="O1045" s="158"/>
    </row>
    <row r="1046" spans="1:15" x14ac:dyDescent="0.25">
      <c r="A1046" s="126"/>
      <c r="B1046" s="296"/>
      <c r="C1046" s="126"/>
      <c r="D1046" s="126"/>
      <c r="E1046" s="126"/>
      <c r="F1046" s="126"/>
      <c r="G1046" s="298"/>
      <c r="H1046" s="126"/>
      <c r="I1046" s="297"/>
      <c r="J1046" s="297"/>
      <c r="K1046" s="297"/>
      <c r="L1046" s="216">
        <f t="shared" si="32"/>
        <v>0</v>
      </c>
      <c r="M1046" s="159" t="str">
        <f t="shared" si="33"/>
        <v/>
      </c>
      <c r="O1046" s="158"/>
    </row>
    <row r="1047" spans="1:15" x14ac:dyDescent="0.25">
      <c r="A1047" s="126"/>
      <c r="B1047" s="296"/>
      <c r="C1047" s="126"/>
      <c r="D1047" s="126"/>
      <c r="E1047" s="126"/>
      <c r="F1047" s="126"/>
      <c r="G1047" s="298"/>
      <c r="H1047" s="126"/>
      <c r="I1047" s="297"/>
      <c r="J1047" s="297"/>
      <c r="K1047" s="297"/>
      <c r="L1047" s="216">
        <f t="shared" si="32"/>
        <v>0</v>
      </c>
      <c r="M1047" s="159" t="str">
        <f t="shared" si="33"/>
        <v/>
      </c>
      <c r="O1047" s="158"/>
    </row>
    <row r="1048" spans="1:15" x14ac:dyDescent="0.25">
      <c r="A1048" s="126"/>
      <c r="B1048" s="296"/>
      <c r="C1048" s="126"/>
      <c r="D1048" s="126"/>
      <c r="E1048" s="126"/>
      <c r="F1048" s="126"/>
      <c r="G1048" s="298"/>
      <c r="H1048" s="126"/>
      <c r="I1048" s="297"/>
      <c r="J1048" s="297"/>
      <c r="K1048" s="297"/>
      <c r="L1048" s="216">
        <f t="shared" si="32"/>
        <v>0</v>
      </c>
      <c r="M1048" s="159" t="str">
        <f t="shared" si="33"/>
        <v/>
      </c>
      <c r="O1048" s="158"/>
    </row>
    <row r="1049" spans="1:15" x14ac:dyDescent="0.25">
      <c r="A1049" s="126"/>
      <c r="B1049" s="296"/>
      <c r="C1049" s="126"/>
      <c r="D1049" s="126"/>
      <c r="E1049" s="126"/>
      <c r="F1049" s="126"/>
      <c r="G1049" s="298"/>
      <c r="H1049" s="126"/>
      <c r="I1049" s="297"/>
      <c r="J1049" s="297"/>
      <c r="K1049" s="297"/>
      <c r="L1049" s="216">
        <f t="shared" si="32"/>
        <v>0</v>
      </c>
      <c r="M1049" s="159" t="str">
        <f t="shared" si="33"/>
        <v/>
      </c>
      <c r="O1049" s="158"/>
    </row>
    <row r="1050" spans="1:15" x14ac:dyDescent="0.25">
      <c r="A1050" s="126"/>
      <c r="B1050" s="296"/>
      <c r="C1050" s="126"/>
      <c r="D1050" s="126"/>
      <c r="E1050" s="126"/>
      <c r="F1050" s="126"/>
      <c r="G1050" s="298"/>
      <c r="H1050" s="126"/>
      <c r="I1050" s="297"/>
      <c r="J1050" s="297"/>
      <c r="K1050" s="297"/>
      <c r="L1050" s="216">
        <f t="shared" si="32"/>
        <v>0</v>
      </c>
      <c r="M1050" s="159" t="str">
        <f t="shared" si="33"/>
        <v/>
      </c>
      <c r="O1050" s="158"/>
    </row>
    <row r="1051" spans="1:15" x14ac:dyDescent="0.25">
      <c r="A1051" s="126"/>
      <c r="B1051" s="296"/>
      <c r="C1051" s="126"/>
      <c r="D1051" s="126"/>
      <c r="E1051" s="126"/>
      <c r="F1051" s="126"/>
      <c r="G1051" s="298"/>
      <c r="H1051" s="126"/>
      <c r="I1051" s="297"/>
      <c r="J1051" s="297"/>
      <c r="K1051" s="297"/>
      <c r="L1051" s="216">
        <f t="shared" si="32"/>
        <v>0</v>
      </c>
      <c r="M1051" s="159" t="str">
        <f t="shared" si="33"/>
        <v/>
      </c>
      <c r="O1051" s="158"/>
    </row>
    <row r="1052" spans="1:15" x14ac:dyDescent="0.25">
      <c r="A1052" s="126"/>
      <c r="B1052" s="296"/>
      <c r="C1052" s="126"/>
      <c r="D1052" s="126"/>
      <c r="E1052" s="126"/>
      <c r="F1052" s="126"/>
      <c r="G1052" s="298"/>
      <c r="H1052" s="126"/>
      <c r="I1052" s="297"/>
      <c r="J1052" s="297"/>
      <c r="K1052" s="297"/>
      <c r="L1052" s="216">
        <f t="shared" si="32"/>
        <v>0</v>
      </c>
      <c r="M1052" s="159" t="str">
        <f t="shared" si="33"/>
        <v/>
      </c>
      <c r="O1052" s="158"/>
    </row>
    <row r="1053" spans="1:15" x14ac:dyDescent="0.25">
      <c r="A1053" s="126"/>
      <c r="B1053" s="296"/>
      <c r="C1053" s="126"/>
      <c r="D1053" s="126"/>
      <c r="E1053" s="126"/>
      <c r="F1053" s="126"/>
      <c r="G1053" s="298"/>
      <c r="H1053" s="126"/>
      <c r="I1053" s="297"/>
      <c r="J1053" s="297"/>
      <c r="K1053" s="297"/>
      <c r="L1053" s="216">
        <f t="shared" si="32"/>
        <v>0</v>
      </c>
      <c r="M1053" s="159" t="str">
        <f t="shared" si="33"/>
        <v/>
      </c>
      <c r="O1053" s="158"/>
    </row>
    <row r="1054" spans="1:15" x14ac:dyDescent="0.25">
      <c r="A1054" s="126"/>
      <c r="B1054" s="296"/>
      <c r="C1054" s="126"/>
      <c r="D1054" s="126"/>
      <c r="E1054" s="126"/>
      <c r="F1054" s="126"/>
      <c r="G1054" s="298"/>
      <c r="H1054" s="126"/>
      <c r="I1054" s="297"/>
      <c r="J1054" s="297"/>
      <c r="K1054" s="297"/>
      <c r="L1054" s="216">
        <f t="shared" si="32"/>
        <v>0</v>
      </c>
      <c r="M1054" s="159" t="str">
        <f t="shared" si="33"/>
        <v/>
      </c>
      <c r="O1054" s="158"/>
    </row>
    <row r="1055" spans="1:15" x14ac:dyDescent="0.25">
      <c r="A1055" s="126"/>
      <c r="B1055" s="296"/>
      <c r="C1055" s="126"/>
      <c r="D1055" s="126"/>
      <c r="E1055" s="126"/>
      <c r="F1055" s="126"/>
      <c r="G1055" s="298"/>
      <c r="H1055" s="126"/>
      <c r="I1055" s="297"/>
      <c r="J1055" s="297"/>
      <c r="K1055" s="297"/>
      <c r="L1055" s="216">
        <f t="shared" si="32"/>
        <v>0</v>
      </c>
      <c r="M1055" s="159" t="str">
        <f t="shared" si="33"/>
        <v/>
      </c>
      <c r="O1055" s="158"/>
    </row>
    <row r="1056" spans="1:15" x14ac:dyDescent="0.25">
      <c r="A1056" s="126"/>
      <c r="B1056" s="296"/>
      <c r="C1056" s="126"/>
      <c r="D1056" s="126"/>
      <c r="E1056" s="126"/>
      <c r="F1056" s="126"/>
      <c r="G1056" s="298"/>
      <c r="H1056" s="126"/>
      <c r="I1056" s="297"/>
      <c r="J1056" s="297"/>
      <c r="K1056" s="297"/>
      <c r="L1056" s="216">
        <f t="shared" si="32"/>
        <v>0</v>
      </c>
      <c r="M1056" s="159" t="str">
        <f t="shared" si="33"/>
        <v/>
      </c>
      <c r="O1056" s="158"/>
    </row>
    <row r="1057" spans="1:15" x14ac:dyDescent="0.25">
      <c r="A1057" s="126"/>
      <c r="B1057" s="296"/>
      <c r="C1057" s="126"/>
      <c r="D1057" s="126"/>
      <c r="E1057" s="126"/>
      <c r="F1057" s="126"/>
      <c r="G1057" s="298"/>
      <c r="H1057" s="126"/>
      <c r="I1057" s="297"/>
      <c r="J1057" s="297"/>
      <c r="K1057" s="297"/>
      <c r="L1057" s="216">
        <f t="shared" si="32"/>
        <v>0</v>
      </c>
      <c r="M1057" s="159" t="str">
        <f t="shared" si="33"/>
        <v/>
      </c>
      <c r="O1057" s="158"/>
    </row>
    <row r="1058" spans="1:15" x14ac:dyDescent="0.25">
      <c r="A1058" s="126"/>
      <c r="B1058" s="296"/>
      <c r="C1058" s="126"/>
      <c r="D1058" s="126"/>
      <c r="E1058" s="126"/>
      <c r="F1058" s="126"/>
      <c r="G1058" s="298"/>
      <c r="H1058" s="126"/>
      <c r="I1058" s="297"/>
      <c r="J1058" s="297"/>
      <c r="K1058" s="297"/>
      <c r="L1058" s="216">
        <f t="shared" si="32"/>
        <v>0</v>
      </c>
      <c r="M1058" s="159" t="str">
        <f t="shared" si="33"/>
        <v/>
      </c>
      <c r="O1058" s="158"/>
    </row>
    <row r="1059" spans="1:15" x14ac:dyDescent="0.25">
      <c r="A1059" s="126"/>
      <c r="B1059" s="296"/>
      <c r="C1059" s="126"/>
      <c r="D1059" s="126"/>
      <c r="E1059" s="126"/>
      <c r="F1059" s="126"/>
      <c r="G1059" s="298"/>
      <c r="H1059" s="126"/>
      <c r="I1059" s="297"/>
      <c r="J1059" s="297"/>
      <c r="K1059" s="297"/>
      <c r="L1059" s="216">
        <f t="shared" si="32"/>
        <v>0</v>
      </c>
      <c r="M1059" s="159" t="str">
        <f t="shared" si="33"/>
        <v/>
      </c>
      <c r="O1059" s="158"/>
    </row>
    <row r="1060" spans="1:15" x14ac:dyDescent="0.25">
      <c r="A1060" s="126"/>
      <c r="B1060" s="296"/>
      <c r="C1060" s="126"/>
      <c r="D1060" s="126"/>
      <c r="E1060" s="126"/>
      <c r="F1060" s="126"/>
      <c r="G1060" s="298"/>
      <c r="H1060" s="126"/>
      <c r="I1060" s="297"/>
      <c r="J1060" s="297"/>
      <c r="K1060" s="297"/>
      <c r="L1060" s="216">
        <f t="shared" si="32"/>
        <v>0</v>
      </c>
      <c r="M1060" s="159" t="str">
        <f t="shared" si="33"/>
        <v/>
      </c>
      <c r="O1060" s="158"/>
    </row>
    <row r="1061" spans="1:15" x14ac:dyDescent="0.25">
      <c r="A1061" s="126"/>
      <c r="B1061" s="296"/>
      <c r="C1061" s="126"/>
      <c r="D1061" s="126"/>
      <c r="E1061" s="126"/>
      <c r="F1061" s="126"/>
      <c r="G1061" s="298"/>
      <c r="H1061" s="126"/>
      <c r="I1061" s="297"/>
      <c r="J1061" s="297"/>
      <c r="K1061" s="297"/>
      <c r="L1061" s="216">
        <f t="shared" si="32"/>
        <v>0</v>
      </c>
      <c r="M1061" s="159" t="str">
        <f t="shared" si="33"/>
        <v/>
      </c>
      <c r="O1061" s="158"/>
    </row>
    <row r="1062" spans="1:15" x14ac:dyDescent="0.25">
      <c r="A1062" s="126"/>
      <c r="B1062" s="296"/>
      <c r="C1062" s="126"/>
      <c r="D1062" s="126"/>
      <c r="E1062" s="126"/>
      <c r="F1062" s="126"/>
      <c r="G1062" s="298"/>
      <c r="H1062" s="126"/>
      <c r="I1062" s="297"/>
      <c r="J1062" s="297"/>
      <c r="K1062" s="297"/>
      <c r="L1062" s="216">
        <f t="shared" si="32"/>
        <v>0</v>
      </c>
      <c r="M1062" s="159" t="str">
        <f t="shared" si="33"/>
        <v/>
      </c>
      <c r="O1062" s="158"/>
    </row>
    <row r="1063" spans="1:15" x14ac:dyDescent="0.25">
      <c r="A1063" s="126"/>
      <c r="B1063" s="296"/>
      <c r="C1063" s="126"/>
      <c r="D1063" s="126"/>
      <c r="E1063" s="126"/>
      <c r="F1063" s="126"/>
      <c r="G1063" s="298"/>
      <c r="H1063" s="126"/>
      <c r="I1063" s="297"/>
      <c r="J1063" s="297"/>
      <c r="K1063" s="297"/>
      <c r="L1063" s="216">
        <f t="shared" si="32"/>
        <v>0</v>
      </c>
      <c r="M1063" s="159" t="str">
        <f t="shared" si="33"/>
        <v/>
      </c>
      <c r="O1063" s="158"/>
    </row>
    <row r="1064" spans="1:15" x14ac:dyDescent="0.25">
      <c r="A1064" s="126"/>
      <c r="B1064" s="296"/>
      <c r="C1064" s="126"/>
      <c r="D1064" s="126"/>
      <c r="E1064" s="126"/>
      <c r="F1064" s="126"/>
      <c r="G1064" s="298"/>
      <c r="H1064" s="126"/>
      <c r="I1064" s="297"/>
      <c r="J1064" s="297"/>
      <c r="K1064" s="297"/>
      <c r="L1064" s="216">
        <f t="shared" si="32"/>
        <v>0</v>
      </c>
      <c r="M1064" s="159" t="str">
        <f t="shared" si="33"/>
        <v/>
      </c>
      <c r="O1064" s="158"/>
    </row>
    <row r="1065" spans="1:15" x14ac:dyDescent="0.25">
      <c r="A1065" s="126"/>
      <c r="B1065" s="296"/>
      <c r="C1065" s="126"/>
      <c r="D1065" s="126"/>
      <c r="E1065" s="126"/>
      <c r="F1065" s="126"/>
      <c r="G1065" s="298"/>
      <c r="H1065" s="126"/>
      <c r="I1065" s="297"/>
      <c r="J1065" s="297"/>
      <c r="K1065" s="297"/>
      <c r="L1065" s="216">
        <f t="shared" si="32"/>
        <v>0</v>
      </c>
      <c r="M1065" s="159" t="str">
        <f t="shared" si="33"/>
        <v/>
      </c>
      <c r="O1065" s="158"/>
    </row>
    <row r="1066" spans="1:15" x14ac:dyDescent="0.25">
      <c r="A1066" s="126"/>
      <c r="B1066" s="296"/>
      <c r="C1066" s="126"/>
      <c r="D1066" s="126"/>
      <c r="E1066" s="126"/>
      <c r="F1066" s="126"/>
      <c r="G1066" s="298"/>
      <c r="H1066" s="126"/>
      <c r="I1066" s="297"/>
      <c r="J1066" s="297"/>
      <c r="K1066" s="297"/>
      <c r="L1066" s="216">
        <f t="shared" si="32"/>
        <v>0</v>
      </c>
      <c r="M1066" s="159" t="str">
        <f t="shared" si="33"/>
        <v/>
      </c>
      <c r="O1066" s="158"/>
    </row>
    <row r="1067" spans="1:15" x14ac:dyDescent="0.25">
      <c r="A1067" s="126"/>
      <c r="B1067" s="296"/>
      <c r="C1067" s="126"/>
      <c r="D1067" s="126"/>
      <c r="E1067" s="126"/>
      <c r="F1067" s="126"/>
      <c r="G1067" s="298"/>
      <c r="H1067" s="126"/>
      <c r="I1067" s="297"/>
      <c r="J1067" s="297"/>
      <c r="K1067" s="297"/>
      <c r="L1067" s="216">
        <f t="shared" si="32"/>
        <v>0</v>
      </c>
      <c r="M1067" s="159" t="str">
        <f t="shared" si="33"/>
        <v/>
      </c>
      <c r="O1067" s="158"/>
    </row>
    <row r="1068" spans="1:15" x14ac:dyDescent="0.25">
      <c r="A1068" s="126"/>
      <c r="B1068" s="296"/>
      <c r="C1068" s="126"/>
      <c r="D1068" s="126"/>
      <c r="E1068" s="126"/>
      <c r="F1068" s="126"/>
      <c r="G1068" s="298"/>
      <c r="H1068" s="126"/>
      <c r="I1068" s="297"/>
      <c r="J1068" s="297"/>
      <c r="K1068" s="297"/>
      <c r="L1068" s="216">
        <f t="shared" si="32"/>
        <v>0</v>
      </c>
      <c r="M1068" s="159" t="str">
        <f t="shared" si="33"/>
        <v/>
      </c>
      <c r="O1068" s="158"/>
    </row>
    <row r="1069" spans="1:15" x14ac:dyDescent="0.25">
      <c r="A1069" s="126"/>
      <c r="B1069" s="296"/>
      <c r="C1069" s="126"/>
      <c r="D1069" s="126"/>
      <c r="E1069" s="126"/>
      <c r="F1069" s="126"/>
      <c r="G1069" s="298"/>
      <c r="H1069" s="126"/>
      <c r="I1069" s="297"/>
      <c r="J1069" s="297"/>
      <c r="K1069" s="297"/>
      <c r="L1069" s="216">
        <f t="shared" si="32"/>
        <v>0</v>
      </c>
      <c r="M1069" s="159" t="str">
        <f t="shared" si="33"/>
        <v/>
      </c>
      <c r="O1069" s="158"/>
    </row>
    <row r="1070" spans="1:15" x14ac:dyDescent="0.25">
      <c r="A1070" s="126"/>
      <c r="B1070" s="296"/>
      <c r="C1070" s="126"/>
      <c r="D1070" s="126"/>
      <c r="E1070" s="126"/>
      <c r="F1070" s="126"/>
      <c r="G1070" s="298"/>
      <c r="H1070" s="126"/>
      <c r="I1070" s="297"/>
      <c r="J1070" s="297"/>
      <c r="K1070" s="297"/>
      <c r="L1070" s="216">
        <f t="shared" si="32"/>
        <v>0</v>
      </c>
      <c r="M1070" s="159" t="str">
        <f t="shared" si="33"/>
        <v/>
      </c>
      <c r="O1070" s="158"/>
    </row>
    <row r="1071" spans="1:15" x14ac:dyDescent="0.25">
      <c r="A1071" s="126"/>
      <c r="B1071" s="296"/>
      <c r="C1071" s="126"/>
      <c r="D1071" s="126"/>
      <c r="E1071" s="126"/>
      <c r="F1071" s="126"/>
      <c r="G1071" s="298"/>
      <c r="H1071" s="126"/>
      <c r="I1071" s="297"/>
      <c r="J1071" s="297"/>
      <c r="K1071" s="297"/>
      <c r="L1071" s="216">
        <f t="shared" si="32"/>
        <v>0</v>
      </c>
      <c r="M1071" s="159" t="str">
        <f t="shared" si="33"/>
        <v/>
      </c>
      <c r="O1071" s="158"/>
    </row>
    <row r="1072" spans="1:15" x14ac:dyDescent="0.25">
      <c r="A1072" s="126"/>
      <c r="B1072" s="296"/>
      <c r="C1072" s="126"/>
      <c r="D1072" s="126"/>
      <c r="E1072" s="126"/>
      <c r="F1072" s="126"/>
      <c r="G1072" s="298"/>
      <c r="H1072" s="126"/>
      <c r="I1072" s="297"/>
      <c r="J1072" s="297"/>
      <c r="K1072" s="297"/>
      <c r="L1072" s="216">
        <f t="shared" si="32"/>
        <v>0</v>
      </c>
      <c r="M1072" s="159" t="str">
        <f t="shared" si="33"/>
        <v/>
      </c>
      <c r="O1072" s="158"/>
    </row>
    <row r="1073" spans="1:15" x14ac:dyDescent="0.25">
      <c r="A1073" s="126"/>
      <c r="B1073" s="296"/>
      <c r="C1073" s="126"/>
      <c r="D1073" s="126"/>
      <c r="E1073" s="126"/>
      <c r="F1073" s="126"/>
      <c r="G1073" s="298"/>
      <c r="H1073" s="126"/>
      <c r="I1073" s="297"/>
      <c r="J1073" s="297"/>
      <c r="K1073" s="297"/>
      <c r="L1073" s="216">
        <f t="shared" si="32"/>
        <v>0</v>
      </c>
      <c r="M1073" s="159" t="str">
        <f t="shared" si="33"/>
        <v/>
      </c>
      <c r="O1073" s="158"/>
    </row>
    <row r="1074" spans="1:15" x14ac:dyDescent="0.25">
      <c r="A1074" s="126"/>
      <c r="B1074" s="296"/>
      <c r="C1074" s="126"/>
      <c r="D1074" s="126"/>
      <c r="E1074" s="126"/>
      <c r="F1074" s="126"/>
      <c r="G1074" s="298"/>
      <c r="H1074" s="126"/>
      <c r="I1074" s="297"/>
      <c r="J1074" s="297"/>
      <c r="K1074" s="297"/>
      <c r="L1074" s="216">
        <f t="shared" si="32"/>
        <v>0</v>
      </c>
      <c r="M1074" s="159" t="str">
        <f t="shared" si="33"/>
        <v/>
      </c>
      <c r="O1074" s="158"/>
    </row>
    <row r="1075" spans="1:15" x14ac:dyDescent="0.25">
      <c r="A1075" s="126"/>
      <c r="B1075" s="296"/>
      <c r="C1075" s="126"/>
      <c r="D1075" s="126"/>
      <c r="E1075" s="126"/>
      <c r="F1075" s="126"/>
      <c r="G1075" s="298"/>
      <c r="H1075" s="126"/>
      <c r="I1075" s="297"/>
      <c r="J1075" s="297"/>
      <c r="K1075" s="297"/>
      <c r="L1075" s="216">
        <f t="shared" si="32"/>
        <v>0</v>
      </c>
      <c r="M1075" s="159" t="str">
        <f t="shared" si="33"/>
        <v/>
      </c>
      <c r="O1075" s="158"/>
    </row>
    <row r="1076" spans="1:15" x14ac:dyDescent="0.25">
      <c r="A1076" s="126"/>
      <c r="B1076" s="296"/>
      <c r="C1076" s="126"/>
      <c r="D1076" s="126"/>
      <c r="E1076" s="126"/>
      <c r="F1076" s="126"/>
      <c r="G1076" s="298"/>
      <c r="H1076" s="126"/>
      <c r="I1076" s="297"/>
      <c r="J1076" s="297"/>
      <c r="K1076" s="297"/>
      <c r="L1076" s="216">
        <f t="shared" si="32"/>
        <v>0</v>
      </c>
      <c r="M1076" s="159" t="str">
        <f t="shared" si="33"/>
        <v/>
      </c>
      <c r="O1076" s="158"/>
    </row>
    <row r="1077" spans="1:15" x14ac:dyDescent="0.25">
      <c r="A1077" s="126"/>
      <c r="B1077" s="296"/>
      <c r="C1077" s="126"/>
      <c r="D1077" s="126"/>
      <c r="E1077" s="126"/>
      <c r="F1077" s="126"/>
      <c r="G1077" s="298"/>
      <c r="H1077" s="126"/>
      <c r="I1077" s="297"/>
      <c r="J1077" s="297"/>
      <c r="K1077" s="297"/>
      <c r="L1077" s="216">
        <f t="shared" si="32"/>
        <v>0</v>
      </c>
      <c r="M1077" s="159" t="str">
        <f t="shared" si="33"/>
        <v/>
      </c>
      <c r="O1077" s="158"/>
    </row>
    <row r="1078" spans="1:15" x14ac:dyDescent="0.25">
      <c r="A1078" s="126"/>
      <c r="B1078" s="296"/>
      <c r="C1078" s="126"/>
      <c r="D1078" s="126"/>
      <c r="E1078" s="126"/>
      <c r="F1078" s="126"/>
      <c r="G1078" s="298"/>
      <c r="H1078" s="126"/>
      <c r="I1078" s="297"/>
      <c r="J1078" s="297"/>
      <c r="K1078" s="297"/>
      <c r="L1078" s="216">
        <f t="shared" si="32"/>
        <v>0</v>
      </c>
      <c r="M1078" s="159" t="str">
        <f t="shared" si="33"/>
        <v/>
      </c>
      <c r="O1078" s="158"/>
    </row>
    <row r="1079" spans="1:15" x14ac:dyDescent="0.25">
      <c r="A1079" s="126"/>
      <c r="B1079" s="296"/>
      <c r="C1079" s="126"/>
      <c r="D1079" s="126"/>
      <c r="E1079" s="126"/>
      <c r="F1079" s="126"/>
      <c r="G1079" s="298"/>
      <c r="H1079" s="126"/>
      <c r="I1079" s="297"/>
      <c r="J1079" s="297"/>
      <c r="K1079" s="297"/>
      <c r="L1079" s="216">
        <f t="shared" si="32"/>
        <v>0</v>
      </c>
      <c r="M1079" s="159" t="str">
        <f t="shared" si="33"/>
        <v/>
      </c>
      <c r="O1079" s="158"/>
    </row>
    <row r="1080" spans="1:15" x14ac:dyDescent="0.25">
      <c r="A1080" s="126"/>
      <c r="B1080" s="296"/>
      <c r="C1080" s="126"/>
      <c r="D1080" s="126"/>
      <c r="E1080" s="126"/>
      <c r="F1080" s="126"/>
      <c r="G1080" s="298"/>
      <c r="H1080" s="126"/>
      <c r="I1080" s="297"/>
      <c r="J1080" s="297"/>
      <c r="K1080" s="297"/>
      <c r="L1080" s="216">
        <f t="shared" si="32"/>
        <v>0</v>
      </c>
      <c r="M1080" s="159" t="str">
        <f t="shared" si="33"/>
        <v/>
      </c>
      <c r="O1080" s="158"/>
    </row>
    <row r="1081" spans="1:15" x14ac:dyDescent="0.25">
      <c r="A1081" s="126"/>
      <c r="B1081" s="296"/>
      <c r="C1081" s="126"/>
      <c r="D1081" s="126"/>
      <c r="E1081" s="126"/>
      <c r="F1081" s="126"/>
      <c r="G1081" s="298"/>
      <c r="H1081" s="126"/>
      <c r="I1081" s="297"/>
      <c r="J1081" s="297"/>
      <c r="K1081" s="297"/>
      <c r="L1081" s="216">
        <f t="shared" si="32"/>
        <v>0</v>
      </c>
      <c r="M1081" s="159" t="str">
        <f t="shared" si="33"/>
        <v/>
      </c>
      <c r="O1081" s="158"/>
    </row>
    <row r="1082" spans="1:15" x14ac:dyDescent="0.25">
      <c r="A1082" s="126"/>
      <c r="B1082" s="296"/>
      <c r="C1082" s="126"/>
      <c r="D1082" s="126"/>
      <c r="E1082" s="126"/>
      <c r="F1082" s="126"/>
      <c r="G1082" s="298"/>
      <c r="H1082" s="126"/>
      <c r="I1082" s="297"/>
      <c r="J1082" s="297"/>
      <c r="K1082" s="297"/>
      <c r="L1082" s="216">
        <f t="shared" si="32"/>
        <v>0</v>
      </c>
      <c r="M1082" s="159" t="str">
        <f t="shared" si="33"/>
        <v/>
      </c>
      <c r="O1082" s="158"/>
    </row>
    <row r="1083" spans="1:15" x14ac:dyDescent="0.25">
      <c r="A1083" s="126"/>
      <c r="B1083" s="296"/>
      <c r="C1083" s="126"/>
      <c r="D1083" s="126"/>
      <c r="E1083" s="126"/>
      <c r="F1083" s="126"/>
      <c r="G1083" s="298"/>
      <c r="H1083" s="126"/>
      <c r="I1083" s="297"/>
      <c r="J1083" s="297"/>
      <c r="K1083" s="297"/>
      <c r="L1083" s="216">
        <f t="shared" si="32"/>
        <v>0</v>
      </c>
      <c r="M1083" s="159" t="str">
        <f t="shared" si="33"/>
        <v/>
      </c>
      <c r="O1083" s="158"/>
    </row>
    <row r="1084" spans="1:15" x14ac:dyDescent="0.25">
      <c r="A1084" s="126"/>
      <c r="B1084" s="296"/>
      <c r="C1084" s="126"/>
      <c r="D1084" s="126"/>
      <c r="E1084" s="126"/>
      <c r="F1084" s="126"/>
      <c r="G1084" s="298"/>
      <c r="H1084" s="126"/>
      <c r="I1084" s="297"/>
      <c r="J1084" s="297"/>
      <c r="K1084" s="297"/>
      <c r="L1084" s="216">
        <f t="shared" si="32"/>
        <v>0</v>
      </c>
      <c r="M1084" s="159" t="str">
        <f t="shared" si="33"/>
        <v/>
      </c>
      <c r="O1084" s="158"/>
    </row>
    <row r="1085" spans="1:15" x14ac:dyDescent="0.25">
      <c r="A1085" s="126"/>
      <c r="B1085" s="296"/>
      <c r="C1085" s="126"/>
      <c r="D1085" s="126"/>
      <c r="E1085" s="126"/>
      <c r="F1085" s="126"/>
      <c r="G1085" s="298"/>
      <c r="H1085" s="126"/>
      <c r="I1085" s="297"/>
      <c r="J1085" s="297"/>
      <c r="K1085" s="297"/>
      <c r="L1085" s="216">
        <f t="shared" si="32"/>
        <v>0</v>
      </c>
      <c r="M1085" s="159" t="str">
        <f t="shared" si="33"/>
        <v/>
      </c>
      <c r="O1085" s="158"/>
    </row>
    <row r="1086" spans="1:15" x14ac:dyDescent="0.25">
      <c r="A1086" s="126"/>
      <c r="B1086" s="296"/>
      <c r="C1086" s="126"/>
      <c r="D1086" s="126"/>
      <c r="E1086" s="126"/>
      <c r="F1086" s="126"/>
      <c r="G1086" s="298"/>
      <c r="H1086" s="126"/>
      <c r="I1086" s="297"/>
      <c r="J1086" s="297"/>
      <c r="K1086" s="297"/>
      <c r="L1086" s="216">
        <f t="shared" si="32"/>
        <v>0</v>
      </c>
      <c r="M1086" s="159" t="str">
        <f t="shared" si="33"/>
        <v/>
      </c>
      <c r="O1086" s="158"/>
    </row>
    <row r="1087" spans="1:15" x14ac:dyDescent="0.25">
      <c r="A1087" s="126"/>
      <c r="B1087" s="296"/>
      <c r="C1087" s="126"/>
      <c r="D1087" s="126"/>
      <c r="E1087" s="126"/>
      <c r="F1087" s="126"/>
      <c r="G1087" s="298"/>
      <c r="H1087" s="126"/>
      <c r="I1087" s="297"/>
      <c r="J1087" s="297"/>
      <c r="K1087" s="297"/>
      <c r="L1087" s="216">
        <f t="shared" si="32"/>
        <v>0</v>
      </c>
      <c r="M1087" s="159" t="str">
        <f t="shared" si="33"/>
        <v/>
      </c>
      <c r="O1087" s="158"/>
    </row>
    <row r="1088" spans="1:15" x14ac:dyDescent="0.25">
      <c r="A1088" s="126"/>
      <c r="B1088" s="296"/>
      <c r="C1088" s="126"/>
      <c r="D1088" s="126"/>
      <c r="E1088" s="126"/>
      <c r="F1088" s="126"/>
      <c r="G1088" s="298"/>
      <c r="H1088" s="126"/>
      <c r="I1088" s="297"/>
      <c r="J1088" s="297"/>
      <c r="K1088" s="297"/>
      <c r="L1088" s="216">
        <f t="shared" si="32"/>
        <v>0</v>
      </c>
      <c r="M1088" s="159" t="str">
        <f t="shared" si="33"/>
        <v/>
      </c>
      <c r="O1088" s="158"/>
    </row>
    <row r="1089" spans="1:15" x14ac:dyDescent="0.25">
      <c r="A1089" s="126"/>
      <c r="B1089" s="296"/>
      <c r="C1089" s="126"/>
      <c r="D1089" s="126"/>
      <c r="E1089" s="126"/>
      <c r="F1089" s="126"/>
      <c r="G1089" s="298"/>
      <c r="H1089" s="126"/>
      <c r="I1089" s="297"/>
      <c r="J1089" s="297"/>
      <c r="K1089" s="297"/>
      <c r="L1089" s="216">
        <f t="shared" si="32"/>
        <v>0</v>
      </c>
      <c r="M1089" s="159" t="str">
        <f t="shared" si="33"/>
        <v/>
      </c>
      <c r="O1089" s="158"/>
    </row>
    <row r="1090" spans="1:15" x14ac:dyDescent="0.25">
      <c r="A1090" s="126"/>
      <c r="B1090" s="296"/>
      <c r="C1090" s="126"/>
      <c r="D1090" s="126"/>
      <c r="E1090" s="126"/>
      <c r="F1090" s="126"/>
      <c r="G1090" s="298"/>
      <c r="H1090" s="126"/>
      <c r="I1090" s="297"/>
      <c r="J1090" s="297"/>
      <c r="K1090" s="297"/>
      <c r="L1090" s="216">
        <f t="shared" ref="L1090:L1153" si="34">K1090*1.1</f>
        <v>0</v>
      </c>
      <c r="M1090" s="159" t="str">
        <f t="shared" ref="M1090:M1153" si="35">IF(ISNUMBER(SEARCH("Azarine",H1090)),"AZARINE",IF(ISNUMBER(SEARCH("Baking Soda",H1090)),"BAKING SODA",IF(ISNUMBER(SEARCH("Fujitsu",H1090)),"FUJITSU",IF(ISNUMBER(SEARCH("Coleman",H1090)),"COLEMAN",""))))</f>
        <v/>
      </c>
      <c r="O1090" s="158"/>
    </row>
    <row r="1091" spans="1:15" x14ac:dyDescent="0.25">
      <c r="A1091" s="126"/>
      <c r="B1091" s="296"/>
      <c r="C1091" s="126"/>
      <c r="D1091" s="126"/>
      <c r="E1091" s="126"/>
      <c r="F1091" s="126"/>
      <c r="G1091" s="298"/>
      <c r="H1091" s="126"/>
      <c r="I1091" s="297"/>
      <c r="J1091" s="297"/>
      <c r="K1091" s="297"/>
      <c r="L1091" s="216">
        <f t="shared" si="34"/>
        <v>0</v>
      </c>
      <c r="M1091" s="159" t="str">
        <f t="shared" si="35"/>
        <v/>
      </c>
      <c r="O1091" s="158"/>
    </row>
    <row r="1092" spans="1:15" x14ac:dyDescent="0.25">
      <c r="A1092" s="126"/>
      <c r="B1092" s="296"/>
      <c r="C1092" s="126"/>
      <c r="D1092" s="126"/>
      <c r="E1092" s="126"/>
      <c r="F1092" s="126"/>
      <c r="G1092" s="298"/>
      <c r="H1092" s="126"/>
      <c r="I1092" s="297"/>
      <c r="J1092" s="297"/>
      <c r="K1092" s="297"/>
      <c r="L1092" s="216">
        <f t="shared" si="34"/>
        <v>0</v>
      </c>
      <c r="M1092" s="159" t="str">
        <f t="shared" si="35"/>
        <v/>
      </c>
      <c r="O1092" s="158"/>
    </row>
    <row r="1093" spans="1:15" x14ac:dyDescent="0.25">
      <c r="A1093" s="126"/>
      <c r="B1093" s="296"/>
      <c r="C1093" s="126"/>
      <c r="D1093" s="126"/>
      <c r="E1093" s="126"/>
      <c r="F1093" s="126"/>
      <c r="G1093" s="298"/>
      <c r="H1093" s="126"/>
      <c r="I1093" s="297"/>
      <c r="J1093" s="297"/>
      <c r="K1093" s="297"/>
      <c r="L1093" s="216">
        <f t="shared" si="34"/>
        <v>0</v>
      </c>
      <c r="M1093" s="159" t="str">
        <f t="shared" si="35"/>
        <v/>
      </c>
      <c r="O1093" s="158"/>
    </row>
    <row r="1094" spans="1:15" x14ac:dyDescent="0.25">
      <c r="A1094" s="126"/>
      <c r="B1094" s="296"/>
      <c r="C1094" s="126"/>
      <c r="D1094" s="126"/>
      <c r="E1094" s="126"/>
      <c r="F1094" s="126"/>
      <c r="G1094" s="298"/>
      <c r="H1094" s="126"/>
      <c r="I1094" s="297"/>
      <c r="J1094" s="297"/>
      <c r="K1094" s="297"/>
      <c r="L1094" s="216">
        <f t="shared" si="34"/>
        <v>0</v>
      </c>
      <c r="M1094" s="159" t="str">
        <f t="shared" si="35"/>
        <v/>
      </c>
      <c r="O1094" s="158"/>
    </row>
    <row r="1095" spans="1:15" x14ac:dyDescent="0.25">
      <c r="A1095" s="126"/>
      <c r="B1095" s="296"/>
      <c r="C1095" s="126"/>
      <c r="D1095" s="126"/>
      <c r="E1095" s="126"/>
      <c r="F1095" s="126"/>
      <c r="G1095" s="298"/>
      <c r="H1095" s="126"/>
      <c r="I1095" s="297"/>
      <c r="J1095" s="297"/>
      <c r="K1095" s="297"/>
      <c r="L1095" s="216">
        <f t="shared" si="34"/>
        <v>0</v>
      </c>
      <c r="M1095" s="159" t="str">
        <f t="shared" si="35"/>
        <v/>
      </c>
      <c r="O1095" s="158"/>
    </row>
    <row r="1096" spans="1:15" x14ac:dyDescent="0.25">
      <c r="A1096" s="126"/>
      <c r="B1096" s="296"/>
      <c r="C1096" s="126"/>
      <c r="D1096" s="126"/>
      <c r="E1096" s="126"/>
      <c r="F1096" s="126"/>
      <c r="G1096" s="298"/>
      <c r="H1096" s="126"/>
      <c r="I1096" s="297"/>
      <c r="J1096" s="297"/>
      <c r="K1096" s="297"/>
      <c r="L1096" s="216">
        <f t="shared" si="34"/>
        <v>0</v>
      </c>
      <c r="M1096" s="159" t="str">
        <f t="shared" si="35"/>
        <v/>
      </c>
      <c r="O1096" s="158"/>
    </row>
    <row r="1097" spans="1:15" x14ac:dyDescent="0.25">
      <c r="A1097" s="126"/>
      <c r="B1097" s="296"/>
      <c r="C1097" s="126"/>
      <c r="D1097" s="126"/>
      <c r="E1097" s="126"/>
      <c r="F1097" s="126"/>
      <c r="G1097" s="298"/>
      <c r="H1097" s="126"/>
      <c r="I1097" s="297"/>
      <c r="J1097" s="297"/>
      <c r="K1097" s="297"/>
      <c r="L1097" s="216">
        <f t="shared" si="34"/>
        <v>0</v>
      </c>
      <c r="M1097" s="159" t="str">
        <f t="shared" si="35"/>
        <v/>
      </c>
      <c r="O1097" s="158"/>
    </row>
    <row r="1098" spans="1:15" x14ac:dyDescent="0.25">
      <c r="A1098" s="126"/>
      <c r="B1098" s="296"/>
      <c r="C1098" s="126"/>
      <c r="D1098" s="126"/>
      <c r="E1098" s="126"/>
      <c r="F1098" s="126"/>
      <c r="G1098" s="298"/>
      <c r="H1098" s="126"/>
      <c r="I1098" s="297"/>
      <c r="J1098" s="297"/>
      <c r="K1098" s="297"/>
      <c r="L1098" s="216">
        <f t="shared" si="34"/>
        <v>0</v>
      </c>
      <c r="M1098" s="159" t="str">
        <f t="shared" si="35"/>
        <v/>
      </c>
      <c r="O1098" s="158"/>
    </row>
    <row r="1099" spans="1:15" x14ac:dyDescent="0.25">
      <c r="A1099" s="126"/>
      <c r="B1099" s="296"/>
      <c r="C1099" s="126"/>
      <c r="D1099" s="126"/>
      <c r="E1099" s="126"/>
      <c r="F1099" s="126"/>
      <c r="G1099" s="298"/>
      <c r="H1099" s="126"/>
      <c r="I1099" s="297"/>
      <c r="J1099" s="297"/>
      <c r="K1099" s="297"/>
      <c r="L1099" s="216">
        <f t="shared" si="34"/>
        <v>0</v>
      </c>
      <c r="M1099" s="159" t="str">
        <f t="shared" si="35"/>
        <v/>
      </c>
      <c r="O1099" s="158"/>
    </row>
    <row r="1100" spans="1:15" x14ac:dyDescent="0.25">
      <c r="A1100" s="126"/>
      <c r="B1100" s="296"/>
      <c r="C1100" s="126"/>
      <c r="D1100" s="126"/>
      <c r="E1100" s="126"/>
      <c r="F1100" s="126"/>
      <c r="G1100" s="298"/>
      <c r="H1100" s="126"/>
      <c r="I1100" s="297"/>
      <c r="J1100" s="297"/>
      <c r="K1100" s="297"/>
      <c r="L1100" s="216">
        <f t="shared" si="34"/>
        <v>0</v>
      </c>
      <c r="M1100" s="159" t="str">
        <f t="shared" si="35"/>
        <v/>
      </c>
      <c r="O1100" s="158"/>
    </row>
    <row r="1101" spans="1:15" x14ac:dyDescent="0.25">
      <c r="A1101" s="126"/>
      <c r="B1101" s="296"/>
      <c r="C1101" s="126"/>
      <c r="D1101" s="126"/>
      <c r="E1101" s="126"/>
      <c r="F1101" s="126"/>
      <c r="G1101" s="298"/>
      <c r="H1101" s="126"/>
      <c r="I1101" s="297"/>
      <c r="J1101" s="297"/>
      <c r="K1101" s="297"/>
      <c r="L1101" s="216">
        <f t="shared" si="34"/>
        <v>0</v>
      </c>
      <c r="M1101" s="159" t="str">
        <f t="shared" si="35"/>
        <v/>
      </c>
      <c r="O1101" s="158"/>
    </row>
    <row r="1102" spans="1:15" x14ac:dyDescent="0.25">
      <c r="A1102" s="126"/>
      <c r="B1102" s="296"/>
      <c r="C1102" s="126"/>
      <c r="D1102" s="126"/>
      <c r="E1102" s="126"/>
      <c r="F1102" s="126"/>
      <c r="G1102" s="298"/>
      <c r="H1102" s="126"/>
      <c r="I1102" s="297"/>
      <c r="J1102" s="297"/>
      <c r="K1102" s="297"/>
      <c r="L1102" s="216">
        <f t="shared" si="34"/>
        <v>0</v>
      </c>
      <c r="M1102" s="159" t="str">
        <f t="shared" si="35"/>
        <v/>
      </c>
      <c r="O1102" s="158"/>
    </row>
    <row r="1103" spans="1:15" x14ac:dyDescent="0.25">
      <c r="A1103" s="126"/>
      <c r="B1103" s="296"/>
      <c r="C1103" s="126"/>
      <c r="D1103" s="126"/>
      <c r="E1103" s="126"/>
      <c r="F1103" s="126"/>
      <c r="G1103" s="298"/>
      <c r="H1103" s="126"/>
      <c r="I1103" s="297"/>
      <c r="J1103" s="297"/>
      <c r="K1103" s="297"/>
      <c r="L1103" s="216">
        <f t="shared" si="34"/>
        <v>0</v>
      </c>
      <c r="M1103" s="159" t="str">
        <f t="shared" si="35"/>
        <v/>
      </c>
      <c r="O1103" s="158"/>
    </row>
    <row r="1104" spans="1:15" x14ac:dyDescent="0.25">
      <c r="A1104" s="126"/>
      <c r="B1104" s="296"/>
      <c r="C1104" s="126"/>
      <c r="D1104" s="126"/>
      <c r="E1104" s="126"/>
      <c r="F1104" s="126"/>
      <c r="G1104" s="298"/>
      <c r="H1104" s="126"/>
      <c r="I1104" s="297"/>
      <c r="J1104" s="297"/>
      <c r="K1104" s="297"/>
      <c r="L1104" s="216">
        <f t="shared" si="34"/>
        <v>0</v>
      </c>
      <c r="M1104" s="159" t="str">
        <f t="shared" si="35"/>
        <v/>
      </c>
      <c r="O1104" s="158"/>
    </row>
    <row r="1105" spans="1:15" x14ac:dyDescent="0.25">
      <c r="A1105" s="126"/>
      <c r="B1105" s="296"/>
      <c r="C1105" s="126"/>
      <c r="D1105" s="126"/>
      <c r="E1105" s="126"/>
      <c r="F1105" s="126"/>
      <c r="G1105" s="298"/>
      <c r="H1105" s="126"/>
      <c r="I1105" s="297"/>
      <c r="J1105" s="297"/>
      <c r="K1105" s="297"/>
      <c r="L1105" s="216">
        <f t="shared" si="34"/>
        <v>0</v>
      </c>
      <c r="M1105" s="159" t="str">
        <f t="shared" si="35"/>
        <v/>
      </c>
      <c r="O1105" s="158"/>
    </row>
    <row r="1106" spans="1:15" x14ac:dyDescent="0.25">
      <c r="A1106" s="126"/>
      <c r="B1106" s="296"/>
      <c r="C1106" s="126"/>
      <c r="D1106" s="126"/>
      <c r="E1106" s="126"/>
      <c r="F1106" s="126"/>
      <c r="G1106" s="298"/>
      <c r="H1106" s="126"/>
      <c r="I1106" s="297"/>
      <c r="J1106" s="297"/>
      <c r="K1106" s="297"/>
      <c r="L1106" s="216">
        <f t="shared" si="34"/>
        <v>0</v>
      </c>
      <c r="M1106" s="159" t="str">
        <f t="shared" si="35"/>
        <v/>
      </c>
      <c r="O1106" s="158"/>
    </row>
    <row r="1107" spans="1:15" x14ac:dyDescent="0.25">
      <c r="A1107" s="126"/>
      <c r="B1107" s="296"/>
      <c r="C1107" s="126"/>
      <c r="D1107" s="126"/>
      <c r="E1107" s="126"/>
      <c r="F1107" s="126"/>
      <c r="G1107" s="298"/>
      <c r="H1107" s="126"/>
      <c r="I1107" s="297"/>
      <c r="J1107" s="297"/>
      <c r="K1107" s="297"/>
      <c r="L1107" s="216">
        <f t="shared" si="34"/>
        <v>0</v>
      </c>
      <c r="M1107" s="159" t="str">
        <f t="shared" si="35"/>
        <v/>
      </c>
      <c r="O1107" s="158"/>
    </row>
    <row r="1108" spans="1:15" x14ac:dyDescent="0.25">
      <c r="A1108" s="126"/>
      <c r="B1108" s="296"/>
      <c r="C1108" s="126"/>
      <c r="D1108" s="126"/>
      <c r="E1108" s="126"/>
      <c r="F1108" s="126"/>
      <c r="G1108" s="298"/>
      <c r="H1108" s="126"/>
      <c r="I1108" s="297"/>
      <c r="J1108" s="297"/>
      <c r="K1108" s="297"/>
      <c r="L1108" s="216">
        <f t="shared" si="34"/>
        <v>0</v>
      </c>
      <c r="M1108" s="159" t="str">
        <f t="shared" si="35"/>
        <v/>
      </c>
      <c r="O1108" s="158"/>
    </row>
    <row r="1109" spans="1:15" x14ac:dyDescent="0.25">
      <c r="A1109" s="126"/>
      <c r="B1109" s="296"/>
      <c r="C1109" s="126"/>
      <c r="D1109" s="126"/>
      <c r="E1109" s="126"/>
      <c r="F1109" s="126"/>
      <c r="G1109" s="298"/>
      <c r="H1109" s="126"/>
      <c r="I1109" s="297"/>
      <c r="J1109" s="297"/>
      <c r="K1109" s="297"/>
      <c r="L1109" s="216">
        <f t="shared" si="34"/>
        <v>0</v>
      </c>
      <c r="M1109" s="159" t="str">
        <f t="shared" si="35"/>
        <v/>
      </c>
      <c r="O1109" s="158"/>
    </row>
    <row r="1110" spans="1:15" x14ac:dyDescent="0.25">
      <c r="A1110" s="126"/>
      <c r="B1110" s="296"/>
      <c r="C1110" s="126"/>
      <c r="D1110" s="126"/>
      <c r="E1110" s="126"/>
      <c r="F1110" s="126"/>
      <c r="G1110" s="298"/>
      <c r="H1110" s="126"/>
      <c r="I1110" s="297"/>
      <c r="J1110" s="297"/>
      <c r="K1110" s="297"/>
      <c r="L1110" s="216">
        <f t="shared" si="34"/>
        <v>0</v>
      </c>
      <c r="M1110" s="159" t="str">
        <f t="shared" si="35"/>
        <v/>
      </c>
      <c r="O1110" s="158"/>
    </row>
    <row r="1111" spans="1:15" x14ac:dyDescent="0.25">
      <c r="A1111" s="126"/>
      <c r="B1111" s="296"/>
      <c r="C1111" s="126"/>
      <c r="D1111" s="126"/>
      <c r="E1111" s="126"/>
      <c r="F1111" s="126"/>
      <c r="G1111" s="298"/>
      <c r="H1111" s="126"/>
      <c r="I1111" s="297"/>
      <c r="J1111" s="297"/>
      <c r="K1111" s="297"/>
      <c r="L1111" s="216">
        <f t="shared" si="34"/>
        <v>0</v>
      </c>
      <c r="M1111" s="159" t="str">
        <f t="shared" si="35"/>
        <v/>
      </c>
      <c r="O1111" s="158"/>
    </row>
    <row r="1112" spans="1:15" x14ac:dyDescent="0.25">
      <c r="A1112" s="126"/>
      <c r="B1112" s="296"/>
      <c r="C1112" s="126"/>
      <c r="D1112" s="126"/>
      <c r="E1112" s="126"/>
      <c r="F1112" s="126"/>
      <c r="G1112" s="298"/>
      <c r="H1112" s="126"/>
      <c r="I1112" s="297"/>
      <c r="J1112" s="297"/>
      <c r="K1112" s="297"/>
      <c r="L1112" s="216">
        <f t="shared" si="34"/>
        <v>0</v>
      </c>
      <c r="M1112" s="159" t="str">
        <f t="shared" si="35"/>
        <v/>
      </c>
      <c r="O1112" s="158"/>
    </row>
    <row r="1113" spans="1:15" x14ac:dyDescent="0.25">
      <c r="A1113" s="126"/>
      <c r="B1113" s="296"/>
      <c r="C1113" s="126"/>
      <c r="D1113" s="126"/>
      <c r="E1113" s="126"/>
      <c r="F1113" s="126"/>
      <c r="G1113" s="298"/>
      <c r="H1113" s="126"/>
      <c r="I1113" s="297"/>
      <c r="J1113" s="297"/>
      <c r="K1113" s="297"/>
      <c r="L1113" s="216">
        <f t="shared" si="34"/>
        <v>0</v>
      </c>
      <c r="M1113" s="159" t="str">
        <f t="shared" si="35"/>
        <v/>
      </c>
      <c r="O1113" s="158"/>
    </row>
    <row r="1114" spans="1:15" x14ac:dyDescent="0.25">
      <c r="A1114" s="126"/>
      <c r="B1114" s="296"/>
      <c r="C1114" s="126"/>
      <c r="D1114" s="126"/>
      <c r="E1114" s="126"/>
      <c r="F1114" s="126"/>
      <c r="G1114" s="298"/>
      <c r="H1114" s="126"/>
      <c r="I1114" s="297"/>
      <c r="J1114" s="297"/>
      <c r="K1114" s="297"/>
      <c r="L1114" s="216">
        <f t="shared" si="34"/>
        <v>0</v>
      </c>
      <c r="M1114" s="159" t="str">
        <f t="shared" si="35"/>
        <v/>
      </c>
      <c r="O1114" s="158"/>
    </row>
    <row r="1115" spans="1:15" x14ac:dyDescent="0.25">
      <c r="A1115" s="126"/>
      <c r="B1115" s="296"/>
      <c r="C1115" s="126"/>
      <c r="D1115" s="126"/>
      <c r="E1115" s="126"/>
      <c r="F1115" s="126"/>
      <c r="G1115" s="298"/>
      <c r="H1115" s="126"/>
      <c r="I1115" s="297"/>
      <c r="J1115" s="297"/>
      <c r="K1115" s="297"/>
      <c r="L1115" s="216">
        <f t="shared" si="34"/>
        <v>0</v>
      </c>
      <c r="M1115" s="159" t="str">
        <f t="shared" si="35"/>
        <v/>
      </c>
      <c r="O1115" s="158"/>
    </row>
    <row r="1116" spans="1:15" x14ac:dyDescent="0.25">
      <c r="A1116" s="126"/>
      <c r="B1116" s="296"/>
      <c r="C1116" s="126"/>
      <c r="D1116" s="126"/>
      <c r="E1116" s="126"/>
      <c r="F1116" s="126"/>
      <c r="G1116" s="298"/>
      <c r="H1116" s="126"/>
      <c r="I1116" s="297"/>
      <c r="J1116" s="297"/>
      <c r="K1116" s="297"/>
      <c r="L1116" s="216">
        <f t="shared" si="34"/>
        <v>0</v>
      </c>
      <c r="M1116" s="159" t="str">
        <f t="shared" si="35"/>
        <v/>
      </c>
      <c r="O1116" s="158"/>
    </row>
    <row r="1117" spans="1:15" x14ac:dyDescent="0.25">
      <c r="A1117" s="126"/>
      <c r="B1117" s="296"/>
      <c r="C1117" s="126"/>
      <c r="D1117" s="126"/>
      <c r="E1117" s="126"/>
      <c r="F1117" s="126"/>
      <c r="G1117" s="298"/>
      <c r="H1117" s="126"/>
      <c r="I1117" s="297"/>
      <c r="J1117" s="297"/>
      <c r="K1117" s="297"/>
      <c r="L1117" s="216">
        <f t="shared" si="34"/>
        <v>0</v>
      </c>
      <c r="M1117" s="159" t="str">
        <f t="shared" si="35"/>
        <v/>
      </c>
      <c r="O1117" s="158"/>
    </row>
    <row r="1118" spans="1:15" x14ac:dyDescent="0.25">
      <c r="A1118" s="126"/>
      <c r="B1118" s="296"/>
      <c r="C1118" s="126"/>
      <c r="D1118" s="126"/>
      <c r="E1118" s="126"/>
      <c r="F1118" s="126"/>
      <c r="G1118" s="298"/>
      <c r="H1118" s="126"/>
      <c r="I1118" s="297"/>
      <c r="J1118" s="297"/>
      <c r="K1118" s="297"/>
      <c r="L1118" s="216">
        <f t="shared" si="34"/>
        <v>0</v>
      </c>
      <c r="M1118" s="159" t="str">
        <f t="shared" si="35"/>
        <v/>
      </c>
      <c r="O1118" s="158"/>
    </row>
    <row r="1119" spans="1:15" x14ac:dyDescent="0.25">
      <c r="A1119" s="126"/>
      <c r="B1119" s="296"/>
      <c r="C1119" s="126"/>
      <c r="D1119" s="126"/>
      <c r="E1119" s="126"/>
      <c r="F1119" s="126"/>
      <c r="G1119" s="298"/>
      <c r="H1119" s="126"/>
      <c r="I1119" s="297"/>
      <c r="J1119" s="297"/>
      <c r="K1119" s="297"/>
      <c r="L1119" s="216">
        <f t="shared" si="34"/>
        <v>0</v>
      </c>
      <c r="M1119" s="159" t="str">
        <f t="shared" si="35"/>
        <v/>
      </c>
      <c r="O1119" s="158"/>
    </row>
    <row r="1120" spans="1:15" x14ac:dyDescent="0.25">
      <c r="A1120" s="126"/>
      <c r="B1120" s="296"/>
      <c r="C1120" s="126"/>
      <c r="D1120" s="126"/>
      <c r="E1120" s="126"/>
      <c r="F1120" s="126"/>
      <c r="G1120" s="298"/>
      <c r="H1120" s="126"/>
      <c r="I1120" s="297"/>
      <c r="J1120" s="297"/>
      <c r="K1120" s="297"/>
      <c r="L1120" s="216">
        <f t="shared" si="34"/>
        <v>0</v>
      </c>
      <c r="M1120" s="159" t="str">
        <f t="shared" si="35"/>
        <v/>
      </c>
      <c r="O1120" s="158"/>
    </row>
    <row r="1121" spans="1:15" x14ac:dyDescent="0.25">
      <c r="A1121" s="126"/>
      <c r="B1121" s="296"/>
      <c r="C1121" s="126"/>
      <c r="D1121" s="126"/>
      <c r="E1121" s="126"/>
      <c r="F1121" s="126"/>
      <c r="G1121" s="298"/>
      <c r="H1121" s="126"/>
      <c r="I1121" s="297"/>
      <c r="J1121" s="297"/>
      <c r="K1121" s="297"/>
      <c r="L1121" s="216">
        <f t="shared" si="34"/>
        <v>0</v>
      </c>
      <c r="M1121" s="159" t="str">
        <f t="shared" si="35"/>
        <v/>
      </c>
      <c r="O1121" s="158"/>
    </row>
    <row r="1122" spans="1:15" x14ac:dyDescent="0.25">
      <c r="A1122" s="126"/>
      <c r="B1122" s="296"/>
      <c r="C1122" s="126"/>
      <c r="D1122" s="126"/>
      <c r="E1122" s="126"/>
      <c r="F1122" s="126"/>
      <c r="G1122" s="298"/>
      <c r="H1122" s="126"/>
      <c r="I1122" s="297"/>
      <c r="J1122" s="297"/>
      <c r="K1122" s="297"/>
      <c r="L1122" s="216">
        <f t="shared" si="34"/>
        <v>0</v>
      </c>
      <c r="M1122" s="159" t="str">
        <f t="shared" si="35"/>
        <v/>
      </c>
      <c r="O1122" s="158"/>
    </row>
    <row r="1123" spans="1:15" x14ac:dyDescent="0.25">
      <c r="A1123" s="126"/>
      <c r="B1123" s="296"/>
      <c r="C1123" s="126"/>
      <c r="D1123" s="126"/>
      <c r="E1123" s="126"/>
      <c r="F1123" s="126"/>
      <c r="G1123" s="298"/>
      <c r="H1123" s="126"/>
      <c r="I1123" s="297"/>
      <c r="J1123" s="297"/>
      <c r="K1123" s="297"/>
      <c r="L1123" s="216">
        <f t="shared" si="34"/>
        <v>0</v>
      </c>
      <c r="M1123" s="159" t="str">
        <f t="shared" si="35"/>
        <v/>
      </c>
      <c r="O1123" s="158"/>
    </row>
    <row r="1124" spans="1:15" x14ac:dyDescent="0.25">
      <c r="A1124" s="126"/>
      <c r="B1124" s="296"/>
      <c r="C1124" s="126"/>
      <c r="D1124" s="126"/>
      <c r="E1124" s="126"/>
      <c r="F1124" s="126"/>
      <c r="G1124" s="298"/>
      <c r="H1124" s="126"/>
      <c r="I1124" s="297"/>
      <c r="J1124" s="297"/>
      <c r="K1124" s="297"/>
      <c r="L1124" s="216">
        <f t="shared" si="34"/>
        <v>0</v>
      </c>
      <c r="M1124" s="159" t="str">
        <f t="shared" si="35"/>
        <v/>
      </c>
      <c r="O1124" s="158"/>
    </row>
    <row r="1125" spans="1:15" x14ac:dyDescent="0.25">
      <c r="A1125" s="126"/>
      <c r="B1125" s="296"/>
      <c r="C1125" s="126"/>
      <c r="D1125" s="126"/>
      <c r="E1125" s="126"/>
      <c r="F1125" s="126"/>
      <c r="G1125" s="298"/>
      <c r="H1125" s="126"/>
      <c r="I1125" s="297"/>
      <c r="J1125" s="297"/>
      <c r="K1125" s="297"/>
      <c r="L1125" s="216">
        <f t="shared" si="34"/>
        <v>0</v>
      </c>
      <c r="M1125" s="159" t="str">
        <f t="shared" si="35"/>
        <v/>
      </c>
      <c r="O1125" s="158"/>
    </row>
    <row r="1126" spans="1:15" x14ac:dyDescent="0.25">
      <c r="A1126" s="126"/>
      <c r="B1126" s="296"/>
      <c r="C1126" s="126"/>
      <c r="D1126" s="126"/>
      <c r="E1126" s="126"/>
      <c r="F1126" s="126"/>
      <c r="G1126" s="298"/>
      <c r="H1126" s="126"/>
      <c r="I1126" s="297"/>
      <c r="J1126" s="297"/>
      <c r="K1126" s="297"/>
      <c r="L1126" s="216">
        <f t="shared" si="34"/>
        <v>0</v>
      </c>
      <c r="M1126" s="159" t="str">
        <f t="shared" si="35"/>
        <v/>
      </c>
      <c r="O1126" s="158"/>
    </row>
    <row r="1127" spans="1:15" x14ac:dyDescent="0.25">
      <c r="A1127" s="126"/>
      <c r="B1127" s="296"/>
      <c r="C1127" s="126"/>
      <c r="D1127" s="126"/>
      <c r="E1127" s="126"/>
      <c r="F1127" s="126"/>
      <c r="G1127" s="298"/>
      <c r="H1127" s="126"/>
      <c r="I1127" s="297"/>
      <c r="J1127" s="297"/>
      <c r="K1127" s="297"/>
      <c r="L1127" s="216">
        <f t="shared" si="34"/>
        <v>0</v>
      </c>
      <c r="M1127" s="159" t="str">
        <f t="shared" si="35"/>
        <v/>
      </c>
      <c r="O1127" s="158"/>
    </row>
    <row r="1128" spans="1:15" x14ac:dyDescent="0.25">
      <c r="A1128" s="126"/>
      <c r="B1128" s="296"/>
      <c r="C1128" s="126"/>
      <c r="D1128" s="126"/>
      <c r="E1128" s="126"/>
      <c r="F1128" s="126"/>
      <c r="G1128" s="298"/>
      <c r="H1128" s="126"/>
      <c r="I1128" s="297"/>
      <c r="J1128" s="297"/>
      <c r="K1128" s="297"/>
      <c r="L1128" s="216">
        <f t="shared" si="34"/>
        <v>0</v>
      </c>
      <c r="M1128" s="159" t="str">
        <f t="shared" si="35"/>
        <v/>
      </c>
      <c r="O1128" s="158"/>
    </row>
    <row r="1129" spans="1:15" x14ac:dyDescent="0.25">
      <c r="A1129" s="126"/>
      <c r="B1129" s="296"/>
      <c r="C1129" s="126"/>
      <c r="D1129" s="126"/>
      <c r="E1129" s="126"/>
      <c r="F1129" s="126"/>
      <c r="G1129" s="298"/>
      <c r="H1129" s="126"/>
      <c r="I1129" s="297"/>
      <c r="J1129" s="297"/>
      <c r="K1129" s="297"/>
      <c r="L1129" s="216">
        <f t="shared" si="34"/>
        <v>0</v>
      </c>
      <c r="M1129" s="159" t="str">
        <f t="shared" si="35"/>
        <v/>
      </c>
      <c r="O1129" s="158"/>
    </row>
    <row r="1130" spans="1:15" x14ac:dyDescent="0.25">
      <c r="A1130" s="126"/>
      <c r="B1130" s="296"/>
      <c r="C1130" s="126"/>
      <c r="D1130" s="126"/>
      <c r="E1130" s="126"/>
      <c r="F1130" s="126"/>
      <c r="G1130" s="298"/>
      <c r="H1130" s="126"/>
      <c r="I1130" s="297"/>
      <c r="J1130" s="297"/>
      <c r="K1130" s="297"/>
      <c r="L1130" s="216">
        <f t="shared" si="34"/>
        <v>0</v>
      </c>
      <c r="M1130" s="159" t="str">
        <f t="shared" si="35"/>
        <v/>
      </c>
      <c r="O1130" s="158"/>
    </row>
    <row r="1131" spans="1:15" x14ac:dyDescent="0.25">
      <c r="A1131" s="126"/>
      <c r="B1131" s="296"/>
      <c r="C1131" s="126"/>
      <c r="D1131" s="126"/>
      <c r="E1131" s="126"/>
      <c r="F1131" s="126"/>
      <c r="G1131" s="298"/>
      <c r="H1131" s="126"/>
      <c r="I1131" s="297"/>
      <c r="J1131" s="297"/>
      <c r="K1131" s="297"/>
      <c r="L1131" s="216">
        <f t="shared" si="34"/>
        <v>0</v>
      </c>
      <c r="M1131" s="159" t="str">
        <f t="shared" si="35"/>
        <v/>
      </c>
      <c r="O1131" s="158"/>
    </row>
    <row r="1132" spans="1:15" x14ac:dyDescent="0.25">
      <c r="A1132" s="126"/>
      <c r="B1132" s="296"/>
      <c r="C1132" s="126"/>
      <c r="D1132" s="126"/>
      <c r="E1132" s="126"/>
      <c r="F1132" s="126"/>
      <c r="G1132" s="298"/>
      <c r="H1132" s="126"/>
      <c r="I1132" s="297"/>
      <c r="J1132" s="297"/>
      <c r="K1132" s="297"/>
      <c r="L1132" s="216">
        <f t="shared" si="34"/>
        <v>0</v>
      </c>
      <c r="M1132" s="159" t="str">
        <f t="shared" si="35"/>
        <v/>
      </c>
      <c r="O1132" s="158"/>
    </row>
    <row r="1133" spans="1:15" x14ac:dyDescent="0.25">
      <c r="A1133" s="126"/>
      <c r="B1133" s="296"/>
      <c r="C1133" s="126"/>
      <c r="D1133" s="126"/>
      <c r="E1133" s="126"/>
      <c r="F1133" s="126"/>
      <c r="G1133" s="298"/>
      <c r="H1133" s="126"/>
      <c r="I1133" s="297"/>
      <c r="J1133" s="297"/>
      <c r="K1133" s="297"/>
      <c r="L1133" s="216">
        <f t="shared" si="34"/>
        <v>0</v>
      </c>
      <c r="M1133" s="159" t="str">
        <f t="shared" si="35"/>
        <v/>
      </c>
      <c r="O1133" s="158"/>
    </row>
    <row r="1134" spans="1:15" x14ac:dyDescent="0.25">
      <c r="A1134" s="126"/>
      <c r="B1134" s="296"/>
      <c r="C1134" s="126"/>
      <c r="D1134" s="126"/>
      <c r="E1134" s="126"/>
      <c r="F1134" s="126"/>
      <c r="G1134" s="298"/>
      <c r="H1134" s="126"/>
      <c r="I1134" s="297"/>
      <c r="J1134" s="297"/>
      <c r="K1134" s="297"/>
      <c r="L1134" s="216">
        <f t="shared" si="34"/>
        <v>0</v>
      </c>
      <c r="M1134" s="159" t="str">
        <f t="shared" si="35"/>
        <v/>
      </c>
      <c r="O1134" s="158"/>
    </row>
    <row r="1135" spans="1:15" x14ac:dyDescent="0.25">
      <c r="A1135" s="126"/>
      <c r="B1135" s="296"/>
      <c r="C1135" s="126"/>
      <c r="D1135" s="126"/>
      <c r="E1135" s="126"/>
      <c r="F1135" s="126"/>
      <c r="G1135" s="298"/>
      <c r="H1135" s="126"/>
      <c r="I1135" s="297"/>
      <c r="J1135" s="297"/>
      <c r="K1135" s="297"/>
      <c r="L1135" s="216">
        <f t="shared" si="34"/>
        <v>0</v>
      </c>
      <c r="M1135" s="159" t="str">
        <f t="shared" si="35"/>
        <v/>
      </c>
      <c r="O1135" s="158"/>
    </row>
    <row r="1136" spans="1:15" x14ac:dyDescent="0.25">
      <c r="A1136" s="126"/>
      <c r="B1136" s="296"/>
      <c r="C1136" s="126"/>
      <c r="D1136" s="126"/>
      <c r="E1136" s="126"/>
      <c r="F1136" s="126"/>
      <c r="G1136" s="298"/>
      <c r="H1136" s="126"/>
      <c r="I1136" s="297"/>
      <c r="J1136" s="297"/>
      <c r="K1136" s="297"/>
      <c r="L1136" s="216">
        <f t="shared" si="34"/>
        <v>0</v>
      </c>
      <c r="M1136" s="159" t="str">
        <f t="shared" si="35"/>
        <v/>
      </c>
      <c r="O1136" s="158"/>
    </row>
    <row r="1137" spans="1:15" x14ac:dyDescent="0.25">
      <c r="A1137" s="126"/>
      <c r="B1137" s="296"/>
      <c r="C1137" s="126"/>
      <c r="D1137" s="126"/>
      <c r="E1137" s="126"/>
      <c r="F1137" s="126"/>
      <c r="G1137" s="298"/>
      <c r="H1137" s="126"/>
      <c r="I1137" s="297"/>
      <c r="J1137" s="297"/>
      <c r="K1137" s="297"/>
      <c r="L1137" s="216">
        <f t="shared" si="34"/>
        <v>0</v>
      </c>
      <c r="M1137" s="159" t="str">
        <f t="shared" si="35"/>
        <v/>
      </c>
      <c r="O1137" s="158"/>
    </row>
    <row r="1138" spans="1:15" x14ac:dyDescent="0.25">
      <c r="A1138" s="126"/>
      <c r="B1138" s="296"/>
      <c r="C1138" s="126"/>
      <c r="D1138" s="126"/>
      <c r="E1138" s="126"/>
      <c r="F1138" s="126"/>
      <c r="G1138" s="298"/>
      <c r="H1138" s="126"/>
      <c r="I1138" s="297"/>
      <c r="J1138" s="297"/>
      <c r="K1138" s="297"/>
      <c r="L1138" s="216">
        <f t="shared" si="34"/>
        <v>0</v>
      </c>
      <c r="M1138" s="159" t="str">
        <f t="shared" si="35"/>
        <v/>
      </c>
      <c r="O1138" s="158"/>
    </row>
    <row r="1139" spans="1:15" x14ac:dyDescent="0.25">
      <c r="A1139" s="126"/>
      <c r="B1139" s="296"/>
      <c r="C1139" s="126"/>
      <c r="D1139" s="126"/>
      <c r="E1139" s="126"/>
      <c r="F1139" s="126"/>
      <c r="G1139" s="298"/>
      <c r="H1139" s="126"/>
      <c r="I1139" s="297"/>
      <c r="J1139" s="297"/>
      <c r="K1139" s="297"/>
      <c r="L1139" s="216">
        <f t="shared" si="34"/>
        <v>0</v>
      </c>
      <c r="M1139" s="159" t="str">
        <f t="shared" si="35"/>
        <v/>
      </c>
      <c r="O1139" s="158"/>
    </row>
    <row r="1140" spans="1:15" x14ac:dyDescent="0.25">
      <c r="A1140" s="126"/>
      <c r="B1140" s="296"/>
      <c r="C1140" s="126"/>
      <c r="D1140" s="126"/>
      <c r="E1140" s="126"/>
      <c r="F1140" s="126"/>
      <c r="G1140" s="298"/>
      <c r="H1140" s="126"/>
      <c r="I1140" s="297"/>
      <c r="J1140" s="297"/>
      <c r="K1140" s="297"/>
      <c r="L1140" s="216">
        <f t="shared" si="34"/>
        <v>0</v>
      </c>
      <c r="M1140" s="159" t="str">
        <f t="shared" si="35"/>
        <v/>
      </c>
      <c r="O1140" s="158"/>
    </row>
    <row r="1141" spans="1:15" x14ac:dyDescent="0.25">
      <c r="A1141" s="126"/>
      <c r="B1141" s="296"/>
      <c r="C1141" s="126"/>
      <c r="D1141" s="126"/>
      <c r="E1141" s="126"/>
      <c r="F1141" s="126"/>
      <c r="G1141" s="298"/>
      <c r="H1141" s="126"/>
      <c r="I1141" s="297"/>
      <c r="J1141" s="297"/>
      <c r="K1141" s="297"/>
      <c r="L1141" s="216">
        <f t="shared" si="34"/>
        <v>0</v>
      </c>
      <c r="M1141" s="159" t="str">
        <f t="shared" si="35"/>
        <v/>
      </c>
      <c r="O1141" s="158"/>
    </row>
    <row r="1142" spans="1:15" x14ac:dyDescent="0.25">
      <c r="A1142" s="126"/>
      <c r="B1142" s="296"/>
      <c r="C1142" s="126"/>
      <c r="D1142" s="126"/>
      <c r="E1142" s="126"/>
      <c r="F1142" s="126"/>
      <c r="G1142" s="298"/>
      <c r="H1142" s="126"/>
      <c r="I1142" s="297"/>
      <c r="J1142" s="297"/>
      <c r="K1142" s="297"/>
      <c r="L1142" s="216">
        <f t="shared" si="34"/>
        <v>0</v>
      </c>
      <c r="M1142" s="159" t="str">
        <f t="shared" si="35"/>
        <v/>
      </c>
      <c r="O1142" s="158"/>
    </row>
    <row r="1143" spans="1:15" x14ac:dyDescent="0.25">
      <c r="A1143" s="126"/>
      <c r="B1143" s="296"/>
      <c r="C1143" s="126"/>
      <c r="D1143" s="126"/>
      <c r="E1143" s="126"/>
      <c r="F1143" s="126"/>
      <c r="G1143" s="298"/>
      <c r="H1143" s="126"/>
      <c r="I1143" s="297"/>
      <c r="J1143" s="297"/>
      <c r="K1143" s="297"/>
      <c r="L1143" s="216">
        <f t="shared" si="34"/>
        <v>0</v>
      </c>
      <c r="M1143" s="159" t="str">
        <f t="shared" si="35"/>
        <v/>
      </c>
      <c r="O1143" s="158"/>
    </row>
    <row r="1144" spans="1:15" x14ac:dyDescent="0.25">
      <c r="A1144" s="126"/>
      <c r="B1144" s="296"/>
      <c r="C1144" s="126"/>
      <c r="D1144" s="126"/>
      <c r="E1144" s="126"/>
      <c r="F1144" s="126"/>
      <c r="G1144" s="298"/>
      <c r="H1144" s="126"/>
      <c r="I1144" s="297"/>
      <c r="J1144" s="297"/>
      <c r="K1144" s="297"/>
      <c r="L1144" s="216">
        <f t="shared" si="34"/>
        <v>0</v>
      </c>
      <c r="M1144" s="159" t="str">
        <f t="shared" si="35"/>
        <v/>
      </c>
      <c r="O1144" s="158"/>
    </row>
    <row r="1145" spans="1:15" x14ac:dyDescent="0.25">
      <c r="A1145" s="126"/>
      <c r="B1145" s="296"/>
      <c r="C1145" s="126"/>
      <c r="D1145" s="126"/>
      <c r="E1145" s="126"/>
      <c r="F1145" s="126"/>
      <c r="G1145" s="298"/>
      <c r="H1145" s="126"/>
      <c r="I1145" s="297"/>
      <c r="J1145" s="297"/>
      <c r="K1145" s="297"/>
      <c r="L1145" s="216">
        <f t="shared" si="34"/>
        <v>0</v>
      </c>
      <c r="M1145" s="159" t="str">
        <f t="shared" si="35"/>
        <v/>
      </c>
      <c r="O1145" s="158"/>
    </row>
    <row r="1146" spans="1:15" x14ac:dyDescent="0.25">
      <c r="A1146" s="126"/>
      <c r="B1146" s="296"/>
      <c r="C1146" s="126"/>
      <c r="D1146" s="126"/>
      <c r="E1146" s="126"/>
      <c r="F1146" s="126"/>
      <c r="G1146" s="298"/>
      <c r="H1146" s="126"/>
      <c r="I1146" s="297"/>
      <c r="J1146" s="297"/>
      <c r="K1146" s="297"/>
      <c r="L1146" s="216">
        <f t="shared" si="34"/>
        <v>0</v>
      </c>
      <c r="M1146" s="159" t="str">
        <f t="shared" si="35"/>
        <v/>
      </c>
      <c r="O1146" s="158"/>
    </row>
    <row r="1147" spans="1:15" x14ac:dyDescent="0.25">
      <c r="A1147" s="126"/>
      <c r="B1147" s="296"/>
      <c r="C1147" s="126"/>
      <c r="D1147" s="126"/>
      <c r="E1147" s="126"/>
      <c r="F1147" s="126"/>
      <c r="G1147" s="298"/>
      <c r="H1147" s="126"/>
      <c r="I1147" s="297"/>
      <c r="J1147" s="297"/>
      <c r="K1147" s="297"/>
      <c r="L1147" s="216">
        <f t="shared" si="34"/>
        <v>0</v>
      </c>
      <c r="M1147" s="159" t="str">
        <f t="shared" si="35"/>
        <v/>
      </c>
      <c r="O1147" s="158"/>
    </row>
    <row r="1148" spans="1:15" x14ac:dyDescent="0.25">
      <c r="A1148" s="126"/>
      <c r="B1148" s="296"/>
      <c r="C1148" s="126"/>
      <c r="D1148" s="126"/>
      <c r="E1148" s="126"/>
      <c r="F1148" s="126"/>
      <c r="G1148" s="298"/>
      <c r="H1148" s="126"/>
      <c r="I1148" s="297"/>
      <c r="J1148" s="297"/>
      <c r="K1148" s="297"/>
      <c r="L1148" s="216">
        <f t="shared" si="34"/>
        <v>0</v>
      </c>
      <c r="M1148" s="159" t="str">
        <f t="shared" si="35"/>
        <v/>
      </c>
      <c r="O1148" s="158"/>
    </row>
    <row r="1149" spans="1:15" x14ac:dyDescent="0.25">
      <c r="A1149" s="126"/>
      <c r="B1149" s="296"/>
      <c r="C1149" s="126"/>
      <c r="D1149" s="126"/>
      <c r="E1149" s="126"/>
      <c r="F1149" s="126"/>
      <c r="G1149" s="298"/>
      <c r="H1149" s="126"/>
      <c r="I1149" s="297"/>
      <c r="J1149" s="297"/>
      <c r="K1149" s="297"/>
      <c r="L1149" s="216">
        <f t="shared" si="34"/>
        <v>0</v>
      </c>
      <c r="M1149" s="159" t="str">
        <f t="shared" si="35"/>
        <v/>
      </c>
      <c r="O1149" s="158"/>
    </row>
    <row r="1150" spans="1:15" x14ac:dyDescent="0.25">
      <c r="A1150" s="126"/>
      <c r="B1150" s="296"/>
      <c r="C1150" s="126"/>
      <c r="D1150" s="126"/>
      <c r="E1150" s="126"/>
      <c r="F1150" s="126"/>
      <c r="G1150" s="298"/>
      <c r="H1150" s="126"/>
      <c r="I1150" s="297"/>
      <c r="J1150" s="297"/>
      <c r="K1150" s="297"/>
      <c r="L1150" s="216">
        <f t="shared" si="34"/>
        <v>0</v>
      </c>
      <c r="M1150" s="159" t="str">
        <f t="shared" si="35"/>
        <v/>
      </c>
      <c r="O1150" s="158"/>
    </row>
    <row r="1151" spans="1:15" x14ac:dyDescent="0.25">
      <c r="A1151" s="126"/>
      <c r="B1151" s="296"/>
      <c r="C1151" s="126"/>
      <c r="D1151" s="126"/>
      <c r="E1151" s="126"/>
      <c r="F1151" s="126"/>
      <c r="G1151" s="298"/>
      <c r="H1151" s="126"/>
      <c r="I1151" s="297"/>
      <c r="J1151" s="297"/>
      <c r="K1151" s="297"/>
      <c r="L1151" s="216">
        <f t="shared" si="34"/>
        <v>0</v>
      </c>
      <c r="M1151" s="159" t="str">
        <f t="shared" si="35"/>
        <v/>
      </c>
      <c r="O1151" s="158"/>
    </row>
    <row r="1152" spans="1:15" x14ac:dyDescent="0.25">
      <c r="A1152" s="126"/>
      <c r="B1152" s="296"/>
      <c r="C1152" s="126"/>
      <c r="D1152" s="126"/>
      <c r="E1152" s="126"/>
      <c r="F1152" s="126"/>
      <c r="G1152" s="298"/>
      <c r="H1152" s="126"/>
      <c r="I1152" s="297"/>
      <c r="J1152" s="297"/>
      <c r="K1152" s="297"/>
      <c r="L1152" s="216">
        <f t="shared" si="34"/>
        <v>0</v>
      </c>
      <c r="M1152" s="159" t="str">
        <f t="shared" si="35"/>
        <v/>
      </c>
      <c r="O1152" s="158"/>
    </row>
    <row r="1153" spans="1:15" x14ac:dyDescent="0.25">
      <c r="A1153" s="126"/>
      <c r="B1153" s="296"/>
      <c r="C1153" s="126"/>
      <c r="D1153" s="126"/>
      <c r="E1153" s="126"/>
      <c r="F1153" s="126"/>
      <c r="G1153" s="298"/>
      <c r="H1153" s="126"/>
      <c r="I1153" s="297"/>
      <c r="J1153" s="297"/>
      <c r="K1153" s="297"/>
      <c r="L1153" s="216">
        <f t="shared" si="34"/>
        <v>0</v>
      </c>
      <c r="M1153" s="159" t="str">
        <f t="shared" si="35"/>
        <v/>
      </c>
      <c r="O1153" s="158"/>
    </row>
    <row r="1154" spans="1:15" x14ac:dyDescent="0.25">
      <c r="A1154" s="126"/>
      <c r="B1154" s="296"/>
      <c r="C1154" s="126"/>
      <c r="D1154" s="126"/>
      <c r="E1154" s="126"/>
      <c r="F1154" s="126"/>
      <c r="G1154" s="298"/>
      <c r="H1154" s="126"/>
      <c r="I1154" s="297"/>
      <c r="J1154" s="297"/>
      <c r="K1154" s="297"/>
      <c r="L1154" s="216">
        <f t="shared" ref="L1154:L1217" si="36">K1154*1.1</f>
        <v>0</v>
      </c>
      <c r="M1154" s="159" t="str">
        <f t="shared" ref="M1154:M1217" si="37">IF(ISNUMBER(SEARCH("Azarine",H1154)),"AZARINE",IF(ISNUMBER(SEARCH("Baking Soda",H1154)),"BAKING SODA",IF(ISNUMBER(SEARCH("Fujitsu",H1154)),"FUJITSU",IF(ISNUMBER(SEARCH("Coleman",H1154)),"COLEMAN",""))))</f>
        <v/>
      </c>
      <c r="O1154" s="158"/>
    </row>
    <row r="1155" spans="1:15" x14ac:dyDescent="0.25">
      <c r="A1155" s="126"/>
      <c r="B1155" s="296"/>
      <c r="C1155" s="126"/>
      <c r="D1155" s="126"/>
      <c r="E1155" s="126"/>
      <c r="F1155" s="126"/>
      <c r="G1155" s="298"/>
      <c r="H1155" s="126"/>
      <c r="I1155" s="297"/>
      <c r="J1155" s="297"/>
      <c r="K1155" s="297"/>
      <c r="L1155" s="216">
        <f t="shared" si="36"/>
        <v>0</v>
      </c>
      <c r="M1155" s="159" t="str">
        <f t="shared" si="37"/>
        <v/>
      </c>
      <c r="O1155" s="158"/>
    </row>
    <row r="1156" spans="1:15" x14ac:dyDescent="0.25">
      <c r="A1156" s="126"/>
      <c r="B1156" s="296"/>
      <c r="C1156" s="126"/>
      <c r="D1156" s="126"/>
      <c r="E1156" s="126"/>
      <c r="F1156" s="126"/>
      <c r="G1156" s="298"/>
      <c r="H1156" s="126"/>
      <c r="I1156" s="297"/>
      <c r="J1156" s="297"/>
      <c r="K1156" s="297"/>
      <c r="L1156" s="216">
        <f t="shared" si="36"/>
        <v>0</v>
      </c>
      <c r="M1156" s="159" t="str">
        <f t="shared" si="37"/>
        <v/>
      </c>
      <c r="O1156" s="158"/>
    </row>
    <row r="1157" spans="1:15" x14ac:dyDescent="0.25">
      <c r="A1157" s="126"/>
      <c r="B1157" s="296"/>
      <c r="C1157" s="126"/>
      <c r="D1157" s="126"/>
      <c r="E1157" s="126"/>
      <c r="F1157" s="126"/>
      <c r="G1157" s="298"/>
      <c r="H1157" s="126"/>
      <c r="I1157" s="297"/>
      <c r="J1157" s="297"/>
      <c r="K1157" s="297"/>
      <c r="L1157" s="216">
        <f t="shared" si="36"/>
        <v>0</v>
      </c>
      <c r="M1157" s="159" t="str">
        <f t="shared" si="37"/>
        <v/>
      </c>
      <c r="O1157" s="158"/>
    </row>
    <row r="1158" spans="1:15" x14ac:dyDescent="0.25">
      <c r="A1158" s="126"/>
      <c r="B1158" s="296"/>
      <c r="C1158" s="126"/>
      <c r="D1158" s="126"/>
      <c r="E1158" s="126"/>
      <c r="F1158" s="126"/>
      <c r="G1158" s="298"/>
      <c r="H1158" s="126"/>
      <c r="I1158" s="297"/>
      <c r="J1158" s="297"/>
      <c r="K1158" s="297"/>
      <c r="L1158" s="216">
        <f t="shared" si="36"/>
        <v>0</v>
      </c>
      <c r="M1158" s="159" t="str">
        <f t="shared" si="37"/>
        <v/>
      </c>
      <c r="O1158" s="158"/>
    </row>
    <row r="1159" spans="1:15" x14ac:dyDescent="0.25">
      <c r="A1159" s="126"/>
      <c r="B1159" s="296"/>
      <c r="C1159" s="126"/>
      <c r="D1159" s="126"/>
      <c r="E1159" s="126"/>
      <c r="F1159" s="126"/>
      <c r="G1159" s="298"/>
      <c r="H1159" s="126"/>
      <c r="I1159" s="297"/>
      <c r="J1159" s="297"/>
      <c r="K1159" s="297"/>
      <c r="L1159" s="216">
        <f t="shared" si="36"/>
        <v>0</v>
      </c>
      <c r="M1159" s="159" t="str">
        <f t="shared" si="37"/>
        <v/>
      </c>
      <c r="O1159" s="158"/>
    </row>
    <row r="1160" spans="1:15" x14ac:dyDescent="0.25">
      <c r="A1160" s="126"/>
      <c r="B1160" s="296"/>
      <c r="C1160" s="126"/>
      <c r="D1160" s="126"/>
      <c r="E1160" s="126"/>
      <c r="F1160" s="126"/>
      <c r="G1160" s="298"/>
      <c r="H1160" s="126"/>
      <c r="I1160" s="297"/>
      <c r="J1160" s="297"/>
      <c r="K1160" s="297"/>
      <c r="L1160" s="216">
        <f t="shared" si="36"/>
        <v>0</v>
      </c>
      <c r="M1160" s="159" t="str">
        <f t="shared" si="37"/>
        <v/>
      </c>
      <c r="O1160" s="158"/>
    </row>
    <row r="1161" spans="1:15" x14ac:dyDescent="0.25">
      <c r="A1161" s="126"/>
      <c r="B1161" s="296"/>
      <c r="C1161" s="126"/>
      <c r="D1161" s="126"/>
      <c r="E1161" s="126"/>
      <c r="F1161" s="126"/>
      <c r="G1161" s="298"/>
      <c r="H1161" s="126"/>
      <c r="I1161" s="297"/>
      <c r="J1161" s="297"/>
      <c r="K1161" s="297"/>
      <c r="L1161" s="216">
        <f t="shared" si="36"/>
        <v>0</v>
      </c>
      <c r="M1161" s="159" t="str">
        <f t="shared" si="37"/>
        <v/>
      </c>
      <c r="O1161" s="158"/>
    </row>
    <row r="1162" spans="1:15" x14ac:dyDescent="0.25">
      <c r="A1162" s="126"/>
      <c r="B1162" s="296"/>
      <c r="C1162" s="126"/>
      <c r="D1162" s="126"/>
      <c r="E1162" s="126"/>
      <c r="F1162" s="126"/>
      <c r="G1162" s="298"/>
      <c r="H1162" s="126"/>
      <c r="I1162" s="297"/>
      <c r="J1162" s="297"/>
      <c r="K1162" s="297"/>
      <c r="L1162" s="216">
        <f t="shared" si="36"/>
        <v>0</v>
      </c>
      <c r="M1162" s="159" t="str">
        <f t="shared" si="37"/>
        <v/>
      </c>
      <c r="O1162" s="158"/>
    </row>
    <row r="1163" spans="1:15" x14ac:dyDescent="0.25">
      <c r="A1163" s="126"/>
      <c r="B1163" s="296"/>
      <c r="C1163" s="126"/>
      <c r="D1163" s="126"/>
      <c r="E1163" s="126"/>
      <c r="F1163" s="126"/>
      <c r="G1163" s="298"/>
      <c r="H1163" s="126"/>
      <c r="I1163" s="297"/>
      <c r="J1163" s="297"/>
      <c r="K1163" s="297"/>
      <c r="L1163" s="216">
        <f t="shared" si="36"/>
        <v>0</v>
      </c>
      <c r="M1163" s="159" t="str">
        <f t="shared" si="37"/>
        <v/>
      </c>
      <c r="O1163" s="158"/>
    </row>
    <row r="1164" spans="1:15" x14ac:dyDescent="0.25">
      <c r="A1164" s="126"/>
      <c r="B1164" s="296"/>
      <c r="C1164" s="126"/>
      <c r="D1164" s="126"/>
      <c r="E1164" s="126"/>
      <c r="F1164" s="126"/>
      <c r="G1164" s="298"/>
      <c r="H1164" s="126"/>
      <c r="I1164" s="297"/>
      <c r="J1164" s="297"/>
      <c r="K1164" s="297"/>
      <c r="L1164" s="216">
        <f t="shared" si="36"/>
        <v>0</v>
      </c>
      <c r="M1164" s="159" t="str">
        <f t="shared" si="37"/>
        <v/>
      </c>
      <c r="O1164" s="158"/>
    </row>
    <row r="1165" spans="1:15" x14ac:dyDescent="0.25">
      <c r="A1165" s="126"/>
      <c r="B1165" s="296"/>
      <c r="C1165" s="126"/>
      <c r="D1165" s="126"/>
      <c r="E1165" s="126"/>
      <c r="F1165" s="126"/>
      <c r="G1165" s="298"/>
      <c r="H1165" s="126"/>
      <c r="I1165" s="297"/>
      <c r="J1165" s="297"/>
      <c r="K1165" s="297"/>
      <c r="L1165" s="216">
        <f t="shared" si="36"/>
        <v>0</v>
      </c>
      <c r="M1165" s="159" t="str">
        <f t="shared" si="37"/>
        <v/>
      </c>
      <c r="O1165" s="158"/>
    </row>
    <row r="1166" spans="1:15" x14ac:dyDescent="0.25">
      <c r="A1166" s="126"/>
      <c r="B1166" s="296"/>
      <c r="C1166" s="126"/>
      <c r="D1166" s="126"/>
      <c r="E1166" s="126"/>
      <c r="F1166" s="126"/>
      <c r="G1166" s="298"/>
      <c r="H1166" s="126"/>
      <c r="I1166" s="297"/>
      <c r="J1166" s="297"/>
      <c r="K1166" s="297"/>
      <c r="L1166" s="216">
        <f t="shared" si="36"/>
        <v>0</v>
      </c>
      <c r="M1166" s="159" t="str">
        <f t="shared" si="37"/>
        <v/>
      </c>
      <c r="O1166" s="158"/>
    </row>
    <row r="1167" spans="1:15" x14ac:dyDescent="0.25">
      <c r="A1167" s="126"/>
      <c r="B1167" s="296"/>
      <c r="C1167" s="126"/>
      <c r="D1167" s="126"/>
      <c r="E1167" s="126"/>
      <c r="F1167" s="126"/>
      <c r="G1167" s="298"/>
      <c r="H1167" s="126"/>
      <c r="I1167" s="297"/>
      <c r="J1167" s="297"/>
      <c r="K1167" s="297"/>
      <c r="L1167" s="216">
        <f t="shared" si="36"/>
        <v>0</v>
      </c>
      <c r="M1167" s="159" t="str">
        <f t="shared" si="37"/>
        <v/>
      </c>
      <c r="O1167" s="158"/>
    </row>
    <row r="1168" spans="1:15" x14ac:dyDescent="0.25">
      <c r="A1168" s="126"/>
      <c r="B1168" s="296"/>
      <c r="C1168" s="126"/>
      <c r="D1168" s="126"/>
      <c r="E1168" s="126"/>
      <c r="F1168" s="126"/>
      <c r="G1168" s="298"/>
      <c r="H1168" s="126"/>
      <c r="I1168" s="297"/>
      <c r="J1168" s="297"/>
      <c r="K1168" s="297"/>
      <c r="L1168" s="216">
        <f t="shared" si="36"/>
        <v>0</v>
      </c>
      <c r="M1168" s="159" t="str">
        <f t="shared" si="37"/>
        <v/>
      </c>
      <c r="O1168" s="158"/>
    </row>
    <row r="1169" spans="1:15" x14ac:dyDescent="0.25">
      <c r="A1169" s="126"/>
      <c r="B1169" s="296"/>
      <c r="C1169" s="126"/>
      <c r="D1169" s="126"/>
      <c r="E1169" s="126"/>
      <c r="F1169" s="126"/>
      <c r="G1169" s="298"/>
      <c r="H1169" s="126"/>
      <c r="I1169" s="297"/>
      <c r="J1169" s="297"/>
      <c r="K1169" s="297"/>
      <c r="L1169" s="216">
        <f t="shared" si="36"/>
        <v>0</v>
      </c>
      <c r="M1169" s="159" t="str">
        <f t="shared" si="37"/>
        <v/>
      </c>
      <c r="O1169" s="158"/>
    </row>
    <row r="1170" spans="1:15" x14ac:dyDescent="0.25">
      <c r="A1170" s="126"/>
      <c r="B1170" s="296"/>
      <c r="C1170" s="126"/>
      <c r="D1170" s="126"/>
      <c r="E1170" s="126"/>
      <c r="F1170" s="126"/>
      <c r="G1170" s="298"/>
      <c r="H1170" s="126"/>
      <c r="I1170" s="297"/>
      <c r="J1170" s="297"/>
      <c r="K1170" s="297"/>
      <c r="L1170" s="216">
        <f t="shared" si="36"/>
        <v>0</v>
      </c>
      <c r="M1170" s="159" t="str">
        <f t="shared" si="37"/>
        <v/>
      </c>
      <c r="O1170" s="158"/>
    </row>
    <row r="1171" spans="1:15" x14ac:dyDescent="0.25">
      <c r="A1171" s="126"/>
      <c r="B1171" s="296"/>
      <c r="C1171" s="126"/>
      <c r="D1171" s="126"/>
      <c r="E1171" s="126"/>
      <c r="F1171" s="126"/>
      <c r="G1171" s="298"/>
      <c r="H1171" s="126"/>
      <c r="I1171" s="297"/>
      <c r="J1171" s="297"/>
      <c r="K1171" s="297"/>
      <c r="L1171" s="216">
        <f t="shared" si="36"/>
        <v>0</v>
      </c>
      <c r="M1171" s="159" t="str">
        <f t="shared" si="37"/>
        <v/>
      </c>
      <c r="O1171" s="158"/>
    </row>
    <row r="1172" spans="1:15" x14ac:dyDescent="0.25">
      <c r="A1172" s="126"/>
      <c r="B1172" s="296"/>
      <c r="C1172" s="126"/>
      <c r="D1172" s="126"/>
      <c r="E1172" s="126"/>
      <c r="F1172" s="126"/>
      <c r="G1172" s="298"/>
      <c r="H1172" s="126"/>
      <c r="I1172" s="297"/>
      <c r="J1172" s="297"/>
      <c r="K1172" s="297"/>
      <c r="L1172" s="216">
        <f t="shared" si="36"/>
        <v>0</v>
      </c>
      <c r="M1172" s="159" t="str">
        <f t="shared" si="37"/>
        <v/>
      </c>
      <c r="O1172" s="158"/>
    </row>
    <row r="1173" spans="1:15" x14ac:dyDescent="0.25">
      <c r="A1173" s="126"/>
      <c r="B1173" s="296"/>
      <c r="C1173" s="126"/>
      <c r="D1173" s="126"/>
      <c r="E1173" s="126"/>
      <c r="F1173" s="126"/>
      <c r="G1173" s="298"/>
      <c r="H1173" s="126"/>
      <c r="I1173" s="297"/>
      <c r="J1173" s="297"/>
      <c r="K1173" s="297"/>
      <c r="L1173" s="216">
        <f t="shared" si="36"/>
        <v>0</v>
      </c>
      <c r="M1173" s="159" t="str">
        <f t="shared" si="37"/>
        <v/>
      </c>
      <c r="O1173" s="158"/>
    </row>
    <row r="1174" spans="1:15" x14ac:dyDescent="0.25">
      <c r="A1174" s="126"/>
      <c r="B1174" s="296"/>
      <c r="C1174" s="126"/>
      <c r="D1174" s="126"/>
      <c r="E1174" s="126"/>
      <c r="F1174" s="126"/>
      <c r="G1174" s="298"/>
      <c r="H1174" s="126"/>
      <c r="I1174" s="297"/>
      <c r="J1174" s="297"/>
      <c r="K1174" s="297"/>
      <c r="L1174" s="216">
        <f t="shared" si="36"/>
        <v>0</v>
      </c>
      <c r="M1174" s="159" t="str">
        <f t="shared" si="37"/>
        <v/>
      </c>
      <c r="O1174" s="158"/>
    </row>
    <row r="1175" spans="1:15" x14ac:dyDescent="0.25">
      <c r="A1175" s="126"/>
      <c r="B1175" s="296"/>
      <c r="C1175" s="126"/>
      <c r="D1175" s="126"/>
      <c r="E1175" s="126"/>
      <c r="F1175" s="126"/>
      <c r="G1175" s="298"/>
      <c r="H1175" s="126"/>
      <c r="I1175" s="297"/>
      <c r="J1175" s="297"/>
      <c r="K1175" s="297"/>
      <c r="L1175" s="216">
        <f t="shared" si="36"/>
        <v>0</v>
      </c>
      <c r="M1175" s="159" t="str">
        <f t="shared" si="37"/>
        <v/>
      </c>
      <c r="O1175" s="158"/>
    </row>
    <row r="1176" spans="1:15" x14ac:dyDescent="0.25">
      <c r="A1176" s="126"/>
      <c r="B1176" s="296"/>
      <c r="C1176" s="126"/>
      <c r="D1176" s="126"/>
      <c r="E1176" s="126"/>
      <c r="F1176" s="126"/>
      <c r="G1176" s="298"/>
      <c r="H1176" s="126"/>
      <c r="I1176" s="297"/>
      <c r="J1176" s="297"/>
      <c r="K1176" s="297"/>
      <c r="L1176" s="216">
        <f t="shared" si="36"/>
        <v>0</v>
      </c>
      <c r="M1176" s="159" t="str">
        <f t="shared" si="37"/>
        <v/>
      </c>
      <c r="O1176" s="158"/>
    </row>
    <row r="1177" spans="1:15" x14ac:dyDescent="0.25">
      <c r="A1177" s="126"/>
      <c r="B1177" s="296"/>
      <c r="C1177" s="126"/>
      <c r="D1177" s="126"/>
      <c r="E1177" s="126"/>
      <c r="F1177" s="126"/>
      <c r="G1177" s="298"/>
      <c r="H1177" s="126"/>
      <c r="I1177" s="297"/>
      <c r="J1177" s="297"/>
      <c r="K1177" s="297"/>
      <c r="L1177" s="216">
        <f t="shared" si="36"/>
        <v>0</v>
      </c>
      <c r="M1177" s="159" t="str">
        <f t="shared" si="37"/>
        <v/>
      </c>
      <c r="O1177" s="158"/>
    </row>
    <row r="1178" spans="1:15" x14ac:dyDescent="0.25">
      <c r="A1178" s="126"/>
      <c r="B1178" s="296"/>
      <c r="C1178" s="126"/>
      <c r="D1178" s="126"/>
      <c r="E1178" s="126"/>
      <c r="F1178" s="126"/>
      <c r="G1178" s="298"/>
      <c r="H1178" s="126"/>
      <c r="I1178" s="297"/>
      <c r="J1178" s="297"/>
      <c r="K1178" s="297"/>
      <c r="L1178" s="216">
        <f t="shared" si="36"/>
        <v>0</v>
      </c>
      <c r="M1178" s="159" t="str">
        <f t="shared" si="37"/>
        <v/>
      </c>
      <c r="O1178" s="158"/>
    </row>
    <row r="1179" spans="1:15" x14ac:dyDescent="0.25">
      <c r="A1179" s="126"/>
      <c r="B1179" s="296"/>
      <c r="C1179" s="126"/>
      <c r="D1179" s="126"/>
      <c r="E1179" s="126"/>
      <c r="F1179" s="126"/>
      <c r="G1179" s="298"/>
      <c r="H1179" s="126"/>
      <c r="I1179" s="297"/>
      <c r="J1179" s="297"/>
      <c r="K1179" s="297"/>
      <c r="L1179" s="216">
        <f t="shared" si="36"/>
        <v>0</v>
      </c>
      <c r="M1179" s="159" t="str">
        <f t="shared" si="37"/>
        <v/>
      </c>
      <c r="O1179" s="158"/>
    </row>
    <row r="1180" spans="1:15" x14ac:dyDescent="0.25">
      <c r="A1180" s="126"/>
      <c r="B1180" s="296"/>
      <c r="C1180" s="126"/>
      <c r="D1180" s="126"/>
      <c r="E1180" s="126"/>
      <c r="F1180" s="126"/>
      <c r="G1180" s="298"/>
      <c r="H1180" s="126"/>
      <c r="I1180" s="297"/>
      <c r="J1180" s="297"/>
      <c r="K1180" s="297"/>
      <c r="L1180" s="216">
        <f t="shared" si="36"/>
        <v>0</v>
      </c>
      <c r="M1180" s="159" t="str">
        <f t="shared" si="37"/>
        <v/>
      </c>
      <c r="O1180" s="158"/>
    </row>
    <row r="1181" spans="1:15" x14ac:dyDescent="0.25">
      <c r="A1181" s="126"/>
      <c r="B1181" s="296"/>
      <c r="C1181" s="126"/>
      <c r="D1181" s="126"/>
      <c r="E1181" s="126"/>
      <c r="F1181" s="126"/>
      <c r="G1181" s="298"/>
      <c r="H1181" s="126"/>
      <c r="I1181" s="297"/>
      <c r="J1181" s="297"/>
      <c r="K1181" s="297"/>
      <c r="L1181" s="216">
        <f t="shared" si="36"/>
        <v>0</v>
      </c>
      <c r="M1181" s="159" t="str">
        <f t="shared" si="37"/>
        <v/>
      </c>
      <c r="O1181" s="158"/>
    </row>
    <row r="1182" spans="1:15" x14ac:dyDescent="0.25">
      <c r="A1182" s="126"/>
      <c r="B1182" s="296"/>
      <c r="C1182" s="126"/>
      <c r="D1182" s="126"/>
      <c r="E1182" s="126"/>
      <c r="F1182" s="126"/>
      <c r="G1182" s="298"/>
      <c r="H1182" s="126"/>
      <c r="I1182" s="297"/>
      <c r="J1182" s="297"/>
      <c r="K1182" s="297"/>
      <c r="L1182" s="216">
        <f t="shared" si="36"/>
        <v>0</v>
      </c>
      <c r="M1182" s="159" t="str">
        <f t="shared" si="37"/>
        <v/>
      </c>
      <c r="O1182" s="158"/>
    </row>
    <row r="1183" spans="1:15" x14ac:dyDescent="0.25">
      <c r="A1183" s="126"/>
      <c r="B1183" s="296"/>
      <c r="C1183" s="126"/>
      <c r="D1183" s="126"/>
      <c r="E1183" s="126"/>
      <c r="F1183" s="126"/>
      <c r="G1183" s="298"/>
      <c r="H1183" s="126"/>
      <c r="I1183" s="297"/>
      <c r="J1183" s="297"/>
      <c r="K1183" s="297"/>
      <c r="L1183" s="216">
        <f t="shared" si="36"/>
        <v>0</v>
      </c>
      <c r="M1183" s="159" t="str">
        <f t="shared" si="37"/>
        <v/>
      </c>
      <c r="O1183" s="158"/>
    </row>
    <row r="1184" spans="1:15" x14ac:dyDescent="0.25">
      <c r="A1184" s="126"/>
      <c r="B1184" s="296"/>
      <c r="C1184" s="126"/>
      <c r="D1184" s="126"/>
      <c r="E1184" s="126"/>
      <c r="F1184" s="126"/>
      <c r="G1184" s="298"/>
      <c r="H1184" s="126"/>
      <c r="I1184" s="297"/>
      <c r="J1184" s="297"/>
      <c r="K1184" s="297"/>
      <c r="L1184" s="216">
        <f t="shared" si="36"/>
        <v>0</v>
      </c>
      <c r="M1184" s="159" t="str">
        <f t="shared" si="37"/>
        <v/>
      </c>
      <c r="O1184" s="158"/>
    </row>
    <row r="1185" spans="1:15" x14ac:dyDescent="0.25">
      <c r="A1185" s="126"/>
      <c r="B1185" s="296"/>
      <c r="C1185" s="126"/>
      <c r="D1185" s="126"/>
      <c r="E1185" s="126"/>
      <c r="F1185" s="126"/>
      <c r="G1185" s="298"/>
      <c r="H1185" s="126"/>
      <c r="I1185" s="297"/>
      <c r="J1185" s="297"/>
      <c r="K1185" s="297"/>
      <c r="L1185" s="216">
        <f t="shared" si="36"/>
        <v>0</v>
      </c>
      <c r="M1185" s="159" t="str">
        <f t="shared" si="37"/>
        <v/>
      </c>
      <c r="O1185" s="158"/>
    </row>
    <row r="1186" spans="1:15" x14ac:dyDescent="0.25">
      <c r="A1186" s="126"/>
      <c r="B1186" s="296"/>
      <c r="C1186" s="126"/>
      <c r="D1186" s="126"/>
      <c r="E1186" s="126"/>
      <c r="F1186" s="126"/>
      <c r="G1186" s="298"/>
      <c r="H1186" s="126"/>
      <c r="I1186" s="297"/>
      <c r="J1186" s="297"/>
      <c r="K1186" s="297"/>
      <c r="L1186" s="216">
        <f t="shared" si="36"/>
        <v>0</v>
      </c>
      <c r="M1186" s="159" t="str">
        <f t="shared" si="37"/>
        <v/>
      </c>
      <c r="O1186" s="158"/>
    </row>
    <row r="1187" spans="1:15" x14ac:dyDescent="0.25">
      <c r="A1187" s="126"/>
      <c r="B1187" s="296"/>
      <c r="C1187" s="126"/>
      <c r="D1187" s="126"/>
      <c r="E1187" s="126"/>
      <c r="F1187" s="126"/>
      <c r="G1187" s="298"/>
      <c r="H1187" s="126"/>
      <c r="I1187" s="297"/>
      <c r="J1187" s="297"/>
      <c r="K1187" s="297"/>
      <c r="L1187" s="216">
        <f t="shared" si="36"/>
        <v>0</v>
      </c>
      <c r="M1187" s="159" t="str">
        <f t="shared" si="37"/>
        <v/>
      </c>
      <c r="O1187" s="158"/>
    </row>
    <row r="1188" spans="1:15" x14ac:dyDescent="0.25">
      <c r="A1188" s="126"/>
      <c r="B1188" s="296"/>
      <c r="C1188" s="126"/>
      <c r="D1188" s="126"/>
      <c r="E1188" s="126"/>
      <c r="F1188" s="126"/>
      <c r="G1188" s="298"/>
      <c r="H1188" s="126"/>
      <c r="I1188" s="297"/>
      <c r="J1188" s="297"/>
      <c r="K1188" s="297"/>
      <c r="L1188" s="216">
        <f t="shared" si="36"/>
        <v>0</v>
      </c>
      <c r="M1188" s="159" t="str">
        <f t="shared" si="37"/>
        <v/>
      </c>
      <c r="O1188" s="158"/>
    </row>
    <row r="1189" spans="1:15" x14ac:dyDescent="0.25">
      <c r="A1189" s="126"/>
      <c r="B1189" s="296"/>
      <c r="C1189" s="126"/>
      <c r="D1189" s="126"/>
      <c r="E1189" s="126"/>
      <c r="F1189" s="126"/>
      <c r="G1189" s="298"/>
      <c r="H1189" s="126"/>
      <c r="I1189" s="297"/>
      <c r="J1189" s="297"/>
      <c r="K1189" s="297"/>
      <c r="L1189" s="216">
        <f t="shared" si="36"/>
        <v>0</v>
      </c>
      <c r="M1189" s="159" t="str">
        <f t="shared" si="37"/>
        <v/>
      </c>
      <c r="O1189" s="158"/>
    </row>
    <row r="1190" spans="1:15" x14ac:dyDescent="0.25">
      <c r="A1190" s="126"/>
      <c r="B1190" s="296"/>
      <c r="C1190" s="126"/>
      <c r="D1190" s="126"/>
      <c r="E1190" s="126"/>
      <c r="F1190" s="126"/>
      <c r="G1190" s="298"/>
      <c r="H1190" s="126"/>
      <c r="I1190" s="297"/>
      <c r="J1190" s="297"/>
      <c r="K1190" s="297"/>
      <c r="L1190" s="216">
        <f t="shared" si="36"/>
        <v>0</v>
      </c>
      <c r="M1190" s="159" t="str">
        <f t="shared" si="37"/>
        <v/>
      </c>
      <c r="O1190" s="158"/>
    </row>
    <row r="1191" spans="1:15" x14ac:dyDescent="0.25">
      <c r="A1191" s="126"/>
      <c r="B1191" s="296"/>
      <c r="C1191" s="126"/>
      <c r="D1191" s="126"/>
      <c r="E1191" s="126"/>
      <c r="F1191" s="126"/>
      <c r="G1191" s="298"/>
      <c r="H1191" s="126"/>
      <c r="I1191" s="297"/>
      <c r="J1191" s="297"/>
      <c r="K1191" s="297"/>
      <c r="L1191" s="216">
        <f t="shared" si="36"/>
        <v>0</v>
      </c>
      <c r="M1191" s="159" t="str">
        <f t="shared" si="37"/>
        <v/>
      </c>
      <c r="O1191" s="158"/>
    </row>
    <row r="1192" spans="1:15" x14ac:dyDescent="0.25">
      <c r="A1192" s="126"/>
      <c r="B1192" s="296"/>
      <c r="C1192" s="126"/>
      <c r="D1192" s="126"/>
      <c r="E1192" s="126"/>
      <c r="F1192" s="126"/>
      <c r="G1192" s="298"/>
      <c r="H1192" s="126"/>
      <c r="I1192" s="297"/>
      <c r="J1192" s="297"/>
      <c r="K1192" s="297"/>
      <c r="L1192" s="216">
        <f t="shared" si="36"/>
        <v>0</v>
      </c>
      <c r="M1192" s="159" t="str">
        <f t="shared" si="37"/>
        <v/>
      </c>
      <c r="O1192" s="158"/>
    </row>
    <row r="1193" spans="1:15" x14ac:dyDescent="0.25">
      <c r="A1193" s="126"/>
      <c r="B1193" s="296"/>
      <c r="C1193" s="126"/>
      <c r="D1193" s="126"/>
      <c r="E1193" s="126"/>
      <c r="F1193" s="126"/>
      <c r="G1193" s="298"/>
      <c r="H1193" s="126"/>
      <c r="I1193" s="297"/>
      <c r="J1193" s="297"/>
      <c r="K1193" s="297"/>
      <c r="L1193" s="216">
        <f t="shared" si="36"/>
        <v>0</v>
      </c>
      <c r="M1193" s="159" t="str">
        <f t="shared" si="37"/>
        <v/>
      </c>
      <c r="O1193" s="158"/>
    </row>
    <row r="1194" spans="1:15" x14ac:dyDescent="0.25">
      <c r="A1194" s="126"/>
      <c r="B1194" s="296"/>
      <c r="C1194" s="126"/>
      <c r="D1194" s="126"/>
      <c r="E1194" s="126"/>
      <c r="F1194" s="126"/>
      <c r="G1194" s="298"/>
      <c r="H1194" s="126"/>
      <c r="I1194" s="297"/>
      <c r="J1194" s="297"/>
      <c r="K1194" s="297"/>
      <c r="L1194" s="216">
        <f t="shared" si="36"/>
        <v>0</v>
      </c>
      <c r="M1194" s="159" t="str">
        <f t="shared" si="37"/>
        <v/>
      </c>
      <c r="O1194" s="158"/>
    </row>
    <row r="1195" spans="1:15" x14ac:dyDescent="0.25">
      <c r="A1195" s="126"/>
      <c r="B1195" s="296"/>
      <c r="C1195" s="126"/>
      <c r="D1195" s="126"/>
      <c r="E1195" s="126"/>
      <c r="F1195" s="126"/>
      <c r="G1195" s="298"/>
      <c r="H1195" s="126"/>
      <c r="I1195" s="297"/>
      <c r="J1195" s="297"/>
      <c r="K1195" s="297"/>
      <c r="L1195" s="216">
        <f t="shared" si="36"/>
        <v>0</v>
      </c>
      <c r="M1195" s="159" t="str">
        <f t="shared" si="37"/>
        <v/>
      </c>
      <c r="O1195" s="158"/>
    </row>
    <row r="1196" spans="1:15" x14ac:dyDescent="0.25">
      <c r="A1196" s="126"/>
      <c r="B1196" s="296"/>
      <c r="C1196" s="126"/>
      <c r="D1196" s="126"/>
      <c r="E1196" s="126"/>
      <c r="F1196" s="126"/>
      <c r="G1196" s="298"/>
      <c r="H1196" s="126"/>
      <c r="I1196" s="297"/>
      <c r="J1196" s="297"/>
      <c r="K1196" s="297"/>
      <c r="L1196" s="216">
        <f t="shared" si="36"/>
        <v>0</v>
      </c>
      <c r="M1196" s="159" t="str">
        <f t="shared" si="37"/>
        <v/>
      </c>
      <c r="O1196" s="158"/>
    </row>
    <row r="1197" spans="1:15" x14ac:dyDescent="0.25">
      <c r="A1197" s="126"/>
      <c r="B1197" s="296"/>
      <c r="C1197" s="126"/>
      <c r="D1197" s="126"/>
      <c r="E1197" s="126"/>
      <c r="F1197" s="126"/>
      <c r="G1197" s="298"/>
      <c r="H1197" s="126"/>
      <c r="I1197" s="297"/>
      <c r="J1197" s="297"/>
      <c r="K1197" s="297"/>
      <c r="L1197" s="216">
        <f t="shared" si="36"/>
        <v>0</v>
      </c>
      <c r="M1197" s="159" t="str">
        <f t="shared" si="37"/>
        <v/>
      </c>
      <c r="O1197" s="158"/>
    </row>
    <row r="1198" spans="1:15" x14ac:dyDescent="0.25">
      <c r="A1198" s="126"/>
      <c r="B1198" s="296"/>
      <c r="C1198" s="126"/>
      <c r="D1198" s="126"/>
      <c r="E1198" s="126"/>
      <c r="F1198" s="126"/>
      <c r="G1198" s="298"/>
      <c r="H1198" s="126"/>
      <c r="I1198" s="297"/>
      <c r="J1198" s="297"/>
      <c r="K1198" s="297"/>
      <c r="L1198" s="216">
        <f t="shared" si="36"/>
        <v>0</v>
      </c>
      <c r="M1198" s="159" t="str">
        <f t="shared" si="37"/>
        <v/>
      </c>
      <c r="O1198" s="158"/>
    </row>
    <row r="1199" spans="1:15" x14ac:dyDescent="0.25">
      <c r="A1199" s="126"/>
      <c r="B1199" s="296"/>
      <c r="C1199" s="126"/>
      <c r="D1199" s="126"/>
      <c r="E1199" s="126"/>
      <c r="F1199" s="126"/>
      <c r="G1199" s="298"/>
      <c r="H1199" s="126"/>
      <c r="I1199" s="297"/>
      <c r="J1199" s="297"/>
      <c r="K1199" s="297"/>
      <c r="L1199" s="216">
        <f t="shared" si="36"/>
        <v>0</v>
      </c>
      <c r="M1199" s="159" t="str">
        <f t="shared" si="37"/>
        <v/>
      </c>
      <c r="O1199" s="158"/>
    </row>
    <row r="1200" spans="1:15" x14ac:dyDescent="0.25">
      <c r="A1200" s="126"/>
      <c r="B1200" s="296"/>
      <c r="C1200" s="126"/>
      <c r="D1200" s="126"/>
      <c r="E1200" s="126"/>
      <c r="F1200" s="126"/>
      <c r="G1200" s="298"/>
      <c r="H1200" s="126"/>
      <c r="I1200" s="297"/>
      <c r="J1200" s="297"/>
      <c r="K1200" s="297"/>
      <c r="L1200" s="216">
        <f t="shared" si="36"/>
        <v>0</v>
      </c>
      <c r="M1200" s="159" t="str">
        <f t="shared" si="37"/>
        <v/>
      </c>
      <c r="O1200" s="158"/>
    </row>
    <row r="1201" spans="1:15" x14ac:dyDescent="0.25">
      <c r="A1201" s="126"/>
      <c r="B1201" s="296"/>
      <c r="C1201" s="126"/>
      <c r="D1201" s="126"/>
      <c r="E1201" s="126"/>
      <c r="F1201" s="126"/>
      <c r="G1201" s="298"/>
      <c r="H1201" s="126"/>
      <c r="I1201" s="297"/>
      <c r="J1201" s="297"/>
      <c r="K1201" s="297"/>
      <c r="L1201" s="216">
        <f t="shared" si="36"/>
        <v>0</v>
      </c>
      <c r="M1201" s="159" t="str">
        <f t="shared" si="37"/>
        <v/>
      </c>
      <c r="O1201" s="158"/>
    </row>
    <row r="1202" spans="1:15" x14ac:dyDescent="0.25">
      <c r="A1202" s="126"/>
      <c r="B1202" s="296"/>
      <c r="C1202" s="126"/>
      <c r="D1202" s="126"/>
      <c r="E1202" s="126"/>
      <c r="F1202" s="126"/>
      <c r="G1202" s="298"/>
      <c r="H1202" s="126"/>
      <c r="I1202" s="297"/>
      <c r="J1202" s="297"/>
      <c r="K1202" s="297"/>
      <c r="L1202" s="216">
        <f t="shared" si="36"/>
        <v>0</v>
      </c>
      <c r="M1202" s="159" t="str">
        <f t="shared" si="37"/>
        <v/>
      </c>
      <c r="O1202" s="158"/>
    </row>
    <row r="1203" spans="1:15" x14ac:dyDescent="0.25">
      <c r="A1203" s="126"/>
      <c r="B1203" s="296"/>
      <c r="C1203" s="126"/>
      <c r="D1203" s="126"/>
      <c r="E1203" s="126"/>
      <c r="F1203" s="126"/>
      <c r="G1203" s="298"/>
      <c r="H1203" s="126"/>
      <c r="I1203" s="297"/>
      <c r="J1203" s="297"/>
      <c r="K1203" s="297"/>
      <c r="L1203" s="216">
        <f t="shared" si="36"/>
        <v>0</v>
      </c>
      <c r="M1203" s="159" t="str">
        <f t="shared" si="37"/>
        <v/>
      </c>
      <c r="O1203" s="158"/>
    </row>
    <row r="1204" spans="1:15" x14ac:dyDescent="0.25">
      <c r="A1204" s="126"/>
      <c r="B1204" s="296"/>
      <c r="C1204" s="126"/>
      <c r="D1204" s="126"/>
      <c r="E1204" s="126"/>
      <c r="F1204" s="126"/>
      <c r="G1204" s="298"/>
      <c r="H1204" s="126"/>
      <c r="I1204" s="297"/>
      <c r="J1204" s="297"/>
      <c r="K1204" s="297"/>
      <c r="L1204" s="216">
        <f t="shared" si="36"/>
        <v>0</v>
      </c>
      <c r="M1204" s="159" t="str">
        <f t="shared" si="37"/>
        <v/>
      </c>
      <c r="O1204" s="158"/>
    </row>
    <row r="1205" spans="1:15" x14ac:dyDescent="0.25">
      <c r="A1205" s="126"/>
      <c r="B1205" s="296"/>
      <c r="C1205" s="126"/>
      <c r="D1205" s="126"/>
      <c r="E1205" s="126"/>
      <c r="F1205" s="126"/>
      <c r="G1205" s="298"/>
      <c r="H1205" s="126"/>
      <c r="I1205" s="297"/>
      <c r="J1205" s="297"/>
      <c r="K1205" s="297"/>
      <c r="L1205" s="216">
        <f t="shared" si="36"/>
        <v>0</v>
      </c>
      <c r="M1205" s="159" t="str">
        <f t="shared" si="37"/>
        <v/>
      </c>
      <c r="O1205" s="158"/>
    </row>
    <row r="1206" spans="1:15" x14ac:dyDescent="0.25">
      <c r="A1206" s="126"/>
      <c r="B1206" s="296"/>
      <c r="C1206" s="126"/>
      <c r="D1206" s="126"/>
      <c r="E1206" s="126"/>
      <c r="F1206" s="126"/>
      <c r="G1206" s="298"/>
      <c r="H1206" s="126"/>
      <c r="I1206" s="297"/>
      <c r="J1206" s="297"/>
      <c r="K1206" s="297"/>
      <c r="L1206" s="216">
        <f t="shared" si="36"/>
        <v>0</v>
      </c>
      <c r="M1206" s="159" t="str">
        <f t="shared" si="37"/>
        <v/>
      </c>
      <c r="O1206" s="158"/>
    </row>
    <row r="1207" spans="1:15" x14ac:dyDescent="0.25">
      <c r="A1207" s="126"/>
      <c r="B1207" s="296"/>
      <c r="C1207" s="126"/>
      <c r="D1207" s="126"/>
      <c r="E1207" s="126"/>
      <c r="F1207" s="126"/>
      <c r="G1207" s="298"/>
      <c r="H1207" s="126"/>
      <c r="I1207" s="297"/>
      <c r="J1207" s="297"/>
      <c r="K1207" s="297"/>
      <c r="L1207" s="216">
        <f t="shared" si="36"/>
        <v>0</v>
      </c>
      <c r="M1207" s="159" t="str">
        <f t="shared" si="37"/>
        <v/>
      </c>
      <c r="O1207" s="158"/>
    </row>
    <row r="1208" spans="1:15" x14ac:dyDescent="0.25">
      <c r="A1208" s="126"/>
      <c r="B1208" s="296"/>
      <c r="C1208" s="126"/>
      <c r="D1208" s="126"/>
      <c r="E1208" s="126"/>
      <c r="F1208" s="126"/>
      <c r="G1208" s="298"/>
      <c r="H1208" s="126"/>
      <c r="I1208" s="297"/>
      <c r="J1208" s="297"/>
      <c r="K1208" s="297"/>
      <c r="L1208" s="216">
        <f t="shared" si="36"/>
        <v>0</v>
      </c>
      <c r="M1208" s="159" t="str">
        <f t="shared" si="37"/>
        <v/>
      </c>
      <c r="O1208" s="158"/>
    </row>
    <row r="1209" spans="1:15" x14ac:dyDescent="0.25">
      <c r="A1209" s="126"/>
      <c r="B1209" s="296"/>
      <c r="C1209" s="126"/>
      <c r="D1209" s="126"/>
      <c r="E1209" s="126"/>
      <c r="F1209" s="126"/>
      <c r="G1209" s="298"/>
      <c r="H1209" s="126"/>
      <c r="I1209" s="297"/>
      <c r="J1209" s="297"/>
      <c r="K1209" s="297"/>
      <c r="L1209" s="216">
        <f t="shared" si="36"/>
        <v>0</v>
      </c>
      <c r="M1209" s="159" t="str">
        <f t="shared" si="37"/>
        <v/>
      </c>
      <c r="O1209" s="158"/>
    </row>
    <row r="1210" spans="1:15" x14ac:dyDescent="0.25">
      <c r="A1210" s="126"/>
      <c r="B1210" s="296"/>
      <c r="C1210" s="126"/>
      <c r="D1210" s="126"/>
      <c r="E1210" s="126"/>
      <c r="F1210" s="126"/>
      <c r="G1210" s="298"/>
      <c r="H1210" s="126"/>
      <c r="I1210" s="297"/>
      <c r="J1210" s="297"/>
      <c r="K1210" s="297"/>
      <c r="L1210" s="216">
        <f t="shared" si="36"/>
        <v>0</v>
      </c>
      <c r="M1210" s="159" t="str">
        <f t="shared" si="37"/>
        <v/>
      </c>
      <c r="O1210" s="158"/>
    </row>
    <row r="1211" spans="1:15" x14ac:dyDescent="0.25">
      <c r="A1211" s="126"/>
      <c r="B1211" s="296"/>
      <c r="C1211" s="126"/>
      <c r="D1211" s="126"/>
      <c r="E1211" s="126"/>
      <c r="F1211" s="126"/>
      <c r="G1211" s="298"/>
      <c r="H1211" s="126"/>
      <c r="I1211" s="297"/>
      <c r="J1211" s="297"/>
      <c r="K1211" s="297"/>
      <c r="L1211" s="216">
        <f t="shared" si="36"/>
        <v>0</v>
      </c>
      <c r="M1211" s="159" t="str">
        <f t="shared" si="37"/>
        <v/>
      </c>
      <c r="O1211" s="158"/>
    </row>
    <row r="1212" spans="1:15" x14ac:dyDescent="0.25">
      <c r="A1212" s="126"/>
      <c r="B1212" s="296"/>
      <c r="C1212" s="126"/>
      <c r="D1212" s="126"/>
      <c r="E1212" s="126"/>
      <c r="F1212" s="126"/>
      <c r="G1212" s="298"/>
      <c r="H1212" s="126"/>
      <c r="I1212" s="297"/>
      <c r="J1212" s="297"/>
      <c r="K1212" s="297"/>
      <c r="L1212" s="216">
        <f t="shared" si="36"/>
        <v>0</v>
      </c>
      <c r="M1212" s="159" t="str">
        <f t="shared" si="37"/>
        <v/>
      </c>
      <c r="O1212" s="158"/>
    </row>
    <row r="1213" spans="1:15" x14ac:dyDescent="0.25">
      <c r="A1213" s="126"/>
      <c r="B1213" s="296"/>
      <c r="C1213" s="126"/>
      <c r="D1213" s="126"/>
      <c r="E1213" s="126"/>
      <c r="F1213" s="126"/>
      <c r="G1213" s="298"/>
      <c r="H1213" s="126"/>
      <c r="I1213" s="297"/>
      <c r="J1213" s="297"/>
      <c r="K1213" s="297"/>
      <c r="L1213" s="216">
        <f t="shared" si="36"/>
        <v>0</v>
      </c>
      <c r="M1213" s="159" t="str">
        <f t="shared" si="37"/>
        <v/>
      </c>
      <c r="O1213" s="158"/>
    </row>
    <row r="1214" spans="1:15" x14ac:dyDescent="0.25">
      <c r="A1214" s="126"/>
      <c r="B1214" s="296"/>
      <c r="C1214" s="126"/>
      <c r="D1214" s="126"/>
      <c r="E1214" s="126"/>
      <c r="F1214" s="126"/>
      <c r="G1214" s="298"/>
      <c r="H1214" s="126"/>
      <c r="I1214" s="297"/>
      <c r="J1214" s="297"/>
      <c r="K1214" s="297"/>
      <c r="L1214" s="216">
        <f t="shared" si="36"/>
        <v>0</v>
      </c>
      <c r="M1214" s="159" t="str">
        <f t="shared" si="37"/>
        <v/>
      </c>
      <c r="O1214" s="158"/>
    </row>
    <row r="1215" spans="1:15" x14ac:dyDescent="0.25">
      <c r="A1215" s="126"/>
      <c r="B1215" s="296"/>
      <c r="C1215" s="126"/>
      <c r="D1215" s="126"/>
      <c r="E1215" s="126"/>
      <c r="F1215" s="126"/>
      <c r="G1215" s="298"/>
      <c r="H1215" s="126"/>
      <c r="I1215" s="297"/>
      <c r="J1215" s="297"/>
      <c r="K1215" s="297"/>
      <c r="L1215" s="216">
        <f t="shared" si="36"/>
        <v>0</v>
      </c>
      <c r="M1215" s="159" t="str">
        <f t="shared" si="37"/>
        <v/>
      </c>
      <c r="O1215" s="158"/>
    </row>
    <row r="1216" spans="1:15" x14ac:dyDescent="0.25">
      <c r="A1216" s="126"/>
      <c r="B1216" s="296"/>
      <c r="C1216" s="126"/>
      <c r="D1216" s="126"/>
      <c r="E1216" s="126"/>
      <c r="F1216" s="126"/>
      <c r="G1216" s="298"/>
      <c r="H1216" s="126"/>
      <c r="I1216" s="297"/>
      <c r="J1216" s="297"/>
      <c r="K1216" s="297"/>
      <c r="L1216" s="216">
        <f t="shared" si="36"/>
        <v>0</v>
      </c>
      <c r="M1216" s="159" t="str">
        <f t="shared" si="37"/>
        <v/>
      </c>
      <c r="O1216" s="158"/>
    </row>
    <row r="1217" spans="1:15" x14ac:dyDescent="0.25">
      <c r="A1217" s="126"/>
      <c r="B1217" s="296"/>
      <c r="C1217" s="126"/>
      <c r="D1217" s="126"/>
      <c r="E1217" s="126"/>
      <c r="F1217" s="126"/>
      <c r="G1217" s="298"/>
      <c r="H1217" s="126"/>
      <c r="I1217" s="297"/>
      <c r="J1217" s="297"/>
      <c r="K1217" s="297"/>
      <c r="L1217" s="216">
        <f t="shared" si="36"/>
        <v>0</v>
      </c>
      <c r="M1217" s="159" t="str">
        <f t="shared" si="37"/>
        <v/>
      </c>
      <c r="O1217" s="158"/>
    </row>
  </sheetData>
  <autoFilter ref="A1:O1217" xr:uid="{00000000-0009-0000-0000-000000000000}">
    <sortState xmlns:xlrd2="http://schemas.microsoft.com/office/spreadsheetml/2017/richdata2" ref="A2:O1217">
      <sortCondition descending="1" ref="O1:O1217"/>
    </sortState>
  </autoFilter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 filterMode="1"/>
  <dimension ref="A1:O50"/>
  <sheetViews>
    <sheetView showGridLines="0" zoomScale="82" zoomScaleNormal="82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C20" sqref="C20"/>
    </sheetView>
  </sheetViews>
  <sheetFormatPr defaultColWidth="8.7109375" defaultRowHeight="15" x14ac:dyDescent="0.25"/>
  <cols>
    <col min="1" max="1" width="30.42578125" style="30" customWidth="1"/>
    <col min="2" max="2" width="13.85546875" style="30" customWidth="1"/>
    <col min="3" max="3" width="23.28515625" style="32" customWidth="1"/>
    <col min="4" max="4" width="20.28515625" style="33" customWidth="1"/>
    <col min="5" max="5" width="10" style="34" customWidth="1"/>
    <col min="6" max="6" width="22" style="32" bestFit="1" customWidth="1"/>
    <col min="7" max="7" width="18.5703125" style="33" customWidth="1"/>
    <col min="8" max="8" width="22" style="32" bestFit="1" customWidth="1"/>
    <col min="9" max="11" width="19.42578125" style="33" customWidth="1"/>
    <col min="12" max="12" width="22" style="32" bestFit="1" customWidth="1"/>
    <col min="13" max="13" width="19" style="33" customWidth="1"/>
    <col min="14" max="14" width="8.7109375" style="30" customWidth="1"/>
    <col min="15" max="15" width="16" style="30" bestFit="1" customWidth="1"/>
    <col min="16" max="17" width="8.7109375" style="30" customWidth="1"/>
    <col min="18" max="18" width="14.7109375" style="30" bestFit="1" customWidth="1"/>
    <col min="19" max="21" width="8.7109375" style="30" customWidth="1"/>
    <col min="22" max="16384" width="8.7109375" style="30"/>
  </cols>
  <sheetData>
    <row r="1" spans="1:15" s="27" customFormat="1" ht="28.5" customHeight="1" x14ac:dyDescent="0.25">
      <c r="A1" s="304"/>
      <c r="B1" s="305"/>
      <c r="C1" s="306"/>
      <c r="D1" s="185"/>
      <c r="E1" s="186"/>
      <c r="F1" s="309" t="s">
        <v>628</v>
      </c>
      <c r="G1" s="310"/>
      <c r="H1" s="309" t="s">
        <v>629</v>
      </c>
      <c r="I1" s="310"/>
      <c r="J1" s="309" t="s">
        <v>630</v>
      </c>
      <c r="K1" s="310"/>
      <c r="L1" s="309" t="s">
        <v>631</v>
      </c>
      <c r="M1" s="310"/>
      <c r="O1" s="27" t="s">
        <v>628</v>
      </c>
    </row>
    <row r="2" spans="1:15" s="28" customFormat="1" ht="15" customHeight="1" x14ac:dyDescent="0.25">
      <c r="A2" s="313" t="s">
        <v>14</v>
      </c>
      <c r="B2" s="313" t="s">
        <v>632</v>
      </c>
      <c r="C2" s="307" t="s">
        <v>633</v>
      </c>
      <c r="D2" s="314" t="s">
        <v>634</v>
      </c>
      <c r="E2" s="315" t="s">
        <v>635</v>
      </c>
      <c r="F2" s="311"/>
      <c r="G2" s="312"/>
      <c r="H2" s="311"/>
      <c r="I2" s="312"/>
      <c r="J2" s="311"/>
      <c r="K2" s="312"/>
      <c r="L2" s="311"/>
      <c r="M2" s="312"/>
      <c r="O2" s="27" t="s">
        <v>629</v>
      </c>
    </row>
    <row r="3" spans="1:15" s="28" customFormat="1" ht="18.75" customHeight="1" x14ac:dyDescent="0.25">
      <c r="A3" s="308"/>
      <c r="B3" s="308"/>
      <c r="C3" s="308"/>
      <c r="D3" s="308"/>
      <c r="E3" s="308"/>
      <c r="F3" s="187" t="s">
        <v>636</v>
      </c>
      <c r="G3" s="188" t="s">
        <v>634</v>
      </c>
      <c r="H3" s="187" t="s">
        <v>636</v>
      </c>
      <c r="I3" s="188" t="s">
        <v>634</v>
      </c>
      <c r="J3" s="187" t="s">
        <v>636</v>
      </c>
      <c r="K3" s="188" t="s">
        <v>634</v>
      </c>
      <c r="L3" s="187" t="s">
        <v>636</v>
      </c>
      <c r="M3" s="188" t="s">
        <v>634</v>
      </c>
      <c r="O3" s="27" t="s">
        <v>630</v>
      </c>
    </row>
    <row r="4" spans="1:15" s="29" customFormat="1" ht="28.5" customHeight="1" x14ac:dyDescent="0.25">
      <c r="A4" s="189" t="s">
        <v>637</v>
      </c>
      <c r="B4" s="189"/>
      <c r="C4" s="190">
        <f>ROUNDUP(SUM(C5:C15),-5)</f>
        <v>2079900000</v>
      </c>
      <c r="D4" s="190">
        <f>SUM(G4,I4,M4,K4)</f>
        <v>0</v>
      </c>
      <c r="E4" s="191">
        <f>D4/C4</f>
        <v>0</v>
      </c>
      <c r="F4" s="286">
        <f t="shared" ref="F4:M4" si="0">IFERROR(SUM(F5:F15),"")</f>
        <v>351165179.66402113</v>
      </c>
      <c r="G4" s="286">
        <f t="shared" si="0"/>
        <v>0</v>
      </c>
      <c r="H4" s="286">
        <f t="shared" si="0"/>
        <v>164880505.89906928</v>
      </c>
      <c r="I4" s="286">
        <f t="shared" si="0"/>
        <v>0</v>
      </c>
      <c r="J4" s="286">
        <f t="shared" si="0"/>
        <v>200889395.191275</v>
      </c>
      <c r="K4" s="286">
        <f t="shared" si="0"/>
        <v>0</v>
      </c>
      <c r="L4" s="286">
        <f t="shared" si="0"/>
        <v>1362953709.4954834</v>
      </c>
      <c r="M4" s="286">
        <f t="shared" si="0"/>
        <v>0</v>
      </c>
      <c r="O4" s="27" t="s">
        <v>631</v>
      </c>
    </row>
    <row r="5" spans="1:15" ht="15.75" customHeight="1" x14ac:dyDescent="0.25">
      <c r="A5" s="10" t="s">
        <v>617</v>
      </c>
      <c r="B5" s="10">
        <v>3</v>
      </c>
      <c r="C5" s="192">
        <f>SUMIFS('SALE BY STORE'!$H$3:$H$982,'SALE BY STORE'!$B$3:$B$982,'SALES BY SYSTEM'!$A5)</f>
        <v>46261522.939733669</v>
      </c>
      <c r="D5" s="192">
        <f t="shared" ref="D5:D15" si="1">VALUE(SUM(G5,I5,M5,K5))</f>
        <v>0</v>
      </c>
      <c r="E5" s="193">
        <f t="shared" ref="E5:E13" si="2">IFERROR(D5/C5,"")</f>
        <v>0</v>
      </c>
      <c r="F5" s="201">
        <f>SUMIFS('SALE BY STORE'!$K$3:$K$982,'SALE BY STORE'!$B$3:$B$982,'SALES BY SYSTEM'!$A5)</f>
        <v>33206506.50495819</v>
      </c>
      <c r="G5" s="201">
        <f>SUMIFS(DATA!$L:$L,DATA!$O:$O,'SALES BY SYSTEM'!$A5,DATA!$M:$M,'SALES BY SYSTEM'!$O$1)</f>
        <v>0</v>
      </c>
      <c r="H5" s="201">
        <f>SUMIFS('SALE BY STORE'!$N$3:$N$982,'SALE BY STORE'!$B$3:$B$982,'SALES BY SYSTEM'!$A5)</f>
        <v>13055016.434775475</v>
      </c>
      <c r="I5" s="201">
        <f>SUMIFS(DATA!$L:$L,DATA!$O:$O,'SALES BY SYSTEM'!$A5,DATA!$M:$M,'SALES BY SYSTEM'!$O$2)</f>
        <v>0</v>
      </c>
      <c r="J5" s="201">
        <f>SUMIFS('SALE BY STORE'!$T$3:$T$982,'SALE BY STORE'!$B$3:$B$982,'SALES BY SYSTEM'!$A5)</f>
        <v>0</v>
      </c>
      <c r="K5" s="201">
        <f>SUMIFS(DATA!$L:$L,DATA!$O:$O,'SALES BY SYSTEM'!$A5,DATA!$M:$M,'SALES BY SYSTEM'!$O$3)</f>
        <v>0</v>
      </c>
      <c r="L5" s="201">
        <f>SUMIFS('SALE BY STORE'!$Q$3:$Q$982,'SALE BY STORE'!$B$3:$B$982,'SALES BY SYSTEM'!$A5)</f>
        <v>0</v>
      </c>
      <c r="M5" s="201">
        <f>SUMIFS(DATA!$L:$L,DATA!$O:$O,'SALES BY SYSTEM'!$A5,DATA!$M:$M,'SALES BY SYSTEM'!$O$4)</f>
        <v>0</v>
      </c>
    </row>
    <row r="6" spans="1:15" ht="15.75" hidden="1" customHeight="1" x14ac:dyDescent="0.25">
      <c r="A6" s="10" t="s">
        <v>638</v>
      </c>
      <c r="B6" s="10">
        <v>7</v>
      </c>
      <c r="C6" s="192">
        <f>SUMIFS('SALE BY STORE'!$H$3:$H$982,'SALE BY STORE'!$B$3:$B$982,'SALES BY SYSTEM'!$A6)</f>
        <v>0</v>
      </c>
      <c r="D6" s="192">
        <f t="shared" si="1"/>
        <v>0</v>
      </c>
      <c r="E6" s="193" t="str">
        <f t="shared" si="2"/>
        <v/>
      </c>
      <c r="F6" s="201">
        <f>SUMIFS('SALE BY STORE'!$K$3:$K$982,'SALE BY STORE'!$B$3:$B$982,'SALES BY SYSTEM'!$A6)</f>
        <v>0</v>
      </c>
      <c r="G6" s="201">
        <f>SUMIFS(DATA!$L:$L,DATA!$O:$O,'SALES BY SYSTEM'!$A6,DATA!$M:$M,'SALES BY SYSTEM'!$O$1)</f>
        <v>0</v>
      </c>
      <c r="H6" s="201">
        <f>SUMIFS('SALE BY STORE'!$N$3:$N$982,'SALE BY STORE'!$B$3:$B$982,'SALES BY SYSTEM'!$A6)</f>
        <v>0</v>
      </c>
      <c r="I6" s="201">
        <f>SUMIFS(DATA!$L:$L,DATA!$O:$O,'SALES BY SYSTEM'!$A6,DATA!$M:$M,'SALES BY SYSTEM'!$O$2)</f>
        <v>0</v>
      </c>
      <c r="J6" s="201">
        <f>SUMIFS('SALE BY STORE'!$T$3:$T$982,'SALE BY STORE'!$B$3:$B$982,'SALES BY SYSTEM'!$A6)</f>
        <v>0</v>
      </c>
      <c r="K6" s="201">
        <f>SUMIFS(DATA!$L:$L,DATA!$O:$O,'SALES BY SYSTEM'!$A6,DATA!$M:$M,'SALES BY SYSTEM'!$O$3)</f>
        <v>0</v>
      </c>
      <c r="L6" s="201">
        <f>SUMIFS('SALE BY STORE'!$Q$3:$Q$982,'SALE BY STORE'!$B$3:$B$982,'SALES BY SYSTEM'!$A6)</f>
        <v>0</v>
      </c>
      <c r="M6" s="201">
        <f>SUMIFS(DATA!$L:$L,DATA!$O:$O,'SALES BY SYSTEM'!$A6,DATA!$M:$M,'SALES BY SYSTEM'!$O$4)</f>
        <v>0</v>
      </c>
      <c r="O6" s="200" t="s">
        <v>631</v>
      </c>
    </row>
    <row r="7" spans="1:15" ht="15.75" customHeight="1" x14ac:dyDescent="0.25">
      <c r="A7" s="10" t="s">
        <v>432</v>
      </c>
      <c r="B7" s="10">
        <v>48</v>
      </c>
      <c r="C7" s="192">
        <f>SUMIFS('SALE BY STORE'!$H$3:$H$982,'SALE BY STORE'!$B$3:$B$982,'SALES BY SYSTEM'!$A7)</f>
        <v>497123416.16580409</v>
      </c>
      <c r="D7" s="192">
        <f t="shared" si="1"/>
        <v>0</v>
      </c>
      <c r="E7" s="193">
        <f t="shared" si="2"/>
        <v>0</v>
      </c>
      <c r="F7" s="201">
        <f>SUMIFS('SALE BY STORE'!$K$3:$K$982,'SALE BY STORE'!$B$3:$B$982,'SALES BY SYSTEM'!$A7)</f>
        <v>0</v>
      </c>
      <c r="G7" s="201">
        <f>SUMIFS(DATA!$L:$L,DATA!$O:$O,'SALES BY SYSTEM'!$A7,DATA!$M:$M,'SALES BY SYSTEM'!$O$1)</f>
        <v>0</v>
      </c>
      <c r="H7" s="201">
        <f>SUMIFS('SALE BY STORE'!$N$3:$N$982,'SALE BY STORE'!$B$3:$B$982,'SALES BY SYSTEM'!$A7)</f>
        <v>85244905.64693889</v>
      </c>
      <c r="I7" s="201">
        <f>SUMIFS(DATA!$L:$L,DATA!$O:$O,'SALES BY SYSTEM'!$A7,DATA!$M:$M,'SALES BY SYSTEM'!$O$2)</f>
        <v>0</v>
      </c>
      <c r="J7" s="201">
        <f>SUMIFS('SALE BY STORE'!$T$3:$T$982,'SALE BY STORE'!$B$3:$B$982,'SALES BY SYSTEM'!$A7)</f>
        <v>0</v>
      </c>
      <c r="K7" s="201">
        <f>SUMIFS(DATA!$L:$L,DATA!$O:$O,'SALES BY SYSTEM'!$A7,DATA!$M:$M,'SALES BY SYSTEM'!$O$3)</f>
        <v>0</v>
      </c>
      <c r="L7" s="201">
        <f>SUMIFS('SALE BY STORE'!$Q$3:$Q$982,'SALE BY STORE'!$B$3:$B$982,'SALES BY SYSTEM'!$A7)</f>
        <v>411878510.51886493</v>
      </c>
      <c r="M7" s="201">
        <f>SUMIFS(DATA!$L:$L,DATA!$O:$O,'SALES BY SYSTEM'!$A7,DATA!$M:$M,'SALES BY SYSTEM'!$O$4)</f>
        <v>0</v>
      </c>
      <c r="O7" s="200" t="s">
        <v>629</v>
      </c>
    </row>
    <row r="8" spans="1:15" ht="15.75" customHeight="1" x14ac:dyDescent="0.25">
      <c r="A8" s="10" t="s">
        <v>131</v>
      </c>
      <c r="B8" s="10">
        <v>1</v>
      </c>
      <c r="C8" s="192">
        <f>SUMIFS('SALE BY STORE'!$H$3:$H$982,'SALE BY STORE'!$B$3:$B$982,'SALES BY SYSTEM'!$A8)</f>
        <v>65275082.173877366</v>
      </c>
      <c r="D8" s="192">
        <f t="shared" si="1"/>
        <v>0</v>
      </c>
      <c r="E8" s="193">
        <f t="shared" si="2"/>
        <v>0</v>
      </c>
      <c r="F8" s="201">
        <f>SUMIFS('SALE BY STORE'!$K$3:$K$982,'SALE BY STORE'!$B$3:$B$982,'SALES BY SYSTEM'!$A8)</f>
        <v>0</v>
      </c>
      <c r="G8" s="201">
        <f>SUMIFS(DATA!$L:$L,DATA!$O:$O,'SALES BY SYSTEM'!$A8,DATA!$M:$M,'SALES BY SYSTEM'!$O$1)</f>
        <v>0</v>
      </c>
      <c r="H8" s="201">
        <f>SUMIFS('SALE BY STORE'!$N$3:$N$982,'SALE BY STORE'!$B$3:$B$982,'SALES BY SYSTEM'!$A8)</f>
        <v>65275082.173877366</v>
      </c>
      <c r="I8" s="201">
        <f>SUMIFS(DATA!$L:$L,DATA!$O:$O,'SALES BY SYSTEM'!$A8,DATA!$M:$M,'SALES BY SYSTEM'!$O$2)</f>
        <v>0</v>
      </c>
      <c r="J8" s="201">
        <f>SUMIFS('SALE BY STORE'!$T$3:$T$982,'SALE BY STORE'!$B$3:$B$982,'SALES BY SYSTEM'!$A8)</f>
        <v>0</v>
      </c>
      <c r="K8" s="201">
        <f>SUMIFS(DATA!$L:$L,DATA!$O:$O,'SALES BY SYSTEM'!$A8,DATA!$M:$M,'SALES BY SYSTEM'!$O$3)</f>
        <v>0</v>
      </c>
      <c r="L8" s="201">
        <f>SUMIFS('SALE BY STORE'!$Q$3:$Q$982,'SALE BY STORE'!$B$3:$B$982,'SALES BY SYSTEM'!$A8)</f>
        <v>0</v>
      </c>
      <c r="M8" s="201">
        <f>SUMIFS(DATA!$L:$L,DATA!$O:$O,'SALES BY SYSTEM'!$A8,DATA!$M:$M,'SALES BY SYSTEM'!$O$4)</f>
        <v>0</v>
      </c>
      <c r="O8" s="200" t="s">
        <v>639</v>
      </c>
    </row>
    <row r="9" spans="1:15" ht="15.75" customHeight="1" x14ac:dyDescent="0.25">
      <c r="A9" s="10" t="s">
        <v>43</v>
      </c>
      <c r="B9" s="10">
        <v>19</v>
      </c>
      <c r="C9" s="192">
        <f>SUMIFS('SALE BY STORE'!$H$3:$H$982,'SALE BY STORE'!$B$3:$B$982,'SALES BY SYSTEM'!$A9)</f>
        <v>495766425.48205006</v>
      </c>
      <c r="D9" s="192">
        <f t="shared" si="1"/>
        <v>0</v>
      </c>
      <c r="E9" s="193">
        <f t="shared" si="2"/>
        <v>0</v>
      </c>
      <c r="F9" s="201">
        <f>SUMIFS('SALE BY STORE'!$K$3:$K$982,'SALE BY STORE'!$B$3:$B$982,'SALES BY SYSTEM'!$A9)</f>
        <v>317958673.15906292</v>
      </c>
      <c r="G9" s="201">
        <f>SUMIFS(DATA!$L:$L,DATA!$O:$O,'SALES BY SYSTEM'!$A9,DATA!$M:$M,'SALES BY SYSTEM'!$O$1)</f>
        <v>0</v>
      </c>
      <c r="H9" s="201">
        <f>SUMIFS('SALE BY STORE'!$N$3:$N$982,'SALE BY STORE'!$B$3:$B$982,'SALES BY SYSTEM'!$A9)</f>
        <v>0</v>
      </c>
      <c r="I9" s="201">
        <f>SUMIFS(DATA!$L:$L,DATA!$O:$O,'SALES BY SYSTEM'!$A9,DATA!$M:$M,'SALES BY SYSTEM'!$O$2)</f>
        <v>0</v>
      </c>
      <c r="J9" s="201">
        <f>SUMIFS('SALE BY STORE'!$T$3:$T$982,'SALE BY STORE'!$B$3:$B$982,'SALES BY SYSTEM'!$A9)</f>
        <v>0</v>
      </c>
      <c r="K9" s="201">
        <f>SUMIFS(DATA!$L:$L,DATA!$O:$O,'SALES BY SYSTEM'!$A9,DATA!$M:$M,'SALES BY SYSTEM'!$O$3)</f>
        <v>0</v>
      </c>
      <c r="L9" s="201">
        <f>SUMIFS('SALE BY STORE'!$Q$3:$Q$982,'SALE BY STORE'!$B$3:$B$982,'SALES BY SYSTEM'!$A9)</f>
        <v>177807752.32298705</v>
      </c>
      <c r="M9" s="201">
        <f>SUMIFS(DATA!$L:$L,DATA!$O:$O,'SALES BY SYSTEM'!$A9,DATA!$M:$M,'SALES BY SYSTEM'!$O$4)</f>
        <v>0</v>
      </c>
      <c r="O9" s="200" t="s">
        <v>628</v>
      </c>
    </row>
    <row r="10" spans="1:15" ht="15.75" hidden="1" customHeight="1" x14ac:dyDescent="0.25">
      <c r="A10" s="10" t="s">
        <v>640</v>
      </c>
      <c r="B10" s="10">
        <v>4</v>
      </c>
      <c r="C10" s="192">
        <f>SUMIFS('SALE BY STORE'!$H$3:$H$982,'SALE BY STORE'!$B$3:$B$982,'SALES BY SYSTEM'!$A10)</f>
        <v>0</v>
      </c>
      <c r="D10" s="192">
        <f t="shared" si="1"/>
        <v>0</v>
      </c>
      <c r="E10" s="193" t="str">
        <f t="shared" si="2"/>
        <v/>
      </c>
      <c r="F10" s="201">
        <f>SUMIFS('SALE BY STORE'!$K$3:$K$982,'SALE BY STORE'!$B$3:$B$982,'SALES BY SYSTEM'!$A10)</f>
        <v>0</v>
      </c>
      <c r="G10" s="201">
        <f>SUMIFS(DATA!$L:$L,DATA!$O:$O,'SALES BY SYSTEM'!$A10,DATA!$M:$M,'SALES BY SYSTEM'!$O$1)</f>
        <v>0</v>
      </c>
      <c r="H10" s="201">
        <f>SUMIFS('SALE BY STORE'!$N$3:$N$982,'SALE BY STORE'!$B$3:$B$982,'SALES BY SYSTEM'!$A10)</f>
        <v>0</v>
      </c>
      <c r="I10" s="201">
        <f>SUMIFS(DATA!$L:$L,DATA!$O:$O,'SALES BY SYSTEM'!$A10,DATA!$M:$M,'SALES BY SYSTEM'!$O$2)</f>
        <v>0</v>
      </c>
      <c r="J10" s="201">
        <f>SUMIFS('SALE BY STORE'!$T$3:$T$982,'SALE BY STORE'!$B$3:$B$982,'SALES BY SYSTEM'!$A10)</f>
        <v>0</v>
      </c>
      <c r="K10" s="201">
        <f>SUMIFS(DATA!$L:$L,DATA!$O:$O,'SALES BY SYSTEM'!$A10,DATA!$M:$M,'SALES BY SYSTEM'!$O$3)</f>
        <v>0</v>
      </c>
      <c r="L10" s="201">
        <f>SUMIFS('SALE BY STORE'!$Q$3:$Q$982,'SALE BY STORE'!$B$3:$B$982,'SALES BY SYSTEM'!$A10)</f>
        <v>0</v>
      </c>
      <c r="M10" s="201">
        <f>SUMIFS(DATA!$L:$L,DATA!$O:$O,'SALES BY SYSTEM'!$A10,DATA!$M:$M,'SALES BY SYSTEM'!$O$4)</f>
        <v>0</v>
      </c>
    </row>
    <row r="11" spans="1:15" ht="15.75" customHeight="1" x14ac:dyDescent="0.25">
      <c r="A11" s="10" t="s">
        <v>641</v>
      </c>
      <c r="B11" s="10">
        <v>1</v>
      </c>
      <c r="C11" s="192">
        <f>SUMIFS('SALE BY STORE'!$H$3:$H$982,'SALE BY STORE'!$B$3:$B$982,'SALES BY SYSTEM'!$A11)</f>
        <v>6284570.2167575099</v>
      </c>
      <c r="D11" s="192">
        <f t="shared" si="1"/>
        <v>0</v>
      </c>
      <c r="E11" s="193">
        <f t="shared" si="2"/>
        <v>0</v>
      </c>
      <c r="F11" s="201">
        <f>SUMIFS('SALE BY STORE'!$K$3:$K$982,'SALE BY STORE'!$B$3:$B$982,'SALES BY SYSTEM'!$A11)</f>
        <v>0</v>
      </c>
      <c r="G11" s="201">
        <f>SUMIFS(DATA!$L:$L,DATA!$O:$O,'SALES BY SYSTEM'!$A11,DATA!$M:$M,'SALES BY SYSTEM'!$O$1)</f>
        <v>0</v>
      </c>
      <c r="H11" s="201">
        <f>SUMIFS('SALE BY STORE'!$N$3:$N$982,'SALE BY STORE'!$B$3:$B$982,'SALES BY SYSTEM'!$A11)</f>
        <v>1305501.643477547</v>
      </c>
      <c r="I11" s="201">
        <f>SUMIFS(DATA!$L:$L,DATA!$O:$O,'SALES BY SYSTEM'!$A11,DATA!$M:$M,'SALES BY SYSTEM'!$O$2)</f>
        <v>0</v>
      </c>
      <c r="J11" s="201">
        <f>SUMIFS('SALE BY STORE'!$T$3:$T$982,'SALE BY STORE'!$B$3:$B$982,'SALES BY SYSTEM'!$A11)</f>
        <v>0</v>
      </c>
      <c r="K11" s="201">
        <f>SUMIFS(DATA!$L:$L,DATA!$O:$O,'SALES BY SYSTEM'!$A11,DATA!$M:$M,'SALES BY SYSTEM'!$O$3)</f>
        <v>0</v>
      </c>
      <c r="L11" s="201">
        <f>SUMIFS('SALE BY STORE'!$Q$3:$Q$982,'SALE BY STORE'!$B$3:$B$982,'SALES BY SYSTEM'!$A11)</f>
        <v>4979068.5732799629</v>
      </c>
      <c r="M11" s="201">
        <f>SUMIFS(DATA!$L:$L,DATA!$O:$O,'SALES BY SYSTEM'!$A11,DATA!$M:$M,'SALES BY SYSTEM'!$O$4)</f>
        <v>0</v>
      </c>
    </row>
    <row r="12" spans="1:15" ht="15.75" hidden="1" customHeight="1" x14ac:dyDescent="0.25">
      <c r="A12" s="10" t="s">
        <v>642</v>
      </c>
      <c r="B12" s="10">
        <v>7</v>
      </c>
      <c r="C12" s="192">
        <f>SUMIFS('SALE BY STORE'!$H$3:$H$982,'SALE BY STORE'!$B$3:$B$982,'SALES BY SYSTEM'!$A12)</f>
        <v>0</v>
      </c>
      <c r="D12" s="192">
        <f t="shared" si="1"/>
        <v>0</v>
      </c>
      <c r="E12" s="193" t="str">
        <f t="shared" si="2"/>
        <v/>
      </c>
      <c r="F12" s="201">
        <f>SUMIFS('SALE BY STORE'!$K$3:$K$982,'SALE BY STORE'!$B$3:$B$982,'SALES BY SYSTEM'!$A12)</f>
        <v>0</v>
      </c>
      <c r="G12" s="201">
        <f>SUMIFS(DATA!$L:$L,DATA!$O:$O,'SALES BY SYSTEM'!$A12,DATA!$M:$M,'SALES BY SYSTEM'!$O$1)</f>
        <v>0</v>
      </c>
      <c r="H12" s="201">
        <f>SUMIFS('SALE BY STORE'!$N$3:$N$982,'SALE BY STORE'!$B$3:$B$982,'SALES BY SYSTEM'!$A12)</f>
        <v>0</v>
      </c>
      <c r="I12" s="201">
        <f>SUMIFS(DATA!$L:$L,DATA!$O:$O,'SALES BY SYSTEM'!$A12,DATA!$M:$M,'SALES BY SYSTEM'!$O$2)</f>
        <v>0</v>
      </c>
      <c r="J12" s="201">
        <f>SUMIFS('SALE BY STORE'!$T$3:$T$982,'SALE BY STORE'!$B$3:$B$982,'SALES BY SYSTEM'!$A12)</f>
        <v>0</v>
      </c>
      <c r="K12" s="201">
        <f>SUMIFS(DATA!$L:$L,DATA!$O:$O,'SALES BY SYSTEM'!$A12,DATA!$M:$M,'SALES BY SYSTEM'!$O$3)</f>
        <v>0</v>
      </c>
      <c r="L12" s="201">
        <f>SUMIFS('SALE BY STORE'!$Q$3:$Q$982,'SALE BY STORE'!$B$3:$B$982,'SALES BY SYSTEM'!$A12)</f>
        <v>0</v>
      </c>
      <c r="M12" s="201">
        <f>SUMIFS(DATA!$L:$L,DATA!$O:$O,'SALES BY SYSTEM'!$A12,DATA!$M:$M,'SALES BY SYSTEM'!$O$4)</f>
        <v>0</v>
      </c>
    </row>
    <row r="13" spans="1:15" ht="15.75" hidden="1" customHeight="1" x14ac:dyDescent="0.25">
      <c r="A13" s="10" t="s">
        <v>643</v>
      </c>
      <c r="B13" s="10">
        <v>20</v>
      </c>
      <c r="C13" s="192">
        <f>SUMIFS('SALE BY STORE'!$H$3:$H$982,'SALE BY STORE'!$B$3:$B$982,'SALES BY SYSTEM'!$A13)</f>
        <v>0</v>
      </c>
      <c r="D13" s="192">
        <f t="shared" si="1"/>
        <v>0</v>
      </c>
      <c r="E13" s="193" t="str">
        <f t="shared" si="2"/>
        <v/>
      </c>
      <c r="F13" s="201">
        <f>SUMIFS('SALE BY STORE'!$K$3:$K$982,'SALE BY STORE'!$B$3:$B$982,'SALES BY SYSTEM'!$A13)</f>
        <v>0</v>
      </c>
      <c r="G13" s="201">
        <f>SUMIFS(DATA!$L:$L,DATA!$O:$O,'SALES BY SYSTEM'!$A13,DATA!$M:$M,'SALES BY SYSTEM'!$O$1)</f>
        <v>0</v>
      </c>
      <c r="H13" s="201">
        <f>SUMIFS('SALE BY STORE'!$N$3:$N$982,'SALE BY STORE'!$B$3:$B$982,'SALES BY SYSTEM'!$A13)</f>
        <v>0</v>
      </c>
      <c r="I13" s="201">
        <f>SUMIFS(DATA!$L:$L,DATA!$O:$O,'SALES BY SYSTEM'!$A13,DATA!$M:$M,'SALES BY SYSTEM'!$O$2)</f>
        <v>0</v>
      </c>
      <c r="J13" s="201">
        <f>SUMIFS('SALE BY STORE'!$T$3:$T$982,'SALE BY STORE'!$B$3:$B$982,'SALES BY SYSTEM'!$A13)</f>
        <v>0</v>
      </c>
      <c r="K13" s="201">
        <f>SUMIFS(DATA!$L:$L,DATA!$O:$O,'SALES BY SYSTEM'!$A13,DATA!$M:$M,'SALES BY SYSTEM'!$O$3)</f>
        <v>0</v>
      </c>
      <c r="L13" s="201">
        <f>SUMIFS('SALE BY STORE'!$Q$3:$Q$982,'SALE BY STORE'!$B$3:$B$982,'SALES BY SYSTEM'!$A13)</f>
        <v>0</v>
      </c>
      <c r="M13" s="201">
        <f>SUMIFS(DATA!$L:$L,DATA!$O:$O,'SALES BY SYSTEM'!$A13,DATA!$M:$M,'SALES BY SYSTEM'!$O$4)</f>
        <v>0</v>
      </c>
    </row>
    <row r="14" spans="1:15" ht="15.75" customHeight="1" x14ac:dyDescent="0.25">
      <c r="A14" t="s">
        <v>104</v>
      </c>
      <c r="B14" s="10"/>
      <c r="C14" s="192">
        <f>SUMIFS('SALE BY STORE'!$H$3:$H$982,'SALE BY STORE'!$B$3:$B$982,'SALES BY SYSTEM'!$A14)</f>
        <v>200889395.191275</v>
      </c>
      <c r="D14" s="192">
        <f t="shared" si="1"/>
        <v>0</v>
      </c>
      <c r="E14" s="193"/>
      <c r="F14" s="201">
        <f>SUMIFS('SALE BY STORE'!$K$3:$K$982,'SALE BY STORE'!$B$3:$B$982,'SALES BY SYSTEM'!$A14)</f>
        <v>0</v>
      </c>
      <c r="G14" s="201">
        <f>SUMIFS(DATA!$L:$L,DATA!$O:$O,'SALES BY SYSTEM'!$A14,DATA!$M:$M,'SALES BY SYSTEM'!$O$1)</f>
        <v>0</v>
      </c>
      <c r="H14" s="201">
        <f>SUMIFS('SALE BY STORE'!$N$3:$N$982,'SALE BY STORE'!$B$3:$B$982,'SALES BY SYSTEM'!$A14)</f>
        <v>0</v>
      </c>
      <c r="I14" s="201">
        <f>SUMIFS(DATA!$L:$L,DATA!$O:$O,'SALES BY SYSTEM'!$A14,DATA!$M:$M,'SALES BY SYSTEM'!$O$2)</f>
        <v>0</v>
      </c>
      <c r="J14" s="201">
        <f>SUMIFS('SALE BY STORE'!$T$3:$T$982,'SALE BY STORE'!$B$3:$B$982,'SALES BY SYSTEM'!$A14)</f>
        <v>200889395.191275</v>
      </c>
      <c r="K14" s="201">
        <f>SUMIFS(DATA!$L:$L,DATA!$O:$O,'SALES BY SYSTEM'!$A14,DATA!$M:$M,'SALES BY SYSTEM'!$O$3)</f>
        <v>0</v>
      </c>
      <c r="L14" s="201">
        <f>SUMIFS('SALE BY STORE'!$Q$3:$Q$982,'SALE BY STORE'!$B$3:$B$982,'SALES BY SYSTEM'!$A14)</f>
        <v>0</v>
      </c>
      <c r="M14" s="201">
        <f>SUMIFS(DATA!$L:$L,DATA!$O:$O,'SALES BY SYSTEM'!$A14,DATA!$M:$M,'SALES BY SYSTEM'!$O$4)</f>
        <v>0</v>
      </c>
    </row>
    <row r="15" spans="1:15" ht="15.75" customHeight="1" x14ac:dyDescent="0.25">
      <c r="A15" s="10" t="s">
        <v>561</v>
      </c>
      <c r="B15" s="10">
        <v>1698</v>
      </c>
      <c r="C15" s="192">
        <f>SUMIFS('SALE BY STORE'!$H$3:$H$982,'SALE BY STORE'!$B$3:$B$982,'SALES BY SYSTEM'!$A15)</f>
        <v>768288378.08035159</v>
      </c>
      <c r="D15" s="192">
        <f t="shared" si="1"/>
        <v>0</v>
      </c>
      <c r="E15" s="193">
        <f>IFERROR(D15/C15,"")</f>
        <v>0</v>
      </c>
      <c r="F15" s="201">
        <f>SUMIFS('SALE BY STORE'!$K$3:$K$982,'SALE BY STORE'!$B$3:$B$982,'SALES BY SYSTEM'!$A15)</f>
        <v>0</v>
      </c>
      <c r="G15" s="201">
        <f>SUMIFS(DATA!$L:$L,DATA!$O:$O,'SALES BY SYSTEM'!$A15,DATA!$M:$M,'SALES BY SYSTEM'!$O$1)</f>
        <v>0</v>
      </c>
      <c r="H15" s="201">
        <f>SUMIFS('SALE BY STORE'!$N$3:$N$982,'SALE BY STORE'!$B$3:$B$982,'SALES BY SYSTEM'!$A15)</f>
        <v>0</v>
      </c>
      <c r="I15" s="201">
        <f>SUMIFS(DATA!$L:$L,DATA!$O:$O,'SALES BY SYSTEM'!$A15,DATA!$M:$M,'SALES BY SYSTEM'!$O$2)</f>
        <v>0</v>
      </c>
      <c r="J15" s="201">
        <f>SUMIFS('SALE BY STORE'!$T$3:$T$982,'SALE BY STORE'!$B$3:$B$982,'SALES BY SYSTEM'!$A15)</f>
        <v>0</v>
      </c>
      <c r="K15" s="201">
        <f>SUMIFS(DATA!$L:$L,DATA!$O:$O,'SALES BY SYSTEM'!$A15,DATA!$M:$M,'SALES BY SYSTEM'!$O$3)</f>
        <v>0</v>
      </c>
      <c r="L15" s="201">
        <f>SUMIFS('SALE BY STORE'!$Q$3:$Q$982,'SALE BY STORE'!$B$3:$B$982,'SALES BY SYSTEM'!$A15)</f>
        <v>768288378.08035159</v>
      </c>
      <c r="M15" s="201">
        <f>SUMIFS(DATA!$L:$L,DATA!$O:$O,'SALES BY SYSTEM'!$A15,DATA!$M:$M,'SALES BY SYSTEM'!$O$4)</f>
        <v>0</v>
      </c>
    </row>
    <row r="16" spans="1:15" ht="28.5" customHeight="1" x14ac:dyDescent="0.25">
      <c r="A16" s="284" t="s">
        <v>644</v>
      </c>
      <c r="B16" s="285"/>
      <c r="C16" s="291">
        <f>ROUNDUP(SUM(C17:C20),-5)</f>
        <v>788500000</v>
      </c>
      <c r="D16" s="291">
        <f>SUM(G16,I16,M16,K16)</f>
        <v>0</v>
      </c>
      <c r="E16" s="292">
        <f>D16/C16</f>
        <v>0</v>
      </c>
      <c r="F16" s="291">
        <f t="shared" ref="F16:M16" si="3">IFERROR(SUM(F17:F20),"")</f>
        <v>0</v>
      </c>
      <c r="G16" s="291">
        <f t="shared" si="3"/>
        <v>0</v>
      </c>
      <c r="H16" s="291">
        <f t="shared" si="3"/>
        <v>253702486.04913688</v>
      </c>
      <c r="I16" s="291">
        <f t="shared" si="3"/>
        <v>0</v>
      </c>
      <c r="J16" s="291">
        <f t="shared" si="3"/>
        <v>0</v>
      </c>
      <c r="K16" s="291">
        <f t="shared" si="3"/>
        <v>0</v>
      </c>
      <c r="L16" s="291">
        <f t="shared" si="3"/>
        <v>534751964.77026862</v>
      </c>
      <c r="M16" s="291">
        <f t="shared" si="3"/>
        <v>0</v>
      </c>
    </row>
    <row r="17" spans="1:13" ht="15.75" customHeight="1" x14ac:dyDescent="0.25">
      <c r="A17" s="10" t="s">
        <v>429</v>
      </c>
      <c r="B17" s="10"/>
      <c r="C17" s="192">
        <f>SUMIFS('SALE BY STORE'!$H$3:$H$982,'SALE BY STORE'!$B$3:$B$982,'SALES BY SYSTEM'!$A17)</f>
        <v>13055016.434775479</v>
      </c>
      <c r="D17" s="192">
        <f>VALUE(SUM(G17,I17,M17,K17))</f>
        <v>0</v>
      </c>
      <c r="E17" s="193">
        <f t="shared" ref="E17:E50" si="4">IFERROR(D17/C17,"")</f>
        <v>0</v>
      </c>
      <c r="F17" s="201">
        <f>SUMIFS('SALE BY STORE'!$K$3:$K$982,'SALE BY STORE'!$B$3:$B$982,'SALES BY SYSTEM'!$A17)</f>
        <v>0</v>
      </c>
      <c r="G17" s="201">
        <f>SUMIFS(DATA!$L:$L,DATA!$O:$O,'SALES BY SYSTEM'!$A17,DATA!$M:$M,'SALES BY SYSTEM'!$O$1)</f>
        <v>0</v>
      </c>
      <c r="H17" s="201">
        <f>SUMIFS('SALE BY STORE'!$N$3:$N$982,'SALE BY STORE'!$B$3:$B$982,'SALES BY SYSTEM'!$A17)</f>
        <v>13055016.434775479</v>
      </c>
      <c r="I17" s="201">
        <f>SUMIFS(DATA!$L:$L,DATA!$O:$O,'SALES BY SYSTEM'!$A17,DATA!$M:$M,'SALES BY SYSTEM'!$O$2)</f>
        <v>0</v>
      </c>
      <c r="J17" s="201">
        <f>SUMIFS('SALE BY STORE'!$T$3:$T$982,'SALE BY STORE'!$B$3:$B$982,'SALES BY SYSTEM'!$A17)</f>
        <v>0</v>
      </c>
      <c r="K17" s="201">
        <f>SUMIFS(DATA!$L:$L,DATA!$O:$O,'SALES BY SYSTEM'!$A17,DATA!$M:$M,'SALES BY SYSTEM'!$O$3)</f>
        <v>0</v>
      </c>
      <c r="L17" s="201">
        <f>SUMIFS('SALE BY STORE'!$Q$3:$Q$982,'SALE BY STORE'!$B$3:$B$982,'SALES BY SYSTEM'!$A17)</f>
        <v>0</v>
      </c>
      <c r="M17" s="201">
        <f>SUMIFS(DATA!$L:$L,DATA!$O:$O,'SALES BY SYSTEM'!$A17,DATA!$M:$M,'SALES BY SYSTEM'!$O$4)</f>
        <v>0</v>
      </c>
    </row>
    <row r="18" spans="1:13" ht="15.75" customHeight="1" x14ac:dyDescent="0.25">
      <c r="A18" s="10" t="s">
        <v>421</v>
      </c>
      <c r="B18" s="10"/>
      <c r="C18" s="192">
        <f>SUMIFS('SALE BY STORE'!$H$3:$H$982,'SALE BY STORE'!$B$3:$B$982,'SALES BY SYSTEM'!$A18)</f>
        <v>74411008.315722406</v>
      </c>
      <c r="D18" s="192">
        <f>VALUE(SUM(G18,I18,M18,K18))</f>
        <v>0</v>
      </c>
      <c r="E18" s="193">
        <f t="shared" si="4"/>
        <v>0</v>
      </c>
      <c r="F18" s="201">
        <f>SUMIFS('SALE BY STORE'!$K$3:$K$982,'SALE BY STORE'!$B$3:$B$982,'SALES BY SYSTEM'!$A18)</f>
        <v>0</v>
      </c>
      <c r="G18" s="201">
        <f>SUMIFS(DATA!$L:$L,DATA!$O:$O,'SALES BY SYSTEM'!$A18,DATA!$M:$M,'SALES BY SYSTEM'!$O$1)</f>
        <v>0</v>
      </c>
      <c r="H18" s="201">
        <f>SUMIFS('SALE BY STORE'!$N$3:$N$982,'SALE BY STORE'!$B$3:$B$982,'SALES BY SYSTEM'!$A18)</f>
        <v>22628695.153610814</v>
      </c>
      <c r="I18" s="201">
        <f>SUMIFS(DATA!$L:$L,DATA!$O:$O,'SALES BY SYSTEM'!$A18,DATA!$M:$M,'SALES BY SYSTEM'!$O$2)</f>
        <v>0</v>
      </c>
      <c r="J18" s="201">
        <f>SUMIFS('SALE BY STORE'!$T$3:$T$982,'SALE BY STORE'!$B$3:$B$982,'SALES BY SYSTEM'!$A18)</f>
        <v>0</v>
      </c>
      <c r="K18" s="201">
        <f>SUMIFS(DATA!$L:$L,DATA!$O:$O,'SALES BY SYSTEM'!$A18,DATA!$M:$M,'SALES BY SYSTEM'!$O$3)</f>
        <v>0</v>
      </c>
      <c r="L18" s="201">
        <f>SUMIFS('SALE BY STORE'!$Q$3:$Q$982,'SALE BY STORE'!$B$3:$B$982,'SALES BY SYSTEM'!$A18)</f>
        <v>51782313.162111588</v>
      </c>
      <c r="M18" s="201">
        <f>SUMIFS(DATA!$L:$L,DATA!$O:$O,'SALES BY SYSTEM'!$A18,DATA!$M:$M,'SALES BY SYSTEM'!$O$4)</f>
        <v>0</v>
      </c>
    </row>
    <row r="19" spans="1:13" ht="15.75" customHeight="1" x14ac:dyDescent="0.25">
      <c r="A19" s="10" t="s">
        <v>138</v>
      </c>
      <c r="B19" s="10"/>
      <c r="C19" s="192">
        <f>SUMIFS('SALE BY STORE'!$H$3:$H$982,'SALE BY STORE'!$B$3:$B$982,'SALES BY SYSTEM'!$A19)</f>
        <v>637446572.40210819</v>
      </c>
      <c r="D19" s="192">
        <f>VALUE(SUM(G19,I19,M19,K19))</f>
        <v>0</v>
      </c>
      <c r="E19" s="193">
        <f t="shared" si="4"/>
        <v>0</v>
      </c>
      <c r="F19" s="201">
        <f>SUMIFS('SALE BY STORE'!$K$3:$K$982,'SALE BY STORE'!$B$3:$B$982,'SALES BY SYSTEM'!$A19)</f>
        <v>0</v>
      </c>
      <c r="G19" s="201">
        <f>SUMIFS(DATA!$L:$L,DATA!$O:$O,'SALES BY SYSTEM'!$A19,DATA!$M:$M,'SALES BY SYSTEM'!$O$1)</f>
        <v>0</v>
      </c>
      <c r="H19" s="201">
        <f>SUMIFS('SALE BY STORE'!$N$3:$N$982,'SALE BY STORE'!$B$3:$B$982,'SALES BY SYSTEM'!$A19)</f>
        <v>214972603.95930296</v>
      </c>
      <c r="I19" s="201">
        <f>SUMIFS(DATA!$L:$L,DATA!$O:$O,'SALES BY SYSTEM'!$A19,DATA!$M:$M,'SALES BY SYSTEM'!$O$2)</f>
        <v>0</v>
      </c>
      <c r="J19" s="201">
        <f>SUMIFS('SALE BY STORE'!$T$3:$T$982,'SALE BY STORE'!$B$3:$B$982,'SALES BY SYSTEM'!$A19)</f>
        <v>0</v>
      </c>
      <c r="K19" s="201">
        <f>SUMIFS(DATA!$L:$L,DATA!$O:$O,'SALES BY SYSTEM'!$A19,DATA!$M:$M,'SALES BY SYSTEM'!$O$3)</f>
        <v>0</v>
      </c>
      <c r="L19" s="201">
        <f>SUMIFS('SALE BY STORE'!$Q$3:$Q$982,'SALE BY STORE'!$B$3:$B$982,'SALES BY SYSTEM'!$A19)</f>
        <v>422473968.44280541</v>
      </c>
      <c r="M19" s="201">
        <f>SUMIFS(DATA!$L:$L,DATA!$O:$O,'SALES BY SYSTEM'!$A19,DATA!$M:$M,'SALES BY SYSTEM'!$O$4)</f>
        <v>0</v>
      </c>
    </row>
    <row r="20" spans="1:13" ht="15.75" customHeight="1" x14ac:dyDescent="0.25">
      <c r="A20" s="10" t="s">
        <v>16</v>
      </c>
      <c r="B20" s="10"/>
      <c r="C20" s="192">
        <f>SUMIFS('SALE BY STORE'!$H$3:$H$982,'SALE BY STORE'!$B$3:$B$982,'SALES BY SYSTEM'!$A20)</f>
        <v>63541853.666799232</v>
      </c>
      <c r="D20" s="192">
        <f>VALUE(SUM(G20,I20,M20,K20))</f>
        <v>0</v>
      </c>
      <c r="E20" s="193">
        <f t="shared" si="4"/>
        <v>0</v>
      </c>
      <c r="F20" s="201">
        <f>SUMIFS('SALE BY STORE'!$K$3:$K$982,'SALE BY STORE'!$B$3:$B$982,'SALES BY SYSTEM'!$A20)</f>
        <v>0</v>
      </c>
      <c r="G20" s="201">
        <f>SUMIFS(DATA!$L:$L,DATA!$O:$O,'SALES BY SYSTEM'!$A20,DATA!$M:$M,'SALES BY SYSTEM'!$O$1)</f>
        <v>0</v>
      </c>
      <c r="H20" s="201">
        <f>SUMIFS('SALE BY STORE'!$N$3:$N$982,'SALE BY STORE'!$B$3:$B$982,'SALES BY SYSTEM'!$A20)</f>
        <v>3046170.5014476101</v>
      </c>
      <c r="I20" s="201">
        <f>SUMIFS(DATA!$L:$L,DATA!$O:$O,'SALES BY SYSTEM'!$A20,DATA!$M:$M,'SALES BY SYSTEM'!$O$2)</f>
        <v>0</v>
      </c>
      <c r="J20" s="201">
        <f>SUMIFS('SALE BY STORE'!$T$3:$T$982,'SALE BY STORE'!$B$3:$B$982,'SALES BY SYSTEM'!$A20)</f>
        <v>0</v>
      </c>
      <c r="K20" s="201">
        <f>SUMIFS(DATA!$L:$L,DATA!$O:$O,'SALES BY SYSTEM'!$A20,DATA!$M:$M,'SALES BY SYSTEM'!$O$3)</f>
        <v>0</v>
      </c>
      <c r="L20" s="201">
        <f>SUMIFS('SALE BY STORE'!$Q$3:$Q$982,'SALE BY STORE'!$B$3:$B$982,'SALES BY SYSTEM'!$A20)</f>
        <v>60495683.165351614</v>
      </c>
      <c r="M20" s="201">
        <f>SUMIFS(DATA!$L:$L,DATA!$O:$O,'SALES BY SYSTEM'!$A20,DATA!$M:$M,'SALES BY SYSTEM'!$O$4)</f>
        <v>0</v>
      </c>
    </row>
    <row r="21" spans="1:13" s="31" customFormat="1" ht="30" customHeight="1" x14ac:dyDescent="0.25">
      <c r="A21" s="194" t="s">
        <v>645</v>
      </c>
      <c r="B21" s="194"/>
      <c r="C21" s="195">
        <f>ROUNDUP(SUM(C22:C47),-5)</f>
        <v>2131700000</v>
      </c>
      <c r="D21" s="195">
        <f>SUM(D22:D49)</f>
        <v>0</v>
      </c>
      <c r="E21" s="196">
        <f t="shared" si="4"/>
        <v>0</v>
      </c>
      <c r="F21" s="287">
        <f>SUM(F22:F47)</f>
        <v>0</v>
      </c>
      <c r="G21" s="287">
        <f t="shared" ref="G21:M21" si="5">SUM(G22:G49)</f>
        <v>0</v>
      </c>
      <c r="H21" s="287">
        <f t="shared" si="5"/>
        <v>555786312.94370627</v>
      </c>
      <c r="I21" s="287">
        <f t="shared" si="5"/>
        <v>0</v>
      </c>
      <c r="J21" s="287">
        <f t="shared" si="5"/>
        <v>0</v>
      </c>
      <c r="K21" s="287">
        <f t="shared" si="5"/>
        <v>0</v>
      </c>
      <c r="L21" s="287">
        <f t="shared" si="5"/>
        <v>1575870384.1261685</v>
      </c>
      <c r="M21" s="287">
        <f t="shared" si="5"/>
        <v>0</v>
      </c>
    </row>
    <row r="22" spans="1:13" ht="15.75" customHeight="1" x14ac:dyDescent="0.25">
      <c r="A22" s="10" t="s">
        <v>646</v>
      </c>
      <c r="B22" s="121"/>
      <c r="C22" s="192">
        <f>SUMIFS('SALE BY STORE'!$H$3:$H$982,'SALE BY STORE'!$B$3:$B$982,'SALES BY SYSTEM'!$A22)</f>
        <v>1305501.643477547</v>
      </c>
      <c r="D22" s="192">
        <f t="shared" ref="D22:D49" si="6">VALUE(SUM(G22,K22,I22,M22))</f>
        <v>0</v>
      </c>
      <c r="E22" s="193">
        <f t="shared" si="4"/>
        <v>0</v>
      </c>
      <c r="F22" s="201">
        <f>SUMIFS('SALE BY STORE'!$K$3:$K$982,'SALE BY STORE'!$B$3:$B$982,'SALES BY SYSTEM'!$A22)</f>
        <v>0</v>
      </c>
      <c r="G22" s="201">
        <f>SUMIFS(DATA!$L:$L,DATA!$O:$O,'SALES BY SYSTEM'!$A22,DATA!$M:$M,'SALES BY SYSTEM'!$O$1)</f>
        <v>0</v>
      </c>
      <c r="H22" s="201">
        <f>SUMIFS('SALE BY STORE'!$N$3:$N$982,'SALE BY STORE'!$B$3:$B$982,'SALES BY SYSTEM'!$A22)</f>
        <v>1305501.643477547</v>
      </c>
      <c r="I22" s="201">
        <f>SUMIFS(DATA!$L:$L,DATA!$O:$O,'SALES BY SYSTEM'!$A22,DATA!$M:$M,'SALES BY SYSTEM'!$O$2)</f>
        <v>0</v>
      </c>
      <c r="J22" s="201">
        <f>SUMIFS('SALE BY STORE'!$T$3:$T$982,'SALE BY STORE'!$B$3:$B$982,'SALES BY SYSTEM'!$A22)</f>
        <v>0</v>
      </c>
      <c r="K22" s="201">
        <f>SUMIFS(DATA!$L:$L,DATA!$O:$O,'SALES BY SYSTEM'!$A22,DATA!$M:$M,'SALES BY SYSTEM'!$O$3)</f>
        <v>0</v>
      </c>
      <c r="L22" s="201">
        <f>SUMIFS('SALE BY STORE'!$Q$3:$Q$982,'SALE BY STORE'!$B$3:$B$982,'SALES BY SYSTEM'!$A22)</f>
        <v>0</v>
      </c>
      <c r="M22" s="201">
        <f>SUMIFS(DATA!$L:$L,DATA!$O:$O,'SALES BY SYSTEM'!$A22,DATA!$M:$M,'SALES BY SYSTEM'!$O$4)</f>
        <v>0</v>
      </c>
    </row>
    <row r="23" spans="1:13" ht="15.75" customHeight="1" x14ac:dyDescent="0.25">
      <c r="A23" s="10" t="s">
        <v>593</v>
      </c>
      <c r="B23" s="121"/>
      <c r="C23" s="192">
        <f>SUMIFS('SALE BY STORE'!$H$3:$H$982,'SALE BY STORE'!$B$3:$B$982,'SALES BY SYSTEM'!$A23)</f>
        <v>0</v>
      </c>
      <c r="D23" s="192">
        <f t="shared" si="6"/>
        <v>0</v>
      </c>
      <c r="E23" s="193" t="str">
        <f t="shared" si="4"/>
        <v/>
      </c>
      <c r="F23" s="201">
        <f>SUMIFS('SALE BY STORE'!$K$3:$K$982,'SALE BY STORE'!$B$3:$B$982,'SALES BY SYSTEM'!$A23)</f>
        <v>0</v>
      </c>
      <c r="G23" s="201">
        <f>SUMIFS(DATA!$L:$L,DATA!$O:$O,'SALES BY SYSTEM'!$A23,DATA!$M:$M,'SALES BY SYSTEM'!$O$1)</f>
        <v>0</v>
      </c>
      <c r="H23" s="201">
        <f>SUMIFS('SALE BY STORE'!$N$3:$N$982,'SALE BY STORE'!$B$3:$B$982,'SALES BY SYSTEM'!$A23)</f>
        <v>0</v>
      </c>
      <c r="I23" s="201">
        <f>SUMIFS(DATA!$L:$L,DATA!$O:$O,'SALES BY SYSTEM'!$A23,DATA!$M:$M,'SALES BY SYSTEM'!$O$2)</f>
        <v>0</v>
      </c>
      <c r="J23" s="201">
        <f>SUMIFS('SALE BY STORE'!$T$3:$T$982,'SALE BY STORE'!$B$3:$B$982,'SALES BY SYSTEM'!$A23)</f>
        <v>0</v>
      </c>
      <c r="K23" s="201">
        <f>SUMIFS(DATA!$L:$L,DATA!$O:$O,'SALES BY SYSTEM'!$A23,DATA!$M:$M,'SALES BY SYSTEM'!$O$3)</f>
        <v>0</v>
      </c>
      <c r="L23" s="201">
        <f>SUMIFS('SALE BY STORE'!$Q$3:$Q$982,'SALE BY STORE'!$B$3:$B$982,'SALES BY SYSTEM'!$A23)</f>
        <v>0</v>
      </c>
      <c r="M23" s="201">
        <f>SUMIFS(DATA!$L:$L,DATA!$O:$O,'SALES BY SYSTEM'!$A23,DATA!$M:$M,'SALES BY SYSTEM'!$O$4)</f>
        <v>0</v>
      </c>
    </row>
    <row r="24" spans="1:13" ht="15.75" hidden="1" customHeight="1" x14ac:dyDescent="0.25">
      <c r="A24" s="10" t="s">
        <v>647</v>
      </c>
      <c r="B24" s="121"/>
      <c r="C24" s="192">
        <f>SUMIFS('SALE BY STORE'!$H$3:$H$982,'SALE BY STORE'!$B$3:$B$982,'SALES BY SYSTEM'!$A24)</f>
        <v>435167.21449251578</v>
      </c>
      <c r="D24" s="192">
        <f t="shared" si="6"/>
        <v>0</v>
      </c>
      <c r="E24" s="193">
        <f t="shared" si="4"/>
        <v>0</v>
      </c>
      <c r="F24" s="201">
        <f>SUMIFS('SALE BY STORE'!$K$3:$K$982,'SALE BY STORE'!$B$3:$B$982,'SALES BY SYSTEM'!$A24)</f>
        <v>0</v>
      </c>
      <c r="G24" s="201">
        <f>SUMIFS(DATA!$L:$L,DATA!$O:$O,'SALES BY SYSTEM'!$A24,DATA!$M:$M,'SALES BY SYSTEM'!$O$1)</f>
        <v>0</v>
      </c>
      <c r="H24" s="201">
        <f>SUMIFS('SALE BY STORE'!$N$3:$N$982,'SALE BY STORE'!$B$3:$B$982,'SALES BY SYSTEM'!$A24)</f>
        <v>435167.21449251578</v>
      </c>
      <c r="I24" s="201">
        <f>SUMIFS(DATA!$L:$L,DATA!$O:$O,'SALES BY SYSTEM'!$A24,DATA!$M:$M,'SALES BY SYSTEM'!$O$2)</f>
        <v>0</v>
      </c>
      <c r="J24" s="201">
        <f>SUMIFS('SALE BY STORE'!$T$3:$T$982,'SALE BY STORE'!$B$3:$B$982,'SALES BY SYSTEM'!$A24)</f>
        <v>0</v>
      </c>
      <c r="K24" s="201">
        <f>SUMIFS(DATA!$L:$L,DATA!$O:$O,'SALES BY SYSTEM'!$A24,DATA!$M:$M,'SALES BY SYSTEM'!$O$3)</f>
        <v>0</v>
      </c>
      <c r="L24" s="201">
        <f>SUMIFS('SALE BY STORE'!$Q$3:$Q$982,'SALE BY STORE'!$B$3:$B$982,'SALES BY SYSTEM'!$A24)</f>
        <v>0</v>
      </c>
      <c r="M24" s="201">
        <f>SUMIFS(DATA!$L:$L,DATA!$O:$O,'SALES BY SYSTEM'!$A24,DATA!$M:$M,'SALES BY SYSTEM'!$O$4)</f>
        <v>0</v>
      </c>
    </row>
    <row r="25" spans="1:13" ht="15.75" hidden="1" customHeight="1" x14ac:dyDescent="0.25">
      <c r="A25" t="s">
        <v>648</v>
      </c>
      <c r="B25" s="121"/>
      <c r="C25" s="192">
        <f>SUMIFS('SALE BY STORE'!$H$3:$H$982,'SALE BY STORE'!$B$3:$B$982,'SALES BY SYSTEM'!$A25)</f>
        <v>0</v>
      </c>
      <c r="D25" s="192">
        <f t="shared" si="6"/>
        <v>0</v>
      </c>
      <c r="E25" s="193" t="str">
        <f t="shared" si="4"/>
        <v/>
      </c>
      <c r="F25" s="201">
        <f>SUMIFS('SALE BY STORE'!$K$3:$K$982,'SALE BY STORE'!$B$3:$B$982,'SALES BY SYSTEM'!$A25)</f>
        <v>0</v>
      </c>
      <c r="G25" s="201">
        <f>SUMIFS(DATA!$L:$L,DATA!$O:$O,'SALES BY SYSTEM'!$A25,DATA!$M:$M,'SALES BY SYSTEM'!$O$1)</f>
        <v>0</v>
      </c>
      <c r="H25" s="201">
        <f>SUMIFS('SALE BY STORE'!$N$3:$N$982,'SALE BY STORE'!$B$3:$B$982,'SALES BY SYSTEM'!$A25)</f>
        <v>0</v>
      </c>
      <c r="I25" s="201">
        <f>SUMIFS(DATA!$L:$L,DATA!$O:$O,'SALES BY SYSTEM'!$A25,DATA!$M:$M,'SALES BY SYSTEM'!$O$2)</f>
        <v>0</v>
      </c>
      <c r="J25" s="201">
        <f>SUMIFS('SALE BY STORE'!$T$3:$T$982,'SALE BY STORE'!$B$3:$B$982,'SALES BY SYSTEM'!$A25)</f>
        <v>0</v>
      </c>
      <c r="K25" s="201">
        <f>SUMIFS(DATA!$L:$L,DATA!$O:$O,'SALES BY SYSTEM'!$A25,DATA!$M:$M,'SALES BY SYSTEM'!$O$3)</f>
        <v>0</v>
      </c>
      <c r="L25" s="201">
        <f>SUMIFS('SALE BY STORE'!$Q$3:$Q$982,'SALE BY STORE'!$B$3:$B$982,'SALES BY SYSTEM'!$A25)</f>
        <v>0</v>
      </c>
      <c r="M25" s="201">
        <f>SUMIFS(DATA!$L:$L,DATA!$O:$O,'SALES BY SYSTEM'!$A25,DATA!$M:$M,'SALES BY SYSTEM'!$O$4)</f>
        <v>0</v>
      </c>
    </row>
    <row r="26" spans="1:13" ht="15.75" customHeight="1" x14ac:dyDescent="0.25">
      <c r="A26" s="10" t="s">
        <v>107</v>
      </c>
      <c r="B26" s="10"/>
      <c r="C26" s="192">
        <f>SUMIFS('SALE BY STORE'!$H$3:$H$982,'SALE BY STORE'!$B$3:$B$982,'SALES BY SYSTEM'!$A26)</f>
        <v>78645221.745688334</v>
      </c>
      <c r="D26" s="192">
        <f t="shared" si="6"/>
        <v>0</v>
      </c>
      <c r="E26" s="193">
        <f t="shared" si="4"/>
        <v>0</v>
      </c>
      <c r="F26" s="201">
        <f>SUMIFS('SALE BY STORE'!$K$3:$K$982,'SALE BY STORE'!$B$3:$B$982,'SALES BY SYSTEM'!$A26)</f>
        <v>0</v>
      </c>
      <c r="G26" s="201">
        <f>SUMIFS(DATA!$L:$L,DATA!$O:$O,'SALES BY SYSTEM'!$A26,DATA!$M:$M,'SALES BY SYSTEM'!$O$1)</f>
        <v>0</v>
      </c>
      <c r="H26" s="201">
        <f>SUMIFS('SALE BY STORE'!$N$3:$N$982,'SALE BY STORE'!$B$3:$B$982,'SALES BY SYSTEM'!$A26)</f>
        <v>20888026.295640755</v>
      </c>
      <c r="I26" s="201">
        <f>SUMIFS(DATA!$L:$L,DATA!$O:$O,'SALES BY SYSTEM'!$A26,DATA!$M:$M,'SALES BY SYSTEM'!$O$2)</f>
        <v>0</v>
      </c>
      <c r="J26" s="201">
        <f>SUMIFS('SALE BY STORE'!$T$3:$T$982,'SALE BY STORE'!$B$3:$B$982,'SALES BY SYSTEM'!$A26)</f>
        <v>0</v>
      </c>
      <c r="K26" s="201">
        <f>SUMIFS(DATA!$L:$L,DATA!$O:$O,'SALES BY SYSTEM'!$A26,DATA!$M:$M,'SALES BY SYSTEM'!$O$3)</f>
        <v>0</v>
      </c>
      <c r="L26" s="201">
        <f>SUMIFS('SALE BY STORE'!$Q$3:$Q$982,'SALE BY STORE'!$B$3:$B$982,'SALES BY SYSTEM'!$A26)</f>
        <v>57757195.450047567</v>
      </c>
      <c r="M26" s="201">
        <f>SUMIFS(DATA!$L:$L,DATA!$O:$O,'SALES BY SYSTEM'!$A26,DATA!$M:$M,'SALES BY SYSTEM'!$O$4)</f>
        <v>0</v>
      </c>
    </row>
    <row r="27" spans="1:13" ht="15.75" customHeight="1" x14ac:dyDescent="0.25">
      <c r="A27" s="10" t="s">
        <v>101</v>
      </c>
      <c r="B27" s="10"/>
      <c r="C27" s="192">
        <f>SUMIFS('SALE BY STORE'!$H$3:$H$982,'SALE BY STORE'!$B$3:$B$982,'SALES BY SYSTEM'!$A27)</f>
        <v>9644438.9323825259</v>
      </c>
      <c r="D27" s="192">
        <f t="shared" si="6"/>
        <v>0</v>
      </c>
      <c r="E27" s="193">
        <f t="shared" si="4"/>
        <v>0</v>
      </c>
      <c r="F27" s="201">
        <f>SUMIFS('SALE BY STORE'!$K$3:$K$982,'SALE BY STORE'!$B$3:$B$982,'SALES BY SYSTEM'!$A27)</f>
        <v>0</v>
      </c>
      <c r="G27" s="201">
        <f>SUMIFS(DATA!$L:$L,DATA!$O:$O,'SALES BY SYSTEM'!$A27,DATA!$M:$M,'SALES BY SYSTEM'!$O$1)</f>
        <v>0</v>
      </c>
      <c r="H27" s="201">
        <f>SUMIFS('SALE BY STORE'!$N$3:$N$982,'SALE BY STORE'!$B$3:$B$982,'SALES BY SYSTEM'!$A27)</f>
        <v>2175836.0724625788</v>
      </c>
      <c r="I27" s="201">
        <f>SUMIFS(DATA!$L:$L,DATA!$O:$O,'SALES BY SYSTEM'!$A27,DATA!$M:$M,'SALES BY SYSTEM'!$O$2)</f>
        <v>0</v>
      </c>
      <c r="J27" s="201">
        <f>SUMIFS('SALE BY STORE'!$T$3:$T$982,'SALE BY STORE'!$B$3:$B$982,'SALES BY SYSTEM'!$A27)</f>
        <v>0</v>
      </c>
      <c r="K27" s="201">
        <f>SUMIFS(DATA!$L:$L,DATA!$O:$O,'SALES BY SYSTEM'!$A27,DATA!$M:$M,'SALES BY SYSTEM'!$O$3)</f>
        <v>0</v>
      </c>
      <c r="L27" s="201">
        <f>SUMIFS('SALE BY STORE'!$Q$3:$Q$982,'SALE BY STORE'!$B$3:$B$982,'SALES BY SYSTEM'!$A27)</f>
        <v>7468602.8599199476</v>
      </c>
      <c r="M27" s="201">
        <f>SUMIFS(DATA!$L:$L,DATA!$O:$O,'SALES BY SYSTEM'!$A27,DATA!$M:$M,'SALES BY SYSTEM'!$O$4)</f>
        <v>0</v>
      </c>
    </row>
    <row r="28" spans="1:13" ht="15.75" customHeight="1" x14ac:dyDescent="0.25">
      <c r="A28" t="s">
        <v>649</v>
      </c>
      <c r="B28" s="10"/>
      <c r="C28" s="192">
        <f>SUMIFS('SALE BY STORE'!$H$3:$H$982,'SALE BY STORE'!$B$3:$B$982,'SALES BY SYSTEM'!$A28)</f>
        <v>0</v>
      </c>
      <c r="D28" s="192">
        <f t="shared" si="6"/>
        <v>0</v>
      </c>
      <c r="E28" s="193" t="str">
        <f t="shared" si="4"/>
        <v/>
      </c>
      <c r="F28" s="201">
        <f>SUMIFS('SALE BY STORE'!$K$3:$K$982,'SALE BY STORE'!$B$3:$B$982,'SALES BY SYSTEM'!$A28)</f>
        <v>0</v>
      </c>
      <c r="G28" s="201">
        <f>SUMIFS(DATA!$L:$L,DATA!$O:$O,'SALES BY SYSTEM'!$A28,DATA!$M:$M,'SALES BY SYSTEM'!$O$1)</f>
        <v>0</v>
      </c>
      <c r="H28" s="201">
        <f>SUMIFS('SALE BY STORE'!$N$3:$N$982,'SALE BY STORE'!$B$3:$B$982,'SALES BY SYSTEM'!$A28)</f>
        <v>0</v>
      </c>
      <c r="I28" s="201">
        <f>SUMIFS(DATA!$L:$L,DATA!$O:$O,'SALES BY SYSTEM'!$A28,DATA!$M:$M,'SALES BY SYSTEM'!$O$2)</f>
        <v>0</v>
      </c>
      <c r="J28" s="201">
        <f>SUMIFS('SALE BY STORE'!$T$3:$T$982,'SALE BY STORE'!$B$3:$B$982,'SALES BY SYSTEM'!$A28)</f>
        <v>0</v>
      </c>
      <c r="K28" s="201">
        <f>SUMIFS(DATA!$L:$L,DATA!$O:$O,'SALES BY SYSTEM'!$A28,DATA!$M:$M,'SALES BY SYSTEM'!$O$3)</f>
        <v>0</v>
      </c>
      <c r="L28" s="201">
        <f>SUMIFS('SALE BY STORE'!$Q$3:$Q$982,'SALE BY STORE'!$B$3:$B$982,'SALES BY SYSTEM'!$A28)</f>
        <v>0</v>
      </c>
      <c r="M28" s="201">
        <f>SUMIFS(DATA!$L:$L,DATA!$O:$O,'SALES BY SYSTEM'!$A28,DATA!$M:$M,'SALES BY SYSTEM'!$O$4)</f>
        <v>0</v>
      </c>
    </row>
    <row r="29" spans="1:13" ht="15.75" customHeight="1" x14ac:dyDescent="0.25">
      <c r="A29" s="10" t="s">
        <v>96</v>
      </c>
      <c r="B29" s="10"/>
      <c r="C29" s="192">
        <f>SUMIFS('SALE BY STORE'!$H$3:$H$982,'SALE BY STORE'!$B$3:$B$982,'SALES BY SYSTEM'!$A29)</f>
        <v>40828362.300895706</v>
      </c>
      <c r="D29" s="192">
        <f t="shared" si="6"/>
        <v>0</v>
      </c>
      <c r="E29" s="193">
        <f t="shared" si="4"/>
        <v>0</v>
      </c>
      <c r="F29" s="201">
        <f>SUMIFS('SALE BY STORE'!$K$3:$K$982,'SALE BY STORE'!$B$3:$B$982,'SALES BY SYSTEM'!$A29)</f>
        <v>0</v>
      </c>
      <c r="G29" s="201">
        <f>SUMIFS(DATA!$L:$L,DATA!$O:$O,'SALES BY SYSTEM'!$A29,DATA!$M:$M,'SALES BY SYSTEM'!$O$1)</f>
        <v>0</v>
      </c>
      <c r="H29" s="201">
        <f>SUMIFS('SALE BY STORE'!$N$3:$N$982,'SALE BY STORE'!$B$3:$B$982,'SALES BY SYSTEM'!$A29)</f>
        <v>0</v>
      </c>
      <c r="I29" s="201">
        <f>SUMIFS(DATA!$L:$L,DATA!$O:$O,'SALES BY SYSTEM'!$A29,DATA!$M:$M,'SALES BY SYSTEM'!$O$2)</f>
        <v>0</v>
      </c>
      <c r="J29" s="201">
        <f>SUMIFS('SALE BY STORE'!$T$3:$T$982,'SALE BY STORE'!$B$3:$B$982,'SALES BY SYSTEM'!$A29)</f>
        <v>0</v>
      </c>
      <c r="K29" s="201">
        <f>SUMIFS(DATA!$L:$L,DATA!$O:$O,'SALES BY SYSTEM'!$A29,DATA!$M:$M,'SALES BY SYSTEM'!$O$3)</f>
        <v>0</v>
      </c>
      <c r="L29" s="201">
        <f>SUMIFS('SALE BY STORE'!$Q$3:$Q$982,'SALE BY STORE'!$B$3:$B$982,'SALES BY SYSTEM'!$A29)</f>
        <v>40828362.300895706</v>
      </c>
      <c r="M29" s="201">
        <f>SUMIFS(DATA!$L:$L,DATA!$O:$O,'SALES BY SYSTEM'!$A29,DATA!$M:$M,'SALES BY SYSTEM'!$O$4)</f>
        <v>0</v>
      </c>
    </row>
    <row r="30" spans="1:13" ht="15.75" customHeight="1" x14ac:dyDescent="0.25">
      <c r="A30" s="10" t="s">
        <v>598</v>
      </c>
      <c r="B30" s="10"/>
      <c r="C30" s="192">
        <f>SUMIFS('SALE BY STORE'!$H$3:$H$982,'SALE BY STORE'!$B$3:$B$982,'SALES BY SYSTEM'!$A30)</f>
        <v>61540201.10170126</v>
      </c>
      <c r="D30" s="192">
        <f t="shared" si="6"/>
        <v>0</v>
      </c>
      <c r="E30" s="193">
        <f t="shared" si="4"/>
        <v>0</v>
      </c>
      <c r="F30" s="201">
        <f>SUMIFS('SALE BY STORE'!$K$3:$K$982,'SALE BY STORE'!$B$3:$B$982,'SALES BY SYSTEM'!$A30)</f>
        <v>0</v>
      </c>
      <c r="G30" s="201">
        <f>SUMIFS(DATA!$L:$L,DATA!$O:$O,'SALES BY SYSTEM'!$A30,DATA!$M:$M,'SALES BY SYSTEM'!$O$1)</f>
        <v>0</v>
      </c>
      <c r="H30" s="201">
        <f>SUMIFS('SALE BY STORE'!$N$3:$N$982,'SALE BY STORE'!$B$3:$B$982,'SALES BY SYSTEM'!$A30)</f>
        <v>11749515.368901631</v>
      </c>
      <c r="I30" s="201">
        <f>SUMIFS(DATA!$L:$L,DATA!$O:$O,'SALES BY SYSTEM'!$A30,DATA!$M:$M,'SALES BY SYSTEM'!$O$2)</f>
        <v>0</v>
      </c>
      <c r="J30" s="201">
        <f>SUMIFS('SALE BY STORE'!$T$3:$T$982,'SALE BY STORE'!$B$3:$B$982,'SALES BY SYSTEM'!$A30)</f>
        <v>0</v>
      </c>
      <c r="K30" s="201">
        <f>SUMIFS(DATA!$L:$L,DATA!$O:$O,'SALES BY SYSTEM'!$A30,DATA!$M:$M,'SALES BY SYSTEM'!$O$3)</f>
        <v>0</v>
      </c>
      <c r="L30" s="201">
        <f>SUMIFS('SALE BY STORE'!$Q$3:$Q$982,'SALE BY STORE'!$B$3:$B$982,'SALES BY SYSTEM'!$A30)</f>
        <v>49790685.732799619</v>
      </c>
      <c r="M30" s="201">
        <f>SUMIFS(DATA!$L:$L,DATA!$O:$O,'SALES BY SYSTEM'!$A30,DATA!$M:$M,'SALES BY SYSTEM'!$O$4)</f>
        <v>0</v>
      </c>
    </row>
    <row r="31" spans="1:13" ht="15.75" customHeight="1" x14ac:dyDescent="0.25">
      <c r="A31" s="10" t="s">
        <v>650</v>
      </c>
      <c r="B31" s="10"/>
      <c r="C31" s="192">
        <f>SUMIFS('SALE BY STORE'!$H$3:$H$982,'SALE BY STORE'!$B$3:$B$982,'SALES BY SYSTEM'!$A31)</f>
        <v>0</v>
      </c>
      <c r="D31" s="192">
        <f t="shared" si="6"/>
        <v>0</v>
      </c>
      <c r="E31" s="193" t="str">
        <f t="shared" si="4"/>
        <v/>
      </c>
      <c r="F31" s="201">
        <f>SUMIFS('SALE BY STORE'!$K$3:$K$982,'SALE BY STORE'!$B$3:$B$982,'SALES BY SYSTEM'!$A31)</f>
        <v>0</v>
      </c>
      <c r="G31" s="201">
        <f>SUMIFS(DATA!$L:$L,DATA!$O:$O,'SALES BY SYSTEM'!$A31,DATA!$M:$M,'SALES BY SYSTEM'!$O$1)</f>
        <v>0</v>
      </c>
      <c r="H31" s="201">
        <f>SUMIFS('SALE BY STORE'!$N$3:$N$982,'SALE BY STORE'!$B$3:$B$982,'SALES BY SYSTEM'!$A31)</f>
        <v>0</v>
      </c>
      <c r="I31" s="201">
        <f>SUMIFS(DATA!$L:$L,DATA!$O:$O,'SALES BY SYSTEM'!$A31,DATA!$M:$M,'SALES BY SYSTEM'!$O$2)</f>
        <v>0</v>
      </c>
      <c r="J31" s="201">
        <f>SUMIFS('SALE BY STORE'!$T$3:$T$982,'SALE BY STORE'!$B$3:$B$982,'SALES BY SYSTEM'!$A31)</f>
        <v>0</v>
      </c>
      <c r="K31" s="201">
        <f>SUMIFS(DATA!$L:$L,DATA!$O:$O,'SALES BY SYSTEM'!$A31,DATA!$M:$M,'SALES BY SYSTEM'!$O$3)</f>
        <v>0</v>
      </c>
      <c r="L31" s="201">
        <f>SUMIFS('SALE BY STORE'!$Q$3:$Q$982,'SALE BY STORE'!$B$3:$B$982,'SALES BY SYSTEM'!$A31)</f>
        <v>0</v>
      </c>
      <c r="M31" s="201">
        <f>SUMIFS(DATA!$L:$L,DATA!$O:$O,'SALES BY SYSTEM'!$A31,DATA!$M:$M,'SALES BY SYSTEM'!$O$4)</f>
        <v>0</v>
      </c>
    </row>
    <row r="32" spans="1:13" ht="15.75" customHeight="1" x14ac:dyDescent="0.25">
      <c r="A32" s="10" t="s">
        <v>99</v>
      </c>
      <c r="B32" s="10"/>
      <c r="C32" s="192">
        <f>SUMIFS('SALE BY STORE'!$H$3:$H$982,'SALE BY STORE'!$B$3:$B$982,'SALES BY SYSTEM'!$A32)</f>
        <v>9644438.9323825259</v>
      </c>
      <c r="D32" s="192">
        <f t="shared" si="6"/>
        <v>0</v>
      </c>
      <c r="E32" s="193">
        <f t="shared" si="4"/>
        <v>0</v>
      </c>
      <c r="F32" s="201">
        <f>SUMIFS('SALE BY STORE'!$K$3:$K$982,'SALE BY STORE'!$B$3:$B$982,'SALES BY SYSTEM'!$A32)</f>
        <v>0</v>
      </c>
      <c r="G32" s="201">
        <f>SUMIFS(DATA!$L:$L,DATA!$O:$O,'SALES BY SYSTEM'!$A32,DATA!$M:$M,'SALES BY SYSTEM'!$O$1)</f>
        <v>0</v>
      </c>
      <c r="H32" s="201">
        <f>SUMIFS('SALE BY STORE'!$N$3:$N$982,'SALE BY STORE'!$B$3:$B$982,'SALES BY SYSTEM'!$A32)</f>
        <v>2175836.0724625788</v>
      </c>
      <c r="I32" s="201">
        <f>SUMIFS(DATA!$L:$L,DATA!$O:$O,'SALES BY SYSTEM'!$A32,DATA!$M:$M,'SALES BY SYSTEM'!$O$2)</f>
        <v>0</v>
      </c>
      <c r="J32" s="201">
        <f>SUMIFS('SALE BY STORE'!$T$3:$T$982,'SALE BY STORE'!$B$3:$B$982,'SALES BY SYSTEM'!$A32)</f>
        <v>0</v>
      </c>
      <c r="K32" s="201">
        <f>SUMIFS(DATA!$L:$L,DATA!$O:$O,'SALES BY SYSTEM'!$A32,DATA!$M:$M,'SALES BY SYSTEM'!$O$3)</f>
        <v>0</v>
      </c>
      <c r="L32" s="201">
        <f>SUMIFS('SALE BY STORE'!$Q$3:$Q$982,'SALE BY STORE'!$B$3:$B$982,'SALES BY SYSTEM'!$A32)</f>
        <v>7468602.8599199466</v>
      </c>
      <c r="M32" s="201">
        <f>SUMIFS(DATA!$L:$L,DATA!$O:$O,'SALES BY SYSTEM'!$A32,DATA!$M:$M,'SALES BY SYSTEM'!$O$4)</f>
        <v>0</v>
      </c>
    </row>
    <row r="33" spans="1:13" ht="15.75" customHeight="1" x14ac:dyDescent="0.25">
      <c r="A33" s="10" t="s">
        <v>60</v>
      </c>
      <c r="B33" s="10"/>
      <c r="C33" s="192">
        <f>SUMIFS('SALE BY STORE'!$H$3:$H$982,'SALE BY STORE'!$B$3:$B$982,'SALES BY SYSTEM'!$A33)</f>
        <v>332096425.00885522</v>
      </c>
      <c r="D33" s="192">
        <f t="shared" si="6"/>
        <v>0</v>
      </c>
      <c r="E33" s="193">
        <f t="shared" si="4"/>
        <v>0</v>
      </c>
      <c r="F33" s="201">
        <f>SUMIFS('SALE BY STORE'!$K$3:$K$982,'SALE BY STORE'!$B$3:$B$982,'SALES BY SYSTEM'!$A33)</f>
        <v>0</v>
      </c>
      <c r="G33" s="201">
        <f>SUMIFS(DATA!$L:$L,DATA!$O:$O,'SALES BY SYSTEM'!$A33,DATA!$M:$M,'SALES BY SYSTEM'!$O$1)</f>
        <v>0</v>
      </c>
      <c r="H33" s="201">
        <f>SUMIFS('SALE BY STORE'!$N$3:$N$982,'SALE BY STORE'!$B$3:$B$982,'SALES BY SYSTEM'!$A33)</f>
        <v>34072280.489738546</v>
      </c>
      <c r="I33" s="201">
        <f>SUMIFS(DATA!$L:$L,DATA!$O:$O,'SALES BY SYSTEM'!$A33,DATA!$M:$M,'SALES BY SYSTEM'!$O$2)</f>
        <v>0</v>
      </c>
      <c r="J33" s="201">
        <f>SUMIFS('SALE BY STORE'!$T$3:$T$982,'SALE BY STORE'!$B$3:$B$982,'SALES BY SYSTEM'!$A33)</f>
        <v>0</v>
      </c>
      <c r="K33" s="201">
        <f>SUMIFS(DATA!$L:$L,DATA!$O:$O,'SALES BY SYSTEM'!$A33,DATA!$M:$M,'SALES BY SYSTEM'!$O$3)</f>
        <v>0</v>
      </c>
      <c r="L33" s="201">
        <f>SUMIFS('SALE BY STORE'!$Q$3:$Q$982,'SALE BY STORE'!$B$3:$B$982,'SALES BY SYSTEM'!$A33)</f>
        <v>298024144.5191167</v>
      </c>
      <c r="M33" s="201">
        <f>SUMIFS(DATA!$L:$L,DATA!$O:$O,'SALES BY SYSTEM'!$A33,DATA!$M:$M,'SALES BY SYSTEM'!$O$4)</f>
        <v>0</v>
      </c>
    </row>
    <row r="34" spans="1:13" ht="15.75" hidden="1" customHeight="1" x14ac:dyDescent="0.25">
      <c r="A34" s="10" t="s">
        <v>651</v>
      </c>
      <c r="B34" s="10"/>
      <c r="C34" s="192">
        <f>SUMIFS('SALE BY STORE'!$H$3:$H$982,'SALE BY STORE'!$B$3:$B$982,'SALES BY SYSTEM'!$A34)</f>
        <v>0</v>
      </c>
      <c r="D34" s="192">
        <f t="shared" si="6"/>
        <v>0</v>
      </c>
      <c r="E34" s="193" t="str">
        <f t="shared" si="4"/>
        <v/>
      </c>
      <c r="F34" s="201">
        <f>SUMIFS('SALE BY STORE'!$K$3:$K$982,'SALE BY STORE'!$B$3:$B$982,'SALES BY SYSTEM'!$A34)</f>
        <v>0</v>
      </c>
      <c r="G34" s="201">
        <f>SUMIFS(DATA!$L:$L,DATA!$O:$O,'SALES BY SYSTEM'!$A34,DATA!$M:$M,'SALES BY SYSTEM'!$O$1)</f>
        <v>0</v>
      </c>
      <c r="H34" s="201">
        <f>SUMIFS('SALE BY STORE'!$N$3:$N$982,'SALE BY STORE'!$B$3:$B$982,'SALES BY SYSTEM'!$A34)</f>
        <v>0</v>
      </c>
      <c r="I34" s="201">
        <f>SUMIFS(DATA!$L:$L,DATA!$O:$O,'SALES BY SYSTEM'!$A34,DATA!$M:$M,'SALES BY SYSTEM'!$O$2)</f>
        <v>0</v>
      </c>
      <c r="J34" s="201">
        <f>SUMIFS('SALE BY STORE'!$T$3:$T$982,'SALE BY STORE'!$B$3:$B$982,'SALES BY SYSTEM'!$A34)</f>
        <v>0</v>
      </c>
      <c r="K34" s="201">
        <f>SUMIFS(DATA!$L:$L,DATA!$O:$O,'SALES BY SYSTEM'!$A34,DATA!$M:$M,'SALES BY SYSTEM'!$O$3)</f>
        <v>0</v>
      </c>
      <c r="L34" s="201">
        <f>SUMIFS('SALE BY STORE'!$Q$3:$Q$982,'SALE BY STORE'!$B$3:$B$982,'SALES BY SYSTEM'!$A34)</f>
        <v>0</v>
      </c>
      <c r="M34" s="201">
        <f>SUMIFS(DATA!$L:$L,DATA!$O:$O,'SALES BY SYSTEM'!$A34,DATA!$M:$M,'SALES BY SYSTEM'!$O$4)</f>
        <v>0</v>
      </c>
    </row>
    <row r="35" spans="1:13" ht="15.75" customHeight="1" x14ac:dyDescent="0.25">
      <c r="A35" s="10" t="s">
        <v>652</v>
      </c>
      <c r="B35" s="10"/>
      <c r="C35" s="192">
        <f>SUMIFS('SALE BY STORE'!$H$3:$H$982,'SALE BY STORE'!$B$3:$B$982,'SALES BY SYSTEM'!$A35)</f>
        <v>0</v>
      </c>
      <c r="D35" s="192">
        <f t="shared" si="6"/>
        <v>0</v>
      </c>
      <c r="E35" s="193" t="str">
        <f t="shared" si="4"/>
        <v/>
      </c>
      <c r="F35" s="201">
        <f>SUMIFS('SALE BY STORE'!$K$3:$K$982,'SALE BY STORE'!$B$3:$B$982,'SALES BY SYSTEM'!$A35)</f>
        <v>0</v>
      </c>
      <c r="G35" s="201">
        <f>SUMIFS(DATA!$L:$L,DATA!$O:$O,'SALES BY SYSTEM'!$A35,DATA!$M:$M,'SALES BY SYSTEM'!$O$1)</f>
        <v>0</v>
      </c>
      <c r="H35" s="201">
        <f>SUMIFS('SALE BY STORE'!$N$3:$N$982,'SALE BY STORE'!$B$3:$B$982,'SALES BY SYSTEM'!$A35)</f>
        <v>0</v>
      </c>
      <c r="I35" s="201">
        <f>SUMIFS(DATA!$L:$L,DATA!$O:$O,'SALES BY SYSTEM'!$A35,DATA!$M:$M,'SALES BY SYSTEM'!$O$2)</f>
        <v>0</v>
      </c>
      <c r="J35" s="201">
        <f>SUMIFS('SALE BY STORE'!$T$3:$T$982,'SALE BY STORE'!$B$3:$B$982,'SALES BY SYSTEM'!$A35)</f>
        <v>0</v>
      </c>
      <c r="K35" s="201">
        <f>SUMIFS(DATA!$L:$L,DATA!$O:$O,'SALES BY SYSTEM'!$A35,DATA!$M:$M,'SALES BY SYSTEM'!$O$3)</f>
        <v>0</v>
      </c>
      <c r="L35" s="201">
        <f>SUMIFS('SALE BY STORE'!$Q$3:$Q$982,'SALE BY STORE'!$B$3:$B$982,'SALES BY SYSTEM'!$A35)</f>
        <v>0</v>
      </c>
      <c r="M35" s="201">
        <f>SUMIFS(DATA!$L:$L,DATA!$O:$O,'SALES BY SYSTEM'!$A35,DATA!$M:$M,'SALES BY SYSTEM'!$O$4)</f>
        <v>0</v>
      </c>
    </row>
    <row r="36" spans="1:13" ht="15.75" customHeight="1" x14ac:dyDescent="0.25">
      <c r="A36" s="10" t="s">
        <v>653</v>
      </c>
      <c r="B36" s="10"/>
      <c r="C36" s="192">
        <f>SUMIFS('SALE BY STORE'!$H$3:$H$982,'SALE BY STORE'!$B$3:$B$982,'SALES BY SYSTEM'!$A36)</f>
        <v>1991627.4293119845</v>
      </c>
      <c r="D36" s="192">
        <f t="shared" si="6"/>
        <v>0</v>
      </c>
      <c r="E36" s="193">
        <f t="shared" si="4"/>
        <v>0</v>
      </c>
      <c r="F36" s="201">
        <f>SUMIFS('SALE BY STORE'!$K$3:$K$982,'SALE BY STORE'!$B$3:$B$982,'SALES BY SYSTEM'!$A36)</f>
        <v>0</v>
      </c>
      <c r="G36" s="201">
        <f>SUMIFS(DATA!$L:$L,DATA!$O:$O,'SALES BY SYSTEM'!$A36,DATA!$M:$M,'SALES BY SYSTEM'!$O$1)</f>
        <v>0</v>
      </c>
      <c r="H36" s="201">
        <f>SUMIFS('SALE BY STORE'!$N$3:$N$982,'SALE BY STORE'!$B$3:$B$982,'SALES BY SYSTEM'!$A36)</f>
        <v>0</v>
      </c>
      <c r="I36" s="201">
        <f>SUMIFS(DATA!$L:$L,DATA!$O:$O,'SALES BY SYSTEM'!$A36,DATA!$M:$M,'SALES BY SYSTEM'!$O$2)</f>
        <v>0</v>
      </c>
      <c r="J36" s="201">
        <f>SUMIFS('SALE BY STORE'!$T$3:$T$982,'SALE BY STORE'!$B$3:$B$982,'SALES BY SYSTEM'!$A36)</f>
        <v>0</v>
      </c>
      <c r="K36" s="201">
        <f>SUMIFS(DATA!$L:$L,DATA!$O:$O,'SALES BY SYSTEM'!$A36,DATA!$M:$M,'SALES BY SYSTEM'!$O$3)</f>
        <v>0</v>
      </c>
      <c r="L36" s="201">
        <f>SUMIFS('SALE BY STORE'!$Q$3:$Q$982,'SALE BY STORE'!$B$3:$B$982,'SALES BY SYSTEM'!$A36)</f>
        <v>1991627.4293119845</v>
      </c>
      <c r="M36" s="201">
        <f>SUMIFS(DATA!$L:$L,DATA!$O:$O,'SALES BY SYSTEM'!$A36,DATA!$M:$M,'SALES BY SYSTEM'!$O$4)</f>
        <v>0</v>
      </c>
    </row>
    <row r="37" spans="1:13" ht="15.75" customHeight="1" x14ac:dyDescent="0.25">
      <c r="A37" s="178" t="s">
        <v>91</v>
      </c>
      <c r="B37" s="10"/>
      <c r="C37" s="192">
        <f>SUMIFS('SALE BY STORE'!$H$3:$H$982,'SALE BY STORE'!$B$3:$B$982,'SALES BY SYSTEM'!$A37)</f>
        <v>510254271.62730014</v>
      </c>
      <c r="D37" s="192">
        <f t="shared" si="6"/>
        <v>0</v>
      </c>
      <c r="E37" s="193">
        <f t="shared" si="4"/>
        <v>0</v>
      </c>
      <c r="F37" s="201">
        <f>SUMIFS('SALE BY STORE'!$K$3:$K$982,'SALE BY STORE'!$B$3:$B$982,'SALES BY SYSTEM'!$A37)</f>
        <v>0</v>
      </c>
      <c r="G37" s="201">
        <f>SUMIFS(DATA!$L:$L,DATA!$O:$O,'SALES BY SYSTEM'!$A37,DATA!$M:$M,'SALES BY SYSTEM'!$O$1)</f>
        <v>0</v>
      </c>
      <c r="H37" s="201">
        <f>SUMIFS('SALE BY STORE'!$N$3:$N$982,'SALE BY STORE'!$B$3:$B$982,'SALES BY SYSTEM'!$A37)</f>
        <v>87033442.898503155</v>
      </c>
      <c r="I37" s="201">
        <f>SUMIFS(DATA!$L:$L,DATA!$O:$O,'SALES BY SYSTEM'!$A37,DATA!$M:$M,'SALES BY SYSTEM'!$O$2)</f>
        <v>0</v>
      </c>
      <c r="J37" s="201">
        <f>SUMIFS('SALE BY STORE'!$T$3:$T$982,'SALE BY STORE'!$B$3:$B$982,'SALES BY SYSTEM'!$A37)</f>
        <v>0</v>
      </c>
      <c r="K37" s="201">
        <f>SUMIFS(DATA!$L:$L,DATA!$O:$O,'SALES BY SYSTEM'!$A37,DATA!$M:$M,'SALES BY SYSTEM'!$O$3)</f>
        <v>0</v>
      </c>
      <c r="L37" s="201">
        <f>SUMIFS('SALE BY STORE'!$Q$3:$Q$982,'SALE BY STORE'!$B$3:$B$982,'SALES BY SYSTEM'!$A37)</f>
        <v>423220828.72879696</v>
      </c>
      <c r="M37" s="201">
        <f>SUMIFS(DATA!$L:$L,DATA!$O:$O,'SALES BY SYSTEM'!$A37,DATA!$M:$M,'SALES BY SYSTEM'!$O$4)</f>
        <v>0</v>
      </c>
    </row>
    <row r="38" spans="1:13" ht="15.75" hidden="1" customHeight="1" x14ac:dyDescent="0.25">
      <c r="A38" s="10" t="s">
        <v>654</v>
      </c>
      <c r="B38" s="10">
        <v>86</v>
      </c>
      <c r="C38" s="192">
        <f>SUMIFS('SALE BY STORE'!$H$3:$H$982,'SALE BY STORE'!$B$3:$B$982,'SALES BY SYSTEM'!$A38)</f>
        <v>0</v>
      </c>
      <c r="D38" s="192">
        <f t="shared" si="6"/>
        <v>0</v>
      </c>
      <c r="E38" s="193" t="str">
        <f t="shared" si="4"/>
        <v/>
      </c>
      <c r="F38" s="201">
        <f>SUMIFS('SALE BY STORE'!$K$3:$K$982,'SALE BY STORE'!$B$3:$B$982,'SALES BY SYSTEM'!$A38)</f>
        <v>0</v>
      </c>
      <c r="G38" s="201">
        <f>SUMIFS(DATA!$L:$L,DATA!$O:$O,'SALES BY SYSTEM'!$A38,DATA!$M:$M,'SALES BY SYSTEM'!$O$1)</f>
        <v>0</v>
      </c>
      <c r="H38" s="201">
        <f>SUMIFS('SALE BY STORE'!$N$3:$N$982,'SALE BY STORE'!$B$3:$B$982,'SALES BY SYSTEM'!$A38)</f>
        <v>0</v>
      </c>
      <c r="I38" s="201">
        <f>SUMIFS(DATA!$L:$L,DATA!$O:$O,'SALES BY SYSTEM'!$A38,DATA!$M:$M,'SALES BY SYSTEM'!$O$2)</f>
        <v>0</v>
      </c>
      <c r="J38" s="201">
        <f>SUMIFS('SALE BY STORE'!$T$3:$T$982,'SALE BY STORE'!$B$3:$B$982,'SALES BY SYSTEM'!$A38)</f>
        <v>0</v>
      </c>
      <c r="K38" s="201">
        <f>SUMIFS(DATA!$L:$L,DATA!$O:$O,'SALES BY SYSTEM'!$A38,DATA!$M:$M,'SALES BY SYSTEM'!$O$3)</f>
        <v>0</v>
      </c>
      <c r="L38" s="201">
        <f>SUMIFS('SALE BY STORE'!$Q$3:$Q$982,'SALE BY STORE'!$B$3:$B$982,'SALES BY SYSTEM'!$A38)</f>
        <v>0</v>
      </c>
      <c r="M38" s="201">
        <f>SUMIFS(DATA!$L:$L,DATA!$O:$O,'SALES BY SYSTEM'!$A38,DATA!$M:$M,'SALES BY SYSTEM'!$O$4)</f>
        <v>0</v>
      </c>
    </row>
    <row r="39" spans="1:13" ht="15.75" customHeight="1" x14ac:dyDescent="0.25">
      <c r="A39" s="30" t="s">
        <v>126</v>
      </c>
      <c r="B39" s="10"/>
      <c r="C39" s="192">
        <f>SUMIFS('SALE BY STORE'!$H$3:$H$982,'SALE BY STORE'!$B$3:$B$982,'SALES BY SYSTEM'!$A39)</f>
        <v>0</v>
      </c>
      <c r="D39" s="192">
        <f t="shared" si="6"/>
        <v>0</v>
      </c>
      <c r="E39" s="193" t="str">
        <f t="shared" si="4"/>
        <v/>
      </c>
      <c r="F39" s="201">
        <f>SUMIFS('SALE BY STORE'!$K$3:$K$982,'SALE BY STORE'!$B$3:$B$982,'SALES BY SYSTEM'!$A39)</f>
        <v>0</v>
      </c>
      <c r="G39" s="201">
        <f>SUMIFS(DATA!$L:$L,DATA!$O:$O,'SALES BY SYSTEM'!$A39,DATA!$M:$M,'SALES BY SYSTEM'!$O$1)</f>
        <v>0</v>
      </c>
      <c r="H39" s="201">
        <f>SUMIFS('SALE BY STORE'!$N$3:$N$982,'SALE BY STORE'!$B$3:$B$982,'SALES BY SYSTEM'!$A39)</f>
        <v>0</v>
      </c>
      <c r="I39" s="201">
        <f>SUMIFS(DATA!$L:$L,DATA!$O:$O,'SALES BY SYSTEM'!$A39,DATA!$M:$M,'SALES BY SYSTEM'!$O$2)</f>
        <v>0</v>
      </c>
      <c r="J39" s="201">
        <f>SUMIFS('SALE BY STORE'!$T$3:$T$982,'SALE BY STORE'!$B$3:$B$982,'SALES BY SYSTEM'!$A39)</f>
        <v>0</v>
      </c>
      <c r="K39" s="201">
        <f>SUMIFS(DATA!$L:$L,DATA!$O:$O,'SALES BY SYSTEM'!$A39,DATA!$M:$M,'SALES BY SYSTEM'!$O$3)</f>
        <v>0</v>
      </c>
      <c r="L39" s="201">
        <f>SUMIFS('SALE BY STORE'!$Q$3:$Q$982,'SALE BY STORE'!$B$3:$B$982,'SALES BY SYSTEM'!$A39)</f>
        <v>0</v>
      </c>
      <c r="M39" s="201">
        <f>SUMIFS(DATA!$L:$L,DATA!$O:$O,'SALES BY SYSTEM'!$A39,DATA!$M:$M,'SALES BY SYSTEM'!$O$4)</f>
        <v>0</v>
      </c>
    </row>
    <row r="40" spans="1:13" ht="15.75" customHeight="1" x14ac:dyDescent="0.25">
      <c r="A40" s="9" t="s">
        <v>124</v>
      </c>
      <c r="B40" s="10"/>
      <c r="C40" s="192">
        <f>SUMIFS('SALE BY STORE'!$H$3:$H$982,'SALE BY STORE'!$B$3:$B$982,'SALES BY SYSTEM'!$A40)</f>
        <v>0</v>
      </c>
      <c r="D40" s="192">
        <f t="shared" si="6"/>
        <v>0</v>
      </c>
      <c r="E40" s="193" t="str">
        <f t="shared" si="4"/>
        <v/>
      </c>
      <c r="F40" s="201">
        <f>SUMIFS('SALE BY STORE'!$K$3:$K$982,'SALE BY STORE'!$B$3:$B$982,'SALES BY SYSTEM'!$A40)</f>
        <v>0</v>
      </c>
      <c r="G40" s="201">
        <f>SUMIFS(DATA!$L:$L,DATA!$O:$O,'SALES BY SYSTEM'!$A40,DATA!$M:$M,'SALES BY SYSTEM'!$O$1)</f>
        <v>0</v>
      </c>
      <c r="H40" s="201">
        <f>SUMIFS('SALE BY STORE'!$N$3:$N$982,'SALE BY STORE'!$B$3:$B$982,'SALES BY SYSTEM'!$A40)</f>
        <v>0</v>
      </c>
      <c r="I40" s="201">
        <f>SUMIFS(DATA!$L:$L,DATA!$O:$O,'SALES BY SYSTEM'!$A40,DATA!$M:$M,'SALES BY SYSTEM'!$O$2)</f>
        <v>0</v>
      </c>
      <c r="J40" s="201">
        <f>SUMIFS('SALE BY STORE'!$T$3:$T$982,'SALE BY STORE'!$B$3:$B$982,'SALES BY SYSTEM'!$A40)</f>
        <v>0</v>
      </c>
      <c r="K40" s="201">
        <f>SUMIFS(DATA!$L:$L,DATA!$O:$O,'SALES BY SYSTEM'!$A40,DATA!$M:$M,'SALES BY SYSTEM'!$O$3)</f>
        <v>0</v>
      </c>
      <c r="L40" s="201">
        <f>SUMIFS('SALE BY STORE'!$Q$3:$Q$982,'SALE BY STORE'!$B$3:$B$982,'SALES BY SYSTEM'!$A40)</f>
        <v>0</v>
      </c>
      <c r="M40" s="201">
        <f>SUMIFS(DATA!$L:$L,DATA!$O:$O,'SALES BY SYSTEM'!$A40,DATA!$M:$M,'SALES BY SYSTEM'!$O$4)</f>
        <v>0</v>
      </c>
    </row>
    <row r="41" spans="1:13" ht="15.75" hidden="1" customHeight="1" x14ac:dyDescent="0.25">
      <c r="A41" s="12" t="s">
        <v>655</v>
      </c>
      <c r="B41" s="10"/>
      <c r="C41" s="192">
        <f>SUMIFS('SALE BY STORE'!$H$3:$H$982,'SALE BY STORE'!$B$3:$B$982,'SALES BY SYSTEM'!$A41)</f>
        <v>0</v>
      </c>
      <c r="D41" s="192">
        <f t="shared" si="6"/>
        <v>0</v>
      </c>
      <c r="E41" s="193" t="str">
        <f t="shared" si="4"/>
        <v/>
      </c>
      <c r="F41" s="201">
        <f>SUMIFS('SALE BY STORE'!$K$3:$K$982,'SALE BY STORE'!$B$3:$B$982,'SALES BY SYSTEM'!$A41)</f>
        <v>0</v>
      </c>
      <c r="G41" s="201">
        <f>SUMIFS(DATA!$L:$L,DATA!$O:$O,'SALES BY SYSTEM'!$A41,DATA!$M:$M,'SALES BY SYSTEM'!$O$1)</f>
        <v>0</v>
      </c>
      <c r="H41" s="201">
        <f>SUMIFS('SALE BY STORE'!$N$3:$N$982,'SALE BY STORE'!$B$3:$B$982,'SALES BY SYSTEM'!$A41)</f>
        <v>0</v>
      </c>
      <c r="I41" s="201">
        <f>SUMIFS(DATA!$L:$L,DATA!$O:$O,'SALES BY SYSTEM'!$A41,DATA!$M:$M,'SALES BY SYSTEM'!$O$2)</f>
        <v>0</v>
      </c>
      <c r="J41" s="201">
        <f>SUMIFS('SALE BY STORE'!$T$3:$T$982,'SALE BY STORE'!$B$3:$B$982,'SALES BY SYSTEM'!$A41)</f>
        <v>0</v>
      </c>
      <c r="K41" s="201">
        <f>SUMIFS(DATA!$L:$L,DATA!$O:$O,'SALES BY SYSTEM'!$A41,DATA!$M:$M,'SALES BY SYSTEM'!$O$3)</f>
        <v>0</v>
      </c>
      <c r="L41" s="201">
        <f>SUMIFS('SALE BY STORE'!$Q$3:$Q$982,'SALE BY STORE'!$B$3:$B$982,'SALES BY SYSTEM'!$A41)</f>
        <v>0</v>
      </c>
      <c r="M41" s="201">
        <f>SUMIFS(DATA!$L:$L,DATA!$O:$O,'SALES BY SYSTEM'!$A41,DATA!$M:$M,'SALES BY SYSTEM'!$O$4)</f>
        <v>0</v>
      </c>
    </row>
    <row r="42" spans="1:13" ht="15.75" customHeight="1" x14ac:dyDescent="0.25">
      <c r="A42" s="10" t="s">
        <v>656</v>
      </c>
      <c r="B42" s="10"/>
      <c r="C42" s="192">
        <f>SUMIFS('SALE BY STORE'!$H$3:$H$982,'SALE BY STORE'!$B$3:$B$982,'SALES BY SYSTEM'!$A42)</f>
        <v>0</v>
      </c>
      <c r="D42" s="192">
        <f t="shared" si="6"/>
        <v>0</v>
      </c>
      <c r="E42" s="193" t="str">
        <f t="shared" si="4"/>
        <v/>
      </c>
      <c r="F42" s="201">
        <f>SUMIFS('SALE BY STORE'!$K$3:$K$982,'SALE BY STORE'!$B$3:$B$982,'SALES BY SYSTEM'!$A42)</f>
        <v>0</v>
      </c>
      <c r="G42" s="201">
        <f>SUMIFS(DATA!$L:$L,DATA!$O:$O,'SALES BY SYSTEM'!$A42,DATA!$M:$M,'SALES BY SYSTEM'!$O$1)</f>
        <v>0</v>
      </c>
      <c r="H42" s="201">
        <f>SUMIFS('SALE BY STORE'!$N$3:$N$982,'SALE BY STORE'!$B$3:$B$982,'SALES BY SYSTEM'!$A42)</f>
        <v>0</v>
      </c>
      <c r="I42" s="201">
        <f>SUMIFS(DATA!$L:$L,DATA!$O:$O,'SALES BY SYSTEM'!$A42,DATA!$M:$M,'SALES BY SYSTEM'!$O$2)</f>
        <v>0</v>
      </c>
      <c r="J42" s="201">
        <f>SUMIFS('SALE BY STORE'!$T$3:$T$982,'SALE BY STORE'!$B$3:$B$982,'SALES BY SYSTEM'!$A42)</f>
        <v>0</v>
      </c>
      <c r="K42" s="201">
        <f>SUMIFS(DATA!$L:$L,DATA!$O:$O,'SALES BY SYSTEM'!$A42,DATA!$M:$M,'SALES BY SYSTEM'!$O$3)</f>
        <v>0</v>
      </c>
      <c r="L42" s="201">
        <f>SUMIFS('SALE BY STORE'!$Q$3:$Q$982,'SALE BY STORE'!$B$3:$B$982,'SALES BY SYSTEM'!$A42)</f>
        <v>0</v>
      </c>
      <c r="M42" s="201">
        <f>SUMIFS(DATA!$L:$L,DATA!$O:$O,'SALES BY SYSTEM'!$A42,DATA!$M:$M,'SALES BY SYSTEM'!$O$4)</f>
        <v>0</v>
      </c>
    </row>
    <row r="43" spans="1:13" ht="15.75" customHeight="1" x14ac:dyDescent="0.25">
      <c r="A43" s="10" t="s">
        <v>657</v>
      </c>
      <c r="B43" s="10">
        <v>1</v>
      </c>
      <c r="C43" s="192">
        <f>SUMIFS('SALE BY STORE'!$H$3:$H$982,'SALE BY STORE'!$B$3:$B$982,'SALES BY SYSTEM'!$A43)</f>
        <v>6223835.7165999534</v>
      </c>
      <c r="D43" s="192">
        <f t="shared" si="6"/>
        <v>0</v>
      </c>
      <c r="E43" s="193">
        <f t="shared" si="4"/>
        <v>0</v>
      </c>
      <c r="F43" s="201">
        <f>SUMIFS('SALE BY STORE'!$K$3:$K$982,'SALE BY STORE'!$B$3:$B$982,'SALES BY SYSTEM'!$A43)</f>
        <v>0</v>
      </c>
      <c r="G43" s="201">
        <f>SUMIFS(DATA!$L:$L,DATA!$O:$O,'SALES BY SYSTEM'!$A43,DATA!$M:$M,'SALES BY SYSTEM'!$O$1)</f>
        <v>0</v>
      </c>
      <c r="H43" s="201">
        <f>SUMIFS('SALE BY STORE'!$N$3:$N$982,'SALE BY STORE'!$B$3:$B$982,'SALES BY SYSTEM'!$A43)</f>
        <v>0</v>
      </c>
      <c r="I43" s="201">
        <f>SUMIFS(DATA!$L:$L,DATA!$O:$O,'SALES BY SYSTEM'!$A43,DATA!$M:$M,'SALES BY SYSTEM'!$O$2)</f>
        <v>0</v>
      </c>
      <c r="J43" s="201">
        <f>SUMIFS('SALE BY STORE'!$T$3:$T$982,'SALE BY STORE'!$B$3:$B$982,'SALES BY SYSTEM'!$A43)</f>
        <v>0</v>
      </c>
      <c r="K43" s="201">
        <f>SUMIFS(DATA!$L:$L,DATA!$O:$O,'SALES BY SYSTEM'!$A43,DATA!$M:$M,'SALES BY SYSTEM'!$O$3)</f>
        <v>0</v>
      </c>
      <c r="L43" s="201">
        <f>SUMIFS('SALE BY STORE'!$Q$3:$Q$982,'SALE BY STORE'!$B$3:$B$982,'SALES BY SYSTEM'!$A43)</f>
        <v>6223835.7165999534</v>
      </c>
      <c r="M43" s="201">
        <f>SUMIFS(DATA!$L:$L,DATA!$O:$O,'SALES BY SYSTEM'!$A43,DATA!$M:$M,'SALES BY SYSTEM'!$O$4)</f>
        <v>0</v>
      </c>
    </row>
    <row r="44" spans="1:13" ht="15.75" customHeight="1" x14ac:dyDescent="0.25">
      <c r="A44" s="10" t="s">
        <v>19</v>
      </c>
      <c r="B44" s="10"/>
      <c r="C44" s="192">
        <f>SUMIFS('SALE BY STORE'!$H$3:$H$982,'SALE BY STORE'!$B$3:$B$982,'SALES BY SYSTEM'!$A44)</f>
        <v>1034235588.2572676</v>
      </c>
      <c r="D44" s="192">
        <f t="shared" si="6"/>
        <v>0</v>
      </c>
      <c r="E44" s="193">
        <f t="shared" si="4"/>
        <v>0</v>
      </c>
      <c r="F44" s="201">
        <f>SUMIFS('SALE BY STORE'!$K$3:$K$982,'SALE BY STORE'!$B$3:$B$982,'SALES BY SYSTEM'!$A44)</f>
        <v>0</v>
      </c>
      <c r="G44" s="201">
        <f>SUMIFS(DATA!$L:$L,DATA!$O:$O,'SALES BY SYSTEM'!$A44,DATA!$M:$M,'SALES BY SYSTEM'!$O$1)</f>
        <v>0</v>
      </c>
      <c r="H44" s="201">
        <f>SUMIFS('SALE BY STORE'!$N$3:$N$982,'SALE BY STORE'!$B$3:$B$982,'SALES BY SYSTEM'!$A44)</f>
        <v>395950706.88802689</v>
      </c>
      <c r="I44" s="201">
        <f>SUMIFS(DATA!$L:$L,DATA!$O:$O,'SALES BY SYSTEM'!$A44,DATA!$M:$M,'SALES BY SYSTEM'!$O$2)</f>
        <v>0</v>
      </c>
      <c r="J44" s="201">
        <f>SUMIFS('SALE BY STORE'!$T$3:$T$982,'SALE BY STORE'!$B$3:$B$982,'SALES BY SYSTEM'!$A44)</f>
        <v>0</v>
      </c>
      <c r="K44" s="201">
        <f>SUMIFS(DATA!$L:$L,DATA!$O:$O,'SALES BY SYSTEM'!$A44,DATA!$M:$M,'SALES BY SYSTEM'!$O$3)</f>
        <v>0</v>
      </c>
      <c r="L44" s="201">
        <f>SUMIFS('SALE BY STORE'!$Q$3:$Q$982,'SALE BY STORE'!$B$3:$B$982,'SALES BY SYSTEM'!$A44)</f>
        <v>638284881.3692404</v>
      </c>
      <c r="M44" s="201">
        <f>SUMIFS(DATA!$L:$L,DATA!$O:$O,'SALES BY SYSTEM'!$A44,DATA!$M:$M,'SALES BY SYSTEM'!$O$4)</f>
        <v>0</v>
      </c>
    </row>
    <row r="45" spans="1:13" ht="15.75" customHeight="1" x14ac:dyDescent="0.25">
      <c r="A45" s="4" t="s">
        <v>128</v>
      </c>
      <c r="B45" s="10"/>
      <c r="C45" s="192">
        <f>SUMIFS('SALE BY STORE'!$H$3:$H$982,'SALE BY STORE'!$B$3:$B$982,'SALES BY SYSTEM'!$A45)</f>
        <v>44811617.159519657</v>
      </c>
      <c r="D45" s="192">
        <f t="shared" si="6"/>
        <v>0</v>
      </c>
      <c r="E45" s="193">
        <f t="shared" si="4"/>
        <v>0</v>
      </c>
      <c r="F45" s="201">
        <f>SUMIFS('SALE BY STORE'!$K$3:$K$982,'SALE BY STORE'!$B$3:$B$982,'SALES BY SYSTEM'!$A45)</f>
        <v>0</v>
      </c>
      <c r="G45" s="201">
        <f>SUMIFS(DATA!$L:$L,DATA!$O:$O,'SALES BY SYSTEM'!$A45,DATA!$M:$M,'SALES BY SYSTEM'!$O$1)</f>
        <v>0</v>
      </c>
      <c r="H45" s="201">
        <f>SUMIFS('SALE BY STORE'!$N$3:$N$982,'SALE BY STORE'!$B$3:$B$982,'SALES BY SYSTEM'!$A45)</f>
        <v>0</v>
      </c>
      <c r="I45" s="201">
        <f>SUMIFS(DATA!$L:$L,DATA!$O:$O,'SALES BY SYSTEM'!$A45,DATA!$M:$M,'SALES BY SYSTEM'!$O$2)</f>
        <v>0</v>
      </c>
      <c r="J45" s="201">
        <f>SUMIFS('SALE BY STORE'!$T$3:$T$982,'SALE BY STORE'!$B$3:$B$982,'SALES BY SYSTEM'!$A45)</f>
        <v>0</v>
      </c>
      <c r="K45" s="201">
        <f>SUMIFS(DATA!$L:$L,DATA!$O:$O,'SALES BY SYSTEM'!$A45,DATA!$M:$M,'SALES BY SYSTEM'!$O$3)</f>
        <v>0</v>
      </c>
      <c r="L45" s="201">
        <f>SUMIFS('SALE BY STORE'!$Q$3:$Q$982,'SALE BY STORE'!$B$3:$B$982,'SALES BY SYSTEM'!$A45)</f>
        <v>44811617.159519657</v>
      </c>
      <c r="M45" s="201">
        <f>SUMIFS(DATA!$L:$L,DATA!$O:$O,'SALES BY SYSTEM'!$A45,DATA!$M:$M,'SALES BY SYSTEM'!$O$4)</f>
        <v>0</v>
      </c>
    </row>
    <row r="46" spans="1:13" ht="15.75" hidden="1" customHeight="1" x14ac:dyDescent="0.25">
      <c r="A46" t="s">
        <v>658</v>
      </c>
      <c r="B46" s="10"/>
      <c r="C46" s="192">
        <f>SUMIFS('SALE BY STORE'!$H$3:$H$982,'SALE BY STORE'!$B$3:$B$982,'SALES BY SYSTEM'!$A46)</f>
        <v>0</v>
      </c>
      <c r="D46" s="192">
        <f t="shared" si="6"/>
        <v>0</v>
      </c>
      <c r="E46" s="193" t="str">
        <f t="shared" si="4"/>
        <v/>
      </c>
      <c r="F46" s="201">
        <f>SUMIFS('SALE BY STORE'!$K$3:$K$982,'SALE BY STORE'!$B$3:$B$982,'SALES BY SYSTEM'!$A46)</f>
        <v>0</v>
      </c>
      <c r="G46" s="201">
        <f>SUMIFS(DATA!$L:$L,DATA!$O:$O,'SALES BY SYSTEM'!$A46,DATA!$M:$M,'SALES BY SYSTEM'!$O$1)</f>
        <v>0</v>
      </c>
      <c r="H46" s="201">
        <f>SUMIFS('SALE BY STORE'!$N$3:$N$982,'SALE BY STORE'!$B$3:$B$982,'SALES BY SYSTEM'!$A46)</f>
        <v>0</v>
      </c>
      <c r="I46" s="201">
        <f>SUMIFS(DATA!$L:$L,DATA!$O:$O,'SALES BY SYSTEM'!$A46,DATA!$M:$M,'SALES BY SYSTEM'!$O$2)</f>
        <v>0</v>
      </c>
      <c r="J46" s="201">
        <f>SUMIFS('SALE BY STORE'!$T$3:$T$982,'SALE BY STORE'!$B$3:$B$982,'SALES BY SYSTEM'!$A46)</f>
        <v>0</v>
      </c>
      <c r="K46" s="201">
        <f>SUMIFS(DATA!$L:$L,DATA!$O:$O,'SALES BY SYSTEM'!$A46,DATA!$M:$M,'SALES BY SYSTEM'!$O$3)</f>
        <v>0</v>
      </c>
      <c r="L46" s="201">
        <f>SUMIFS('SALE BY STORE'!$Q$3:$Q$982,'SALE BY STORE'!$B$3:$B$982,'SALES BY SYSTEM'!$A46)</f>
        <v>0</v>
      </c>
      <c r="M46" s="201">
        <f>SUMIFS(DATA!$L:$L,DATA!$O:$O,'SALES BY SYSTEM'!$A46,DATA!$M:$M,'SALES BY SYSTEM'!$O$4)</f>
        <v>0</v>
      </c>
    </row>
    <row r="47" spans="1:13" ht="15.75" customHeight="1" x14ac:dyDescent="0.25">
      <c r="A47" t="s">
        <v>40</v>
      </c>
      <c r="B47" s="10"/>
      <c r="C47" s="192">
        <f>SUMIFS('SALE BY STORE'!$H$3:$H$982,'SALE BY STORE'!$B$3:$B$982,'SALES BY SYSTEM'!$A47)</f>
        <v>0</v>
      </c>
      <c r="D47" s="192">
        <f t="shared" si="6"/>
        <v>0</v>
      </c>
      <c r="E47" s="193" t="str">
        <f t="shared" si="4"/>
        <v/>
      </c>
      <c r="F47" s="201">
        <f>SUMIFS('SALE BY STORE'!$K$3:$K$982,'SALE BY STORE'!$B$3:$B$982,'SALES BY SYSTEM'!$A47)</f>
        <v>0</v>
      </c>
      <c r="G47" s="201">
        <f>SUMIFS(DATA!$L:$L,DATA!$O:$O,'SALES BY SYSTEM'!$A47,DATA!$M:$M,'SALES BY SYSTEM'!$O$1)</f>
        <v>0</v>
      </c>
      <c r="H47" s="201">
        <f>SUMIFS('SALE BY STORE'!$N$3:$N$982,'SALE BY STORE'!$B$3:$B$982,'SALES BY SYSTEM'!$A47)</f>
        <v>0</v>
      </c>
      <c r="I47" s="201">
        <f>SUMIFS(DATA!$L:$L,DATA!$O:$O,'SALES BY SYSTEM'!$A47,DATA!$M:$M,'SALES BY SYSTEM'!$O$2)</f>
        <v>0</v>
      </c>
      <c r="J47" s="201">
        <f>SUMIFS('SALE BY STORE'!$T$3:$T$982,'SALE BY STORE'!$B$3:$B$982,'SALES BY SYSTEM'!$A47)</f>
        <v>0</v>
      </c>
      <c r="K47" s="201">
        <f>SUMIFS(DATA!$L:$L,DATA!$O:$O,'SALES BY SYSTEM'!$A47,DATA!$M:$M,'SALES BY SYSTEM'!$O$3)</f>
        <v>0</v>
      </c>
      <c r="L47" s="201">
        <f>SUMIFS('SALE BY STORE'!$Q$3:$Q$982,'SALE BY STORE'!$B$3:$B$982,'SALES BY SYSTEM'!$A47)</f>
        <v>0</v>
      </c>
      <c r="M47" s="201">
        <f>SUMIFS(DATA!$L:$L,DATA!$O:$O,'SALES BY SYSTEM'!$A47,DATA!$M:$M,'SALES BY SYSTEM'!$O$4)</f>
        <v>0</v>
      </c>
    </row>
    <row r="48" spans="1:13" ht="15.75" customHeight="1" x14ac:dyDescent="0.25">
      <c r="A48" s="120" t="s">
        <v>135</v>
      </c>
      <c r="B48" s="10"/>
      <c r="C48" s="192">
        <f>SUMIFS('SALE BY STORE'!$H$3:$H$982,'SALE BY STORE'!$B$3:$B$982,'SALES BY SYSTEM'!$A48)</f>
        <v>0</v>
      </c>
      <c r="D48" s="192">
        <f t="shared" si="6"/>
        <v>0</v>
      </c>
      <c r="E48" s="193" t="str">
        <f t="shared" si="4"/>
        <v/>
      </c>
      <c r="F48" s="201">
        <f>SUMIFS('SALE BY STORE'!$K$3:$K$982,'SALE BY STORE'!$B$3:$B$982,'SALES BY SYSTEM'!$A48)</f>
        <v>0</v>
      </c>
      <c r="G48" s="201">
        <f>SUMIFS(DATA!$L:$L,DATA!$O:$O,'SALES BY SYSTEM'!$A48,DATA!$M:$M,'SALES BY SYSTEM'!$O$1)</f>
        <v>0</v>
      </c>
      <c r="H48" s="201">
        <f>SUMIFS('SALE BY STORE'!$N$3:$N$982,'SALE BY STORE'!$B$3:$B$982,'SALES BY SYSTEM'!$A48)</f>
        <v>0</v>
      </c>
      <c r="I48" s="201">
        <f>SUMIFS(DATA!$L:$L,DATA!$O:$O,'SALES BY SYSTEM'!$A48,DATA!$M:$M,'SALES BY SYSTEM'!$O$2)</f>
        <v>0</v>
      </c>
      <c r="J48" s="201">
        <f>SUMIFS('SALE BY STORE'!$T$3:$T$982,'SALE BY STORE'!$B$3:$B$982,'SALES BY SYSTEM'!$A48)</f>
        <v>0</v>
      </c>
      <c r="K48" s="201">
        <f>SUMIFS(DATA!$L:$L,DATA!$O:$O,'SALES BY SYSTEM'!$A48,DATA!$M:$M,'SALES BY SYSTEM'!$O$3)</f>
        <v>0</v>
      </c>
      <c r="L48" s="201">
        <f>SUMIFS('SALE BY STORE'!$Q$3:$Q$982,'SALE BY STORE'!$B$3:$B$982,'SALES BY SYSTEM'!$A48)</f>
        <v>0</v>
      </c>
      <c r="M48" s="201">
        <f>SUMIFS(DATA!$L:$L,DATA!$O:$O,'SALES BY SYSTEM'!$A48,DATA!$M:$M,'SALES BY SYSTEM'!$O$4)</f>
        <v>0</v>
      </c>
    </row>
    <row r="49" spans="1:13" ht="15.75" customHeight="1" x14ac:dyDescent="0.25">
      <c r="A49" s="120" t="s">
        <v>659</v>
      </c>
      <c r="B49" s="10"/>
      <c r="C49" s="192">
        <f>SUMIFS('SALE BY STORE'!$H$3:$H$982,'SALE BY STORE'!$B$3:$B$982,'SALES BY SYSTEM'!$A49)</f>
        <v>0</v>
      </c>
      <c r="D49" s="192">
        <f t="shared" si="6"/>
        <v>0</v>
      </c>
      <c r="E49" s="193" t="str">
        <f t="shared" si="4"/>
        <v/>
      </c>
      <c r="F49" s="201">
        <f>SUMIFS('SALE BY STORE'!$K$3:$K$982,'SALE BY STORE'!$B$3:$B$982,'SALES BY SYSTEM'!$A49)</f>
        <v>0</v>
      </c>
      <c r="G49" s="201">
        <f>SUMIFS(DATA!$L:$L,DATA!$O:$O,'SALES BY SYSTEM'!$A49,DATA!$M:$M,'SALES BY SYSTEM'!$O$1)</f>
        <v>0</v>
      </c>
      <c r="H49" s="201">
        <f>SUMIFS('SALE BY STORE'!$N$3:$N$982,'SALE BY STORE'!$B$3:$B$982,'SALES BY SYSTEM'!$A49)</f>
        <v>0</v>
      </c>
      <c r="I49" s="201">
        <f>SUMIFS(DATA!$L:$L,DATA!$O:$O,'SALES BY SYSTEM'!$A49,DATA!$M:$M,'SALES BY SYSTEM'!$O$2)</f>
        <v>0</v>
      </c>
      <c r="J49" s="201">
        <f>SUMIFS('SALE BY STORE'!$T$3:$T$982,'SALE BY STORE'!$B$3:$B$982,'SALES BY SYSTEM'!$A49)</f>
        <v>0</v>
      </c>
      <c r="K49" s="201">
        <f>SUMIFS(DATA!$L:$L,DATA!$O:$O,'SALES BY SYSTEM'!$A49,DATA!$M:$M,'SALES BY SYSTEM'!$O$3)</f>
        <v>0</v>
      </c>
      <c r="L49" s="201">
        <f>SUMIFS('SALE BY STORE'!$Q$3:$Q$982,'SALE BY STORE'!$B$3:$B$982,'SALES BY SYSTEM'!$A49)</f>
        <v>0</v>
      </c>
      <c r="M49" s="201">
        <f>SUMIFS(DATA!$L:$L,DATA!$O:$O,'SALES BY SYSTEM'!$A49,DATA!$M:$M,'SALES BY SYSTEM'!$O$4)</f>
        <v>0</v>
      </c>
    </row>
    <row r="50" spans="1:13" ht="32.25" customHeight="1" x14ac:dyDescent="0.25">
      <c r="A50" s="288" t="s">
        <v>660</v>
      </c>
      <c r="B50" s="288"/>
      <c r="C50" s="289">
        <f>ROUND(SUM(C21,C16,C4),-8)</f>
        <v>5000000000</v>
      </c>
      <c r="D50" s="289">
        <f>ROUNDUP(SUM(D21,D4,D16),-4)</f>
        <v>0</v>
      </c>
      <c r="E50" s="290">
        <f t="shared" si="4"/>
        <v>0</v>
      </c>
      <c r="F50" s="289">
        <f t="shared" ref="F50:M50" si="7">ROUNDUP(SUM(F21,F4,F16),-5)</f>
        <v>351200000</v>
      </c>
      <c r="G50" s="289">
        <f t="shared" si="7"/>
        <v>0</v>
      </c>
      <c r="H50" s="289">
        <f t="shared" si="7"/>
        <v>974400000</v>
      </c>
      <c r="I50" s="289">
        <f t="shared" si="7"/>
        <v>0</v>
      </c>
      <c r="J50" s="289">
        <f t="shared" si="7"/>
        <v>200900000</v>
      </c>
      <c r="K50" s="289">
        <f t="shared" si="7"/>
        <v>0</v>
      </c>
      <c r="L50" s="289">
        <f t="shared" si="7"/>
        <v>3473600000</v>
      </c>
      <c r="M50" s="289">
        <f t="shared" si="7"/>
        <v>0</v>
      </c>
    </row>
  </sheetData>
  <autoFilter ref="A3:M50" xr:uid="{00000000-0009-0000-0000-000001000000}">
    <filterColumn colId="0">
      <filters>
        <filter val="ACE"/>
        <filter val="AN NAM"/>
        <filter val="BACH HOA BUU DIEN"/>
        <filter val="BHX"/>
        <filter val="BIG C"/>
        <filter val="COOP CHEERS"/>
        <filter val="COOP EXTRA"/>
        <filter val="COOP FOOD"/>
        <filter val="COOP MART"/>
        <filter val="EMART"/>
        <filter val="FAMILY"/>
        <filter val="FAMIMART"/>
        <filter val="FARMER"/>
        <filter val="FRUITS AND MORE"/>
        <filter val="GENSHAI"/>
        <filter val="GUARDIAN"/>
        <filter val="HOMEFRESH MART"/>
        <filter val="J MART"/>
        <filter val="JOLYMART"/>
        <filter val="K MART"/>
        <filter val="KING FOOD"/>
        <filter val="KING KONG MART"/>
        <filter val="LE NAM PHUONG"/>
        <filter val="LONG CHAU"/>
        <filter val="LOTTE"/>
        <filter val="MEGA"/>
        <filter val="MINISTOP G7"/>
        <filter val="NHAT HUONG"/>
        <filter val="PHAM HUY ANH"/>
        <filter val="SIEU THI AN PHU"/>
        <filter val="SIEU THI HANG NHAP KHAU"/>
        <filter val="TỔNG"/>
        <filter val="TRAN THI THAO NGUYEN"/>
        <filter val="VINMART"/>
      </filters>
    </filterColumn>
  </autoFilter>
  <mergeCells count="10">
    <mergeCell ref="A1:C1"/>
    <mergeCell ref="C2:C3"/>
    <mergeCell ref="F1:G2"/>
    <mergeCell ref="H1:I2"/>
    <mergeCell ref="L1:M2"/>
    <mergeCell ref="J1:K2"/>
    <mergeCell ref="A2:A3"/>
    <mergeCell ref="B2:B3"/>
    <mergeCell ref="D2:D3"/>
    <mergeCell ref="E2:E3"/>
  </mergeCells>
  <conditionalFormatting sqref="A4:A13 A15:A24 A26:A27 A29:A39 A42:A46">
    <cfRule type="duplicateValues" dxfId="1157" priority="1451"/>
  </conditionalFormatting>
  <conditionalFormatting sqref="A37">
    <cfRule type="duplicateValues" dxfId="1156" priority="5"/>
  </conditionalFormatting>
  <conditionalFormatting sqref="A48">
    <cfRule type="duplicateValues" dxfId="1155" priority="2"/>
  </conditionalFormatting>
  <conditionalFormatting sqref="A49">
    <cfRule type="duplicateValues" dxfId="1154" priority="1"/>
  </conditionalFormatting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 filterMode="1"/>
  <dimension ref="A1:J1195"/>
  <sheetViews>
    <sheetView showGridLines="0" workbookViewId="0">
      <pane ySplit="1" topLeftCell="A988" activePane="bottomLeft" state="frozen"/>
      <selection pane="bottomLeft" activeCell="A1195" sqref="A1195"/>
    </sheetView>
  </sheetViews>
  <sheetFormatPr defaultColWidth="8.7109375" defaultRowHeight="15" x14ac:dyDescent="0.25"/>
  <cols>
    <col min="1" max="1" width="31.42578125" customWidth="1"/>
    <col min="2" max="2" width="19.140625" customWidth="1"/>
    <col min="3" max="3" width="21.42578125" customWidth="1"/>
    <col min="4" max="4" width="10.140625" bestFit="1" customWidth="1"/>
    <col min="5" max="5" width="25.7109375" customWidth="1"/>
    <col min="6" max="6" width="27.140625" customWidth="1"/>
    <col min="7" max="7" width="16.85546875" customWidth="1"/>
    <col min="8" max="8" width="11.5703125" bestFit="1" customWidth="1"/>
    <col min="9" max="9" width="18.7109375" bestFit="1" customWidth="1"/>
    <col min="10" max="10" width="26.140625" bestFit="1" customWidth="1"/>
  </cols>
  <sheetData>
    <row r="1" spans="1:10" s="2" customFormat="1" ht="27.95" customHeight="1" x14ac:dyDescent="0.25">
      <c r="A1" s="1" t="s">
        <v>661</v>
      </c>
      <c r="B1" s="1" t="s">
        <v>662</v>
      </c>
      <c r="C1" s="1" t="s">
        <v>663</v>
      </c>
      <c r="D1" s="1" t="s">
        <v>664</v>
      </c>
      <c r="E1" s="1" t="s">
        <v>665</v>
      </c>
      <c r="F1" s="1" t="s">
        <v>666</v>
      </c>
      <c r="G1" s="1" t="s">
        <v>667</v>
      </c>
      <c r="H1" s="1" t="s">
        <v>668</v>
      </c>
      <c r="I1" s="1" t="s">
        <v>669</v>
      </c>
      <c r="J1" s="1" t="s">
        <v>670</v>
      </c>
    </row>
    <row r="2" spans="1:10" ht="15" customHeight="1" x14ac:dyDescent="0.25">
      <c r="A2" t="s">
        <v>671</v>
      </c>
      <c r="B2" t="s">
        <v>672</v>
      </c>
      <c r="C2" t="s">
        <v>673</v>
      </c>
      <c r="D2" t="s">
        <v>674</v>
      </c>
      <c r="E2" t="s">
        <v>675</v>
      </c>
      <c r="F2" t="s">
        <v>675</v>
      </c>
      <c r="G2" t="s">
        <v>676</v>
      </c>
    </row>
    <row r="3" spans="1:10" ht="15" customHeight="1" x14ac:dyDescent="0.25">
      <c r="A3" t="s">
        <v>677</v>
      </c>
      <c r="B3" t="s">
        <v>678</v>
      </c>
      <c r="C3" t="s">
        <v>679</v>
      </c>
      <c r="D3" t="s">
        <v>674</v>
      </c>
      <c r="E3" t="s">
        <v>675</v>
      </c>
      <c r="F3" t="s">
        <v>675</v>
      </c>
      <c r="G3" t="s">
        <v>676</v>
      </c>
      <c r="I3" t="s">
        <v>680</v>
      </c>
      <c r="J3" t="s">
        <v>681</v>
      </c>
    </row>
    <row r="4" spans="1:10" ht="15" customHeight="1" x14ac:dyDescent="0.25">
      <c r="A4" t="s">
        <v>682</v>
      </c>
      <c r="B4" t="s">
        <v>683</v>
      </c>
      <c r="C4" t="s">
        <v>684</v>
      </c>
      <c r="D4" t="s">
        <v>674</v>
      </c>
      <c r="E4" t="s">
        <v>675</v>
      </c>
      <c r="F4" t="s">
        <v>675</v>
      </c>
      <c r="G4" t="s">
        <v>676</v>
      </c>
      <c r="I4" t="s">
        <v>685</v>
      </c>
      <c r="J4" t="s">
        <v>686</v>
      </c>
    </row>
    <row r="5" spans="1:10" ht="15" customHeight="1" x14ac:dyDescent="0.25">
      <c r="A5" t="s">
        <v>687</v>
      </c>
      <c r="B5" t="s">
        <v>683</v>
      </c>
      <c r="C5" s="135" t="s">
        <v>688</v>
      </c>
      <c r="D5" t="s">
        <v>674</v>
      </c>
      <c r="E5" t="s">
        <v>675</v>
      </c>
      <c r="F5" t="s">
        <v>675</v>
      </c>
      <c r="G5" t="s">
        <v>676</v>
      </c>
      <c r="I5" t="s">
        <v>685</v>
      </c>
      <c r="J5" t="s">
        <v>686</v>
      </c>
    </row>
    <row r="6" spans="1:10" ht="15" customHeight="1" x14ac:dyDescent="0.25">
      <c r="A6" t="s">
        <v>689</v>
      </c>
      <c r="B6" t="s">
        <v>683</v>
      </c>
      <c r="C6" s="135" t="s">
        <v>690</v>
      </c>
      <c r="D6" t="s">
        <v>674</v>
      </c>
      <c r="E6" t="s">
        <v>675</v>
      </c>
      <c r="F6" t="s">
        <v>675</v>
      </c>
      <c r="G6" t="s">
        <v>676</v>
      </c>
      <c r="I6" t="s">
        <v>685</v>
      </c>
      <c r="J6" t="s">
        <v>686</v>
      </c>
    </row>
    <row r="7" spans="1:10" ht="15" customHeight="1" x14ac:dyDescent="0.25">
      <c r="A7" t="s">
        <v>691</v>
      </c>
      <c r="B7" t="s">
        <v>683</v>
      </c>
      <c r="C7" s="135" t="s">
        <v>692</v>
      </c>
      <c r="D7" t="s">
        <v>674</v>
      </c>
      <c r="E7" t="s">
        <v>675</v>
      </c>
      <c r="F7" t="s">
        <v>675</v>
      </c>
      <c r="G7" t="s">
        <v>676</v>
      </c>
      <c r="I7" t="s">
        <v>685</v>
      </c>
      <c r="J7" t="s">
        <v>686</v>
      </c>
    </row>
    <row r="8" spans="1:10" ht="15" customHeight="1" x14ac:dyDescent="0.25">
      <c r="A8" t="s">
        <v>693</v>
      </c>
      <c r="B8" t="s">
        <v>683</v>
      </c>
      <c r="C8" s="135" t="s">
        <v>694</v>
      </c>
      <c r="D8" t="s">
        <v>674</v>
      </c>
      <c r="E8" t="s">
        <v>675</v>
      </c>
      <c r="F8" t="s">
        <v>675</v>
      </c>
      <c r="G8" t="s">
        <v>676</v>
      </c>
      <c r="I8" t="s">
        <v>685</v>
      </c>
      <c r="J8" t="s">
        <v>686</v>
      </c>
    </row>
    <row r="9" spans="1:10" ht="15" customHeight="1" x14ac:dyDescent="0.25">
      <c r="A9" t="s">
        <v>695</v>
      </c>
      <c r="B9" t="s">
        <v>683</v>
      </c>
      <c r="C9" s="135" t="s">
        <v>696</v>
      </c>
      <c r="D9" t="s">
        <v>674</v>
      </c>
      <c r="E9" t="s">
        <v>675</v>
      </c>
      <c r="F9" t="s">
        <v>675</v>
      </c>
      <c r="G9" t="s">
        <v>676</v>
      </c>
      <c r="I9" t="s">
        <v>685</v>
      </c>
      <c r="J9" t="s">
        <v>686</v>
      </c>
    </row>
    <row r="10" spans="1:10" ht="15" customHeight="1" x14ac:dyDescent="0.25">
      <c r="A10" t="s">
        <v>697</v>
      </c>
      <c r="B10" t="s">
        <v>683</v>
      </c>
      <c r="C10" s="135" t="s">
        <v>698</v>
      </c>
      <c r="D10" t="s">
        <v>674</v>
      </c>
      <c r="E10" t="s">
        <v>675</v>
      </c>
      <c r="F10" t="s">
        <v>675</v>
      </c>
      <c r="G10" t="s">
        <v>676</v>
      </c>
      <c r="I10" t="s">
        <v>685</v>
      </c>
      <c r="J10" t="s">
        <v>686</v>
      </c>
    </row>
    <row r="11" spans="1:10" ht="15" hidden="1" customHeight="1" x14ac:dyDescent="0.25">
      <c r="A11" t="s">
        <v>619</v>
      </c>
      <c r="B11" t="s">
        <v>617</v>
      </c>
      <c r="C11" s="259" t="s">
        <v>618</v>
      </c>
      <c r="D11" t="s">
        <v>674</v>
      </c>
      <c r="E11" t="s">
        <v>637</v>
      </c>
      <c r="F11" t="s">
        <v>675</v>
      </c>
      <c r="G11" t="s">
        <v>676</v>
      </c>
    </row>
    <row r="12" spans="1:10" ht="15" hidden="1" customHeight="1" x14ac:dyDescent="0.25">
      <c r="A12" t="s">
        <v>627</v>
      </c>
      <c r="B12" t="s">
        <v>617</v>
      </c>
      <c r="C12" s="259" t="s">
        <v>626</v>
      </c>
      <c r="D12" t="s">
        <v>674</v>
      </c>
      <c r="E12" t="s">
        <v>637</v>
      </c>
      <c r="F12" t="s">
        <v>675</v>
      </c>
      <c r="G12" t="s">
        <v>676</v>
      </c>
    </row>
    <row r="13" spans="1:10" ht="15" hidden="1" customHeight="1" x14ac:dyDescent="0.25">
      <c r="A13" t="s">
        <v>699</v>
      </c>
      <c r="B13" t="s">
        <v>617</v>
      </c>
      <c r="C13" s="273" t="s">
        <v>700</v>
      </c>
      <c r="D13" t="s">
        <v>674</v>
      </c>
      <c r="E13" t="s">
        <v>637</v>
      </c>
      <c r="F13" t="s">
        <v>701</v>
      </c>
      <c r="G13" t="s">
        <v>676</v>
      </c>
    </row>
    <row r="14" spans="1:10" ht="15" hidden="1" customHeight="1" x14ac:dyDescent="0.25">
      <c r="A14" t="s">
        <v>625</v>
      </c>
      <c r="B14" t="s">
        <v>617</v>
      </c>
      <c r="C14" s="135" t="s">
        <v>702</v>
      </c>
      <c r="D14" t="s">
        <v>674</v>
      </c>
      <c r="E14" t="s">
        <v>637</v>
      </c>
      <c r="F14" t="s">
        <v>701</v>
      </c>
      <c r="G14" t="s">
        <v>676</v>
      </c>
      <c r="I14" t="s">
        <v>685</v>
      </c>
      <c r="J14" t="s">
        <v>686</v>
      </c>
    </row>
    <row r="15" spans="1:10" ht="15" hidden="1" customHeight="1" x14ac:dyDescent="0.25">
      <c r="A15" t="s">
        <v>703</v>
      </c>
      <c r="B15" t="s">
        <v>617</v>
      </c>
      <c r="C15" s="135" t="s">
        <v>704</v>
      </c>
      <c r="D15" t="s">
        <v>674</v>
      </c>
      <c r="E15" t="s">
        <v>637</v>
      </c>
      <c r="F15" t="s">
        <v>701</v>
      </c>
      <c r="G15" t="s">
        <v>676</v>
      </c>
      <c r="I15" t="s">
        <v>685</v>
      </c>
      <c r="J15" t="s">
        <v>686</v>
      </c>
    </row>
    <row r="16" spans="1:10" ht="15" hidden="1" customHeight="1" x14ac:dyDescent="0.25">
      <c r="A16" t="s">
        <v>621</v>
      </c>
      <c r="B16" s="9" t="s">
        <v>617</v>
      </c>
      <c r="C16" s="135" t="s">
        <v>705</v>
      </c>
      <c r="D16" t="s">
        <v>674</v>
      </c>
      <c r="E16" t="s">
        <v>637</v>
      </c>
      <c r="F16" t="s">
        <v>701</v>
      </c>
      <c r="G16" t="s">
        <v>676</v>
      </c>
    </row>
    <row r="17" spans="1:10" ht="15" hidden="1" customHeight="1" x14ac:dyDescent="0.25">
      <c r="A17" t="s">
        <v>706</v>
      </c>
      <c r="B17" t="s">
        <v>638</v>
      </c>
      <c r="C17" s="135" t="s">
        <v>707</v>
      </c>
      <c r="D17" t="s">
        <v>674</v>
      </c>
      <c r="E17" t="s">
        <v>637</v>
      </c>
      <c r="F17" t="s">
        <v>675</v>
      </c>
      <c r="G17" t="s">
        <v>676</v>
      </c>
      <c r="I17" t="s">
        <v>708</v>
      </c>
      <c r="J17" t="s">
        <v>709</v>
      </c>
    </row>
    <row r="18" spans="1:10" ht="15" hidden="1" customHeight="1" x14ac:dyDescent="0.25">
      <c r="A18" t="s">
        <v>710</v>
      </c>
      <c r="B18" t="s">
        <v>638</v>
      </c>
      <c r="C18" s="135" t="s">
        <v>711</v>
      </c>
      <c r="D18" t="s">
        <v>674</v>
      </c>
      <c r="E18" t="s">
        <v>637</v>
      </c>
      <c r="F18" t="s">
        <v>675</v>
      </c>
      <c r="G18" t="s">
        <v>676</v>
      </c>
      <c r="I18" t="s">
        <v>685</v>
      </c>
      <c r="J18" t="s">
        <v>686</v>
      </c>
    </row>
    <row r="19" spans="1:10" ht="15" hidden="1" customHeight="1" x14ac:dyDescent="0.25">
      <c r="A19" t="s">
        <v>712</v>
      </c>
      <c r="B19" t="s">
        <v>638</v>
      </c>
      <c r="C19" s="135" t="s">
        <v>713</v>
      </c>
      <c r="D19" t="s">
        <v>674</v>
      </c>
      <c r="E19" t="s">
        <v>637</v>
      </c>
      <c r="F19" t="s">
        <v>714</v>
      </c>
      <c r="G19" t="s">
        <v>676</v>
      </c>
      <c r="I19" t="s">
        <v>715</v>
      </c>
      <c r="J19" t="s">
        <v>716</v>
      </c>
    </row>
    <row r="20" spans="1:10" ht="15" hidden="1" customHeight="1" x14ac:dyDescent="0.25">
      <c r="A20" t="s">
        <v>717</v>
      </c>
      <c r="B20" t="s">
        <v>638</v>
      </c>
      <c r="C20" s="135" t="s">
        <v>718</v>
      </c>
      <c r="D20" t="s">
        <v>674</v>
      </c>
      <c r="E20" t="s">
        <v>637</v>
      </c>
      <c r="F20" t="s">
        <v>675</v>
      </c>
      <c r="G20" t="s">
        <v>676</v>
      </c>
      <c r="I20" t="s">
        <v>719</v>
      </c>
      <c r="J20" t="s">
        <v>716</v>
      </c>
    </row>
    <row r="21" spans="1:10" ht="15" hidden="1" customHeight="1" x14ac:dyDescent="0.25">
      <c r="A21" t="s">
        <v>720</v>
      </c>
      <c r="B21" t="s">
        <v>638</v>
      </c>
      <c r="C21" s="135" t="s">
        <v>721</v>
      </c>
      <c r="D21" t="s">
        <v>674</v>
      </c>
      <c r="E21" t="s">
        <v>637</v>
      </c>
      <c r="F21" t="s">
        <v>714</v>
      </c>
      <c r="G21" t="s">
        <v>676</v>
      </c>
      <c r="I21" t="s">
        <v>715</v>
      </c>
      <c r="J21" t="s">
        <v>716</v>
      </c>
    </row>
    <row r="22" spans="1:10" ht="15" hidden="1" customHeight="1" x14ac:dyDescent="0.25">
      <c r="A22" t="s">
        <v>722</v>
      </c>
      <c r="B22" t="s">
        <v>638</v>
      </c>
      <c r="C22" s="135" t="s">
        <v>723</v>
      </c>
      <c r="D22" t="s">
        <v>674</v>
      </c>
      <c r="E22" t="s">
        <v>637</v>
      </c>
      <c r="F22" t="s">
        <v>675</v>
      </c>
      <c r="G22" t="s">
        <v>676</v>
      </c>
      <c r="I22" t="s">
        <v>719</v>
      </c>
      <c r="J22" t="s">
        <v>716</v>
      </c>
    </row>
    <row r="23" spans="1:10" ht="15" hidden="1" customHeight="1" x14ac:dyDescent="0.25">
      <c r="A23" t="s">
        <v>724</v>
      </c>
      <c r="B23" t="s">
        <v>638</v>
      </c>
      <c r="C23" s="135" t="s">
        <v>725</v>
      </c>
      <c r="D23" t="s">
        <v>674</v>
      </c>
      <c r="E23" t="s">
        <v>637</v>
      </c>
      <c r="F23" t="s">
        <v>701</v>
      </c>
      <c r="G23" t="s">
        <v>676</v>
      </c>
      <c r="I23" t="s">
        <v>685</v>
      </c>
      <c r="J23" t="s">
        <v>686</v>
      </c>
    </row>
    <row r="24" spans="1:10" ht="15" hidden="1" customHeight="1" x14ac:dyDescent="0.25">
      <c r="A24" t="s">
        <v>726</v>
      </c>
      <c r="B24" t="s">
        <v>643</v>
      </c>
      <c r="C24" s="135" t="s">
        <v>727</v>
      </c>
      <c r="D24" t="s">
        <v>674</v>
      </c>
      <c r="E24" t="s">
        <v>637</v>
      </c>
      <c r="F24" t="s">
        <v>728</v>
      </c>
      <c r="G24" t="s">
        <v>676</v>
      </c>
      <c r="I24" t="s">
        <v>685</v>
      </c>
      <c r="J24" t="s">
        <v>686</v>
      </c>
    </row>
    <row r="25" spans="1:10" ht="15" hidden="1" customHeight="1" x14ac:dyDescent="0.25">
      <c r="A25" t="s">
        <v>729</v>
      </c>
      <c r="B25" t="s">
        <v>643</v>
      </c>
      <c r="C25" s="135" t="s">
        <v>730</v>
      </c>
      <c r="D25" t="s">
        <v>674</v>
      </c>
      <c r="E25" t="s">
        <v>637</v>
      </c>
      <c r="F25" t="s">
        <v>728</v>
      </c>
      <c r="G25" t="s">
        <v>676</v>
      </c>
      <c r="I25" t="s">
        <v>685</v>
      </c>
      <c r="J25" t="s">
        <v>686</v>
      </c>
    </row>
    <row r="26" spans="1:10" ht="15" hidden="1" customHeight="1" x14ac:dyDescent="0.25">
      <c r="A26" t="s">
        <v>731</v>
      </c>
      <c r="B26" t="s">
        <v>643</v>
      </c>
      <c r="C26" s="135" t="s">
        <v>732</v>
      </c>
      <c r="D26" t="s">
        <v>674</v>
      </c>
      <c r="E26" t="s">
        <v>637</v>
      </c>
      <c r="F26" t="s">
        <v>728</v>
      </c>
      <c r="G26" t="s">
        <v>676</v>
      </c>
      <c r="I26" t="s">
        <v>708</v>
      </c>
      <c r="J26" t="s">
        <v>709</v>
      </c>
    </row>
    <row r="27" spans="1:10" ht="15" hidden="1" customHeight="1" x14ac:dyDescent="0.25">
      <c r="A27" t="s">
        <v>733</v>
      </c>
      <c r="B27" t="s">
        <v>643</v>
      </c>
      <c r="C27" s="135" t="s">
        <v>734</v>
      </c>
      <c r="D27" t="s">
        <v>674</v>
      </c>
      <c r="E27" t="s">
        <v>637</v>
      </c>
      <c r="F27" t="s">
        <v>728</v>
      </c>
      <c r="G27" t="s">
        <v>676</v>
      </c>
      <c r="I27" t="s">
        <v>685</v>
      </c>
      <c r="J27" t="s">
        <v>686</v>
      </c>
    </row>
    <row r="28" spans="1:10" ht="15" hidden="1" customHeight="1" x14ac:dyDescent="0.25">
      <c r="A28" t="s">
        <v>735</v>
      </c>
      <c r="B28" t="s">
        <v>643</v>
      </c>
      <c r="C28" s="135" t="s">
        <v>736</v>
      </c>
      <c r="D28" t="s">
        <v>674</v>
      </c>
      <c r="E28" t="s">
        <v>637</v>
      </c>
      <c r="F28" t="s">
        <v>728</v>
      </c>
      <c r="G28" t="s">
        <v>676</v>
      </c>
      <c r="I28" t="s">
        <v>685</v>
      </c>
      <c r="J28" t="s">
        <v>686</v>
      </c>
    </row>
    <row r="29" spans="1:10" ht="15" hidden="1" customHeight="1" x14ac:dyDescent="0.25">
      <c r="A29" t="s">
        <v>737</v>
      </c>
      <c r="B29" t="s">
        <v>643</v>
      </c>
      <c r="C29" s="135" t="s">
        <v>738</v>
      </c>
      <c r="D29" t="s">
        <v>674</v>
      </c>
      <c r="E29" t="s">
        <v>637</v>
      </c>
      <c r="F29" t="s">
        <v>675</v>
      </c>
      <c r="G29" t="s">
        <v>676</v>
      </c>
      <c r="I29" t="s">
        <v>715</v>
      </c>
      <c r="J29" t="s">
        <v>716</v>
      </c>
    </row>
    <row r="30" spans="1:10" ht="15" hidden="1" customHeight="1" x14ac:dyDescent="0.25">
      <c r="A30" t="s">
        <v>739</v>
      </c>
      <c r="B30" t="s">
        <v>643</v>
      </c>
      <c r="C30" s="135" t="s">
        <v>740</v>
      </c>
      <c r="D30" t="s">
        <v>674</v>
      </c>
      <c r="E30" t="s">
        <v>637</v>
      </c>
      <c r="F30" t="s">
        <v>728</v>
      </c>
      <c r="G30" t="s">
        <v>676</v>
      </c>
      <c r="I30" t="s">
        <v>685</v>
      </c>
      <c r="J30" t="s">
        <v>686</v>
      </c>
    </row>
    <row r="31" spans="1:10" ht="15" hidden="1" customHeight="1" x14ac:dyDescent="0.25">
      <c r="A31" t="s">
        <v>741</v>
      </c>
      <c r="B31" t="s">
        <v>643</v>
      </c>
      <c r="C31" t="s">
        <v>742</v>
      </c>
      <c r="D31" t="s">
        <v>674</v>
      </c>
      <c r="E31" t="s">
        <v>637</v>
      </c>
      <c r="F31" t="s">
        <v>728</v>
      </c>
      <c r="G31" t="s">
        <v>676</v>
      </c>
      <c r="I31" t="s">
        <v>685</v>
      </c>
      <c r="J31" t="s">
        <v>686</v>
      </c>
    </row>
    <row r="32" spans="1:10" ht="15" hidden="1" customHeight="1" x14ac:dyDescent="0.25">
      <c r="A32" t="s">
        <v>743</v>
      </c>
      <c r="B32" t="s">
        <v>643</v>
      </c>
      <c r="C32" s="135" t="s">
        <v>744</v>
      </c>
      <c r="D32" t="s">
        <v>674</v>
      </c>
      <c r="E32" t="s">
        <v>637</v>
      </c>
      <c r="F32" t="s">
        <v>675</v>
      </c>
      <c r="G32" t="s">
        <v>676</v>
      </c>
      <c r="I32" t="s">
        <v>715</v>
      </c>
      <c r="J32" t="s">
        <v>716</v>
      </c>
    </row>
    <row r="33" spans="1:10" ht="15" hidden="1" customHeight="1" x14ac:dyDescent="0.25">
      <c r="A33" t="s">
        <v>745</v>
      </c>
      <c r="B33" t="s">
        <v>643</v>
      </c>
      <c r="C33" s="135" t="s">
        <v>746</v>
      </c>
      <c r="D33" t="s">
        <v>674</v>
      </c>
      <c r="E33" t="s">
        <v>637</v>
      </c>
      <c r="F33" t="s">
        <v>728</v>
      </c>
      <c r="G33" t="s">
        <v>676</v>
      </c>
      <c r="I33" t="s">
        <v>685</v>
      </c>
      <c r="J33" t="s">
        <v>686</v>
      </c>
    </row>
    <row r="34" spans="1:10" ht="15" hidden="1" customHeight="1" x14ac:dyDescent="0.25">
      <c r="A34" t="s">
        <v>747</v>
      </c>
      <c r="B34" t="s">
        <v>643</v>
      </c>
      <c r="C34" s="135" t="s">
        <v>748</v>
      </c>
      <c r="D34" t="s">
        <v>674</v>
      </c>
      <c r="E34" t="s">
        <v>637</v>
      </c>
      <c r="F34" t="s">
        <v>728</v>
      </c>
      <c r="G34" t="s">
        <v>676</v>
      </c>
      <c r="I34" t="s">
        <v>685</v>
      </c>
      <c r="J34" t="s">
        <v>686</v>
      </c>
    </row>
    <row r="35" spans="1:10" ht="15" hidden="1" customHeight="1" x14ac:dyDescent="0.25">
      <c r="A35" t="s">
        <v>749</v>
      </c>
      <c r="B35" t="s">
        <v>643</v>
      </c>
      <c r="C35" s="135" t="s">
        <v>750</v>
      </c>
      <c r="D35" t="s">
        <v>674</v>
      </c>
      <c r="E35" t="s">
        <v>637</v>
      </c>
      <c r="F35" t="s">
        <v>728</v>
      </c>
      <c r="G35" t="s">
        <v>676</v>
      </c>
      <c r="I35" t="s">
        <v>685</v>
      </c>
      <c r="J35" t="s">
        <v>686</v>
      </c>
    </row>
    <row r="36" spans="1:10" ht="15" hidden="1" customHeight="1" x14ac:dyDescent="0.25">
      <c r="A36" t="s">
        <v>751</v>
      </c>
      <c r="B36" t="s">
        <v>643</v>
      </c>
      <c r="C36" s="135" t="s">
        <v>752</v>
      </c>
      <c r="D36" t="s">
        <v>674</v>
      </c>
      <c r="E36" t="s">
        <v>637</v>
      </c>
      <c r="F36" t="s">
        <v>675</v>
      </c>
      <c r="G36" t="s">
        <v>676</v>
      </c>
      <c r="I36" t="s">
        <v>715</v>
      </c>
      <c r="J36" t="s">
        <v>716</v>
      </c>
    </row>
    <row r="37" spans="1:10" ht="15" hidden="1" customHeight="1" x14ac:dyDescent="0.25">
      <c r="A37" t="s">
        <v>753</v>
      </c>
      <c r="B37" t="s">
        <v>643</v>
      </c>
      <c r="C37" s="135" t="s">
        <v>754</v>
      </c>
      <c r="D37" t="s">
        <v>674</v>
      </c>
      <c r="E37" t="s">
        <v>637</v>
      </c>
      <c r="F37" t="s">
        <v>728</v>
      </c>
      <c r="G37" t="s">
        <v>676</v>
      </c>
      <c r="I37" t="s">
        <v>685</v>
      </c>
      <c r="J37" t="s">
        <v>686</v>
      </c>
    </row>
    <row r="38" spans="1:10" ht="15" hidden="1" customHeight="1" x14ac:dyDescent="0.25">
      <c r="A38" t="s">
        <v>755</v>
      </c>
      <c r="B38" t="s">
        <v>643</v>
      </c>
      <c r="C38" s="135" t="s">
        <v>756</v>
      </c>
      <c r="D38" t="s">
        <v>674</v>
      </c>
      <c r="E38" t="s">
        <v>637</v>
      </c>
      <c r="F38" t="s">
        <v>728</v>
      </c>
      <c r="G38" t="s">
        <v>676</v>
      </c>
      <c r="I38" t="s">
        <v>685</v>
      </c>
      <c r="J38" t="s">
        <v>686</v>
      </c>
    </row>
    <row r="39" spans="1:10" ht="15" hidden="1" customHeight="1" x14ac:dyDescent="0.25">
      <c r="A39" t="s">
        <v>757</v>
      </c>
      <c r="B39" t="s">
        <v>643</v>
      </c>
      <c r="C39" s="135" t="s">
        <v>758</v>
      </c>
      <c r="D39" t="s">
        <v>674</v>
      </c>
      <c r="E39" t="s">
        <v>637</v>
      </c>
      <c r="F39" t="s">
        <v>728</v>
      </c>
      <c r="G39" t="s">
        <v>676</v>
      </c>
      <c r="I39" t="s">
        <v>685</v>
      </c>
      <c r="J39" t="s">
        <v>686</v>
      </c>
    </row>
    <row r="40" spans="1:10" ht="15" hidden="1" customHeight="1" x14ac:dyDescent="0.25">
      <c r="A40" t="s">
        <v>759</v>
      </c>
      <c r="B40" t="s">
        <v>643</v>
      </c>
      <c r="C40" s="135" t="s">
        <v>760</v>
      </c>
      <c r="D40" t="s">
        <v>674</v>
      </c>
      <c r="E40" t="s">
        <v>637</v>
      </c>
      <c r="F40" t="s">
        <v>728</v>
      </c>
      <c r="G40" t="s">
        <v>676</v>
      </c>
      <c r="I40" t="s">
        <v>761</v>
      </c>
      <c r="J40" t="s">
        <v>762</v>
      </c>
    </row>
    <row r="41" spans="1:10" ht="15" hidden="1" customHeight="1" x14ac:dyDescent="0.25">
      <c r="A41" t="s">
        <v>763</v>
      </c>
      <c r="B41" t="s">
        <v>643</v>
      </c>
      <c r="C41" s="135" t="s">
        <v>764</v>
      </c>
      <c r="D41" t="s">
        <v>674</v>
      </c>
      <c r="E41" t="s">
        <v>637</v>
      </c>
      <c r="F41" t="s">
        <v>728</v>
      </c>
      <c r="G41" t="s">
        <v>676</v>
      </c>
      <c r="I41" t="s">
        <v>761</v>
      </c>
      <c r="J41" t="s">
        <v>762</v>
      </c>
    </row>
    <row r="42" spans="1:10" ht="15" hidden="1" customHeight="1" x14ac:dyDescent="0.25">
      <c r="A42" t="s">
        <v>765</v>
      </c>
      <c r="B42" t="s">
        <v>643</v>
      </c>
      <c r="C42" s="135" t="s">
        <v>766</v>
      </c>
      <c r="D42" t="s">
        <v>674</v>
      </c>
      <c r="E42" t="s">
        <v>637</v>
      </c>
      <c r="F42" t="s">
        <v>728</v>
      </c>
      <c r="G42" t="s">
        <v>676</v>
      </c>
      <c r="I42" t="s">
        <v>685</v>
      </c>
      <c r="J42" t="s">
        <v>686</v>
      </c>
    </row>
    <row r="43" spans="1:10" ht="15" hidden="1" customHeight="1" x14ac:dyDescent="0.25">
      <c r="A43" t="s">
        <v>767</v>
      </c>
      <c r="B43" t="s">
        <v>643</v>
      </c>
      <c r="C43" s="135" t="s">
        <v>768</v>
      </c>
      <c r="D43" t="s">
        <v>674</v>
      </c>
      <c r="E43" t="s">
        <v>637</v>
      </c>
      <c r="F43" t="s">
        <v>728</v>
      </c>
      <c r="G43" t="s">
        <v>676</v>
      </c>
      <c r="I43" t="s">
        <v>685</v>
      </c>
      <c r="J43" t="s">
        <v>686</v>
      </c>
    </row>
    <row r="44" spans="1:10" ht="15" hidden="1" customHeight="1" x14ac:dyDescent="0.25">
      <c r="A44" t="s">
        <v>769</v>
      </c>
      <c r="B44" t="s">
        <v>643</v>
      </c>
      <c r="C44" s="135" t="s">
        <v>770</v>
      </c>
      <c r="D44" t="s">
        <v>674</v>
      </c>
      <c r="E44" t="s">
        <v>637</v>
      </c>
      <c r="F44" t="s">
        <v>728</v>
      </c>
      <c r="G44" t="s">
        <v>676</v>
      </c>
      <c r="I44" t="s">
        <v>685</v>
      </c>
      <c r="J44" t="s">
        <v>686</v>
      </c>
    </row>
    <row r="45" spans="1:10" ht="15" hidden="1" customHeight="1" x14ac:dyDescent="0.25">
      <c r="A45" t="s">
        <v>771</v>
      </c>
      <c r="B45" t="s">
        <v>643</v>
      </c>
      <c r="C45" s="135" t="s">
        <v>772</v>
      </c>
      <c r="D45" t="s">
        <v>674</v>
      </c>
      <c r="E45" t="s">
        <v>637</v>
      </c>
      <c r="F45" t="s">
        <v>728</v>
      </c>
      <c r="G45" t="s">
        <v>676</v>
      </c>
      <c r="I45" t="s">
        <v>685</v>
      </c>
      <c r="J45" t="s">
        <v>686</v>
      </c>
    </row>
    <row r="46" spans="1:10" ht="15" hidden="1" customHeight="1" x14ac:dyDescent="0.25">
      <c r="A46" t="s">
        <v>773</v>
      </c>
      <c r="B46" t="s">
        <v>643</v>
      </c>
      <c r="C46" s="135" t="s">
        <v>774</v>
      </c>
      <c r="D46" t="s">
        <v>674</v>
      </c>
      <c r="E46" t="s">
        <v>637</v>
      </c>
      <c r="F46" t="s">
        <v>728</v>
      </c>
      <c r="G46" t="s">
        <v>676</v>
      </c>
      <c r="I46" t="s">
        <v>685</v>
      </c>
      <c r="J46" t="s">
        <v>686</v>
      </c>
    </row>
    <row r="47" spans="1:10" ht="15" hidden="1" customHeight="1" x14ac:dyDescent="0.25">
      <c r="A47" t="s">
        <v>775</v>
      </c>
      <c r="B47" t="s">
        <v>643</v>
      </c>
      <c r="C47" s="135" t="s">
        <v>776</v>
      </c>
      <c r="D47" t="s">
        <v>674</v>
      </c>
      <c r="E47" t="s">
        <v>637</v>
      </c>
      <c r="F47" t="s">
        <v>728</v>
      </c>
      <c r="G47" t="s">
        <v>676</v>
      </c>
      <c r="I47" t="s">
        <v>685</v>
      </c>
      <c r="J47" t="s">
        <v>686</v>
      </c>
    </row>
    <row r="48" spans="1:10" ht="15" hidden="1" customHeight="1" x14ac:dyDescent="0.25">
      <c r="A48" t="s">
        <v>777</v>
      </c>
      <c r="B48" t="s">
        <v>643</v>
      </c>
      <c r="C48" s="135" t="s">
        <v>778</v>
      </c>
      <c r="D48" t="s">
        <v>674</v>
      </c>
      <c r="E48" t="s">
        <v>637</v>
      </c>
      <c r="F48" t="s">
        <v>675</v>
      </c>
      <c r="G48" t="s">
        <v>676</v>
      </c>
    </row>
    <row r="49" spans="1:10" ht="15" hidden="1" customHeight="1" x14ac:dyDescent="0.25">
      <c r="A49" s="7" t="s">
        <v>779</v>
      </c>
      <c r="B49" s="7" t="s">
        <v>598</v>
      </c>
      <c r="C49" s="135" t="s">
        <v>780</v>
      </c>
      <c r="D49" t="s">
        <v>674</v>
      </c>
      <c r="E49" t="s">
        <v>645</v>
      </c>
      <c r="F49" t="s">
        <v>781</v>
      </c>
      <c r="G49" t="s">
        <v>676</v>
      </c>
    </row>
    <row r="50" spans="1:10" ht="15" hidden="1" customHeight="1" x14ac:dyDescent="0.25">
      <c r="A50" s="7" t="s">
        <v>782</v>
      </c>
      <c r="B50" s="7" t="s">
        <v>598</v>
      </c>
      <c r="C50" s="135" t="s">
        <v>783</v>
      </c>
      <c r="D50" t="s">
        <v>674</v>
      </c>
      <c r="E50" t="s">
        <v>645</v>
      </c>
      <c r="F50" t="s">
        <v>781</v>
      </c>
      <c r="G50" t="s">
        <v>676</v>
      </c>
      <c r="I50" t="s">
        <v>685</v>
      </c>
      <c r="J50" t="s">
        <v>686</v>
      </c>
    </row>
    <row r="51" spans="1:10" ht="15" hidden="1" customHeight="1" x14ac:dyDescent="0.25">
      <c r="A51" t="s">
        <v>600</v>
      </c>
      <c r="B51" t="s">
        <v>598</v>
      </c>
      <c r="C51" s="135" t="s">
        <v>599</v>
      </c>
      <c r="D51" t="s">
        <v>674</v>
      </c>
      <c r="E51" t="s">
        <v>645</v>
      </c>
      <c r="F51" t="s">
        <v>781</v>
      </c>
      <c r="G51" t="s">
        <v>676</v>
      </c>
      <c r="I51" t="s">
        <v>685</v>
      </c>
      <c r="J51" t="s">
        <v>686</v>
      </c>
    </row>
    <row r="52" spans="1:10" ht="15" hidden="1" customHeight="1" x14ac:dyDescent="0.25">
      <c r="A52" s="7" t="s">
        <v>608</v>
      </c>
      <c r="B52" s="7" t="s">
        <v>598</v>
      </c>
      <c r="C52" s="135" t="s">
        <v>607</v>
      </c>
      <c r="D52" t="s">
        <v>674</v>
      </c>
      <c r="E52" t="s">
        <v>645</v>
      </c>
      <c r="F52" t="s">
        <v>781</v>
      </c>
      <c r="G52" t="s">
        <v>676</v>
      </c>
      <c r="I52" t="s">
        <v>685</v>
      </c>
      <c r="J52" t="s">
        <v>686</v>
      </c>
    </row>
    <row r="53" spans="1:10" ht="15" hidden="1" customHeight="1" x14ac:dyDescent="0.25">
      <c r="A53" s="130" t="s">
        <v>784</v>
      </c>
      <c r="B53" s="7" t="s">
        <v>598</v>
      </c>
      <c r="C53" s="135" t="s">
        <v>785</v>
      </c>
      <c r="D53" t="s">
        <v>674</v>
      </c>
      <c r="E53" t="s">
        <v>645</v>
      </c>
      <c r="F53" t="s">
        <v>714</v>
      </c>
      <c r="G53" t="s">
        <v>676</v>
      </c>
    </row>
    <row r="54" spans="1:10" ht="15" hidden="1" customHeight="1" x14ac:dyDescent="0.25">
      <c r="A54" s="7" t="s">
        <v>786</v>
      </c>
      <c r="B54" s="7" t="s">
        <v>598</v>
      </c>
      <c r="C54" s="135" t="s">
        <v>787</v>
      </c>
      <c r="D54" t="s">
        <v>674</v>
      </c>
      <c r="E54" t="s">
        <v>645</v>
      </c>
      <c r="F54" t="s">
        <v>781</v>
      </c>
      <c r="G54" t="s">
        <v>676</v>
      </c>
      <c r="I54" t="s">
        <v>685</v>
      </c>
      <c r="J54" t="s">
        <v>686</v>
      </c>
    </row>
    <row r="55" spans="1:10" ht="15" hidden="1" customHeight="1" x14ac:dyDescent="0.25">
      <c r="A55" s="7" t="s">
        <v>612</v>
      </c>
      <c r="B55" s="7" t="s">
        <v>598</v>
      </c>
      <c r="C55" s="135" t="s">
        <v>611</v>
      </c>
      <c r="D55" t="s">
        <v>674</v>
      </c>
      <c r="E55" t="s">
        <v>645</v>
      </c>
      <c r="F55" t="s">
        <v>781</v>
      </c>
      <c r="G55" t="s">
        <v>676</v>
      </c>
      <c r="I55" t="s">
        <v>685</v>
      </c>
      <c r="J55" t="s">
        <v>686</v>
      </c>
    </row>
    <row r="56" spans="1:10" ht="15" hidden="1" customHeight="1" x14ac:dyDescent="0.25">
      <c r="A56" s="130" t="s">
        <v>606</v>
      </c>
      <c r="B56" s="13" t="s">
        <v>598</v>
      </c>
      <c r="C56" s="135" t="s">
        <v>605</v>
      </c>
      <c r="D56" t="s">
        <v>674</v>
      </c>
      <c r="E56" t="s">
        <v>645</v>
      </c>
      <c r="F56" t="s">
        <v>781</v>
      </c>
      <c r="G56" t="s">
        <v>676</v>
      </c>
    </row>
    <row r="57" spans="1:10" ht="15" hidden="1" customHeight="1" x14ac:dyDescent="0.25">
      <c r="A57" s="7" t="s">
        <v>597</v>
      </c>
      <c r="B57" s="7" t="s">
        <v>598</v>
      </c>
      <c r="C57" s="135" t="s">
        <v>596</v>
      </c>
      <c r="D57" t="s">
        <v>674</v>
      </c>
      <c r="E57" t="s">
        <v>645</v>
      </c>
      <c r="F57" t="s">
        <v>781</v>
      </c>
      <c r="G57" t="s">
        <v>676</v>
      </c>
    </row>
    <row r="58" spans="1:10" ht="15" hidden="1" customHeight="1" x14ac:dyDescent="0.25">
      <c r="A58" s="7" t="s">
        <v>604</v>
      </c>
      <c r="B58" s="7" t="s">
        <v>598</v>
      </c>
      <c r="C58" s="135" t="s">
        <v>603</v>
      </c>
      <c r="D58" t="s">
        <v>674</v>
      </c>
      <c r="E58" t="s">
        <v>645</v>
      </c>
      <c r="F58" t="s">
        <v>781</v>
      </c>
      <c r="G58" t="s">
        <v>676</v>
      </c>
      <c r="I58" t="s">
        <v>685</v>
      </c>
      <c r="J58" t="s">
        <v>686</v>
      </c>
    </row>
    <row r="59" spans="1:10" ht="15" hidden="1" customHeight="1" x14ac:dyDescent="0.25">
      <c r="A59" s="13" t="s">
        <v>614</v>
      </c>
      <c r="B59" s="13" t="s">
        <v>598</v>
      </c>
      <c r="C59" t="s">
        <v>613</v>
      </c>
      <c r="D59" t="s">
        <v>674</v>
      </c>
      <c r="E59" t="s">
        <v>645</v>
      </c>
      <c r="F59" t="s">
        <v>714</v>
      </c>
      <c r="G59" t="s">
        <v>676</v>
      </c>
    </row>
    <row r="60" spans="1:10" ht="15" hidden="1" customHeight="1" x14ac:dyDescent="0.25">
      <c r="A60" t="s">
        <v>610</v>
      </c>
      <c r="B60" t="s">
        <v>598</v>
      </c>
      <c r="C60" t="s">
        <v>609</v>
      </c>
      <c r="D60" t="s">
        <v>674</v>
      </c>
      <c r="E60" t="s">
        <v>645</v>
      </c>
      <c r="F60" t="s">
        <v>781</v>
      </c>
      <c r="G60" t="s">
        <v>676</v>
      </c>
    </row>
    <row r="61" spans="1:10" ht="15" hidden="1" customHeight="1" x14ac:dyDescent="0.25">
      <c r="A61" s="7" t="s">
        <v>602</v>
      </c>
      <c r="B61" s="7" t="s">
        <v>598</v>
      </c>
      <c r="C61" s="135" t="s">
        <v>601</v>
      </c>
      <c r="D61" t="s">
        <v>674</v>
      </c>
      <c r="E61" t="s">
        <v>645</v>
      </c>
      <c r="F61" t="s">
        <v>781</v>
      </c>
      <c r="G61" t="s">
        <v>676</v>
      </c>
      <c r="I61" t="s">
        <v>685</v>
      </c>
      <c r="J61" t="s">
        <v>686</v>
      </c>
    </row>
    <row r="62" spans="1:10" ht="15" hidden="1" customHeight="1" x14ac:dyDescent="0.25">
      <c r="A62" s="7" t="s">
        <v>788</v>
      </c>
      <c r="B62" s="7" t="s">
        <v>598</v>
      </c>
      <c r="C62" s="135" t="s">
        <v>789</v>
      </c>
      <c r="D62" t="s">
        <v>674</v>
      </c>
      <c r="E62" t="s">
        <v>645</v>
      </c>
      <c r="F62" t="s">
        <v>781</v>
      </c>
      <c r="G62" t="s">
        <v>676</v>
      </c>
    </row>
    <row r="63" spans="1:10" ht="15" hidden="1" customHeight="1" x14ac:dyDescent="0.25">
      <c r="A63" s="142" t="s">
        <v>790</v>
      </c>
      <c r="B63" s="13" t="s">
        <v>598</v>
      </c>
      <c r="C63" s="135" t="s">
        <v>791</v>
      </c>
      <c r="D63" t="s">
        <v>674</v>
      </c>
      <c r="E63" t="s">
        <v>645</v>
      </c>
      <c r="F63" t="s">
        <v>714</v>
      </c>
      <c r="G63" t="s">
        <v>676</v>
      </c>
    </row>
    <row r="64" spans="1:10" ht="15" hidden="1" customHeight="1" x14ac:dyDescent="0.25">
      <c r="A64" s="13" t="s">
        <v>792</v>
      </c>
      <c r="B64" s="13" t="s">
        <v>598</v>
      </c>
      <c r="C64" s="135" t="s">
        <v>793</v>
      </c>
      <c r="D64" t="s">
        <v>674</v>
      </c>
      <c r="E64" t="s">
        <v>645</v>
      </c>
      <c r="F64" t="s">
        <v>714</v>
      </c>
      <c r="G64" t="s">
        <v>676</v>
      </c>
    </row>
    <row r="65" spans="1:9" ht="15" hidden="1" customHeight="1" x14ac:dyDescent="0.25">
      <c r="A65" t="s">
        <v>794</v>
      </c>
      <c r="B65" t="s">
        <v>593</v>
      </c>
      <c r="C65" s="126" t="s">
        <v>795</v>
      </c>
      <c r="D65" t="s">
        <v>674</v>
      </c>
      <c r="E65" t="s">
        <v>645</v>
      </c>
      <c r="F65" t="s">
        <v>796</v>
      </c>
      <c r="G65" s="7" t="s">
        <v>676</v>
      </c>
    </row>
    <row r="66" spans="1:9" ht="15" hidden="1" customHeight="1" x14ac:dyDescent="0.25">
      <c r="A66" t="s">
        <v>797</v>
      </c>
      <c r="B66" t="s">
        <v>593</v>
      </c>
      <c r="C66" s="126" t="s">
        <v>798</v>
      </c>
      <c r="D66" t="s">
        <v>674</v>
      </c>
      <c r="E66" t="s">
        <v>645</v>
      </c>
      <c r="F66" t="s">
        <v>796</v>
      </c>
      <c r="G66" s="7" t="s">
        <v>676</v>
      </c>
    </row>
    <row r="67" spans="1:9" ht="15" hidden="1" customHeight="1" x14ac:dyDescent="0.25">
      <c r="A67" t="s">
        <v>799</v>
      </c>
      <c r="B67" t="s">
        <v>593</v>
      </c>
      <c r="C67" s="126" t="s">
        <v>800</v>
      </c>
      <c r="D67" t="s">
        <v>674</v>
      </c>
      <c r="E67" t="s">
        <v>645</v>
      </c>
      <c r="F67" t="s">
        <v>796</v>
      </c>
      <c r="G67" s="7" t="s">
        <v>676</v>
      </c>
    </row>
    <row r="68" spans="1:9" ht="15" hidden="1" customHeight="1" x14ac:dyDescent="0.25">
      <c r="A68" t="s">
        <v>583</v>
      </c>
      <c r="B68" s="9" t="s">
        <v>561</v>
      </c>
      <c r="C68" s="283" t="s">
        <v>582</v>
      </c>
      <c r="D68" t="s">
        <v>674</v>
      </c>
      <c r="E68" t="s">
        <v>637</v>
      </c>
      <c r="F68" t="s">
        <v>675</v>
      </c>
      <c r="G68" t="s">
        <v>676</v>
      </c>
    </row>
    <row r="69" spans="1:9" ht="15" hidden="1" customHeight="1" x14ac:dyDescent="0.25">
      <c r="A69" t="s">
        <v>588</v>
      </c>
      <c r="B69" s="9" t="s">
        <v>561</v>
      </c>
      <c r="C69" s="137" t="s">
        <v>587</v>
      </c>
      <c r="D69" t="s">
        <v>674</v>
      </c>
      <c r="E69" t="s">
        <v>637</v>
      </c>
      <c r="F69" t="s">
        <v>675</v>
      </c>
      <c r="G69" t="s">
        <v>676</v>
      </c>
    </row>
    <row r="70" spans="1:9" ht="15" hidden="1" customHeight="1" x14ac:dyDescent="0.25">
      <c r="A70" t="s">
        <v>585</v>
      </c>
      <c r="B70" s="130" t="s">
        <v>561</v>
      </c>
      <c r="C70" s="137" t="s">
        <v>584</v>
      </c>
      <c r="D70" t="s">
        <v>674</v>
      </c>
      <c r="E70" t="s">
        <v>637</v>
      </c>
      <c r="F70" t="s">
        <v>675</v>
      </c>
      <c r="G70" t="s">
        <v>676</v>
      </c>
    </row>
    <row r="71" spans="1:9" ht="15" hidden="1" customHeight="1" x14ac:dyDescent="0.25">
      <c r="A71" s="209" t="s">
        <v>801</v>
      </c>
      <c r="B71" t="s">
        <v>561</v>
      </c>
      <c r="C71" s="202" t="s">
        <v>802</v>
      </c>
      <c r="D71" t="s">
        <v>674</v>
      </c>
      <c r="E71" t="s">
        <v>637</v>
      </c>
      <c r="F71" t="s">
        <v>675</v>
      </c>
      <c r="G71" t="s">
        <v>676</v>
      </c>
    </row>
    <row r="72" spans="1:9" ht="15" hidden="1" customHeight="1" x14ac:dyDescent="0.25">
      <c r="A72" s="130" t="s">
        <v>569</v>
      </c>
      <c r="B72" t="s">
        <v>561</v>
      </c>
      <c r="C72" s="126" t="s">
        <v>568</v>
      </c>
      <c r="D72" t="s">
        <v>674</v>
      </c>
      <c r="E72" t="s">
        <v>637</v>
      </c>
      <c r="F72" t="s">
        <v>675</v>
      </c>
      <c r="G72" t="s">
        <v>676</v>
      </c>
    </row>
    <row r="73" spans="1:9" ht="15" hidden="1" customHeight="1" x14ac:dyDescent="0.25">
      <c r="A73" t="s">
        <v>803</v>
      </c>
      <c r="B73" s="9" t="s">
        <v>561</v>
      </c>
      <c r="C73" s="135" t="s">
        <v>804</v>
      </c>
      <c r="D73" t="s">
        <v>674</v>
      </c>
      <c r="E73" t="s">
        <v>637</v>
      </c>
      <c r="F73" t="s">
        <v>728</v>
      </c>
      <c r="G73" t="s">
        <v>676</v>
      </c>
      <c r="I73" t="s">
        <v>685</v>
      </c>
    </row>
    <row r="74" spans="1:9" ht="15" hidden="1" customHeight="1" x14ac:dyDescent="0.25">
      <c r="A74" t="s">
        <v>805</v>
      </c>
      <c r="B74" s="9" t="s">
        <v>561</v>
      </c>
      <c r="C74" s="135" t="s">
        <v>806</v>
      </c>
      <c r="D74" t="s">
        <v>674</v>
      </c>
      <c r="E74" t="s">
        <v>637</v>
      </c>
      <c r="F74" t="s">
        <v>675</v>
      </c>
      <c r="G74" t="s">
        <v>676</v>
      </c>
      <c r="I74" t="s">
        <v>807</v>
      </c>
    </row>
    <row r="75" spans="1:9" ht="15" hidden="1" customHeight="1" x14ac:dyDescent="0.25">
      <c r="A75" s="7" t="s">
        <v>808</v>
      </c>
      <c r="B75" s="7" t="s">
        <v>561</v>
      </c>
      <c r="C75" s="135" t="s">
        <v>809</v>
      </c>
      <c r="D75" t="s">
        <v>674</v>
      </c>
      <c r="E75" t="s">
        <v>637</v>
      </c>
      <c r="F75" t="s">
        <v>675</v>
      </c>
      <c r="G75" t="s">
        <v>676</v>
      </c>
      <c r="I75" t="s">
        <v>807</v>
      </c>
    </row>
    <row r="76" spans="1:9" ht="15" hidden="1" customHeight="1" x14ac:dyDescent="0.25">
      <c r="A76" t="s">
        <v>810</v>
      </c>
      <c r="B76" s="9" t="s">
        <v>561</v>
      </c>
      <c r="C76" s="135" t="s">
        <v>811</v>
      </c>
      <c r="D76" t="s">
        <v>674</v>
      </c>
      <c r="E76" t="s">
        <v>637</v>
      </c>
      <c r="F76" t="s">
        <v>675</v>
      </c>
      <c r="G76" t="s">
        <v>676</v>
      </c>
      <c r="I76" t="s">
        <v>807</v>
      </c>
    </row>
    <row r="77" spans="1:9" ht="15" hidden="1" customHeight="1" x14ac:dyDescent="0.25">
      <c r="A77" t="s">
        <v>567</v>
      </c>
      <c r="B77" s="9" t="s">
        <v>561</v>
      </c>
      <c r="C77" s="135" t="s">
        <v>812</v>
      </c>
      <c r="D77" t="s">
        <v>674</v>
      </c>
      <c r="E77" t="s">
        <v>637</v>
      </c>
      <c r="F77" t="s">
        <v>675</v>
      </c>
      <c r="G77" t="s">
        <v>676</v>
      </c>
      <c r="I77" t="s">
        <v>807</v>
      </c>
    </row>
    <row r="78" spans="1:9" ht="15" hidden="1" customHeight="1" x14ac:dyDescent="0.25">
      <c r="A78" t="s">
        <v>567</v>
      </c>
      <c r="B78" t="s">
        <v>561</v>
      </c>
      <c r="C78" s="135" t="s">
        <v>566</v>
      </c>
      <c r="D78" t="s">
        <v>674</v>
      </c>
      <c r="E78" t="s">
        <v>637</v>
      </c>
      <c r="F78" t="s">
        <v>675</v>
      </c>
      <c r="G78" t="s">
        <v>676</v>
      </c>
    </row>
    <row r="79" spans="1:9" ht="15" hidden="1" customHeight="1" x14ac:dyDescent="0.25">
      <c r="A79" t="s">
        <v>571</v>
      </c>
      <c r="B79" s="9" t="s">
        <v>561</v>
      </c>
      <c r="C79" s="135" t="s">
        <v>570</v>
      </c>
      <c r="D79" t="s">
        <v>674</v>
      </c>
      <c r="E79" t="s">
        <v>637</v>
      </c>
      <c r="F79" t="s">
        <v>675</v>
      </c>
      <c r="G79" t="s">
        <v>676</v>
      </c>
      <c r="I79" t="s">
        <v>807</v>
      </c>
    </row>
    <row r="80" spans="1:9" ht="15" hidden="1" customHeight="1" x14ac:dyDescent="0.25">
      <c r="A80" t="s">
        <v>565</v>
      </c>
      <c r="B80" s="9" t="s">
        <v>561</v>
      </c>
      <c r="C80" s="135" t="s">
        <v>564</v>
      </c>
      <c r="D80" t="s">
        <v>674</v>
      </c>
      <c r="E80" t="s">
        <v>637</v>
      </c>
      <c r="F80" t="s">
        <v>675</v>
      </c>
      <c r="G80" t="s">
        <v>676</v>
      </c>
      <c r="I80" t="s">
        <v>807</v>
      </c>
    </row>
    <row r="81" spans="1:10" ht="15" hidden="1" customHeight="1" x14ac:dyDescent="0.25">
      <c r="A81" t="s">
        <v>813</v>
      </c>
      <c r="B81" s="9" t="s">
        <v>561</v>
      </c>
      <c r="C81" s="135" t="s">
        <v>814</v>
      </c>
      <c r="D81" t="s">
        <v>674</v>
      </c>
      <c r="E81" t="s">
        <v>637</v>
      </c>
      <c r="F81" t="s">
        <v>675</v>
      </c>
      <c r="G81" t="s">
        <v>676</v>
      </c>
      <c r="I81" t="s">
        <v>685</v>
      </c>
    </row>
    <row r="82" spans="1:10" ht="15" hidden="1" customHeight="1" x14ac:dyDescent="0.25">
      <c r="A82" s="130" t="s">
        <v>815</v>
      </c>
      <c r="B82" s="130" t="s">
        <v>561</v>
      </c>
      <c r="C82" s="135" t="s">
        <v>816</v>
      </c>
      <c r="D82" t="s">
        <v>674</v>
      </c>
      <c r="E82" t="s">
        <v>637</v>
      </c>
      <c r="F82" t="s">
        <v>675</v>
      </c>
      <c r="G82" t="s">
        <v>676</v>
      </c>
    </row>
    <row r="83" spans="1:10" ht="15" hidden="1" customHeight="1" x14ac:dyDescent="0.25">
      <c r="A83" s="7" t="s">
        <v>817</v>
      </c>
      <c r="B83" s="7" t="s">
        <v>561</v>
      </c>
      <c r="C83" s="135" t="s">
        <v>818</v>
      </c>
      <c r="D83" t="s">
        <v>674</v>
      </c>
      <c r="E83" t="s">
        <v>637</v>
      </c>
      <c r="F83" t="s">
        <v>675</v>
      </c>
      <c r="G83" t="s">
        <v>676</v>
      </c>
      <c r="I83" t="s">
        <v>819</v>
      </c>
    </row>
    <row r="84" spans="1:10" ht="15" hidden="1" customHeight="1" x14ac:dyDescent="0.25">
      <c r="A84" t="s">
        <v>820</v>
      </c>
      <c r="B84" s="9" t="s">
        <v>561</v>
      </c>
      <c r="C84" s="135" t="s">
        <v>821</v>
      </c>
      <c r="D84" t="s">
        <v>674</v>
      </c>
      <c r="E84" t="s">
        <v>637</v>
      </c>
      <c r="F84" t="s">
        <v>675</v>
      </c>
      <c r="G84" t="s">
        <v>676</v>
      </c>
      <c r="I84" t="s">
        <v>822</v>
      </c>
    </row>
    <row r="85" spans="1:10" ht="15" hidden="1" customHeight="1" x14ac:dyDescent="0.25">
      <c r="A85" t="s">
        <v>823</v>
      </c>
      <c r="B85" s="9" t="s">
        <v>561</v>
      </c>
      <c r="C85" s="135" t="s">
        <v>824</v>
      </c>
      <c r="D85" t="s">
        <v>674</v>
      </c>
      <c r="E85" t="s">
        <v>637</v>
      </c>
      <c r="F85" t="s">
        <v>675</v>
      </c>
      <c r="G85" t="s">
        <v>676</v>
      </c>
      <c r="I85" t="s">
        <v>807</v>
      </c>
    </row>
    <row r="86" spans="1:10" ht="15" hidden="1" customHeight="1" x14ac:dyDescent="0.25">
      <c r="A86" s="7" t="s">
        <v>825</v>
      </c>
      <c r="B86" s="7" t="s">
        <v>561</v>
      </c>
      <c r="C86" s="135" t="s">
        <v>826</v>
      </c>
      <c r="D86" t="s">
        <v>674</v>
      </c>
      <c r="E86" t="s">
        <v>637</v>
      </c>
      <c r="F86" t="s">
        <v>675</v>
      </c>
      <c r="G86" t="s">
        <v>676</v>
      </c>
      <c r="I86" t="s">
        <v>819</v>
      </c>
      <c r="J86" t="s">
        <v>709</v>
      </c>
    </row>
    <row r="87" spans="1:10" ht="15" hidden="1" customHeight="1" x14ac:dyDescent="0.25">
      <c r="A87" t="s">
        <v>581</v>
      </c>
      <c r="B87" s="9" t="s">
        <v>561</v>
      </c>
      <c r="C87" s="135" t="s">
        <v>580</v>
      </c>
      <c r="D87" t="s">
        <v>674</v>
      </c>
      <c r="E87" t="s">
        <v>637</v>
      </c>
      <c r="F87" t="s">
        <v>675</v>
      </c>
      <c r="G87" t="s">
        <v>676</v>
      </c>
      <c r="I87" t="s">
        <v>827</v>
      </c>
      <c r="J87" t="s">
        <v>709</v>
      </c>
    </row>
    <row r="88" spans="1:10" ht="15" hidden="1" customHeight="1" x14ac:dyDescent="0.25">
      <c r="A88" t="s">
        <v>563</v>
      </c>
      <c r="B88" s="9" t="s">
        <v>561</v>
      </c>
      <c r="C88" s="135" t="s">
        <v>562</v>
      </c>
      <c r="D88" t="s">
        <v>674</v>
      </c>
      <c r="E88" t="s">
        <v>637</v>
      </c>
      <c r="F88" t="s">
        <v>675</v>
      </c>
      <c r="G88" t="s">
        <v>676</v>
      </c>
      <c r="I88" t="s">
        <v>685</v>
      </c>
      <c r="J88" t="s">
        <v>686</v>
      </c>
    </row>
    <row r="89" spans="1:10" ht="15" hidden="1" customHeight="1" x14ac:dyDescent="0.25">
      <c r="A89" t="s">
        <v>575</v>
      </c>
      <c r="B89" s="9" t="s">
        <v>561</v>
      </c>
      <c r="C89" s="135" t="s">
        <v>574</v>
      </c>
      <c r="D89" t="s">
        <v>674</v>
      </c>
      <c r="E89" t="s">
        <v>637</v>
      </c>
      <c r="F89" t="s">
        <v>675</v>
      </c>
      <c r="G89" t="s">
        <v>676</v>
      </c>
      <c r="I89" t="s">
        <v>685</v>
      </c>
      <c r="J89" t="s">
        <v>686</v>
      </c>
    </row>
    <row r="90" spans="1:10" ht="15" hidden="1" customHeight="1" x14ac:dyDescent="0.25">
      <c r="A90" t="s">
        <v>828</v>
      </c>
      <c r="B90" s="9" t="s">
        <v>561</v>
      </c>
      <c r="C90" s="135" t="s">
        <v>829</v>
      </c>
      <c r="D90" t="s">
        <v>674</v>
      </c>
      <c r="E90" t="s">
        <v>637</v>
      </c>
      <c r="F90" t="s">
        <v>675</v>
      </c>
      <c r="G90" t="s">
        <v>676</v>
      </c>
    </row>
    <row r="91" spans="1:10" ht="15" hidden="1" customHeight="1" x14ac:dyDescent="0.25">
      <c r="A91" s="135" t="s">
        <v>560</v>
      </c>
      <c r="B91" s="9" t="s">
        <v>561</v>
      </c>
      <c r="C91" s="135" t="s">
        <v>559</v>
      </c>
      <c r="D91" t="s">
        <v>674</v>
      </c>
      <c r="E91" t="s">
        <v>637</v>
      </c>
      <c r="F91" t="s">
        <v>675</v>
      </c>
      <c r="G91" t="s">
        <v>676</v>
      </c>
      <c r="I91" t="s">
        <v>685</v>
      </c>
      <c r="J91" t="s">
        <v>686</v>
      </c>
    </row>
    <row r="92" spans="1:10" ht="15" hidden="1" customHeight="1" x14ac:dyDescent="0.25">
      <c r="A92" s="135" t="s">
        <v>830</v>
      </c>
      <c r="B92" s="9" t="s">
        <v>561</v>
      </c>
      <c r="C92" s="135" t="s">
        <v>831</v>
      </c>
      <c r="D92" t="s">
        <v>674</v>
      </c>
      <c r="E92" t="s">
        <v>637</v>
      </c>
      <c r="F92" t="s">
        <v>675</v>
      </c>
      <c r="G92" t="s">
        <v>676</v>
      </c>
      <c r="I92" t="s">
        <v>822</v>
      </c>
    </row>
    <row r="93" spans="1:10" ht="15" hidden="1" customHeight="1" x14ac:dyDescent="0.25">
      <c r="A93" s="135" t="s">
        <v>832</v>
      </c>
      <c r="B93" s="9" t="s">
        <v>561</v>
      </c>
      <c r="C93" s="135" t="s">
        <v>833</v>
      </c>
      <c r="D93" t="s">
        <v>674</v>
      </c>
      <c r="E93" t="s">
        <v>637</v>
      </c>
      <c r="F93" t="s">
        <v>675</v>
      </c>
      <c r="G93" t="s">
        <v>676</v>
      </c>
      <c r="I93" t="s">
        <v>685</v>
      </c>
    </row>
    <row r="94" spans="1:10" ht="15" hidden="1" customHeight="1" x14ac:dyDescent="0.25">
      <c r="A94" s="135" t="s">
        <v>834</v>
      </c>
      <c r="B94" s="9" t="s">
        <v>561</v>
      </c>
      <c r="C94" s="135" t="s">
        <v>835</v>
      </c>
      <c r="D94" t="s">
        <v>674</v>
      </c>
      <c r="E94" t="s">
        <v>637</v>
      </c>
      <c r="F94" t="s">
        <v>675</v>
      </c>
      <c r="G94" t="s">
        <v>676</v>
      </c>
      <c r="I94" t="s">
        <v>807</v>
      </c>
    </row>
    <row r="95" spans="1:10" ht="15" hidden="1" customHeight="1" x14ac:dyDescent="0.25">
      <c r="A95" s="129" t="s">
        <v>836</v>
      </c>
      <c r="B95" s="13" t="s">
        <v>561</v>
      </c>
      <c r="C95" s="135" t="s">
        <v>837</v>
      </c>
      <c r="D95" t="s">
        <v>674</v>
      </c>
      <c r="E95" t="s">
        <v>637</v>
      </c>
      <c r="F95" t="s">
        <v>675</v>
      </c>
      <c r="G95" t="s">
        <v>676</v>
      </c>
    </row>
    <row r="96" spans="1:10" ht="15" hidden="1" customHeight="1" x14ac:dyDescent="0.25">
      <c r="A96" s="7" t="s">
        <v>838</v>
      </c>
      <c r="B96" s="7" t="s">
        <v>561</v>
      </c>
      <c r="C96" s="135" t="s">
        <v>839</v>
      </c>
      <c r="D96" t="s">
        <v>674</v>
      </c>
      <c r="E96" t="s">
        <v>637</v>
      </c>
      <c r="F96" t="s">
        <v>675</v>
      </c>
      <c r="G96" t="s">
        <v>676</v>
      </c>
      <c r="I96" t="s">
        <v>822</v>
      </c>
    </row>
    <row r="97" spans="1:10" ht="15" hidden="1" customHeight="1" x14ac:dyDescent="0.25">
      <c r="A97" t="s">
        <v>573</v>
      </c>
      <c r="B97" s="9" t="s">
        <v>561</v>
      </c>
      <c r="C97" s="135" t="s">
        <v>572</v>
      </c>
      <c r="D97" t="s">
        <v>674</v>
      </c>
      <c r="E97" t="s">
        <v>637</v>
      </c>
      <c r="F97" t="s">
        <v>675</v>
      </c>
      <c r="G97" t="s">
        <v>676</v>
      </c>
      <c r="I97" t="s">
        <v>822</v>
      </c>
    </row>
    <row r="98" spans="1:10" ht="15" hidden="1" customHeight="1" x14ac:dyDescent="0.25">
      <c r="A98" s="7" t="s">
        <v>840</v>
      </c>
      <c r="B98" s="7" t="s">
        <v>561</v>
      </c>
      <c r="C98" s="135" t="s">
        <v>841</v>
      </c>
      <c r="D98" t="s">
        <v>674</v>
      </c>
      <c r="E98" t="s">
        <v>637</v>
      </c>
      <c r="F98" t="s">
        <v>728</v>
      </c>
      <c r="G98" t="s">
        <v>676</v>
      </c>
      <c r="I98" t="s">
        <v>807</v>
      </c>
    </row>
    <row r="99" spans="1:10" ht="15" hidden="1" customHeight="1" x14ac:dyDescent="0.25">
      <c r="A99" t="s">
        <v>842</v>
      </c>
      <c r="B99" s="9" t="s">
        <v>561</v>
      </c>
      <c r="C99" s="135" t="s">
        <v>843</v>
      </c>
      <c r="D99" t="s">
        <v>674</v>
      </c>
      <c r="E99" t="s">
        <v>637</v>
      </c>
      <c r="F99" t="s">
        <v>675</v>
      </c>
      <c r="G99" t="s">
        <v>676</v>
      </c>
      <c r="I99" t="s">
        <v>822</v>
      </c>
    </row>
    <row r="100" spans="1:10" ht="15" hidden="1" customHeight="1" x14ac:dyDescent="0.25">
      <c r="A100" s="7" t="s">
        <v>844</v>
      </c>
      <c r="B100" s="7" t="s">
        <v>561</v>
      </c>
      <c r="C100" s="135" t="s">
        <v>845</v>
      </c>
      <c r="D100" t="s">
        <v>674</v>
      </c>
      <c r="E100" t="s">
        <v>637</v>
      </c>
      <c r="F100" t="s">
        <v>675</v>
      </c>
      <c r="G100" t="s">
        <v>676</v>
      </c>
      <c r="I100" t="s">
        <v>822</v>
      </c>
    </row>
    <row r="101" spans="1:10" ht="15" hidden="1" customHeight="1" x14ac:dyDescent="0.25">
      <c r="A101" t="s">
        <v>480</v>
      </c>
      <c r="B101" t="s">
        <v>432</v>
      </c>
      <c r="C101" s="129" t="s">
        <v>479</v>
      </c>
      <c r="D101" t="s">
        <v>674</v>
      </c>
      <c r="E101" t="s">
        <v>637</v>
      </c>
      <c r="F101" t="s">
        <v>675</v>
      </c>
      <c r="G101" t="s">
        <v>676</v>
      </c>
    </row>
    <row r="102" spans="1:10" ht="15" hidden="1" customHeight="1" x14ac:dyDescent="0.25">
      <c r="A102" t="s">
        <v>498</v>
      </c>
      <c r="B102" t="s">
        <v>432</v>
      </c>
      <c r="C102" s="129" t="s">
        <v>497</v>
      </c>
      <c r="D102" t="s">
        <v>674</v>
      </c>
      <c r="E102" t="s">
        <v>637</v>
      </c>
      <c r="F102" t="s">
        <v>675</v>
      </c>
      <c r="G102" t="s">
        <v>676</v>
      </c>
    </row>
    <row r="103" spans="1:10" ht="15" hidden="1" customHeight="1" x14ac:dyDescent="0.25">
      <c r="A103" t="s">
        <v>450</v>
      </c>
      <c r="B103" t="s">
        <v>432</v>
      </c>
      <c r="C103" s="129" t="s">
        <v>449</v>
      </c>
      <c r="D103" t="s">
        <v>674</v>
      </c>
      <c r="E103" t="s">
        <v>637</v>
      </c>
      <c r="F103" t="s">
        <v>675</v>
      </c>
      <c r="G103" t="s">
        <v>676</v>
      </c>
    </row>
    <row r="104" spans="1:10" ht="15" hidden="1" customHeight="1" x14ac:dyDescent="0.25">
      <c r="A104" t="s">
        <v>846</v>
      </c>
      <c r="B104" t="s">
        <v>432</v>
      </c>
      <c r="C104" s="129" t="s">
        <v>847</v>
      </c>
      <c r="D104" t="s">
        <v>674</v>
      </c>
      <c r="E104" t="s">
        <v>637</v>
      </c>
      <c r="F104" t="s">
        <v>675</v>
      </c>
      <c r="G104" t="s">
        <v>676</v>
      </c>
    </row>
    <row r="105" spans="1:10" ht="15" hidden="1" customHeight="1" x14ac:dyDescent="0.25">
      <c r="A105" t="s">
        <v>496</v>
      </c>
      <c r="B105" t="s">
        <v>432</v>
      </c>
      <c r="C105" s="213" t="s">
        <v>495</v>
      </c>
      <c r="D105" t="s">
        <v>674</v>
      </c>
      <c r="E105" t="s">
        <v>637</v>
      </c>
      <c r="F105" t="s">
        <v>675</v>
      </c>
      <c r="G105" t="s">
        <v>676</v>
      </c>
    </row>
    <row r="106" spans="1:10" ht="15" hidden="1" customHeight="1" x14ac:dyDescent="0.25">
      <c r="A106" t="s">
        <v>452</v>
      </c>
      <c r="B106" t="s">
        <v>432</v>
      </c>
      <c r="C106" s="129" t="s">
        <v>451</v>
      </c>
      <c r="D106" t="s">
        <v>674</v>
      </c>
      <c r="E106" t="s">
        <v>637</v>
      </c>
      <c r="F106" t="s">
        <v>675</v>
      </c>
      <c r="G106" t="s">
        <v>676</v>
      </c>
    </row>
    <row r="107" spans="1:10" ht="15" hidden="1" customHeight="1" x14ac:dyDescent="0.25">
      <c r="A107" s="209" t="s">
        <v>482</v>
      </c>
      <c r="B107" t="s">
        <v>432</v>
      </c>
      <c r="C107" s="202" t="s">
        <v>481</v>
      </c>
      <c r="D107" t="s">
        <v>674</v>
      </c>
      <c r="E107" t="s">
        <v>637</v>
      </c>
      <c r="F107" t="s">
        <v>675</v>
      </c>
      <c r="G107" t="s">
        <v>676</v>
      </c>
    </row>
    <row r="108" spans="1:10" ht="15" hidden="1" customHeight="1" x14ac:dyDescent="0.25">
      <c r="A108" s="130" t="s">
        <v>532</v>
      </c>
      <c r="B108" t="s">
        <v>432</v>
      </c>
      <c r="C108" s="126" t="s">
        <v>531</v>
      </c>
      <c r="D108" t="s">
        <v>674</v>
      </c>
      <c r="E108" t="s">
        <v>637</v>
      </c>
      <c r="F108" t="s">
        <v>675</v>
      </c>
      <c r="G108" t="s">
        <v>676</v>
      </c>
    </row>
    <row r="109" spans="1:10" ht="15" hidden="1" customHeight="1" x14ac:dyDescent="0.25">
      <c r="A109" s="130" t="s">
        <v>504</v>
      </c>
      <c r="B109" t="s">
        <v>432</v>
      </c>
      <c r="C109" s="126" t="s">
        <v>503</v>
      </c>
      <c r="D109" t="s">
        <v>674</v>
      </c>
      <c r="E109" t="s">
        <v>637</v>
      </c>
      <c r="F109" t="s">
        <v>675</v>
      </c>
      <c r="G109" t="s">
        <v>676</v>
      </c>
    </row>
    <row r="110" spans="1:10" ht="15" hidden="1" customHeight="1" x14ac:dyDescent="0.25">
      <c r="A110" t="s">
        <v>552</v>
      </c>
      <c r="B110" s="9" t="s">
        <v>432</v>
      </c>
      <c r="C110" s="135" t="s">
        <v>551</v>
      </c>
      <c r="D110" t="s">
        <v>674</v>
      </c>
      <c r="E110" t="s">
        <v>637</v>
      </c>
      <c r="F110" t="s">
        <v>675</v>
      </c>
      <c r="G110" t="s">
        <v>676</v>
      </c>
    </row>
    <row r="111" spans="1:10" ht="15" hidden="1" customHeight="1" x14ac:dyDescent="0.25">
      <c r="A111" s="130" t="s">
        <v>476</v>
      </c>
      <c r="B111" s="9" t="s">
        <v>432</v>
      </c>
      <c r="C111" s="135" t="s">
        <v>475</v>
      </c>
      <c r="D111" t="s">
        <v>674</v>
      </c>
      <c r="E111" t="s">
        <v>637</v>
      </c>
      <c r="F111" t="s">
        <v>675</v>
      </c>
      <c r="G111" t="s">
        <v>676</v>
      </c>
    </row>
    <row r="112" spans="1:10" ht="15" hidden="1" customHeight="1" x14ac:dyDescent="0.25">
      <c r="A112" t="s">
        <v>488</v>
      </c>
      <c r="B112" s="9" t="s">
        <v>432</v>
      </c>
      <c r="C112" s="135" t="s">
        <v>487</v>
      </c>
      <c r="D112" t="s">
        <v>674</v>
      </c>
      <c r="E112" t="s">
        <v>637</v>
      </c>
      <c r="F112" t="s">
        <v>848</v>
      </c>
      <c r="G112" t="s">
        <v>676</v>
      </c>
      <c r="I112" t="s">
        <v>685</v>
      </c>
      <c r="J112" t="s">
        <v>686</v>
      </c>
    </row>
    <row r="113" spans="1:10" ht="15" hidden="1" customHeight="1" x14ac:dyDescent="0.25">
      <c r="A113" t="s">
        <v>526</v>
      </c>
      <c r="B113" s="9" t="s">
        <v>432</v>
      </c>
      <c r="C113" s="135" t="s">
        <v>525</v>
      </c>
      <c r="D113" t="s">
        <v>674</v>
      </c>
      <c r="E113" t="s">
        <v>637</v>
      </c>
      <c r="F113" t="s">
        <v>848</v>
      </c>
      <c r="G113" t="s">
        <v>676</v>
      </c>
      <c r="I113" t="s">
        <v>685</v>
      </c>
      <c r="J113" t="s">
        <v>686</v>
      </c>
    </row>
    <row r="114" spans="1:10" ht="15" hidden="1" customHeight="1" x14ac:dyDescent="0.25">
      <c r="A114" t="s">
        <v>444</v>
      </c>
      <c r="B114" s="9" t="s">
        <v>432</v>
      </c>
      <c r="C114" s="135" t="s">
        <v>443</v>
      </c>
      <c r="D114" t="s">
        <v>674</v>
      </c>
      <c r="E114" t="s">
        <v>637</v>
      </c>
      <c r="F114" t="s">
        <v>848</v>
      </c>
      <c r="G114" t="s">
        <v>676</v>
      </c>
      <c r="I114" t="s">
        <v>685</v>
      </c>
      <c r="J114" t="s">
        <v>686</v>
      </c>
    </row>
    <row r="115" spans="1:10" ht="15" hidden="1" customHeight="1" x14ac:dyDescent="0.25">
      <c r="A115" s="7" t="s">
        <v>538</v>
      </c>
      <c r="B115" s="9" t="s">
        <v>432</v>
      </c>
      <c r="C115" s="135" t="s">
        <v>537</v>
      </c>
      <c r="D115" t="s">
        <v>674</v>
      </c>
      <c r="E115" t="s">
        <v>637</v>
      </c>
      <c r="F115" t="s">
        <v>675</v>
      </c>
      <c r="G115" t="s">
        <v>676</v>
      </c>
      <c r="I115" t="s">
        <v>849</v>
      </c>
      <c r="J115" t="s">
        <v>850</v>
      </c>
    </row>
    <row r="116" spans="1:10" ht="15" hidden="1" customHeight="1" x14ac:dyDescent="0.25">
      <c r="A116" s="7" t="s">
        <v>522</v>
      </c>
      <c r="B116" s="9" t="s">
        <v>432</v>
      </c>
      <c r="C116" s="135" t="s">
        <v>521</v>
      </c>
      <c r="D116" t="s">
        <v>674</v>
      </c>
      <c r="E116" t="s">
        <v>637</v>
      </c>
      <c r="F116" t="s">
        <v>675</v>
      </c>
      <c r="G116" t="s">
        <v>676</v>
      </c>
      <c r="I116" t="s">
        <v>851</v>
      </c>
      <c r="J116" t="s">
        <v>681</v>
      </c>
    </row>
    <row r="117" spans="1:10" ht="15" hidden="1" customHeight="1" x14ac:dyDescent="0.25">
      <c r="A117" t="s">
        <v>492</v>
      </c>
      <c r="B117" s="9" t="s">
        <v>432</v>
      </c>
      <c r="C117" s="135" t="s">
        <v>491</v>
      </c>
      <c r="D117" t="s">
        <v>674</v>
      </c>
      <c r="E117" t="s">
        <v>637</v>
      </c>
      <c r="F117" t="s">
        <v>675</v>
      </c>
      <c r="G117" t="s">
        <v>676</v>
      </c>
      <c r="I117" t="s">
        <v>708</v>
      </c>
      <c r="J117" t="s">
        <v>709</v>
      </c>
    </row>
    <row r="118" spans="1:10" ht="15" hidden="1" customHeight="1" x14ac:dyDescent="0.25">
      <c r="A118" t="s">
        <v>466</v>
      </c>
      <c r="B118" s="9" t="s">
        <v>432</v>
      </c>
      <c r="C118" s="135" t="s">
        <v>465</v>
      </c>
      <c r="D118" t="s">
        <v>674</v>
      </c>
      <c r="E118" t="s">
        <v>637</v>
      </c>
      <c r="F118" t="s">
        <v>852</v>
      </c>
      <c r="G118" t="s">
        <v>676</v>
      </c>
      <c r="I118" t="s">
        <v>853</v>
      </c>
      <c r="J118" t="s">
        <v>807</v>
      </c>
    </row>
    <row r="119" spans="1:10" ht="15" hidden="1" customHeight="1" x14ac:dyDescent="0.25">
      <c r="A119" t="s">
        <v>464</v>
      </c>
      <c r="B119" s="9" t="s">
        <v>432</v>
      </c>
      <c r="C119" s="135" t="s">
        <v>463</v>
      </c>
      <c r="D119" t="s">
        <v>674</v>
      </c>
      <c r="E119" t="s">
        <v>637</v>
      </c>
      <c r="F119" t="s">
        <v>675</v>
      </c>
      <c r="G119" t="s">
        <v>676</v>
      </c>
      <c r="I119" t="s">
        <v>854</v>
      </c>
      <c r="J119" t="s">
        <v>855</v>
      </c>
    </row>
    <row r="120" spans="1:10" ht="15" hidden="1" customHeight="1" x14ac:dyDescent="0.25">
      <c r="A120" t="s">
        <v>518</v>
      </c>
      <c r="B120" s="9" t="s">
        <v>432</v>
      </c>
      <c r="C120" s="135" t="s">
        <v>517</v>
      </c>
      <c r="D120" t="s">
        <v>674</v>
      </c>
      <c r="E120" t="s">
        <v>637</v>
      </c>
      <c r="F120" t="s">
        <v>856</v>
      </c>
      <c r="G120" t="s">
        <v>676</v>
      </c>
      <c r="I120" t="s">
        <v>857</v>
      </c>
      <c r="J120" t="s">
        <v>858</v>
      </c>
    </row>
    <row r="121" spans="1:10" ht="15" hidden="1" customHeight="1" x14ac:dyDescent="0.25">
      <c r="A121" t="s">
        <v>438</v>
      </c>
      <c r="B121" s="9" t="s">
        <v>432</v>
      </c>
      <c r="C121" s="135" t="s">
        <v>437</v>
      </c>
      <c r="D121" t="s">
        <v>674</v>
      </c>
      <c r="E121" t="s">
        <v>637</v>
      </c>
      <c r="F121" t="s">
        <v>675</v>
      </c>
      <c r="G121" t="s">
        <v>859</v>
      </c>
      <c r="I121" t="s">
        <v>708</v>
      </c>
      <c r="J121" t="s">
        <v>709</v>
      </c>
    </row>
    <row r="122" spans="1:10" ht="15" hidden="1" customHeight="1" x14ac:dyDescent="0.25">
      <c r="A122" t="s">
        <v>446</v>
      </c>
      <c r="B122" s="9" t="s">
        <v>432</v>
      </c>
      <c r="C122" s="135" t="s">
        <v>445</v>
      </c>
      <c r="D122" t="s">
        <v>674</v>
      </c>
      <c r="E122" t="s">
        <v>637</v>
      </c>
      <c r="F122" t="s">
        <v>860</v>
      </c>
      <c r="G122" t="s">
        <v>859</v>
      </c>
      <c r="I122" t="s">
        <v>827</v>
      </c>
      <c r="J122" t="s">
        <v>709</v>
      </c>
    </row>
    <row r="123" spans="1:10" ht="15" hidden="1" customHeight="1" x14ac:dyDescent="0.25">
      <c r="A123" s="7" t="s">
        <v>544</v>
      </c>
      <c r="B123" s="9" t="s">
        <v>432</v>
      </c>
      <c r="C123" s="135" t="s">
        <v>543</v>
      </c>
      <c r="D123" t="s">
        <v>674</v>
      </c>
      <c r="E123" t="s">
        <v>637</v>
      </c>
      <c r="F123" t="s">
        <v>714</v>
      </c>
      <c r="G123" t="s">
        <v>676</v>
      </c>
      <c r="I123" t="s">
        <v>715</v>
      </c>
      <c r="J123" t="s">
        <v>716</v>
      </c>
    </row>
    <row r="124" spans="1:10" ht="15" hidden="1" customHeight="1" x14ac:dyDescent="0.25">
      <c r="A124" s="7" t="s">
        <v>456</v>
      </c>
      <c r="B124" s="9" t="s">
        <v>432</v>
      </c>
      <c r="C124" s="135" t="s">
        <v>455</v>
      </c>
      <c r="D124" t="s">
        <v>674</v>
      </c>
      <c r="E124" t="s">
        <v>637</v>
      </c>
      <c r="F124" t="s">
        <v>675</v>
      </c>
      <c r="G124" t="s">
        <v>676</v>
      </c>
    </row>
    <row r="125" spans="1:10" ht="15" hidden="1" customHeight="1" x14ac:dyDescent="0.25">
      <c r="A125" t="s">
        <v>486</v>
      </c>
      <c r="B125" s="9" t="s">
        <v>432</v>
      </c>
      <c r="C125" s="135" t="s">
        <v>485</v>
      </c>
      <c r="D125" t="s">
        <v>674</v>
      </c>
      <c r="E125" t="s">
        <v>637</v>
      </c>
      <c r="F125" t="s">
        <v>675</v>
      </c>
      <c r="G125" t="s">
        <v>676</v>
      </c>
      <c r="I125" t="s">
        <v>861</v>
      </c>
      <c r="J125" t="s">
        <v>858</v>
      </c>
    </row>
    <row r="126" spans="1:10" ht="15" hidden="1" customHeight="1" x14ac:dyDescent="0.25">
      <c r="A126" t="s">
        <v>502</v>
      </c>
      <c r="B126" t="s">
        <v>432</v>
      </c>
      <c r="C126" s="135" t="s">
        <v>501</v>
      </c>
      <c r="D126" t="s">
        <v>674</v>
      </c>
      <c r="E126" t="s">
        <v>637</v>
      </c>
      <c r="F126" t="s">
        <v>675</v>
      </c>
      <c r="G126" t="s">
        <v>676</v>
      </c>
    </row>
    <row r="127" spans="1:10" ht="15" hidden="1" customHeight="1" x14ac:dyDescent="0.25">
      <c r="A127" s="130" t="s">
        <v>528</v>
      </c>
      <c r="B127" s="130" t="s">
        <v>432</v>
      </c>
      <c r="C127" s="135" t="s">
        <v>527</v>
      </c>
      <c r="D127" t="s">
        <v>674</v>
      </c>
      <c r="E127" t="s">
        <v>637</v>
      </c>
      <c r="F127" t="s">
        <v>675</v>
      </c>
      <c r="G127" t="s">
        <v>676</v>
      </c>
    </row>
    <row r="128" spans="1:10" ht="15" hidden="1" customHeight="1" x14ac:dyDescent="0.25">
      <c r="A128" s="7" t="s">
        <v>472</v>
      </c>
      <c r="B128" s="9" t="s">
        <v>432</v>
      </c>
      <c r="C128" s="135" t="s">
        <v>471</v>
      </c>
      <c r="D128" t="s">
        <v>674</v>
      </c>
      <c r="E128" t="s">
        <v>637</v>
      </c>
      <c r="F128" t="s">
        <v>675</v>
      </c>
      <c r="G128" t="s">
        <v>676</v>
      </c>
    </row>
    <row r="129" spans="1:10" ht="15" hidden="1" customHeight="1" x14ac:dyDescent="0.25">
      <c r="A129" s="7" t="s">
        <v>534</v>
      </c>
      <c r="B129" s="9" t="s">
        <v>432</v>
      </c>
      <c r="C129" s="135" t="s">
        <v>533</v>
      </c>
      <c r="D129" t="s">
        <v>674</v>
      </c>
      <c r="E129" t="s">
        <v>637</v>
      </c>
      <c r="F129" t="s">
        <v>675</v>
      </c>
      <c r="G129" t="s">
        <v>676</v>
      </c>
      <c r="I129" t="s">
        <v>862</v>
      </c>
      <c r="J129" t="s">
        <v>863</v>
      </c>
    </row>
    <row r="130" spans="1:10" ht="15" hidden="1" customHeight="1" x14ac:dyDescent="0.25">
      <c r="A130" t="s">
        <v>490</v>
      </c>
      <c r="B130" s="9" t="s">
        <v>432</v>
      </c>
      <c r="C130" s="135" t="s">
        <v>489</v>
      </c>
      <c r="D130" t="s">
        <v>674</v>
      </c>
      <c r="E130" t="s">
        <v>637</v>
      </c>
      <c r="F130" t="s">
        <v>848</v>
      </c>
      <c r="G130" t="s">
        <v>676</v>
      </c>
      <c r="I130" t="s">
        <v>685</v>
      </c>
      <c r="J130" t="s">
        <v>686</v>
      </c>
    </row>
    <row r="131" spans="1:10" ht="15" hidden="1" customHeight="1" x14ac:dyDescent="0.25">
      <c r="A131" t="s">
        <v>554</v>
      </c>
      <c r="B131" s="9" t="s">
        <v>432</v>
      </c>
      <c r="C131" s="135" t="s">
        <v>553</v>
      </c>
      <c r="D131" t="s">
        <v>674</v>
      </c>
      <c r="E131" t="s">
        <v>637</v>
      </c>
      <c r="F131" t="s">
        <v>675</v>
      </c>
      <c r="G131" t="s">
        <v>676</v>
      </c>
    </row>
    <row r="132" spans="1:10" ht="15" hidden="1" customHeight="1" x14ac:dyDescent="0.25">
      <c r="A132" s="7" t="s">
        <v>484</v>
      </c>
      <c r="B132" s="9" t="s">
        <v>432</v>
      </c>
      <c r="C132" s="135" t="s">
        <v>483</v>
      </c>
      <c r="D132" t="s">
        <v>674</v>
      </c>
      <c r="E132" t="s">
        <v>637</v>
      </c>
      <c r="F132" t="s">
        <v>675</v>
      </c>
      <c r="G132" t="s">
        <v>676</v>
      </c>
      <c r="I132" t="s">
        <v>864</v>
      </c>
      <c r="J132" t="s">
        <v>865</v>
      </c>
    </row>
    <row r="133" spans="1:10" ht="15" hidden="1" customHeight="1" x14ac:dyDescent="0.25">
      <c r="A133" s="7" t="s">
        <v>510</v>
      </c>
      <c r="B133" s="9" t="s">
        <v>432</v>
      </c>
      <c r="C133" s="135" t="s">
        <v>509</v>
      </c>
      <c r="D133" t="s">
        <v>674</v>
      </c>
      <c r="E133" t="s">
        <v>637</v>
      </c>
      <c r="F133" t="s">
        <v>675</v>
      </c>
      <c r="G133" t="s">
        <v>676</v>
      </c>
      <c r="I133" t="s">
        <v>866</v>
      </c>
      <c r="J133" t="s">
        <v>865</v>
      </c>
    </row>
    <row r="134" spans="1:10" ht="15" hidden="1" customHeight="1" x14ac:dyDescent="0.25">
      <c r="A134" s="136" t="s">
        <v>520</v>
      </c>
      <c r="B134" s="9" t="s">
        <v>432</v>
      </c>
      <c r="C134" s="135" t="s">
        <v>519</v>
      </c>
      <c r="D134" t="s">
        <v>674</v>
      </c>
      <c r="E134" t="s">
        <v>637</v>
      </c>
      <c r="F134" t="s">
        <v>675</v>
      </c>
      <c r="G134" t="s">
        <v>676</v>
      </c>
      <c r="I134" t="s">
        <v>719</v>
      </c>
      <c r="J134" t="s">
        <v>716</v>
      </c>
    </row>
    <row r="135" spans="1:10" ht="15" hidden="1" customHeight="1" x14ac:dyDescent="0.25">
      <c r="A135" s="7" t="s">
        <v>536</v>
      </c>
      <c r="B135" s="9" t="s">
        <v>432</v>
      </c>
      <c r="C135" s="135" t="s">
        <v>535</v>
      </c>
      <c r="D135" t="s">
        <v>674</v>
      </c>
      <c r="E135" t="s">
        <v>637</v>
      </c>
      <c r="F135" t="s">
        <v>714</v>
      </c>
      <c r="G135" t="s">
        <v>676</v>
      </c>
      <c r="I135" t="s">
        <v>715</v>
      </c>
      <c r="J135" t="s">
        <v>716</v>
      </c>
    </row>
    <row r="136" spans="1:10" ht="15" hidden="1" customHeight="1" x14ac:dyDescent="0.25">
      <c r="A136" t="s">
        <v>516</v>
      </c>
      <c r="B136" s="9" t="s">
        <v>432</v>
      </c>
      <c r="C136" s="135" t="s">
        <v>515</v>
      </c>
      <c r="D136" t="s">
        <v>674</v>
      </c>
      <c r="E136" t="s">
        <v>637</v>
      </c>
      <c r="F136" t="s">
        <v>675</v>
      </c>
      <c r="G136" t="s">
        <v>676</v>
      </c>
      <c r="I136" t="s">
        <v>867</v>
      </c>
      <c r="J136" t="s">
        <v>863</v>
      </c>
    </row>
    <row r="137" spans="1:10" ht="15" hidden="1" customHeight="1" x14ac:dyDescent="0.25">
      <c r="A137" s="7" t="s">
        <v>868</v>
      </c>
      <c r="B137" s="9" t="s">
        <v>432</v>
      </c>
      <c r="C137" s="135" t="s">
        <v>869</v>
      </c>
      <c r="D137" t="s">
        <v>674</v>
      </c>
      <c r="E137" t="s">
        <v>637</v>
      </c>
      <c r="F137" t="s">
        <v>728</v>
      </c>
      <c r="G137" t="s">
        <v>676</v>
      </c>
      <c r="I137" t="s">
        <v>685</v>
      </c>
      <c r="J137" t="s">
        <v>686</v>
      </c>
    </row>
    <row r="138" spans="1:10" ht="15" hidden="1" customHeight="1" x14ac:dyDescent="0.25">
      <c r="A138" s="7" t="s">
        <v>550</v>
      </c>
      <c r="B138" s="9" t="s">
        <v>432</v>
      </c>
      <c r="C138" s="135" t="s">
        <v>549</v>
      </c>
      <c r="D138" t="s">
        <v>674</v>
      </c>
      <c r="E138" t="s">
        <v>637</v>
      </c>
      <c r="F138" t="s">
        <v>714</v>
      </c>
      <c r="G138" t="s">
        <v>676</v>
      </c>
      <c r="I138" t="s">
        <v>715</v>
      </c>
      <c r="J138" t="s">
        <v>716</v>
      </c>
    </row>
    <row r="139" spans="1:10" ht="15" hidden="1" customHeight="1" x14ac:dyDescent="0.25">
      <c r="A139" s="7" t="s">
        <v>512</v>
      </c>
      <c r="B139" s="9" t="s">
        <v>432</v>
      </c>
      <c r="C139" t="s">
        <v>511</v>
      </c>
      <c r="D139" t="s">
        <v>674</v>
      </c>
      <c r="E139" t="s">
        <v>637</v>
      </c>
      <c r="F139" t="s">
        <v>714</v>
      </c>
      <c r="G139" t="s">
        <v>676</v>
      </c>
      <c r="I139" t="s">
        <v>715</v>
      </c>
      <c r="J139" t="s">
        <v>716</v>
      </c>
    </row>
    <row r="140" spans="1:10" ht="15" hidden="1" customHeight="1" x14ac:dyDescent="0.25">
      <c r="A140" s="7" t="s">
        <v>546</v>
      </c>
      <c r="B140" s="9" t="s">
        <v>432</v>
      </c>
      <c r="C140" s="135" t="s">
        <v>545</v>
      </c>
      <c r="D140" t="s">
        <v>674</v>
      </c>
      <c r="E140" t="s">
        <v>637</v>
      </c>
      <c r="F140" t="s">
        <v>714</v>
      </c>
      <c r="G140" t="s">
        <v>676</v>
      </c>
      <c r="I140" t="s">
        <v>715</v>
      </c>
      <c r="J140" t="s">
        <v>716</v>
      </c>
    </row>
    <row r="141" spans="1:10" ht="15" hidden="1" customHeight="1" x14ac:dyDescent="0.25">
      <c r="A141" t="s">
        <v>431</v>
      </c>
      <c r="B141" s="9" t="s">
        <v>432</v>
      </c>
      <c r="C141" s="135" t="s">
        <v>430</v>
      </c>
      <c r="D141" t="s">
        <v>674</v>
      </c>
      <c r="E141" t="s">
        <v>637</v>
      </c>
      <c r="F141" t="s">
        <v>848</v>
      </c>
      <c r="G141" t="s">
        <v>676</v>
      </c>
      <c r="I141" t="s">
        <v>685</v>
      </c>
      <c r="J141" t="s">
        <v>686</v>
      </c>
    </row>
    <row r="142" spans="1:10" ht="15" hidden="1" customHeight="1" x14ac:dyDescent="0.25">
      <c r="A142" s="7" t="s">
        <v>478</v>
      </c>
      <c r="B142" s="9" t="s">
        <v>432</v>
      </c>
      <c r="C142" s="135" t="s">
        <v>477</v>
      </c>
      <c r="D142" t="s">
        <v>674</v>
      </c>
      <c r="E142" t="s">
        <v>637</v>
      </c>
      <c r="F142" t="s">
        <v>675</v>
      </c>
      <c r="G142" t="s">
        <v>676</v>
      </c>
      <c r="I142" t="s">
        <v>685</v>
      </c>
      <c r="J142" t="s">
        <v>686</v>
      </c>
    </row>
    <row r="143" spans="1:10" ht="15" hidden="1" customHeight="1" x14ac:dyDescent="0.25">
      <c r="A143" t="s">
        <v>460</v>
      </c>
      <c r="B143" s="9" t="s">
        <v>432</v>
      </c>
      <c r="C143" t="s">
        <v>459</v>
      </c>
      <c r="D143" t="s">
        <v>674</v>
      </c>
      <c r="E143" t="s">
        <v>637</v>
      </c>
      <c r="F143" t="s">
        <v>675</v>
      </c>
      <c r="G143" t="s">
        <v>676</v>
      </c>
      <c r="I143" t="s">
        <v>870</v>
      </c>
      <c r="J143" t="s">
        <v>681</v>
      </c>
    </row>
    <row r="144" spans="1:10" ht="15" hidden="1" customHeight="1" x14ac:dyDescent="0.25">
      <c r="A144" s="7" t="s">
        <v>542</v>
      </c>
      <c r="B144" s="9" t="s">
        <v>432</v>
      </c>
      <c r="C144" s="135" t="s">
        <v>541</v>
      </c>
      <c r="D144" t="s">
        <v>674</v>
      </c>
      <c r="E144" t="s">
        <v>637</v>
      </c>
      <c r="F144" t="s">
        <v>675</v>
      </c>
      <c r="G144" t="s">
        <v>676</v>
      </c>
      <c r="I144" t="s">
        <v>871</v>
      </c>
      <c r="J144" t="s">
        <v>865</v>
      </c>
    </row>
    <row r="145" spans="1:10" ht="15" hidden="1" customHeight="1" x14ac:dyDescent="0.25">
      <c r="A145" s="7" t="s">
        <v>872</v>
      </c>
      <c r="B145" s="9" t="s">
        <v>432</v>
      </c>
      <c r="C145" s="135" t="s">
        <v>873</v>
      </c>
      <c r="D145" t="s">
        <v>674</v>
      </c>
      <c r="E145" t="s">
        <v>637</v>
      </c>
      <c r="F145" t="s">
        <v>714</v>
      </c>
      <c r="G145" t="s">
        <v>676</v>
      </c>
      <c r="I145" t="s">
        <v>715</v>
      </c>
      <c r="J145" t="s">
        <v>716</v>
      </c>
    </row>
    <row r="146" spans="1:10" ht="15" hidden="1" customHeight="1" x14ac:dyDescent="0.25">
      <c r="A146" t="s">
        <v>462</v>
      </c>
      <c r="B146" s="9" t="s">
        <v>432</v>
      </c>
      <c r="C146" s="135" t="s">
        <v>461</v>
      </c>
      <c r="D146" t="s">
        <v>674</v>
      </c>
      <c r="E146" t="s">
        <v>637</v>
      </c>
      <c r="F146" t="s">
        <v>874</v>
      </c>
      <c r="G146" t="s">
        <v>676</v>
      </c>
      <c r="I146" t="s">
        <v>761</v>
      </c>
      <c r="J146" t="s">
        <v>762</v>
      </c>
    </row>
    <row r="147" spans="1:10" ht="15" hidden="1" customHeight="1" x14ac:dyDescent="0.25">
      <c r="A147" s="7" t="s">
        <v>548</v>
      </c>
      <c r="B147" s="9" t="s">
        <v>432</v>
      </c>
      <c r="C147" s="135" t="s">
        <v>547</v>
      </c>
      <c r="D147" t="s">
        <v>674</v>
      </c>
      <c r="E147" t="s">
        <v>637</v>
      </c>
      <c r="F147" t="s">
        <v>675</v>
      </c>
      <c r="G147" t="s">
        <v>676</v>
      </c>
      <c r="I147" t="s">
        <v>864</v>
      </c>
      <c r="J147" t="s">
        <v>865</v>
      </c>
    </row>
    <row r="148" spans="1:10" ht="15" hidden="1" customHeight="1" x14ac:dyDescent="0.25">
      <c r="A148" s="7" t="s">
        <v>875</v>
      </c>
      <c r="B148" s="9" t="s">
        <v>432</v>
      </c>
      <c r="C148" s="135" t="s">
        <v>876</v>
      </c>
      <c r="D148" t="s">
        <v>674</v>
      </c>
      <c r="E148" t="s">
        <v>637</v>
      </c>
      <c r="F148" t="s">
        <v>675</v>
      </c>
      <c r="G148" t="s">
        <v>676</v>
      </c>
    </row>
    <row r="149" spans="1:10" ht="15" hidden="1" customHeight="1" x14ac:dyDescent="0.25">
      <c r="A149" s="130" t="s">
        <v>556</v>
      </c>
      <c r="B149" s="7" t="s">
        <v>432</v>
      </c>
      <c r="C149" s="135" t="s">
        <v>555</v>
      </c>
      <c r="D149" t="s">
        <v>674</v>
      </c>
      <c r="E149" t="s">
        <v>637</v>
      </c>
      <c r="F149" t="s">
        <v>728</v>
      </c>
      <c r="G149" t="s">
        <v>676</v>
      </c>
    </row>
    <row r="150" spans="1:10" ht="15" hidden="1" customHeight="1" x14ac:dyDescent="0.25">
      <c r="A150" t="s">
        <v>494</v>
      </c>
      <c r="B150" s="9" t="s">
        <v>432</v>
      </c>
      <c r="C150" s="135" t="s">
        <v>493</v>
      </c>
      <c r="D150" t="s">
        <v>674</v>
      </c>
      <c r="E150" t="s">
        <v>637</v>
      </c>
      <c r="F150" t="s">
        <v>848</v>
      </c>
      <c r="G150" t="s">
        <v>676</v>
      </c>
      <c r="I150" t="s">
        <v>685</v>
      </c>
      <c r="J150" t="s">
        <v>686</v>
      </c>
    </row>
    <row r="151" spans="1:10" ht="15" hidden="1" customHeight="1" x14ac:dyDescent="0.25">
      <c r="A151" t="s">
        <v>440</v>
      </c>
      <c r="B151" s="9" t="s">
        <v>432</v>
      </c>
      <c r="C151" s="135" t="s">
        <v>439</v>
      </c>
      <c r="D151" t="s">
        <v>674</v>
      </c>
      <c r="E151" t="s">
        <v>637</v>
      </c>
      <c r="F151" t="s">
        <v>848</v>
      </c>
      <c r="G151" t="s">
        <v>676</v>
      </c>
      <c r="I151" t="s">
        <v>685</v>
      </c>
      <c r="J151" t="s">
        <v>686</v>
      </c>
    </row>
    <row r="152" spans="1:10" ht="15" hidden="1" customHeight="1" x14ac:dyDescent="0.25">
      <c r="A152" t="s">
        <v>458</v>
      </c>
      <c r="B152" s="9" t="s">
        <v>432</v>
      </c>
      <c r="C152" s="135" t="s">
        <v>457</v>
      </c>
      <c r="D152" t="s">
        <v>674</v>
      </c>
      <c r="E152" t="s">
        <v>637</v>
      </c>
      <c r="F152" t="s">
        <v>675</v>
      </c>
      <c r="G152" t="s">
        <v>676</v>
      </c>
      <c r="I152" t="s">
        <v>877</v>
      </c>
      <c r="J152" t="s">
        <v>858</v>
      </c>
    </row>
    <row r="153" spans="1:10" ht="15" hidden="1" customHeight="1" x14ac:dyDescent="0.25">
      <c r="A153" t="s">
        <v>506</v>
      </c>
      <c r="B153" s="9" t="s">
        <v>432</v>
      </c>
      <c r="C153" s="135" t="s">
        <v>505</v>
      </c>
      <c r="D153" t="s">
        <v>674</v>
      </c>
      <c r="E153" t="s">
        <v>637</v>
      </c>
      <c r="F153" t="s">
        <v>675</v>
      </c>
      <c r="G153" t="s">
        <v>676</v>
      </c>
      <c r="I153" t="s">
        <v>878</v>
      </c>
      <c r="J153" t="s">
        <v>762</v>
      </c>
    </row>
    <row r="154" spans="1:10" ht="15" hidden="1" customHeight="1" x14ac:dyDescent="0.25">
      <c r="A154" t="s">
        <v>434</v>
      </c>
      <c r="B154" s="9" t="s">
        <v>432</v>
      </c>
      <c r="C154" s="135" t="s">
        <v>433</v>
      </c>
      <c r="D154" t="s">
        <v>674</v>
      </c>
      <c r="E154" t="s">
        <v>637</v>
      </c>
      <c r="F154" t="s">
        <v>860</v>
      </c>
      <c r="G154" t="s">
        <v>859</v>
      </c>
      <c r="I154" t="s">
        <v>827</v>
      </c>
      <c r="J154" t="s">
        <v>709</v>
      </c>
    </row>
    <row r="155" spans="1:10" ht="15" hidden="1" customHeight="1" x14ac:dyDescent="0.25">
      <c r="A155" t="s">
        <v>474</v>
      </c>
      <c r="B155" t="s">
        <v>432</v>
      </c>
      <c r="C155" s="135" t="s">
        <v>473</v>
      </c>
      <c r="D155" t="s">
        <v>674</v>
      </c>
      <c r="E155" t="s">
        <v>637</v>
      </c>
      <c r="F155" t="s">
        <v>675</v>
      </c>
      <c r="G155" t="s">
        <v>676</v>
      </c>
    </row>
    <row r="156" spans="1:10" ht="15" hidden="1" customHeight="1" x14ac:dyDescent="0.25">
      <c r="A156" s="7" t="s">
        <v>454</v>
      </c>
      <c r="B156" s="9" t="s">
        <v>432</v>
      </c>
      <c r="C156" t="s">
        <v>453</v>
      </c>
      <c r="D156" t="s">
        <v>674</v>
      </c>
      <c r="E156" t="s">
        <v>637</v>
      </c>
      <c r="F156" t="s">
        <v>675</v>
      </c>
      <c r="G156" t="s">
        <v>676</v>
      </c>
      <c r="I156" t="s">
        <v>862</v>
      </c>
      <c r="J156" t="s">
        <v>863</v>
      </c>
    </row>
    <row r="157" spans="1:10" ht="15" hidden="1" customHeight="1" x14ac:dyDescent="0.25">
      <c r="A157" s="7" t="s">
        <v>470</v>
      </c>
      <c r="B157" s="9" t="s">
        <v>432</v>
      </c>
      <c r="C157" t="s">
        <v>469</v>
      </c>
      <c r="D157" t="s">
        <v>674</v>
      </c>
      <c r="E157" t="s">
        <v>637</v>
      </c>
      <c r="F157" t="s">
        <v>714</v>
      </c>
      <c r="G157" t="s">
        <v>859</v>
      </c>
      <c r="I157" t="s">
        <v>715</v>
      </c>
      <c r="J157" t="s">
        <v>716</v>
      </c>
    </row>
    <row r="158" spans="1:10" ht="15" hidden="1" customHeight="1" x14ac:dyDescent="0.25">
      <c r="A158" s="7" t="s">
        <v>508</v>
      </c>
      <c r="B158" s="9" t="s">
        <v>432</v>
      </c>
      <c r="C158" t="s">
        <v>507</v>
      </c>
      <c r="D158" t="s">
        <v>674</v>
      </c>
      <c r="E158" t="s">
        <v>637</v>
      </c>
      <c r="F158" t="s">
        <v>675</v>
      </c>
      <c r="G158" t="s">
        <v>676</v>
      </c>
      <c r="I158" t="s">
        <v>879</v>
      </c>
      <c r="J158" t="s">
        <v>863</v>
      </c>
    </row>
    <row r="159" spans="1:10" ht="15" hidden="1" customHeight="1" x14ac:dyDescent="0.25">
      <c r="A159" t="s">
        <v>442</v>
      </c>
      <c r="B159" s="9" t="s">
        <v>432</v>
      </c>
      <c r="C159" t="s">
        <v>441</v>
      </c>
      <c r="D159" t="s">
        <v>674</v>
      </c>
      <c r="E159" t="s">
        <v>637</v>
      </c>
      <c r="F159" t="s">
        <v>848</v>
      </c>
      <c r="G159" t="s">
        <v>676</v>
      </c>
      <c r="I159" t="s">
        <v>685</v>
      </c>
      <c r="J159" t="s">
        <v>686</v>
      </c>
    </row>
    <row r="160" spans="1:10" ht="15" hidden="1" customHeight="1" x14ac:dyDescent="0.25">
      <c r="A160" s="13" t="s">
        <v>524</v>
      </c>
      <c r="B160" s="13" t="s">
        <v>432</v>
      </c>
      <c r="C160" t="s">
        <v>523</v>
      </c>
      <c r="D160" t="s">
        <v>674</v>
      </c>
      <c r="E160" t="s">
        <v>637</v>
      </c>
      <c r="F160" t="s">
        <v>848</v>
      </c>
      <c r="G160" t="s">
        <v>676</v>
      </c>
      <c r="I160" t="s">
        <v>685</v>
      </c>
      <c r="J160" t="s">
        <v>686</v>
      </c>
    </row>
    <row r="161" spans="1:10" ht="15" hidden="1" customHeight="1" x14ac:dyDescent="0.25">
      <c r="A161" t="s">
        <v>558</v>
      </c>
      <c r="B161" s="9" t="s">
        <v>432</v>
      </c>
      <c r="C161" t="s">
        <v>557</v>
      </c>
      <c r="D161" t="s">
        <v>674</v>
      </c>
      <c r="E161" t="s">
        <v>637</v>
      </c>
      <c r="F161" t="s">
        <v>675</v>
      </c>
      <c r="G161" t="s">
        <v>676</v>
      </c>
      <c r="I161" t="s">
        <v>880</v>
      </c>
      <c r="J161" t="s">
        <v>681</v>
      </c>
    </row>
    <row r="162" spans="1:10" ht="15" hidden="1" customHeight="1" x14ac:dyDescent="0.25">
      <c r="A162" t="s">
        <v>436</v>
      </c>
      <c r="B162" s="9" t="s">
        <v>432</v>
      </c>
      <c r="C162" t="s">
        <v>435</v>
      </c>
      <c r="D162" t="s">
        <v>674</v>
      </c>
      <c r="E162" t="s">
        <v>637</v>
      </c>
      <c r="F162" t="s">
        <v>848</v>
      </c>
      <c r="G162" t="s">
        <v>676</v>
      </c>
      <c r="I162" t="s">
        <v>685</v>
      </c>
      <c r="J162" t="s">
        <v>686</v>
      </c>
    </row>
    <row r="163" spans="1:10" ht="15" hidden="1" customHeight="1" x14ac:dyDescent="0.25">
      <c r="A163" s="7" t="s">
        <v>540</v>
      </c>
      <c r="B163" s="9" t="s">
        <v>432</v>
      </c>
      <c r="C163" t="s">
        <v>539</v>
      </c>
      <c r="D163" t="s">
        <v>674</v>
      </c>
      <c r="E163" t="s">
        <v>637</v>
      </c>
      <c r="F163" t="s">
        <v>675</v>
      </c>
      <c r="G163" t="s">
        <v>676</v>
      </c>
      <c r="I163" t="s">
        <v>881</v>
      </c>
      <c r="J163" t="s">
        <v>850</v>
      </c>
    </row>
    <row r="164" spans="1:10" ht="15" hidden="1" customHeight="1" x14ac:dyDescent="0.25">
      <c r="A164" t="s">
        <v>514</v>
      </c>
      <c r="B164" s="9" t="s">
        <v>432</v>
      </c>
      <c r="C164" t="s">
        <v>513</v>
      </c>
      <c r="D164" t="s">
        <v>674</v>
      </c>
      <c r="E164" t="s">
        <v>637</v>
      </c>
      <c r="F164" t="s">
        <v>675</v>
      </c>
      <c r="G164" t="s">
        <v>676</v>
      </c>
      <c r="I164" t="s">
        <v>882</v>
      </c>
      <c r="J164" t="s">
        <v>863</v>
      </c>
    </row>
    <row r="165" spans="1:10" ht="15" hidden="1" customHeight="1" x14ac:dyDescent="0.25">
      <c r="A165" s="7" t="s">
        <v>468</v>
      </c>
      <c r="B165" s="9" t="s">
        <v>432</v>
      </c>
      <c r="C165" t="s">
        <v>467</v>
      </c>
      <c r="D165" t="s">
        <v>674</v>
      </c>
      <c r="E165" t="s">
        <v>637</v>
      </c>
      <c r="F165" t="s">
        <v>675</v>
      </c>
      <c r="G165" t="s">
        <v>676</v>
      </c>
      <c r="I165" t="s">
        <v>883</v>
      </c>
      <c r="J165" t="s">
        <v>865</v>
      </c>
    </row>
    <row r="166" spans="1:10" ht="15" hidden="1" customHeight="1" x14ac:dyDescent="0.25">
      <c r="A166" t="s">
        <v>500</v>
      </c>
      <c r="B166" s="9" t="s">
        <v>432</v>
      </c>
      <c r="C166" t="s">
        <v>499</v>
      </c>
      <c r="D166" t="s">
        <v>674</v>
      </c>
      <c r="E166" t="s">
        <v>637</v>
      </c>
      <c r="F166" t="s">
        <v>675</v>
      </c>
      <c r="G166" t="s">
        <v>676</v>
      </c>
      <c r="I166" t="s">
        <v>685</v>
      </c>
    </row>
    <row r="167" spans="1:10" ht="15" hidden="1" customHeight="1" x14ac:dyDescent="0.25">
      <c r="A167" s="137" t="s">
        <v>530</v>
      </c>
      <c r="B167" t="s">
        <v>432</v>
      </c>
      <c r="C167" s="276" t="s">
        <v>529</v>
      </c>
      <c r="D167" t="s">
        <v>674</v>
      </c>
      <c r="E167" t="s">
        <v>637</v>
      </c>
      <c r="F167" t="s">
        <v>675</v>
      </c>
      <c r="G167" t="s">
        <v>676</v>
      </c>
    </row>
    <row r="168" spans="1:10" ht="15" hidden="1" customHeight="1" x14ac:dyDescent="0.25">
      <c r="A168" t="s">
        <v>884</v>
      </c>
      <c r="B168" t="s">
        <v>432</v>
      </c>
      <c r="C168" t="s">
        <v>885</v>
      </c>
      <c r="D168" t="s">
        <v>674</v>
      </c>
      <c r="E168" t="s">
        <v>637</v>
      </c>
      <c r="F168" t="s">
        <v>675</v>
      </c>
      <c r="G168" t="s">
        <v>676</v>
      </c>
    </row>
    <row r="169" spans="1:10" ht="15" customHeight="1" x14ac:dyDescent="0.25">
      <c r="A169" t="s">
        <v>886</v>
      </c>
      <c r="B169" t="s">
        <v>886</v>
      </c>
      <c r="C169" t="s">
        <v>887</v>
      </c>
      <c r="D169" t="s">
        <v>674</v>
      </c>
      <c r="E169" t="s">
        <v>675</v>
      </c>
      <c r="F169" t="s">
        <v>675</v>
      </c>
      <c r="G169" t="s">
        <v>676</v>
      </c>
      <c r="I169" t="s">
        <v>685</v>
      </c>
      <c r="J169" t="s">
        <v>686</v>
      </c>
    </row>
    <row r="170" spans="1:10" ht="15" customHeight="1" x14ac:dyDescent="0.25">
      <c r="A170" t="s">
        <v>888</v>
      </c>
      <c r="B170" t="s">
        <v>888</v>
      </c>
      <c r="C170" t="s">
        <v>889</v>
      </c>
      <c r="D170" t="s">
        <v>674</v>
      </c>
      <c r="E170" t="s">
        <v>675</v>
      </c>
      <c r="F170" t="s">
        <v>675</v>
      </c>
      <c r="G170" t="s">
        <v>676</v>
      </c>
      <c r="I170" t="s">
        <v>685</v>
      </c>
      <c r="J170" t="s">
        <v>686</v>
      </c>
    </row>
    <row r="171" spans="1:10" ht="15" customHeight="1" x14ac:dyDescent="0.25">
      <c r="A171" t="s">
        <v>890</v>
      </c>
      <c r="B171" t="s">
        <v>891</v>
      </c>
      <c r="C171" t="s">
        <v>892</v>
      </c>
      <c r="D171" t="s">
        <v>674</v>
      </c>
      <c r="E171" t="s">
        <v>675</v>
      </c>
      <c r="F171" t="s">
        <v>675</v>
      </c>
      <c r="G171" t="s">
        <v>676</v>
      </c>
      <c r="I171" t="s">
        <v>685</v>
      </c>
      <c r="J171" t="s">
        <v>686</v>
      </c>
    </row>
    <row r="172" spans="1:10" ht="15" customHeight="1" x14ac:dyDescent="0.25">
      <c r="A172" t="s">
        <v>893</v>
      </c>
      <c r="B172" t="s">
        <v>891</v>
      </c>
      <c r="C172" t="s">
        <v>894</v>
      </c>
      <c r="D172" t="s">
        <v>674</v>
      </c>
      <c r="E172" t="s">
        <v>675</v>
      </c>
      <c r="F172" t="s">
        <v>675</v>
      </c>
      <c r="G172" t="s">
        <v>676</v>
      </c>
      <c r="I172" t="s">
        <v>685</v>
      </c>
      <c r="J172" t="s">
        <v>686</v>
      </c>
    </row>
    <row r="173" spans="1:10" ht="15" customHeight="1" x14ac:dyDescent="0.25">
      <c r="A173" t="s">
        <v>895</v>
      </c>
      <c r="B173" t="s">
        <v>891</v>
      </c>
      <c r="C173" t="s">
        <v>896</v>
      </c>
      <c r="D173" t="s">
        <v>674</v>
      </c>
      <c r="E173" t="s">
        <v>675</v>
      </c>
      <c r="F173" t="s">
        <v>675</v>
      </c>
      <c r="G173" t="s">
        <v>676</v>
      </c>
      <c r="I173" t="s">
        <v>685</v>
      </c>
      <c r="J173" t="s">
        <v>686</v>
      </c>
    </row>
    <row r="174" spans="1:10" ht="15" customHeight="1" x14ac:dyDescent="0.25">
      <c r="A174" t="s">
        <v>897</v>
      </c>
      <c r="B174" t="s">
        <v>891</v>
      </c>
      <c r="C174" t="s">
        <v>898</v>
      </c>
      <c r="D174" t="s">
        <v>674</v>
      </c>
      <c r="E174" t="s">
        <v>675</v>
      </c>
      <c r="F174" t="s">
        <v>675</v>
      </c>
      <c r="G174" t="s">
        <v>676</v>
      </c>
      <c r="I174" t="s">
        <v>685</v>
      </c>
      <c r="J174" t="s">
        <v>686</v>
      </c>
    </row>
    <row r="175" spans="1:10" s="6" customFormat="1" ht="15" customHeight="1" x14ac:dyDescent="0.25">
      <c r="A175" t="s">
        <v>899</v>
      </c>
      <c r="B175" t="s">
        <v>891</v>
      </c>
      <c r="C175" t="s">
        <v>900</v>
      </c>
      <c r="D175" t="s">
        <v>674</v>
      </c>
      <c r="E175" t="s">
        <v>675</v>
      </c>
      <c r="F175" t="s">
        <v>675</v>
      </c>
      <c r="G175" t="s">
        <v>676</v>
      </c>
      <c r="I175" t="s">
        <v>685</v>
      </c>
      <c r="J175" t="s">
        <v>686</v>
      </c>
    </row>
    <row r="176" spans="1:10" ht="15" hidden="1" customHeight="1" x14ac:dyDescent="0.25">
      <c r="A176" t="s">
        <v>429</v>
      </c>
      <c r="B176" t="s">
        <v>429</v>
      </c>
      <c r="C176" t="s">
        <v>428</v>
      </c>
      <c r="D176" t="s">
        <v>674</v>
      </c>
      <c r="E176" t="s">
        <v>644</v>
      </c>
      <c r="F176" t="s">
        <v>728</v>
      </c>
      <c r="G176" t="s">
        <v>676</v>
      </c>
      <c r="I176" t="s">
        <v>685</v>
      </c>
      <c r="J176" t="s">
        <v>686</v>
      </c>
    </row>
    <row r="177" spans="1:10" ht="15" hidden="1" customHeight="1" x14ac:dyDescent="0.25">
      <c r="A177" t="s">
        <v>427</v>
      </c>
      <c r="B177" t="s">
        <v>421</v>
      </c>
      <c r="C177" t="s">
        <v>426</v>
      </c>
      <c r="D177" t="s">
        <v>674</v>
      </c>
      <c r="E177" t="s">
        <v>644</v>
      </c>
      <c r="F177" t="s">
        <v>901</v>
      </c>
      <c r="G177" t="s">
        <v>676</v>
      </c>
      <c r="I177" t="s">
        <v>685</v>
      </c>
      <c r="J177" t="s">
        <v>686</v>
      </c>
    </row>
    <row r="178" spans="1:10" hidden="1" x14ac:dyDescent="0.25">
      <c r="A178" t="s">
        <v>425</v>
      </c>
      <c r="B178" t="s">
        <v>421</v>
      </c>
      <c r="C178" t="s">
        <v>424</v>
      </c>
      <c r="D178" t="s">
        <v>674</v>
      </c>
      <c r="E178" t="s">
        <v>644</v>
      </c>
      <c r="F178" t="s">
        <v>901</v>
      </c>
      <c r="G178" t="s">
        <v>676</v>
      </c>
      <c r="I178" t="s">
        <v>685</v>
      </c>
      <c r="J178" t="s">
        <v>686</v>
      </c>
    </row>
    <row r="179" spans="1:10" hidden="1" x14ac:dyDescent="0.25">
      <c r="A179" t="s">
        <v>420</v>
      </c>
      <c r="B179" t="s">
        <v>421</v>
      </c>
      <c r="C179" t="s">
        <v>419</v>
      </c>
      <c r="D179" t="s">
        <v>674</v>
      </c>
      <c r="E179" t="s">
        <v>644</v>
      </c>
      <c r="F179" t="s">
        <v>901</v>
      </c>
      <c r="G179" t="s">
        <v>676</v>
      </c>
      <c r="I179" t="s">
        <v>685</v>
      </c>
      <c r="J179" t="s">
        <v>686</v>
      </c>
    </row>
    <row r="180" spans="1:10" hidden="1" x14ac:dyDescent="0.25">
      <c r="A180" t="s">
        <v>423</v>
      </c>
      <c r="B180" t="s">
        <v>421</v>
      </c>
      <c r="C180" t="s">
        <v>422</v>
      </c>
      <c r="D180" t="s">
        <v>674</v>
      </c>
      <c r="E180" t="s">
        <v>644</v>
      </c>
      <c r="F180" t="s">
        <v>901</v>
      </c>
      <c r="G180" t="s">
        <v>676</v>
      </c>
      <c r="I180" t="s">
        <v>685</v>
      </c>
      <c r="J180" t="s">
        <v>686</v>
      </c>
    </row>
    <row r="181" spans="1:10" hidden="1" x14ac:dyDescent="0.25">
      <c r="A181" t="s">
        <v>902</v>
      </c>
      <c r="B181" t="s">
        <v>16</v>
      </c>
      <c r="C181" s="209" t="s">
        <v>903</v>
      </c>
      <c r="D181" t="s">
        <v>674</v>
      </c>
      <c r="E181" t="s">
        <v>644</v>
      </c>
      <c r="F181" t="s">
        <v>901</v>
      </c>
      <c r="G181" t="s">
        <v>676</v>
      </c>
    </row>
    <row r="182" spans="1:10" hidden="1" x14ac:dyDescent="0.25">
      <c r="A182" t="s">
        <v>378</v>
      </c>
      <c r="B182" t="s">
        <v>16</v>
      </c>
      <c r="C182" s="276" t="s">
        <v>377</v>
      </c>
      <c r="D182" t="s">
        <v>674</v>
      </c>
      <c r="E182" t="s">
        <v>644</v>
      </c>
      <c r="F182" t="s">
        <v>901</v>
      </c>
      <c r="G182" t="s">
        <v>676</v>
      </c>
    </row>
    <row r="183" spans="1:10" hidden="1" x14ac:dyDescent="0.25">
      <c r="A183" t="s">
        <v>366</v>
      </c>
      <c r="B183" t="s">
        <v>16</v>
      </c>
      <c r="C183" s="137" t="s">
        <v>365</v>
      </c>
      <c r="D183" t="s">
        <v>674</v>
      </c>
      <c r="E183" t="s">
        <v>644</v>
      </c>
      <c r="F183" t="s">
        <v>901</v>
      </c>
      <c r="G183" t="s">
        <v>676</v>
      </c>
    </row>
    <row r="184" spans="1:10" hidden="1" x14ac:dyDescent="0.25">
      <c r="A184" t="s">
        <v>904</v>
      </c>
      <c r="B184" t="s">
        <v>16</v>
      </c>
      <c r="C184" s="137" t="s">
        <v>905</v>
      </c>
      <c r="D184" t="s">
        <v>674</v>
      </c>
      <c r="E184" t="s">
        <v>644</v>
      </c>
      <c r="F184" t="s">
        <v>901</v>
      </c>
      <c r="G184" t="s">
        <v>676</v>
      </c>
    </row>
    <row r="185" spans="1:10" ht="15" hidden="1" customHeight="1" x14ac:dyDescent="0.25">
      <c r="A185" t="s">
        <v>906</v>
      </c>
      <c r="B185" t="s">
        <v>16</v>
      </c>
      <c r="C185" s="137" t="s">
        <v>907</v>
      </c>
      <c r="D185" t="s">
        <v>674</v>
      </c>
      <c r="E185" t="s">
        <v>644</v>
      </c>
      <c r="F185" t="s">
        <v>901</v>
      </c>
      <c r="G185" t="s">
        <v>676</v>
      </c>
    </row>
    <row r="186" spans="1:10" ht="15" hidden="1" customHeight="1" x14ac:dyDescent="0.25">
      <c r="A186" t="s">
        <v>908</v>
      </c>
      <c r="B186" t="s">
        <v>16</v>
      </c>
      <c r="C186" s="137" t="s">
        <v>909</v>
      </c>
      <c r="D186" t="s">
        <v>674</v>
      </c>
      <c r="E186" t="s">
        <v>644</v>
      </c>
      <c r="F186" t="s">
        <v>901</v>
      </c>
      <c r="G186" t="s">
        <v>676</v>
      </c>
    </row>
    <row r="187" spans="1:10" ht="15" hidden="1" customHeight="1" x14ac:dyDescent="0.25">
      <c r="A187" t="s">
        <v>910</v>
      </c>
      <c r="B187" t="s">
        <v>16</v>
      </c>
      <c r="C187" s="137" t="s">
        <v>911</v>
      </c>
      <c r="D187" t="s">
        <v>674</v>
      </c>
      <c r="E187" t="s">
        <v>644</v>
      </c>
      <c r="F187" t="s">
        <v>901</v>
      </c>
      <c r="G187" t="s">
        <v>676</v>
      </c>
    </row>
    <row r="188" spans="1:10" ht="15" hidden="1" customHeight="1" x14ac:dyDescent="0.25">
      <c r="A188" t="s">
        <v>414</v>
      </c>
      <c r="B188" t="s">
        <v>16</v>
      </c>
      <c r="C188" s="137" t="s">
        <v>413</v>
      </c>
      <c r="D188" t="s">
        <v>674</v>
      </c>
      <c r="E188" t="s">
        <v>644</v>
      </c>
      <c r="F188" t="s">
        <v>901</v>
      </c>
      <c r="G188" t="s">
        <v>676</v>
      </c>
    </row>
    <row r="189" spans="1:10" ht="15" hidden="1" customHeight="1" x14ac:dyDescent="0.25">
      <c r="A189" t="s">
        <v>380</v>
      </c>
      <c r="B189" t="s">
        <v>16</v>
      </c>
      <c r="C189" s="137" t="s">
        <v>379</v>
      </c>
      <c r="D189" t="s">
        <v>674</v>
      </c>
      <c r="E189" t="s">
        <v>644</v>
      </c>
      <c r="F189" t="s">
        <v>901</v>
      </c>
      <c r="G189" t="s">
        <v>676</v>
      </c>
    </row>
    <row r="190" spans="1:10" ht="15" hidden="1" customHeight="1" x14ac:dyDescent="0.25">
      <c r="A190" t="s">
        <v>343</v>
      </c>
      <c r="B190" t="s">
        <v>16</v>
      </c>
      <c r="C190" s="137" t="s">
        <v>342</v>
      </c>
      <c r="D190" t="s">
        <v>674</v>
      </c>
      <c r="E190" t="s">
        <v>644</v>
      </c>
      <c r="F190" t="s">
        <v>901</v>
      </c>
      <c r="G190" t="s">
        <v>676</v>
      </c>
    </row>
    <row r="191" spans="1:10" ht="15" hidden="1" customHeight="1" x14ac:dyDescent="0.25">
      <c r="A191" t="s">
        <v>912</v>
      </c>
      <c r="B191" t="s">
        <v>16</v>
      </c>
      <c r="C191" s="137" t="s">
        <v>913</v>
      </c>
      <c r="D191" t="s">
        <v>674</v>
      </c>
      <c r="E191" t="s">
        <v>644</v>
      </c>
      <c r="F191" t="s">
        <v>901</v>
      </c>
      <c r="G191" t="s">
        <v>676</v>
      </c>
    </row>
    <row r="192" spans="1:10" ht="15" hidden="1" customHeight="1" x14ac:dyDescent="0.25">
      <c r="A192" t="s">
        <v>316</v>
      </c>
      <c r="B192" t="s">
        <v>16</v>
      </c>
      <c r="C192" s="137" t="s">
        <v>315</v>
      </c>
      <c r="D192" t="s">
        <v>674</v>
      </c>
      <c r="E192" t="s">
        <v>644</v>
      </c>
      <c r="F192" t="s">
        <v>901</v>
      </c>
      <c r="G192" t="s">
        <v>676</v>
      </c>
    </row>
    <row r="193" spans="1:7" ht="15" hidden="1" customHeight="1" x14ac:dyDescent="0.25">
      <c r="A193" t="s">
        <v>914</v>
      </c>
      <c r="B193" t="s">
        <v>16</v>
      </c>
      <c r="C193" s="137" t="s">
        <v>915</v>
      </c>
      <c r="D193" t="s">
        <v>674</v>
      </c>
      <c r="E193" t="s">
        <v>644</v>
      </c>
      <c r="F193" t="s">
        <v>901</v>
      </c>
      <c r="G193" t="s">
        <v>676</v>
      </c>
    </row>
    <row r="194" spans="1:7" ht="15" hidden="1" customHeight="1" x14ac:dyDescent="0.25">
      <c r="A194" t="s">
        <v>916</v>
      </c>
      <c r="B194" t="s">
        <v>16</v>
      </c>
      <c r="C194" s="137" t="s">
        <v>917</v>
      </c>
      <c r="D194" t="s">
        <v>674</v>
      </c>
      <c r="E194" t="s">
        <v>644</v>
      </c>
      <c r="F194" t="s">
        <v>901</v>
      </c>
      <c r="G194" t="s">
        <v>676</v>
      </c>
    </row>
    <row r="195" spans="1:7" ht="15" hidden="1" customHeight="1" x14ac:dyDescent="0.25">
      <c r="A195" t="s">
        <v>918</v>
      </c>
      <c r="B195" t="s">
        <v>16</v>
      </c>
      <c r="C195" s="137" t="s">
        <v>919</v>
      </c>
      <c r="D195" t="s">
        <v>674</v>
      </c>
      <c r="E195" t="s">
        <v>644</v>
      </c>
      <c r="F195" t="s">
        <v>901</v>
      </c>
      <c r="G195" t="s">
        <v>676</v>
      </c>
    </row>
    <row r="196" spans="1:7" ht="15" hidden="1" customHeight="1" x14ac:dyDescent="0.25">
      <c r="A196" t="s">
        <v>920</v>
      </c>
      <c r="B196" t="s">
        <v>16</v>
      </c>
      <c r="C196" s="137" t="s">
        <v>921</v>
      </c>
      <c r="D196" t="s">
        <v>674</v>
      </c>
      <c r="E196" t="s">
        <v>644</v>
      </c>
      <c r="F196" t="s">
        <v>901</v>
      </c>
      <c r="G196" t="s">
        <v>676</v>
      </c>
    </row>
    <row r="197" spans="1:7" ht="15" hidden="1" customHeight="1" x14ac:dyDescent="0.25">
      <c r="A197" t="s">
        <v>922</v>
      </c>
      <c r="B197" t="s">
        <v>16</v>
      </c>
      <c r="C197" s="137" t="s">
        <v>923</v>
      </c>
      <c r="D197" t="s">
        <v>674</v>
      </c>
      <c r="E197" t="s">
        <v>644</v>
      </c>
      <c r="F197" t="s">
        <v>901</v>
      </c>
      <c r="G197" t="s">
        <v>676</v>
      </c>
    </row>
    <row r="198" spans="1:7" ht="15" hidden="1" customHeight="1" x14ac:dyDescent="0.25">
      <c r="A198" t="s">
        <v>924</v>
      </c>
      <c r="B198" t="s">
        <v>16</v>
      </c>
      <c r="C198" s="137" t="s">
        <v>925</v>
      </c>
      <c r="D198" t="s">
        <v>674</v>
      </c>
      <c r="E198" t="s">
        <v>644</v>
      </c>
      <c r="F198" t="s">
        <v>901</v>
      </c>
      <c r="G198" t="s">
        <v>676</v>
      </c>
    </row>
    <row r="199" spans="1:7" ht="15" hidden="1" customHeight="1" x14ac:dyDescent="0.25">
      <c r="A199" t="s">
        <v>926</v>
      </c>
      <c r="B199" t="s">
        <v>16</v>
      </c>
      <c r="C199" s="137" t="s">
        <v>927</v>
      </c>
      <c r="D199" t="s">
        <v>674</v>
      </c>
      <c r="E199" t="s">
        <v>644</v>
      </c>
      <c r="F199" t="s">
        <v>901</v>
      </c>
      <c r="G199" t="s">
        <v>676</v>
      </c>
    </row>
    <row r="200" spans="1:7" ht="15" hidden="1" customHeight="1" x14ac:dyDescent="0.25">
      <c r="A200" t="s">
        <v>928</v>
      </c>
      <c r="B200" t="s">
        <v>16</v>
      </c>
      <c r="C200" s="137" t="s">
        <v>929</v>
      </c>
      <c r="D200" t="s">
        <v>674</v>
      </c>
      <c r="E200" t="s">
        <v>644</v>
      </c>
      <c r="F200" t="s">
        <v>901</v>
      </c>
      <c r="G200" t="s">
        <v>676</v>
      </c>
    </row>
    <row r="201" spans="1:7" ht="15" hidden="1" customHeight="1" x14ac:dyDescent="0.25">
      <c r="A201" t="s">
        <v>930</v>
      </c>
      <c r="B201" t="s">
        <v>16</v>
      </c>
      <c r="C201" s="137" t="s">
        <v>931</v>
      </c>
      <c r="D201" t="s">
        <v>674</v>
      </c>
      <c r="E201" t="s">
        <v>644</v>
      </c>
      <c r="F201" t="s">
        <v>901</v>
      </c>
      <c r="G201" t="s">
        <v>676</v>
      </c>
    </row>
    <row r="202" spans="1:7" ht="15" hidden="1" customHeight="1" x14ac:dyDescent="0.25">
      <c r="A202" s="135" t="s">
        <v>932</v>
      </c>
      <c r="B202" s="135" t="s">
        <v>16</v>
      </c>
      <c r="C202" s="130" t="s">
        <v>933</v>
      </c>
      <c r="D202" t="s">
        <v>674</v>
      </c>
      <c r="E202" t="s">
        <v>644</v>
      </c>
      <c r="F202" t="s">
        <v>901</v>
      </c>
      <c r="G202" t="s">
        <v>676</v>
      </c>
    </row>
    <row r="203" spans="1:7" ht="15" hidden="1" customHeight="1" x14ac:dyDescent="0.25">
      <c r="A203" t="s">
        <v>934</v>
      </c>
      <c r="B203" t="s">
        <v>16</v>
      </c>
      <c r="C203" s="130" t="s">
        <v>935</v>
      </c>
      <c r="D203" t="s">
        <v>674</v>
      </c>
      <c r="E203" t="s">
        <v>644</v>
      </c>
      <c r="F203" t="s">
        <v>901</v>
      </c>
      <c r="G203" t="s">
        <v>676</v>
      </c>
    </row>
    <row r="204" spans="1:7" ht="15" hidden="1" customHeight="1" x14ac:dyDescent="0.25">
      <c r="A204" t="s">
        <v>936</v>
      </c>
      <c r="B204" t="s">
        <v>16</v>
      </c>
      <c r="C204" s="130" t="s">
        <v>937</v>
      </c>
      <c r="D204" t="s">
        <v>674</v>
      </c>
      <c r="E204" t="s">
        <v>644</v>
      </c>
      <c r="F204" t="s">
        <v>901</v>
      </c>
      <c r="G204" t="s">
        <v>676</v>
      </c>
    </row>
    <row r="205" spans="1:7" ht="15" hidden="1" customHeight="1" x14ac:dyDescent="0.25">
      <c r="A205" t="s">
        <v>938</v>
      </c>
      <c r="B205" t="s">
        <v>16</v>
      </c>
      <c r="C205" s="130" t="s">
        <v>939</v>
      </c>
      <c r="D205" t="s">
        <v>674</v>
      </c>
      <c r="E205" t="s">
        <v>644</v>
      </c>
      <c r="F205" t="s">
        <v>901</v>
      </c>
      <c r="G205" t="s">
        <v>676</v>
      </c>
    </row>
    <row r="206" spans="1:7" ht="15" hidden="1" customHeight="1" x14ac:dyDescent="0.25">
      <c r="A206" t="s">
        <v>940</v>
      </c>
      <c r="B206" t="s">
        <v>16</v>
      </c>
      <c r="C206" s="137" t="s">
        <v>941</v>
      </c>
      <c r="D206" t="s">
        <v>674</v>
      </c>
      <c r="E206" t="s">
        <v>644</v>
      </c>
      <c r="F206" t="s">
        <v>901</v>
      </c>
      <c r="G206" t="s">
        <v>676</v>
      </c>
    </row>
    <row r="207" spans="1:7" ht="15" hidden="1" customHeight="1" x14ac:dyDescent="0.25">
      <c r="A207" t="s">
        <v>384</v>
      </c>
      <c r="B207" t="s">
        <v>16</v>
      </c>
      <c r="C207" s="137" t="s">
        <v>383</v>
      </c>
      <c r="D207" t="s">
        <v>674</v>
      </c>
      <c r="E207" t="s">
        <v>644</v>
      </c>
      <c r="F207" t="s">
        <v>901</v>
      </c>
      <c r="G207" t="s">
        <v>676</v>
      </c>
    </row>
    <row r="208" spans="1:7" ht="15" hidden="1" customHeight="1" x14ac:dyDescent="0.25">
      <c r="A208" t="s">
        <v>349</v>
      </c>
      <c r="B208" t="s">
        <v>16</v>
      </c>
      <c r="C208" s="137" t="s">
        <v>348</v>
      </c>
      <c r="D208" t="s">
        <v>674</v>
      </c>
      <c r="E208" t="s">
        <v>644</v>
      </c>
      <c r="F208" t="s">
        <v>901</v>
      </c>
      <c r="G208" t="s">
        <v>676</v>
      </c>
    </row>
    <row r="209" spans="1:7" ht="15" hidden="1" customHeight="1" x14ac:dyDescent="0.25">
      <c r="A209" t="s">
        <v>942</v>
      </c>
      <c r="B209" t="s">
        <v>16</v>
      </c>
      <c r="C209" s="137" t="s">
        <v>943</v>
      </c>
      <c r="D209" t="s">
        <v>674</v>
      </c>
      <c r="E209" t="s">
        <v>644</v>
      </c>
      <c r="F209" t="s">
        <v>901</v>
      </c>
      <c r="G209" t="s">
        <v>676</v>
      </c>
    </row>
    <row r="210" spans="1:7" ht="15" hidden="1" customHeight="1" x14ac:dyDescent="0.25">
      <c r="A210" t="s">
        <v>944</v>
      </c>
      <c r="B210" t="s">
        <v>16</v>
      </c>
      <c r="C210" s="137" t="s">
        <v>945</v>
      </c>
      <c r="D210" t="s">
        <v>674</v>
      </c>
      <c r="E210" t="s">
        <v>644</v>
      </c>
      <c r="F210" t="s">
        <v>901</v>
      </c>
      <c r="G210" t="s">
        <v>676</v>
      </c>
    </row>
    <row r="211" spans="1:7" ht="15" hidden="1" customHeight="1" x14ac:dyDescent="0.25">
      <c r="A211" t="s">
        <v>946</v>
      </c>
      <c r="B211" t="s">
        <v>16</v>
      </c>
      <c r="C211" s="265" t="s">
        <v>947</v>
      </c>
      <c r="D211" t="s">
        <v>674</v>
      </c>
      <c r="E211" t="s">
        <v>644</v>
      </c>
      <c r="F211" t="s">
        <v>901</v>
      </c>
      <c r="G211" t="s">
        <v>676</v>
      </c>
    </row>
    <row r="212" spans="1:7" ht="15" hidden="1" customHeight="1" x14ac:dyDescent="0.25">
      <c r="A212" t="s">
        <v>948</v>
      </c>
      <c r="B212" t="s">
        <v>16</v>
      </c>
      <c r="C212" s="130" t="s">
        <v>949</v>
      </c>
      <c r="D212" t="s">
        <v>674</v>
      </c>
      <c r="E212" t="s">
        <v>644</v>
      </c>
      <c r="F212" t="s">
        <v>901</v>
      </c>
      <c r="G212" t="s">
        <v>676</v>
      </c>
    </row>
    <row r="213" spans="1:7" ht="15" hidden="1" customHeight="1" x14ac:dyDescent="0.25">
      <c r="A213" s="135" t="s">
        <v>950</v>
      </c>
      <c r="B213" t="s">
        <v>16</v>
      </c>
      <c r="C213" s="130" t="s">
        <v>951</v>
      </c>
      <c r="D213" t="s">
        <v>674</v>
      </c>
      <c r="E213" t="s">
        <v>644</v>
      </c>
      <c r="F213" t="s">
        <v>901</v>
      </c>
      <c r="G213" t="s">
        <v>676</v>
      </c>
    </row>
    <row r="214" spans="1:7" ht="15" hidden="1" customHeight="1" x14ac:dyDescent="0.25">
      <c r="A214" s="135" t="s">
        <v>952</v>
      </c>
      <c r="B214" t="s">
        <v>16</v>
      </c>
      <c r="C214" s="130" t="s">
        <v>953</v>
      </c>
      <c r="D214" t="s">
        <v>674</v>
      </c>
      <c r="E214" t="s">
        <v>644</v>
      </c>
      <c r="F214" t="s">
        <v>901</v>
      </c>
      <c r="G214" t="s">
        <v>676</v>
      </c>
    </row>
    <row r="215" spans="1:7" ht="15" hidden="1" customHeight="1" x14ac:dyDescent="0.25">
      <c r="A215" s="135" t="s">
        <v>954</v>
      </c>
      <c r="B215" t="s">
        <v>16</v>
      </c>
      <c r="C215" s="266" t="s">
        <v>955</v>
      </c>
      <c r="D215" t="s">
        <v>674</v>
      </c>
      <c r="E215" t="s">
        <v>644</v>
      </c>
      <c r="F215" t="s">
        <v>901</v>
      </c>
      <c r="G215" t="s">
        <v>676</v>
      </c>
    </row>
    <row r="216" spans="1:7" ht="15" hidden="1" customHeight="1" x14ac:dyDescent="0.25">
      <c r="A216" t="s">
        <v>956</v>
      </c>
      <c r="B216" t="s">
        <v>16</v>
      </c>
      <c r="C216" s="266" t="s">
        <v>957</v>
      </c>
      <c r="D216" t="s">
        <v>674</v>
      </c>
      <c r="E216" t="s">
        <v>644</v>
      </c>
      <c r="F216" t="s">
        <v>901</v>
      </c>
      <c r="G216" t="s">
        <v>676</v>
      </c>
    </row>
    <row r="217" spans="1:7" ht="15" hidden="1" customHeight="1" x14ac:dyDescent="0.25">
      <c r="A217" t="s">
        <v>364</v>
      </c>
      <c r="B217" t="s">
        <v>16</v>
      </c>
      <c r="C217" s="130" t="s">
        <v>958</v>
      </c>
      <c r="D217" t="s">
        <v>674</v>
      </c>
      <c r="E217" t="s">
        <v>644</v>
      </c>
      <c r="F217" t="s">
        <v>901</v>
      </c>
      <c r="G217" t="s">
        <v>676</v>
      </c>
    </row>
    <row r="218" spans="1:7" ht="15" hidden="1" customHeight="1" x14ac:dyDescent="0.25">
      <c r="A218" t="s">
        <v>959</v>
      </c>
      <c r="B218" t="s">
        <v>16</v>
      </c>
      <c r="C218" s="130" t="s">
        <v>960</v>
      </c>
      <c r="D218" t="s">
        <v>674</v>
      </c>
      <c r="E218" t="s">
        <v>644</v>
      </c>
      <c r="F218" t="s">
        <v>901</v>
      </c>
      <c r="G218" t="s">
        <v>676</v>
      </c>
    </row>
    <row r="219" spans="1:7" ht="15" hidden="1" customHeight="1" x14ac:dyDescent="0.25">
      <c r="A219" t="s">
        <v>402</v>
      </c>
      <c r="B219" t="s">
        <v>16</v>
      </c>
      <c r="C219" s="130" t="s">
        <v>401</v>
      </c>
      <c r="D219" t="s">
        <v>674</v>
      </c>
      <c r="E219" t="s">
        <v>644</v>
      </c>
      <c r="F219" t="s">
        <v>901</v>
      </c>
      <c r="G219" t="s">
        <v>676</v>
      </c>
    </row>
    <row r="220" spans="1:7" ht="15" hidden="1" customHeight="1" x14ac:dyDescent="0.25">
      <c r="A220" t="s">
        <v>961</v>
      </c>
      <c r="B220" t="s">
        <v>16</v>
      </c>
      <c r="C220" s="130" t="s">
        <v>962</v>
      </c>
      <c r="D220" t="s">
        <v>674</v>
      </c>
      <c r="E220" t="s">
        <v>644</v>
      </c>
      <c r="F220" t="s">
        <v>901</v>
      </c>
      <c r="G220" t="s">
        <v>676</v>
      </c>
    </row>
    <row r="221" spans="1:7" ht="15" hidden="1" customHeight="1" x14ac:dyDescent="0.25">
      <c r="A221" t="s">
        <v>963</v>
      </c>
      <c r="B221" t="s">
        <v>16</v>
      </c>
      <c r="C221" s="130" t="s">
        <v>964</v>
      </c>
      <c r="D221" t="s">
        <v>674</v>
      </c>
      <c r="E221" t="s">
        <v>644</v>
      </c>
      <c r="F221" t="s">
        <v>901</v>
      </c>
      <c r="G221" t="s">
        <v>676</v>
      </c>
    </row>
    <row r="222" spans="1:7" ht="15" hidden="1" customHeight="1" x14ac:dyDescent="0.25">
      <c r="A222" t="s">
        <v>965</v>
      </c>
      <c r="B222" t="s">
        <v>16</v>
      </c>
      <c r="C222" s="130" t="s">
        <v>966</v>
      </c>
      <c r="D222" t="s">
        <v>674</v>
      </c>
      <c r="E222" t="s">
        <v>644</v>
      </c>
      <c r="F222" t="s">
        <v>901</v>
      </c>
      <c r="G222" t="s">
        <v>676</v>
      </c>
    </row>
    <row r="223" spans="1:7" ht="15" hidden="1" customHeight="1" x14ac:dyDescent="0.25">
      <c r="A223" t="s">
        <v>967</v>
      </c>
      <c r="B223" t="s">
        <v>16</v>
      </c>
      <c r="C223" s="130" t="s">
        <v>968</v>
      </c>
      <c r="D223" t="s">
        <v>674</v>
      </c>
      <c r="E223" t="s">
        <v>644</v>
      </c>
      <c r="F223" t="s">
        <v>901</v>
      </c>
      <c r="G223" t="s">
        <v>676</v>
      </c>
    </row>
    <row r="224" spans="1:7" ht="15" hidden="1" customHeight="1" x14ac:dyDescent="0.25">
      <c r="A224" t="s">
        <v>406</v>
      </c>
      <c r="B224" t="s">
        <v>16</v>
      </c>
      <c r="C224" s="130" t="s">
        <v>405</v>
      </c>
      <c r="D224" t="s">
        <v>674</v>
      </c>
      <c r="E224" t="s">
        <v>644</v>
      </c>
      <c r="F224" t="s">
        <v>901</v>
      </c>
      <c r="G224" t="s">
        <v>676</v>
      </c>
    </row>
    <row r="225" spans="1:7" ht="15" hidden="1" customHeight="1" x14ac:dyDescent="0.25">
      <c r="A225" t="s">
        <v>969</v>
      </c>
      <c r="B225" t="s">
        <v>16</v>
      </c>
      <c r="C225" s="130" t="s">
        <v>970</v>
      </c>
      <c r="D225" t="s">
        <v>674</v>
      </c>
      <c r="E225" t="s">
        <v>644</v>
      </c>
      <c r="F225" t="s">
        <v>901</v>
      </c>
      <c r="G225" t="s">
        <v>676</v>
      </c>
    </row>
    <row r="226" spans="1:7" ht="15" hidden="1" customHeight="1" x14ac:dyDescent="0.25">
      <c r="A226" t="s">
        <v>971</v>
      </c>
      <c r="B226" t="s">
        <v>16</v>
      </c>
      <c r="C226" s="264" t="s">
        <v>972</v>
      </c>
      <c r="D226" t="s">
        <v>674</v>
      </c>
      <c r="E226" t="s">
        <v>644</v>
      </c>
      <c r="F226" t="s">
        <v>901</v>
      </c>
      <c r="G226" t="s">
        <v>676</v>
      </c>
    </row>
    <row r="227" spans="1:7" ht="15" hidden="1" customHeight="1" x14ac:dyDescent="0.25">
      <c r="A227" t="s">
        <v>973</v>
      </c>
      <c r="B227" t="s">
        <v>16</v>
      </c>
      <c r="C227" s="264" t="s">
        <v>974</v>
      </c>
      <c r="D227" t="s">
        <v>674</v>
      </c>
      <c r="E227" t="s">
        <v>644</v>
      </c>
      <c r="F227" t="s">
        <v>901</v>
      </c>
      <c r="G227" t="s">
        <v>676</v>
      </c>
    </row>
    <row r="228" spans="1:7" ht="15" hidden="1" customHeight="1" x14ac:dyDescent="0.25">
      <c r="A228" t="s">
        <v>975</v>
      </c>
      <c r="B228" t="s">
        <v>16</v>
      </c>
      <c r="C228" s="264" t="s">
        <v>976</v>
      </c>
      <c r="D228" t="s">
        <v>674</v>
      </c>
      <c r="E228" t="s">
        <v>644</v>
      </c>
      <c r="F228" t="s">
        <v>901</v>
      </c>
      <c r="G228" t="s">
        <v>676</v>
      </c>
    </row>
    <row r="229" spans="1:7" ht="15" hidden="1" customHeight="1" x14ac:dyDescent="0.25">
      <c r="A229" t="s">
        <v>977</v>
      </c>
      <c r="B229" t="s">
        <v>16</v>
      </c>
      <c r="C229" s="264" t="s">
        <v>978</v>
      </c>
      <c r="D229" t="s">
        <v>674</v>
      </c>
      <c r="E229" t="s">
        <v>644</v>
      </c>
      <c r="F229" t="s">
        <v>901</v>
      </c>
      <c r="G229" t="s">
        <v>676</v>
      </c>
    </row>
    <row r="230" spans="1:7" ht="15" hidden="1" customHeight="1" x14ac:dyDescent="0.25">
      <c r="A230" t="s">
        <v>979</v>
      </c>
      <c r="B230" t="s">
        <v>16</v>
      </c>
      <c r="C230" s="264" t="s">
        <v>980</v>
      </c>
      <c r="D230" t="s">
        <v>674</v>
      </c>
      <c r="E230" t="s">
        <v>644</v>
      </c>
      <c r="F230" t="s">
        <v>901</v>
      </c>
      <c r="G230" t="s">
        <v>676</v>
      </c>
    </row>
    <row r="231" spans="1:7" ht="15" hidden="1" customHeight="1" x14ac:dyDescent="0.25">
      <c r="A231" t="s">
        <v>981</v>
      </c>
      <c r="B231" t="s">
        <v>16</v>
      </c>
      <c r="C231" s="264" t="s">
        <v>982</v>
      </c>
      <c r="D231" t="s">
        <v>674</v>
      </c>
      <c r="E231" t="s">
        <v>644</v>
      </c>
      <c r="F231" t="s">
        <v>901</v>
      </c>
      <c r="G231" t="s">
        <v>676</v>
      </c>
    </row>
    <row r="232" spans="1:7" ht="15" hidden="1" customHeight="1" x14ac:dyDescent="0.25">
      <c r="A232" t="s">
        <v>983</v>
      </c>
      <c r="B232" t="s">
        <v>16</v>
      </c>
      <c r="C232" s="264" t="s">
        <v>984</v>
      </c>
      <c r="D232" t="s">
        <v>674</v>
      </c>
      <c r="E232" t="s">
        <v>644</v>
      </c>
      <c r="F232" t="s">
        <v>901</v>
      </c>
      <c r="G232" t="s">
        <v>676</v>
      </c>
    </row>
    <row r="233" spans="1:7" ht="15" hidden="1" customHeight="1" x14ac:dyDescent="0.25">
      <c r="A233" t="s">
        <v>985</v>
      </c>
      <c r="B233" t="s">
        <v>16</v>
      </c>
      <c r="C233" s="130" t="s">
        <v>986</v>
      </c>
      <c r="D233" t="s">
        <v>674</v>
      </c>
      <c r="E233" t="s">
        <v>644</v>
      </c>
      <c r="F233" t="s">
        <v>701</v>
      </c>
      <c r="G233" t="s">
        <v>676</v>
      </c>
    </row>
    <row r="234" spans="1:7" ht="15" hidden="1" customHeight="1" x14ac:dyDescent="0.25">
      <c r="A234" t="s">
        <v>987</v>
      </c>
      <c r="B234" t="s">
        <v>16</v>
      </c>
      <c r="C234" s="130" t="s">
        <v>988</v>
      </c>
      <c r="D234" t="s">
        <v>674</v>
      </c>
      <c r="E234" t="s">
        <v>644</v>
      </c>
      <c r="F234" t="s">
        <v>901</v>
      </c>
      <c r="G234" t="s">
        <v>676</v>
      </c>
    </row>
    <row r="235" spans="1:7" ht="15" hidden="1" customHeight="1" x14ac:dyDescent="0.25">
      <c r="A235" t="s">
        <v>989</v>
      </c>
      <c r="B235" t="s">
        <v>16</v>
      </c>
      <c r="C235" s="130" t="s">
        <v>990</v>
      </c>
      <c r="D235" t="s">
        <v>674</v>
      </c>
      <c r="E235" t="s">
        <v>644</v>
      </c>
      <c r="F235" t="s">
        <v>901</v>
      </c>
      <c r="G235" t="s">
        <v>676</v>
      </c>
    </row>
    <row r="236" spans="1:7" ht="15" hidden="1" customHeight="1" x14ac:dyDescent="0.25">
      <c r="A236" t="s">
        <v>370</v>
      </c>
      <c r="B236" t="s">
        <v>16</v>
      </c>
      <c r="C236" s="130" t="s">
        <v>369</v>
      </c>
      <c r="D236" t="s">
        <v>674</v>
      </c>
      <c r="E236" t="s">
        <v>644</v>
      </c>
      <c r="F236" t="s">
        <v>901</v>
      </c>
      <c r="G236" t="s">
        <v>676</v>
      </c>
    </row>
    <row r="237" spans="1:7" ht="15" hidden="1" customHeight="1" x14ac:dyDescent="0.25">
      <c r="A237" t="s">
        <v>991</v>
      </c>
      <c r="B237" t="s">
        <v>16</v>
      </c>
      <c r="C237" s="130" t="s">
        <v>992</v>
      </c>
      <c r="D237" t="s">
        <v>674</v>
      </c>
      <c r="E237" t="s">
        <v>644</v>
      </c>
      <c r="F237" t="s">
        <v>901</v>
      </c>
      <c r="G237" t="s">
        <v>676</v>
      </c>
    </row>
    <row r="238" spans="1:7" ht="15" hidden="1" customHeight="1" x14ac:dyDescent="0.25">
      <c r="A238" t="s">
        <v>993</v>
      </c>
      <c r="B238" t="s">
        <v>16</v>
      </c>
      <c r="C238" s="267" t="s">
        <v>994</v>
      </c>
      <c r="D238" t="s">
        <v>674</v>
      </c>
      <c r="E238" t="s">
        <v>644</v>
      </c>
      <c r="F238" t="s">
        <v>901</v>
      </c>
      <c r="G238" t="s">
        <v>676</v>
      </c>
    </row>
    <row r="239" spans="1:7" ht="15" hidden="1" customHeight="1" x14ac:dyDescent="0.25">
      <c r="A239" t="s">
        <v>362</v>
      </c>
      <c r="B239" t="s">
        <v>16</v>
      </c>
      <c r="C239" s="267" t="s">
        <v>361</v>
      </c>
      <c r="D239" t="s">
        <v>674</v>
      </c>
      <c r="E239" t="s">
        <v>644</v>
      </c>
      <c r="F239" t="s">
        <v>901</v>
      </c>
      <c r="G239" t="s">
        <v>676</v>
      </c>
    </row>
    <row r="240" spans="1:7" ht="15" hidden="1" customHeight="1" x14ac:dyDescent="0.25">
      <c r="A240" t="s">
        <v>995</v>
      </c>
      <c r="B240" t="s">
        <v>16</v>
      </c>
      <c r="C240" s="130" t="s">
        <v>996</v>
      </c>
      <c r="D240" t="s">
        <v>674</v>
      </c>
      <c r="E240" t="s">
        <v>644</v>
      </c>
      <c r="F240" t="s">
        <v>901</v>
      </c>
      <c r="G240" t="s">
        <v>676</v>
      </c>
    </row>
    <row r="241" spans="1:7" ht="15" hidden="1" customHeight="1" x14ac:dyDescent="0.25">
      <c r="A241" t="s">
        <v>408</v>
      </c>
      <c r="B241" t="s">
        <v>16</v>
      </c>
      <c r="C241" s="130" t="s">
        <v>407</v>
      </c>
      <c r="D241" t="s">
        <v>674</v>
      </c>
      <c r="E241" t="s">
        <v>644</v>
      </c>
      <c r="F241" t="s">
        <v>901</v>
      </c>
      <c r="G241" t="s">
        <v>676</v>
      </c>
    </row>
    <row r="242" spans="1:7" ht="15" hidden="1" customHeight="1" x14ac:dyDescent="0.25">
      <c r="A242" s="209" t="s">
        <v>997</v>
      </c>
      <c r="B242" t="s">
        <v>16</v>
      </c>
      <c r="C242" s="209" t="s">
        <v>998</v>
      </c>
      <c r="D242" t="s">
        <v>674</v>
      </c>
      <c r="E242" t="s">
        <v>644</v>
      </c>
      <c r="F242" t="s">
        <v>901</v>
      </c>
      <c r="G242" t="s">
        <v>676</v>
      </c>
    </row>
    <row r="243" spans="1:7" ht="15" hidden="1" customHeight="1" x14ac:dyDescent="0.25">
      <c r="A243" s="130" t="s">
        <v>999</v>
      </c>
      <c r="B243" t="s">
        <v>16</v>
      </c>
      <c r="C243" s="137" t="s">
        <v>1000</v>
      </c>
      <c r="D243" t="s">
        <v>674</v>
      </c>
      <c r="E243" t="s">
        <v>644</v>
      </c>
      <c r="F243" t="s">
        <v>901</v>
      </c>
      <c r="G243" t="s">
        <v>676</v>
      </c>
    </row>
    <row r="244" spans="1:7" ht="15" hidden="1" customHeight="1" x14ac:dyDescent="0.25">
      <c r="A244" s="129" t="s">
        <v>1001</v>
      </c>
      <c r="B244" t="s">
        <v>16</v>
      </c>
      <c r="C244" s="137" t="s">
        <v>1002</v>
      </c>
      <c r="D244" t="s">
        <v>674</v>
      </c>
      <c r="E244" t="s">
        <v>644</v>
      </c>
      <c r="F244" t="s">
        <v>675</v>
      </c>
      <c r="G244" t="s">
        <v>676</v>
      </c>
    </row>
    <row r="245" spans="1:7" ht="15" hidden="1" customHeight="1" x14ac:dyDescent="0.25">
      <c r="A245" s="129" t="s">
        <v>1003</v>
      </c>
      <c r="B245" t="s">
        <v>16</v>
      </c>
      <c r="C245" s="137" t="s">
        <v>1004</v>
      </c>
      <c r="D245" t="s">
        <v>674</v>
      </c>
      <c r="E245" t="s">
        <v>644</v>
      </c>
      <c r="F245" t="s">
        <v>901</v>
      </c>
      <c r="G245" t="s">
        <v>676</v>
      </c>
    </row>
    <row r="246" spans="1:7" ht="15" hidden="1" customHeight="1" x14ac:dyDescent="0.25">
      <c r="A246" s="130" t="s">
        <v>1005</v>
      </c>
      <c r="B246" t="s">
        <v>16</v>
      </c>
      <c r="C246" s="137" t="s">
        <v>1006</v>
      </c>
      <c r="D246" t="s">
        <v>674</v>
      </c>
      <c r="E246" t="s">
        <v>644</v>
      </c>
      <c r="F246" t="s">
        <v>901</v>
      </c>
      <c r="G246" t="s">
        <v>676</v>
      </c>
    </row>
    <row r="247" spans="1:7" ht="15" hidden="1" customHeight="1" x14ac:dyDescent="0.25">
      <c r="A247" s="209" t="s">
        <v>1007</v>
      </c>
      <c r="B247" t="s">
        <v>16</v>
      </c>
      <c r="C247" s="209" t="s">
        <v>1008</v>
      </c>
      <c r="D247" t="s">
        <v>674</v>
      </c>
      <c r="E247" t="s">
        <v>644</v>
      </c>
      <c r="F247" t="s">
        <v>901</v>
      </c>
      <c r="G247" t="s">
        <v>676</v>
      </c>
    </row>
    <row r="248" spans="1:7" ht="15" hidden="1" customHeight="1" x14ac:dyDescent="0.25">
      <c r="A248" s="209" t="s">
        <v>1009</v>
      </c>
      <c r="B248" t="s">
        <v>16</v>
      </c>
      <c r="C248" s="209" t="s">
        <v>1010</v>
      </c>
      <c r="D248" t="s">
        <v>674</v>
      </c>
      <c r="E248" t="s">
        <v>644</v>
      </c>
      <c r="F248" t="s">
        <v>901</v>
      </c>
      <c r="G248" t="s">
        <v>676</v>
      </c>
    </row>
    <row r="249" spans="1:7" ht="15" hidden="1" customHeight="1" x14ac:dyDescent="0.25">
      <c r="A249" s="209" t="s">
        <v>418</v>
      </c>
      <c r="B249" t="s">
        <v>16</v>
      </c>
      <c r="C249" s="209" t="s">
        <v>417</v>
      </c>
      <c r="D249" t="s">
        <v>674</v>
      </c>
      <c r="E249" t="s">
        <v>644</v>
      </c>
      <c r="F249" t="s">
        <v>901</v>
      </c>
      <c r="G249" t="s">
        <v>676</v>
      </c>
    </row>
    <row r="250" spans="1:7" ht="15" hidden="1" customHeight="1" x14ac:dyDescent="0.25">
      <c r="A250" s="209" t="s">
        <v>1011</v>
      </c>
      <c r="B250" t="s">
        <v>16</v>
      </c>
      <c r="C250" s="209" t="s">
        <v>1012</v>
      </c>
      <c r="D250" t="s">
        <v>674</v>
      </c>
      <c r="E250" t="s">
        <v>644</v>
      </c>
      <c r="F250" t="s">
        <v>901</v>
      </c>
      <c r="G250" t="s">
        <v>676</v>
      </c>
    </row>
    <row r="251" spans="1:7" ht="15" hidden="1" customHeight="1" x14ac:dyDescent="0.25">
      <c r="A251" s="130" t="s">
        <v>339</v>
      </c>
      <c r="B251" t="s">
        <v>16</v>
      </c>
      <c r="C251" s="209" t="s">
        <v>338</v>
      </c>
      <c r="D251" t="s">
        <v>674</v>
      </c>
      <c r="E251" t="s">
        <v>644</v>
      </c>
      <c r="F251" t="s">
        <v>901</v>
      </c>
      <c r="G251" t="s">
        <v>676</v>
      </c>
    </row>
    <row r="252" spans="1:7" ht="15" hidden="1" customHeight="1" x14ac:dyDescent="0.25">
      <c r="A252" s="130" t="s">
        <v>1013</v>
      </c>
      <c r="B252" t="s">
        <v>16</v>
      </c>
      <c r="C252" s="209" t="s">
        <v>1014</v>
      </c>
      <c r="D252" t="s">
        <v>674</v>
      </c>
      <c r="E252" t="s">
        <v>644</v>
      </c>
      <c r="F252" t="s">
        <v>901</v>
      </c>
      <c r="G252" t="s">
        <v>676</v>
      </c>
    </row>
    <row r="253" spans="1:7" ht="15" hidden="1" customHeight="1" x14ac:dyDescent="0.25">
      <c r="A253" s="130" t="s">
        <v>1015</v>
      </c>
      <c r="B253" t="s">
        <v>16</v>
      </c>
      <c r="C253" s="209" t="s">
        <v>1016</v>
      </c>
      <c r="D253" t="s">
        <v>674</v>
      </c>
      <c r="E253" t="s">
        <v>644</v>
      </c>
      <c r="F253" t="s">
        <v>901</v>
      </c>
      <c r="G253" t="s">
        <v>676</v>
      </c>
    </row>
    <row r="254" spans="1:7" ht="15" hidden="1" customHeight="1" x14ac:dyDescent="0.25">
      <c r="A254" s="130" t="s">
        <v>1017</v>
      </c>
      <c r="B254" t="s">
        <v>16</v>
      </c>
      <c r="C254" s="271" t="s">
        <v>1018</v>
      </c>
      <c r="D254" t="s">
        <v>674</v>
      </c>
      <c r="E254" t="s">
        <v>644</v>
      </c>
      <c r="F254" t="s">
        <v>901</v>
      </c>
      <c r="G254" t="s">
        <v>676</v>
      </c>
    </row>
    <row r="255" spans="1:7" ht="15" hidden="1" customHeight="1" x14ac:dyDescent="0.25">
      <c r="A255" s="130" t="s">
        <v>1019</v>
      </c>
      <c r="B255" t="s">
        <v>16</v>
      </c>
      <c r="C255" s="130" t="s">
        <v>1020</v>
      </c>
      <c r="D255" t="s">
        <v>674</v>
      </c>
      <c r="E255" t="s">
        <v>644</v>
      </c>
      <c r="F255" t="s">
        <v>901</v>
      </c>
      <c r="G255" t="s">
        <v>676</v>
      </c>
    </row>
    <row r="256" spans="1:7" ht="15" hidden="1" customHeight="1" x14ac:dyDescent="0.25">
      <c r="A256" s="130" t="s">
        <v>1021</v>
      </c>
      <c r="B256" t="s">
        <v>16</v>
      </c>
      <c r="C256" s="130" t="s">
        <v>1022</v>
      </c>
      <c r="D256" t="s">
        <v>674</v>
      </c>
      <c r="E256" t="s">
        <v>644</v>
      </c>
      <c r="F256" t="s">
        <v>901</v>
      </c>
      <c r="G256" t="s">
        <v>676</v>
      </c>
    </row>
    <row r="257" spans="1:7" ht="15" hidden="1" customHeight="1" x14ac:dyDescent="0.25">
      <c r="A257" s="130" t="s">
        <v>1023</v>
      </c>
      <c r="B257" t="s">
        <v>16</v>
      </c>
      <c r="C257" s="130" t="s">
        <v>1024</v>
      </c>
      <c r="D257" t="s">
        <v>674</v>
      </c>
      <c r="E257" t="s">
        <v>644</v>
      </c>
      <c r="F257" t="s">
        <v>901</v>
      </c>
      <c r="G257" t="s">
        <v>676</v>
      </c>
    </row>
    <row r="258" spans="1:7" ht="15" hidden="1" customHeight="1" x14ac:dyDescent="0.25">
      <c r="A258" s="199" t="s">
        <v>1025</v>
      </c>
      <c r="B258" t="s">
        <v>16</v>
      </c>
      <c r="C258" s="130" t="s">
        <v>1026</v>
      </c>
      <c r="D258" t="s">
        <v>674</v>
      </c>
      <c r="E258" t="s">
        <v>644</v>
      </c>
      <c r="F258" t="s">
        <v>901</v>
      </c>
      <c r="G258" t="s">
        <v>676</v>
      </c>
    </row>
    <row r="259" spans="1:7" ht="15" hidden="1" customHeight="1" x14ac:dyDescent="0.25">
      <c r="A259" s="130" t="s">
        <v>1027</v>
      </c>
      <c r="B259" t="s">
        <v>16</v>
      </c>
      <c r="C259" s="130" t="s">
        <v>1028</v>
      </c>
      <c r="D259" t="s">
        <v>674</v>
      </c>
      <c r="E259" t="s">
        <v>644</v>
      </c>
      <c r="F259" t="s">
        <v>901</v>
      </c>
      <c r="G259" t="s">
        <v>676</v>
      </c>
    </row>
    <row r="260" spans="1:7" ht="15" hidden="1" customHeight="1" x14ac:dyDescent="0.25">
      <c r="A260" s="130" t="s">
        <v>353</v>
      </c>
      <c r="B260" t="s">
        <v>16</v>
      </c>
      <c r="C260" s="130" t="s">
        <v>352</v>
      </c>
      <c r="D260" t="s">
        <v>674</v>
      </c>
      <c r="E260" t="s">
        <v>644</v>
      </c>
      <c r="F260" t="s">
        <v>901</v>
      </c>
      <c r="G260" t="s">
        <v>676</v>
      </c>
    </row>
    <row r="261" spans="1:7" ht="15" hidden="1" customHeight="1" x14ac:dyDescent="0.25">
      <c r="A261" s="209" t="s">
        <v>1029</v>
      </c>
      <c r="B261" t="s">
        <v>16</v>
      </c>
      <c r="C261" s="209" t="s">
        <v>1030</v>
      </c>
      <c r="D261" t="s">
        <v>674</v>
      </c>
      <c r="E261" t="s">
        <v>644</v>
      </c>
      <c r="F261" t="s">
        <v>901</v>
      </c>
      <c r="G261" t="s">
        <v>676</v>
      </c>
    </row>
    <row r="262" spans="1:7" ht="15" hidden="1" customHeight="1" x14ac:dyDescent="0.25">
      <c r="A262" s="209" t="s">
        <v>1031</v>
      </c>
      <c r="B262" t="s">
        <v>16</v>
      </c>
      <c r="C262" s="209" t="s">
        <v>1032</v>
      </c>
      <c r="D262" t="s">
        <v>674</v>
      </c>
      <c r="E262" t="s">
        <v>644</v>
      </c>
      <c r="F262" t="s">
        <v>901</v>
      </c>
      <c r="G262" t="s">
        <v>676</v>
      </c>
    </row>
    <row r="263" spans="1:7" ht="15" hidden="1" customHeight="1" x14ac:dyDescent="0.25">
      <c r="A263" s="209" t="s">
        <v>1033</v>
      </c>
      <c r="B263" t="s">
        <v>16</v>
      </c>
      <c r="C263" s="209" t="s">
        <v>1034</v>
      </c>
      <c r="D263" t="s">
        <v>674</v>
      </c>
      <c r="E263" t="s">
        <v>644</v>
      </c>
      <c r="F263" t="s">
        <v>901</v>
      </c>
      <c r="G263" t="s">
        <v>676</v>
      </c>
    </row>
    <row r="264" spans="1:7" ht="15" hidden="1" customHeight="1" x14ac:dyDescent="0.25">
      <c r="A264" s="209" t="s">
        <v>1035</v>
      </c>
      <c r="B264" t="s">
        <v>16</v>
      </c>
      <c r="C264" s="209" t="s">
        <v>1036</v>
      </c>
      <c r="D264" t="s">
        <v>674</v>
      </c>
      <c r="E264" t="s">
        <v>644</v>
      </c>
      <c r="F264" t="s">
        <v>901</v>
      </c>
      <c r="G264" t="s">
        <v>676</v>
      </c>
    </row>
    <row r="265" spans="1:7" ht="15" hidden="1" customHeight="1" x14ac:dyDescent="0.25">
      <c r="A265" s="209" t="s">
        <v>1037</v>
      </c>
      <c r="B265" t="s">
        <v>16</v>
      </c>
      <c r="C265" s="209" t="s">
        <v>1038</v>
      </c>
      <c r="D265" t="s">
        <v>674</v>
      </c>
      <c r="E265" t="s">
        <v>644</v>
      </c>
      <c r="F265" t="s">
        <v>901</v>
      </c>
      <c r="G265" t="s">
        <v>676</v>
      </c>
    </row>
    <row r="266" spans="1:7" ht="15" hidden="1" customHeight="1" x14ac:dyDescent="0.25">
      <c r="A266" s="130" t="s">
        <v>1039</v>
      </c>
      <c r="B266" t="s">
        <v>16</v>
      </c>
      <c r="C266" s="129" t="s">
        <v>1040</v>
      </c>
      <c r="D266" t="s">
        <v>674</v>
      </c>
      <c r="E266" t="s">
        <v>644</v>
      </c>
      <c r="F266" t="s">
        <v>901</v>
      </c>
      <c r="G266" t="s">
        <v>676</v>
      </c>
    </row>
    <row r="267" spans="1:7" ht="15" hidden="1" customHeight="1" x14ac:dyDescent="0.25">
      <c r="A267" s="130" t="s">
        <v>1041</v>
      </c>
      <c r="B267" t="s">
        <v>16</v>
      </c>
      <c r="C267" s="129" t="s">
        <v>1042</v>
      </c>
      <c r="D267" t="s">
        <v>674</v>
      </c>
      <c r="E267" t="s">
        <v>644</v>
      </c>
      <c r="F267" t="s">
        <v>901</v>
      </c>
      <c r="G267" t="s">
        <v>676</v>
      </c>
    </row>
    <row r="268" spans="1:7" ht="15" hidden="1" customHeight="1" x14ac:dyDescent="0.25">
      <c r="A268" s="209" t="s">
        <v>1043</v>
      </c>
      <c r="B268" t="s">
        <v>16</v>
      </c>
      <c r="C268" s="202" t="s">
        <v>1044</v>
      </c>
      <c r="D268" t="s">
        <v>674</v>
      </c>
      <c r="E268" t="s">
        <v>644</v>
      </c>
      <c r="F268" t="s">
        <v>901</v>
      </c>
      <c r="G268" t="s">
        <v>676</v>
      </c>
    </row>
    <row r="269" spans="1:7" ht="15" hidden="1" customHeight="1" x14ac:dyDescent="0.25">
      <c r="A269" s="209" t="s">
        <v>1045</v>
      </c>
      <c r="B269" t="s">
        <v>16</v>
      </c>
      <c r="C269" s="202" t="s">
        <v>1046</v>
      </c>
      <c r="D269" t="s">
        <v>674</v>
      </c>
      <c r="E269" t="s">
        <v>644</v>
      </c>
      <c r="F269" t="s">
        <v>901</v>
      </c>
      <c r="G269" t="s">
        <v>676</v>
      </c>
    </row>
    <row r="270" spans="1:7" ht="15" hidden="1" customHeight="1" x14ac:dyDescent="0.25">
      <c r="A270" s="209" t="s">
        <v>1047</v>
      </c>
      <c r="B270" t="s">
        <v>16</v>
      </c>
      <c r="C270" s="202" t="s">
        <v>1048</v>
      </c>
      <c r="D270" t="s">
        <v>674</v>
      </c>
      <c r="E270" t="s">
        <v>644</v>
      </c>
      <c r="F270" t="s">
        <v>901</v>
      </c>
      <c r="G270" t="s">
        <v>676</v>
      </c>
    </row>
    <row r="271" spans="1:7" ht="15" hidden="1" customHeight="1" x14ac:dyDescent="0.25">
      <c r="A271" s="209" t="s">
        <v>1049</v>
      </c>
      <c r="B271" t="s">
        <v>16</v>
      </c>
      <c r="C271" s="202" t="s">
        <v>1050</v>
      </c>
      <c r="D271" t="s">
        <v>674</v>
      </c>
      <c r="E271" t="s">
        <v>644</v>
      </c>
      <c r="F271" t="s">
        <v>901</v>
      </c>
      <c r="G271" t="s">
        <v>676</v>
      </c>
    </row>
    <row r="272" spans="1:7" ht="15" hidden="1" customHeight="1" x14ac:dyDescent="0.25">
      <c r="A272" t="s">
        <v>1051</v>
      </c>
      <c r="B272" t="s">
        <v>16</v>
      </c>
      <c r="C272" s="126" t="s">
        <v>1052</v>
      </c>
      <c r="D272" t="s">
        <v>674</v>
      </c>
      <c r="E272" t="s">
        <v>644</v>
      </c>
      <c r="F272" t="s">
        <v>901</v>
      </c>
      <c r="G272" t="s">
        <v>676</v>
      </c>
    </row>
    <row r="273" spans="1:7" ht="15" hidden="1" customHeight="1" x14ac:dyDescent="0.25">
      <c r="A273" t="s">
        <v>355</v>
      </c>
      <c r="B273" t="s">
        <v>16</v>
      </c>
      <c r="C273" s="126" t="s">
        <v>354</v>
      </c>
      <c r="D273" t="s">
        <v>674</v>
      </c>
      <c r="E273" t="s">
        <v>644</v>
      </c>
      <c r="F273" t="s">
        <v>901</v>
      </c>
      <c r="G273" t="s">
        <v>676</v>
      </c>
    </row>
    <row r="274" spans="1:7" ht="15" hidden="1" customHeight="1" x14ac:dyDescent="0.25">
      <c r="A274" t="s">
        <v>1053</v>
      </c>
      <c r="B274" t="s">
        <v>16</v>
      </c>
      <c r="C274" s="126" t="s">
        <v>1054</v>
      </c>
      <c r="D274" t="s">
        <v>674</v>
      </c>
      <c r="E274" t="s">
        <v>644</v>
      </c>
      <c r="F274" t="s">
        <v>901</v>
      </c>
      <c r="G274" t="s">
        <v>676</v>
      </c>
    </row>
    <row r="275" spans="1:7" ht="15" hidden="1" customHeight="1" x14ac:dyDescent="0.25">
      <c r="A275" t="s">
        <v>1055</v>
      </c>
      <c r="B275" t="s">
        <v>16</v>
      </c>
      <c r="C275" s="137" t="s">
        <v>1056</v>
      </c>
      <c r="D275" t="s">
        <v>674</v>
      </c>
      <c r="E275" t="s">
        <v>644</v>
      </c>
      <c r="F275" t="s">
        <v>901</v>
      </c>
      <c r="G275" t="s">
        <v>676</v>
      </c>
    </row>
    <row r="276" spans="1:7" ht="15" hidden="1" customHeight="1" x14ac:dyDescent="0.25">
      <c r="A276" t="s">
        <v>347</v>
      </c>
      <c r="B276" t="s">
        <v>16</v>
      </c>
      <c r="C276" s="137" t="s">
        <v>346</v>
      </c>
      <c r="D276" t="s">
        <v>674</v>
      </c>
      <c r="E276" t="s">
        <v>644</v>
      </c>
      <c r="F276" t="s">
        <v>675</v>
      </c>
      <c r="G276" t="s">
        <v>676</v>
      </c>
    </row>
    <row r="277" spans="1:7" ht="15" hidden="1" customHeight="1" x14ac:dyDescent="0.25">
      <c r="A277" t="s">
        <v>1057</v>
      </c>
      <c r="B277" t="s">
        <v>16</v>
      </c>
      <c r="C277" s="130" t="s">
        <v>1058</v>
      </c>
      <c r="D277" t="s">
        <v>674</v>
      </c>
      <c r="E277" t="s">
        <v>644</v>
      </c>
      <c r="F277" t="s">
        <v>901</v>
      </c>
      <c r="G277" t="s">
        <v>676</v>
      </c>
    </row>
    <row r="278" spans="1:7" ht="15" hidden="1" customHeight="1" x14ac:dyDescent="0.25">
      <c r="A278" t="s">
        <v>1059</v>
      </c>
      <c r="B278" t="s">
        <v>16</v>
      </c>
      <c r="C278" s="209" t="s">
        <v>1060</v>
      </c>
      <c r="D278" t="s">
        <v>674</v>
      </c>
      <c r="E278" t="s">
        <v>644</v>
      </c>
      <c r="F278" t="s">
        <v>901</v>
      </c>
      <c r="G278" t="s">
        <v>676</v>
      </c>
    </row>
    <row r="279" spans="1:7" ht="15" hidden="1" customHeight="1" x14ac:dyDescent="0.25">
      <c r="A279" t="s">
        <v>394</v>
      </c>
      <c r="B279" t="s">
        <v>16</v>
      </c>
      <c r="C279" s="209" t="s">
        <v>393</v>
      </c>
      <c r="D279" t="s">
        <v>674</v>
      </c>
      <c r="E279" t="s">
        <v>644</v>
      </c>
      <c r="F279" t="s">
        <v>901</v>
      </c>
      <c r="G279" t="s">
        <v>676</v>
      </c>
    </row>
    <row r="280" spans="1:7" ht="15" hidden="1" customHeight="1" x14ac:dyDescent="0.25">
      <c r="A280" t="s">
        <v>1061</v>
      </c>
      <c r="B280" t="s">
        <v>16</v>
      </c>
      <c r="C280" s="130" t="s">
        <v>1062</v>
      </c>
      <c r="D280" t="s">
        <v>674</v>
      </c>
      <c r="E280" t="s">
        <v>644</v>
      </c>
      <c r="F280" t="s">
        <v>675</v>
      </c>
      <c r="G280" t="s">
        <v>676</v>
      </c>
    </row>
    <row r="281" spans="1:7" ht="15" hidden="1" customHeight="1" x14ac:dyDescent="0.25">
      <c r="A281" t="s">
        <v>1063</v>
      </c>
      <c r="B281" t="s">
        <v>16</v>
      </c>
      <c r="C281" s="130" t="s">
        <v>1064</v>
      </c>
      <c r="D281" t="s">
        <v>674</v>
      </c>
      <c r="E281" t="s">
        <v>644</v>
      </c>
      <c r="F281" t="s">
        <v>675</v>
      </c>
      <c r="G281" t="s">
        <v>676</v>
      </c>
    </row>
    <row r="282" spans="1:7" ht="15" hidden="1" customHeight="1" x14ac:dyDescent="0.25">
      <c r="A282" t="s">
        <v>335</v>
      </c>
      <c r="B282" t="s">
        <v>16</v>
      </c>
      <c r="C282" s="130" t="s">
        <v>334</v>
      </c>
      <c r="D282" t="s">
        <v>674</v>
      </c>
      <c r="E282" t="s">
        <v>644</v>
      </c>
      <c r="F282" t="s">
        <v>675</v>
      </c>
      <c r="G282" t="s">
        <v>676</v>
      </c>
    </row>
    <row r="283" spans="1:7" ht="15" hidden="1" customHeight="1" x14ac:dyDescent="0.25">
      <c r="A283" t="s">
        <v>318</v>
      </c>
      <c r="B283" t="s">
        <v>16</v>
      </c>
      <c r="C283" s="130" t="s">
        <v>317</v>
      </c>
      <c r="D283" t="s">
        <v>674</v>
      </c>
      <c r="E283" t="s">
        <v>644</v>
      </c>
      <c r="F283" t="s">
        <v>675</v>
      </c>
      <c r="G283" t="s">
        <v>676</v>
      </c>
    </row>
    <row r="284" spans="1:7" ht="15" hidden="1" customHeight="1" x14ac:dyDescent="0.25">
      <c r="A284" t="s">
        <v>1065</v>
      </c>
      <c r="B284" t="s">
        <v>16</v>
      </c>
      <c r="C284" s="130" t="s">
        <v>1066</v>
      </c>
      <c r="D284" t="s">
        <v>674</v>
      </c>
      <c r="E284" t="s">
        <v>644</v>
      </c>
      <c r="F284" t="s">
        <v>675</v>
      </c>
      <c r="G284" t="s">
        <v>676</v>
      </c>
    </row>
    <row r="285" spans="1:7" ht="15" hidden="1" customHeight="1" x14ac:dyDescent="0.25">
      <c r="A285" t="s">
        <v>1067</v>
      </c>
      <c r="B285" t="s">
        <v>16</v>
      </c>
      <c r="C285" s="130" t="s">
        <v>1068</v>
      </c>
      <c r="D285" t="s">
        <v>674</v>
      </c>
      <c r="E285" t="s">
        <v>644</v>
      </c>
      <c r="F285" t="s">
        <v>701</v>
      </c>
      <c r="G285" t="s">
        <v>676</v>
      </c>
    </row>
    <row r="286" spans="1:7" ht="15" hidden="1" customHeight="1" x14ac:dyDescent="0.25">
      <c r="A286" t="s">
        <v>1069</v>
      </c>
      <c r="B286" t="s">
        <v>16</v>
      </c>
      <c r="C286" s="207" t="s">
        <v>1070</v>
      </c>
      <c r="D286" t="s">
        <v>674</v>
      </c>
      <c r="E286" t="s">
        <v>644</v>
      </c>
      <c r="F286" t="s">
        <v>675</v>
      </c>
      <c r="G286" t="s">
        <v>676</v>
      </c>
    </row>
    <row r="287" spans="1:7" ht="15" hidden="1" customHeight="1" x14ac:dyDescent="0.25">
      <c r="A287" t="s">
        <v>1071</v>
      </c>
      <c r="B287" t="s">
        <v>16</v>
      </c>
      <c r="C287" s="207" t="s">
        <v>1072</v>
      </c>
      <c r="D287" t="s">
        <v>674</v>
      </c>
      <c r="E287" t="s">
        <v>644</v>
      </c>
      <c r="F287" t="s">
        <v>675</v>
      </c>
      <c r="G287" t="s">
        <v>676</v>
      </c>
    </row>
    <row r="288" spans="1:7" ht="15" hidden="1" customHeight="1" x14ac:dyDescent="0.25">
      <c r="A288" t="s">
        <v>1073</v>
      </c>
      <c r="B288" t="s">
        <v>16</v>
      </c>
      <c r="C288" s="130" t="s">
        <v>1074</v>
      </c>
      <c r="D288" t="s">
        <v>674</v>
      </c>
      <c r="E288" t="s">
        <v>644</v>
      </c>
      <c r="F288" t="s">
        <v>675</v>
      </c>
      <c r="G288" t="s">
        <v>676</v>
      </c>
    </row>
    <row r="289" spans="1:7" ht="15" hidden="1" customHeight="1" x14ac:dyDescent="0.25">
      <c r="A289" t="s">
        <v>412</v>
      </c>
      <c r="B289" t="s">
        <v>16</v>
      </c>
      <c r="C289" s="130" t="s">
        <v>411</v>
      </c>
      <c r="D289" t="s">
        <v>674</v>
      </c>
      <c r="E289" t="s">
        <v>644</v>
      </c>
      <c r="F289" t="s">
        <v>675</v>
      </c>
      <c r="G289" t="s">
        <v>676</v>
      </c>
    </row>
    <row r="290" spans="1:7" ht="15" hidden="1" customHeight="1" x14ac:dyDescent="0.25">
      <c r="A290" t="s">
        <v>1075</v>
      </c>
      <c r="B290" t="s">
        <v>16</v>
      </c>
      <c r="C290" s="130" t="s">
        <v>1076</v>
      </c>
      <c r="D290" t="s">
        <v>674</v>
      </c>
      <c r="E290" t="s">
        <v>644</v>
      </c>
      <c r="F290" t="s">
        <v>901</v>
      </c>
      <c r="G290" t="s">
        <v>676</v>
      </c>
    </row>
    <row r="291" spans="1:7" ht="15" hidden="1" customHeight="1" x14ac:dyDescent="0.25">
      <c r="A291" t="s">
        <v>1077</v>
      </c>
      <c r="B291" t="s">
        <v>16</v>
      </c>
      <c r="C291" s="270" t="s">
        <v>1078</v>
      </c>
      <c r="D291" t="s">
        <v>674</v>
      </c>
      <c r="E291" t="s">
        <v>644</v>
      </c>
      <c r="F291" t="s">
        <v>901</v>
      </c>
      <c r="G291" t="s">
        <v>676</v>
      </c>
    </row>
    <row r="292" spans="1:7" ht="15" hidden="1" customHeight="1" x14ac:dyDescent="0.25">
      <c r="A292" t="s">
        <v>1079</v>
      </c>
      <c r="B292" t="s">
        <v>16</v>
      </c>
      <c r="C292" s="270" t="s">
        <v>1080</v>
      </c>
      <c r="D292" t="s">
        <v>674</v>
      </c>
      <c r="E292" t="s">
        <v>644</v>
      </c>
      <c r="F292" t="s">
        <v>901</v>
      </c>
      <c r="G292" t="s">
        <v>676</v>
      </c>
    </row>
    <row r="293" spans="1:7" ht="15" hidden="1" customHeight="1" x14ac:dyDescent="0.25">
      <c r="A293" t="s">
        <v>1081</v>
      </c>
      <c r="B293" t="s">
        <v>16</v>
      </c>
      <c r="C293" s="270" t="s">
        <v>1082</v>
      </c>
      <c r="D293" t="s">
        <v>674</v>
      </c>
      <c r="E293" t="s">
        <v>644</v>
      </c>
      <c r="F293" t="s">
        <v>901</v>
      </c>
      <c r="G293" t="s">
        <v>676</v>
      </c>
    </row>
    <row r="294" spans="1:7" ht="15" hidden="1" customHeight="1" x14ac:dyDescent="0.25">
      <c r="A294" t="s">
        <v>392</v>
      </c>
      <c r="B294" t="s">
        <v>16</v>
      </c>
      <c r="C294" t="s">
        <v>391</v>
      </c>
      <c r="D294" t="s">
        <v>674</v>
      </c>
      <c r="E294" t="s">
        <v>644</v>
      </c>
      <c r="F294" t="s">
        <v>796</v>
      </c>
      <c r="G294" t="s">
        <v>676</v>
      </c>
    </row>
    <row r="295" spans="1:7" ht="15" hidden="1" customHeight="1" x14ac:dyDescent="0.25">
      <c r="A295" t="s">
        <v>1083</v>
      </c>
      <c r="B295" t="s">
        <v>16</v>
      </c>
      <c r="C295" t="s">
        <v>1084</v>
      </c>
      <c r="D295" t="s">
        <v>674</v>
      </c>
      <c r="E295" t="s">
        <v>644</v>
      </c>
      <c r="F295" t="s">
        <v>796</v>
      </c>
      <c r="G295" t="s">
        <v>676</v>
      </c>
    </row>
    <row r="296" spans="1:7" ht="15" hidden="1" customHeight="1" x14ac:dyDescent="0.25">
      <c r="A296" t="s">
        <v>1085</v>
      </c>
      <c r="B296" t="s">
        <v>16</v>
      </c>
      <c r="C296" t="s">
        <v>1086</v>
      </c>
      <c r="D296" t="s">
        <v>674</v>
      </c>
      <c r="E296" t="s">
        <v>644</v>
      </c>
      <c r="F296" t="s">
        <v>796</v>
      </c>
      <c r="G296" t="s">
        <v>676</v>
      </c>
    </row>
    <row r="297" spans="1:7" ht="15" hidden="1" customHeight="1" x14ac:dyDescent="0.25">
      <c r="A297" t="s">
        <v>396</v>
      </c>
      <c r="B297" t="s">
        <v>16</v>
      </c>
      <c r="C297" t="s">
        <v>395</v>
      </c>
      <c r="D297" t="s">
        <v>674</v>
      </c>
      <c r="E297" t="s">
        <v>644</v>
      </c>
      <c r="F297" t="s">
        <v>796</v>
      </c>
      <c r="G297" t="s">
        <v>676</v>
      </c>
    </row>
    <row r="298" spans="1:7" ht="15" hidden="1" customHeight="1" x14ac:dyDescent="0.25">
      <c r="A298" t="s">
        <v>1087</v>
      </c>
      <c r="B298" t="s">
        <v>16</v>
      </c>
      <c r="C298" t="s">
        <v>1088</v>
      </c>
      <c r="D298" t="s">
        <v>674</v>
      </c>
      <c r="E298" t="s">
        <v>644</v>
      </c>
      <c r="F298" t="s">
        <v>796</v>
      </c>
      <c r="G298" t="s">
        <v>676</v>
      </c>
    </row>
    <row r="299" spans="1:7" ht="15" hidden="1" customHeight="1" x14ac:dyDescent="0.25">
      <c r="A299" s="130" t="s">
        <v>1089</v>
      </c>
      <c r="B299" t="s">
        <v>16</v>
      </c>
      <c r="C299" t="s">
        <v>1090</v>
      </c>
      <c r="D299" t="s">
        <v>674</v>
      </c>
      <c r="E299" t="s">
        <v>644</v>
      </c>
      <c r="F299" t="s">
        <v>675</v>
      </c>
      <c r="G299" t="s">
        <v>676</v>
      </c>
    </row>
    <row r="300" spans="1:7" ht="15" hidden="1" customHeight="1" x14ac:dyDescent="0.25">
      <c r="A300" s="130" t="s">
        <v>1091</v>
      </c>
      <c r="B300" t="s">
        <v>16</v>
      </c>
      <c r="C300" t="s">
        <v>1092</v>
      </c>
      <c r="D300" t="s">
        <v>674</v>
      </c>
      <c r="E300" t="s">
        <v>644</v>
      </c>
      <c r="F300" t="s">
        <v>675</v>
      </c>
      <c r="G300" t="s">
        <v>676</v>
      </c>
    </row>
    <row r="301" spans="1:7" ht="15" hidden="1" customHeight="1" x14ac:dyDescent="0.25">
      <c r="A301" s="130" t="s">
        <v>1093</v>
      </c>
      <c r="B301" t="s">
        <v>16</v>
      </c>
      <c r="C301" t="s">
        <v>1094</v>
      </c>
      <c r="D301" t="s">
        <v>674</v>
      </c>
      <c r="E301" t="s">
        <v>644</v>
      </c>
      <c r="F301" t="s">
        <v>796</v>
      </c>
      <c r="G301" t="s">
        <v>676</v>
      </c>
    </row>
    <row r="302" spans="1:7" ht="15" hidden="1" customHeight="1" x14ac:dyDescent="0.25">
      <c r="A302" s="130" t="s">
        <v>1095</v>
      </c>
      <c r="B302" t="s">
        <v>16</v>
      </c>
      <c r="C302" t="s">
        <v>1096</v>
      </c>
      <c r="D302" t="s">
        <v>674</v>
      </c>
      <c r="E302" t="s">
        <v>644</v>
      </c>
      <c r="F302" t="s">
        <v>796</v>
      </c>
      <c r="G302" t="s">
        <v>676</v>
      </c>
    </row>
    <row r="303" spans="1:7" ht="15" hidden="1" customHeight="1" x14ac:dyDescent="0.25">
      <c r="A303" s="130" t="s">
        <v>333</v>
      </c>
      <c r="B303" t="s">
        <v>16</v>
      </c>
      <c r="C303" t="s">
        <v>332</v>
      </c>
      <c r="D303" t="s">
        <v>674</v>
      </c>
      <c r="E303" t="s">
        <v>644</v>
      </c>
      <c r="F303" t="s">
        <v>796</v>
      </c>
      <c r="G303" t="s">
        <v>676</v>
      </c>
    </row>
    <row r="304" spans="1:7" ht="15" hidden="1" customHeight="1" x14ac:dyDescent="0.25">
      <c r="A304" s="130" t="s">
        <v>1097</v>
      </c>
      <c r="B304" t="s">
        <v>16</v>
      </c>
      <c r="C304" t="s">
        <v>1098</v>
      </c>
      <c r="D304" t="s">
        <v>674</v>
      </c>
      <c r="E304" t="s">
        <v>644</v>
      </c>
      <c r="F304" t="s">
        <v>796</v>
      </c>
      <c r="G304" t="s">
        <v>676</v>
      </c>
    </row>
    <row r="305" spans="1:7" ht="15" hidden="1" customHeight="1" x14ac:dyDescent="0.25">
      <c r="A305" s="130" t="s">
        <v>1099</v>
      </c>
      <c r="B305" t="s">
        <v>16</v>
      </c>
      <c r="C305" t="s">
        <v>1100</v>
      </c>
      <c r="D305" t="s">
        <v>674</v>
      </c>
      <c r="E305" t="s">
        <v>644</v>
      </c>
      <c r="F305" t="s">
        <v>796</v>
      </c>
      <c r="G305" t="s">
        <v>676</v>
      </c>
    </row>
    <row r="306" spans="1:7" ht="15" hidden="1" customHeight="1" x14ac:dyDescent="0.25">
      <c r="A306" s="130" t="s">
        <v>1101</v>
      </c>
      <c r="B306" t="s">
        <v>16</v>
      </c>
      <c r="C306" t="s">
        <v>1102</v>
      </c>
      <c r="D306" t="s">
        <v>674</v>
      </c>
      <c r="E306" t="s">
        <v>644</v>
      </c>
      <c r="F306" t="s">
        <v>796</v>
      </c>
      <c r="G306" t="s">
        <v>676</v>
      </c>
    </row>
    <row r="307" spans="1:7" ht="15" hidden="1" customHeight="1" x14ac:dyDescent="0.25">
      <c r="A307" s="130" t="s">
        <v>331</v>
      </c>
      <c r="B307" t="s">
        <v>16</v>
      </c>
      <c r="C307" t="s">
        <v>330</v>
      </c>
      <c r="D307" t="s">
        <v>674</v>
      </c>
      <c r="E307" t="s">
        <v>644</v>
      </c>
      <c r="F307" t="s">
        <v>796</v>
      </c>
      <c r="G307" t="s">
        <v>676</v>
      </c>
    </row>
    <row r="308" spans="1:7" ht="15" hidden="1" customHeight="1" x14ac:dyDescent="0.25">
      <c r="A308" s="13" t="s">
        <v>1103</v>
      </c>
      <c r="B308" t="s">
        <v>16</v>
      </c>
      <c r="C308" t="s">
        <v>1104</v>
      </c>
      <c r="D308" t="s">
        <v>674</v>
      </c>
      <c r="E308" t="s">
        <v>644</v>
      </c>
      <c r="F308" t="s">
        <v>796</v>
      </c>
      <c r="G308" t="s">
        <v>676</v>
      </c>
    </row>
    <row r="309" spans="1:7" ht="15" hidden="1" customHeight="1" x14ac:dyDescent="0.25">
      <c r="A309" s="130" t="s">
        <v>1105</v>
      </c>
      <c r="B309" t="s">
        <v>16</v>
      </c>
      <c r="C309" t="s">
        <v>1106</v>
      </c>
      <c r="D309" t="s">
        <v>674</v>
      </c>
      <c r="E309" t="s">
        <v>644</v>
      </c>
      <c r="F309" t="s">
        <v>796</v>
      </c>
      <c r="G309" t="s">
        <v>676</v>
      </c>
    </row>
    <row r="310" spans="1:7" ht="15" hidden="1" customHeight="1" x14ac:dyDescent="0.25">
      <c r="A310" s="130" t="s">
        <v>1107</v>
      </c>
      <c r="B310" t="s">
        <v>16</v>
      </c>
      <c r="C310" t="s">
        <v>1108</v>
      </c>
      <c r="D310" t="s">
        <v>674</v>
      </c>
      <c r="E310" t="s">
        <v>644</v>
      </c>
      <c r="F310" t="s">
        <v>796</v>
      </c>
      <c r="G310" t="s">
        <v>676</v>
      </c>
    </row>
    <row r="311" spans="1:7" ht="15" hidden="1" customHeight="1" x14ac:dyDescent="0.25">
      <c r="A311" s="130" t="s">
        <v>1109</v>
      </c>
      <c r="B311" t="s">
        <v>16</v>
      </c>
      <c r="C311" t="s">
        <v>1110</v>
      </c>
      <c r="D311" t="s">
        <v>674</v>
      </c>
      <c r="E311" t="s">
        <v>644</v>
      </c>
      <c r="F311" t="s">
        <v>796</v>
      </c>
      <c r="G311" t="s">
        <v>676</v>
      </c>
    </row>
    <row r="312" spans="1:7" ht="15" hidden="1" customHeight="1" x14ac:dyDescent="0.25">
      <c r="A312" s="130" t="s">
        <v>1111</v>
      </c>
      <c r="B312" t="s">
        <v>16</v>
      </c>
      <c r="C312" t="s">
        <v>1112</v>
      </c>
      <c r="D312" t="s">
        <v>674</v>
      </c>
      <c r="E312" t="s">
        <v>644</v>
      </c>
      <c r="F312" t="s">
        <v>796</v>
      </c>
      <c r="G312" t="s">
        <v>676</v>
      </c>
    </row>
    <row r="313" spans="1:7" ht="15" hidden="1" customHeight="1" x14ac:dyDescent="0.25">
      <c r="A313" t="s">
        <v>1113</v>
      </c>
      <c r="B313" t="s">
        <v>16</v>
      </c>
      <c r="C313" t="s">
        <v>1114</v>
      </c>
      <c r="D313" t="s">
        <v>674</v>
      </c>
      <c r="E313" t="s">
        <v>644</v>
      </c>
      <c r="F313" t="s">
        <v>796</v>
      </c>
      <c r="G313" t="s">
        <v>676</v>
      </c>
    </row>
    <row r="314" spans="1:7" ht="15" hidden="1" customHeight="1" x14ac:dyDescent="0.25">
      <c r="A314" s="135" t="s">
        <v>1115</v>
      </c>
      <c r="B314" t="s">
        <v>16</v>
      </c>
      <c r="C314" t="s">
        <v>1116</v>
      </c>
      <c r="D314" t="s">
        <v>674</v>
      </c>
      <c r="E314" t="s">
        <v>644</v>
      </c>
      <c r="F314" t="s">
        <v>796</v>
      </c>
      <c r="G314" t="s">
        <v>676</v>
      </c>
    </row>
    <row r="315" spans="1:7" ht="15" hidden="1" customHeight="1" x14ac:dyDescent="0.25">
      <c r="A315" t="s">
        <v>368</v>
      </c>
      <c r="B315" t="s">
        <v>16</v>
      </c>
      <c r="C315" t="s">
        <v>367</v>
      </c>
      <c r="D315" t="s">
        <v>674</v>
      </c>
      <c r="E315" t="s">
        <v>644</v>
      </c>
      <c r="F315" t="s">
        <v>796</v>
      </c>
      <c r="G315" t="s">
        <v>676</v>
      </c>
    </row>
    <row r="316" spans="1:7" ht="15" hidden="1" customHeight="1" x14ac:dyDescent="0.25">
      <c r="A316" t="s">
        <v>1117</v>
      </c>
      <c r="B316" t="s">
        <v>16</v>
      </c>
      <c r="C316" s="130" t="s">
        <v>1118</v>
      </c>
      <c r="D316" t="s">
        <v>674</v>
      </c>
      <c r="E316" t="s">
        <v>644</v>
      </c>
      <c r="F316" t="s">
        <v>796</v>
      </c>
      <c r="G316" t="s">
        <v>676</v>
      </c>
    </row>
    <row r="317" spans="1:7" ht="15" hidden="1" customHeight="1" x14ac:dyDescent="0.25">
      <c r="A317" t="s">
        <v>1119</v>
      </c>
      <c r="B317" t="s">
        <v>16</v>
      </c>
      <c r="C317" s="130" t="s">
        <v>1120</v>
      </c>
      <c r="D317" t="s">
        <v>674</v>
      </c>
      <c r="E317" t="s">
        <v>644</v>
      </c>
      <c r="F317" t="s">
        <v>796</v>
      </c>
      <c r="G317" t="s">
        <v>676</v>
      </c>
    </row>
    <row r="318" spans="1:7" ht="15" hidden="1" customHeight="1" x14ac:dyDescent="0.25">
      <c r="A318" t="s">
        <v>1121</v>
      </c>
      <c r="B318" t="s">
        <v>16</v>
      </c>
      <c r="C318" s="130" t="s">
        <v>1122</v>
      </c>
      <c r="D318" t="s">
        <v>674</v>
      </c>
      <c r="E318" t="s">
        <v>644</v>
      </c>
      <c r="F318" t="s">
        <v>796</v>
      </c>
      <c r="G318" t="s">
        <v>676</v>
      </c>
    </row>
    <row r="319" spans="1:7" hidden="1" x14ac:dyDescent="0.25">
      <c r="A319" t="s">
        <v>1123</v>
      </c>
      <c r="B319" t="s">
        <v>16</v>
      </c>
      <c r="C319" s="130" t="s">
        <v>1124</v>
      </c>
      <c r="D319" t="s">
        <v>674</v>
      </c>
      <c r="E319" t="s">
        <v>644</v>
      </c>
      <c r="F319" t="s">
        <v>796</v>
      </c>
      <c r="G319" t="s">
        <v>676</v>
      </c>
    </row>
    <row r="320" spans="1:7" hidden="1" x14ac:dyDescent="0.25">
      <c r="A320" t="s">
        <v>1125</v>
      </c>
      <c r="B320" t="s">
        <v>16</v>
      </c>
      <c r="C320" s="130" t="s">
        <v>1126</v>
      </c>
      <c r="D320" t="s">
        <v>674</v>
      </c>
      <c r="E320" t="s">
        <v>644</v>
      </c>
      <c r="F320" t="s">
        <v>796</v>
      </c>
      <c r="G320" t="s">
        <v>676</v>
      </c>
    </row>
    <row r="321" spans="1:9" ht="15" hidden="1" customHeight="1" x14ac:dyDescent="0.25">
      <c r="A321" t="s">
        <v>1127</v>
      </c>
      <c r="B321" t="s">
        <v>16</v>
      </c>
      <c r="C321" s="130" t="s">
        <v>1128</v>
      </c>
      <c r="D321" t="s">
        <v>674</v>
      </c>
      <c r="E321" t="s">
        <v>644</v>
      </c>
      <c r="F321" t="s">
        <v>796</v>
      </c>
      <c r="G321" t="s">
        <v>676</v>
      </c>
    </row>
    <row r="322" spans="1:9" ht="15" hidden="1" customHeight="1" x14ac:dyDescent="0.25">
      <c r="A322" t="s">
        <v>404</v>
      </c>
      <c r="B322" t="s">
        <v>16</v>
      </c>
      <c r="C322" s="270" t="s">
        <v>403</v>
      </c>
      <c r="D322" t="s">
        <v>674</v>
      </c>
      <c r="E322" t="s">
        <v>644</v>
      </c>
      <c r="F322" t="s">
        <v>796</v>
      </c>
      <c r="G322" t="s">
        <v>676</v>
      </c>
    </row>
    <row r="323" spans="1:9" ht="15" hidden="1" customHeight="1" x14ac:dyDescent="0.25">
      <c r="A323" t="s">
        <v>351</v>
      </c>
      <c r="B323" t="s">
        <v>16</v>
      </c>
      <c r="C323" s="270" t="s">
        <v>350</v>
      </c>
      <c r="D323" t="s">
        <v>674</v>
      </c>
      <c r="E323" t="s">
        <v>644</v>
      </c>
      <c r="F323" t="s">
        <v>796</v>
      </c>
      <c r="G323" t="s">
        <v>676</v>
      </c>
    </row>
    <row r="324" spans="1:9" ht="15" hidden="1" customHeight="1" x14ac:dyDescent="0.25">
      <c r="A324" t="s">
        <v>329</v>
      </c>
      <c r="B324" t="s">
        <v>16</v>
      </c>
      <c r="C324" t="s">
        <v>328</v>
      </c>
      <c r="D324" t="s">
        <v>674</v>
      </c>
      <c r="E324" t="s">
        <v>644</v>
      </c>
      <c r="F324" t="s">
        <v>796</v>
      </c>
      <c r="G324" t="s">
        <v>676</v>
      </c>
    </row>
    <row r="325" spans="1:9" ht="15" hidden="1" customHeight="1" x14ac:dyDescent="0.25">
      <c r="A325" t="s">
        <v>1129</v>
      </c>
      <c r="B325" t="s">
        <v>16</v>
      </c>
      <c r="C325" s="130" t="s">
        <v>1130</v>
      </c>
      <c r="D325" t="s">
        <v>674</v>
      </c>
      <c r="E325" t="s">
        <v>644</v>
      </c>
      <c r="F325" t="s">
        <v>728</v>
      </c>
      <c r="G325" t="s">
        <v>676</v>
      </c>
    </row>
    <row r="326" spans="1:9" ht="15" hidden="1" customHeight="1" x14ac:dyDescent="0.25">
      <c r="A326" t="s">
        <v>1131</v>
      </c>
      <c r="B326" t="s">
        <v>16</v>
      </c>
      <c r="C326" s="130" t="s">
        <v>1132</v>
      </c>
      <c r="D326" t="s">
        <v>674</v>
      </c>
      <c r="E326" t="s">
        <v>644</v>
      </c>
      <c r="F326" t="s">
        <v>728</v>
      </c>
      <c r="G326" t="s">
        <v>676</v>
      </c>
    </row>
    <row r="327" spans="1:9" ht="15" hidden="1" customHeight="1" x14ac:dyDescent="0.25">
      <c r="A327" t="s">
        <v>1133</v>
      </c>
      <c r="B327" t="s">
        <v>16</v>
      </c>
      <c r="C327" s="130" t="s">
        <v>1134</v>
      </c>
      <c r="D327" t="s">
        <v>674</v>
      </c>
      <c r="E327" t="s">
        <v>644</v>
      </c>
      <c r="F327" t="s">
        <v>728</v>
      </c>
      <c r="G327" t="s">
        <v>676</v>
      </c>
    </row>
    <row r="328" spans="1:9" ht="15" hidden="1" customHeight="1" x14ac:dyDescent="0.25">
      <c r="A328" t="s">
        <v>1135</v>
      </c>
      <c r="B328" t="s">
        <v>16</v>
      </c>
      <c r="C328" s="130" t="s">
        <v>1136</v>
      </c>
      <c r="D328" t="s">
        <v>674</v>
      </c>
      <c r="E328" t="s">
        <v>644</v>
      </c>
      <c r="F328" t="s">
        <v>728</v>
      </c>
      <c r="G328" t="s">
        <v>676</v>
      </c>
    </row>
    <row r="329" spans="1:9" ht="15" hidden="1" customHeight="1" x14ac:dyDescent="0.25">
      <c r="A329" t="s">
        <v>1137</v>
      </c>
      <c r="B329" t="s">
        <v>16</v>
      </c>
      <c r="C329" s="130" t="s">
        <v>1138</v>
      </c>
      <c r="D329" t="s">
        <v>674</v>
      </c>
      <c r="E329" t="s">
        <v>644</v>
      </c>
      <c r="F329" t="s">
        <v>728</v>
      </c>
      <c r="G329" t="s">
        <v>676</v>
      </c>
    </row>
    <row r="330" spans="1:9" ht="15" hidden="1" customHeight="1" x14ac:dyDescent="0.25">
      <c r="A330" t="s">
        <v>1139</v>
      </c>
      <c r="B330" t="s">
        <v>16</v>
      </c>
      <c r="C330" s="130" t="s">
        <v>1140</v>
      </c>
      <c r="D330" t="s">
        <v>674</v>
      </c>
      <c r="E330" t="s">
        <v>644</v>
      </c>
      <c r="F330" t="s">
        <v>728</v>
      </c>
      <c r="G330" t="s">
        <v>676</v>
      </c>
    </row>
    <row r="331" spans="1:9" ht="15" hidden="1" customHeight="1" x14ac:dyDescent="0.25">
      <c r="A331" t="s">
        <v>1141</v>
      </c>
      <c r="B331" t="s">
        <v>16</v>
      </c>
      <c r="C331" s="130" t="s">
        <v>1142</v>
      </c>
      <c r="D331" t="s">
        <v>674</v>
      </c>
      <c r="E331" t="s">
        <v>644</v>
      </c>
      <c r="F331" t="s">
        <v>728</v>
      </c>
      <c r="G331" t="s">
        <v>676</v>
      </c>
    </row>
    <row r="332" spans="1:9" ht="15" hidden="1" customHeight="1" x14ac:dyDescent="0.25">
      <c r="A332" t="s">
        <v>390</v>
      </c>
      <c r="B332" t="s">
        <v>16</v>
      </c>
      <c r="C332" s="130" t="s">
        <v>389</v>
      </c>
      <c r="D332" t="s">
        <v>674</v>
      </c>
      <c r="E332" t="s">
        <v>644</v>
      </c>
      <c r="F332" t="s">
        <v>728</v>
      </c>
      <c r="G332" t="s">
        <v>676</v>
      </c>
    </row>
    <row r="333" spans="1:9" ht="15" hidden="1" customHeight="1" x14ac:dyDescent="0.25">
      <c r="A333" t="s">
        <v>1143</v>
      </c>
      <c r="B333" t="s">
        <v>16</v>
      </c>
      <c r="C333" s="130" t="s">
        <v>1144</v>
      </c>
      <c r="D333" t="s">
        <v>674</v>
      </c>
      <c r="E333" t="s">
        <v>644</v>
      </c>
      <c r="F333" t="s">
        <v>728</v>
      </c>
      <c r="G333" t="s">
        <v>676</v>
      </c>
    </row>
    <row r="334" spans="1:9" ht="15" hidden="1" customHeight="1" x14ac:dyDescent="0.25">
      <c r="A334" t="s">
        <v>1145</v>
      </c>
      <c r="B334" t="s">
        <v>16</v>
      </c>
      <c r="C334" s="130" t="s">
        <v>1146</v>
      </c>
      <c r="D334" t="s">
        <v>674</v>
      </c>
      <c r="E334" t="s">
        <v>644</v>
      </c>
      <c r="F334" t="s">
        <v>728</v>
      </c>
      <c r="G334" t="s">
        <v>676</v>
      </c>
    </row>
    <row r="335" spans="1:9" ht="15" hidden="1" customHeight="1" x14ac:dyDescent="0.25">
      <c r="A335" s="137" t="s">
        <v>1147</v>
      </c>
      <c r="B335" t="s">
        <v>16</v>
      </c>
      <c r="C335" t="s">
        <v>1148</v>
      </c>
      <c r="D335" t="s">
        <v>674</v>
      </c>
      <c r="E335" t="s">
        <v>644</v>
      </c>
      <c r="F335" t="s">
        <v>901</v>
      </c>
      <c r="G335" t="s">
        <v>676</v>
      </c>
      <c r="I335" t="s">
        <v>685</v>
      </c>
    </row>
    <row r="336" spans="1:9" ht="15" hidden="1" customHeight="1" x14ac:dyDescent="0.25">
      <c r="A336" s="130" t="s">
        <v>1149</v>
      </c>
      <c r="B336" t="s">
        <v>16</v>
      </c>
      <c r="C336" t="s">
        <v>1150</v>
      </c>
      <c r="D336" t="s">
        <v>674</v>
      </c>
      <c r="E336" t="s">
        <v>644</v>
      </c>
      <c r="F336" t="s">
        <v>901</v>
      </c>
      <c r="G336" t="s">
        <v>676</v>
      </c>
    </row>
    <row r="337" spans="1:7" ht="15" hidden="1" customHeight="1" x14ac:dyDescent="0.25">
      <c r="A337" s="130" t="s">
        <v>1151</v>
      </c>
      <c r="B337" t="s">
        <v>16</v>
      </c>
      <c r="C337" t="s">
        <v>1152</v>
      </c>
      <c r="D337" t="s">
        <v>674</v>
      </c>
      <c r="E337" t="s">
        <v>644</v>
      </c>
      <c r="F337" t="s">
        <v>901</v>
      </c>
      <c r="G337" t="s">
        <v>676</v>
      </c>
    </row>
    <row r="338" spans="1:7" ht="15" hidden="1" customHeight="1" x14ac:dyDescent="0.25">
      <c r="A338" s="130" t="s">
        <v>372</v>
      </c>
      <c r="B338" t="s">
        <v>16</v>
      </c>
      <c r="C338" t="s">
        <v>371</v>
      </c>
      <c r="D338" t="s">
        <v>674</v>
      </c>
      <c r="E338" t="s">
        <v>644</v>
      </c>
      <c r="F338" t="s">
        <v>796</v>
      </c>
      <c r="G338" t="s">
        <v>676</v>
      </c>
    </row>
    <row r="339" spans="1:7" ht="15" hidden="1" customHeight="1" x14ac:dyDescent="0.25">
      <c r="A339" s="130" t="s">
        <v>1153</v>
      </c>
      <c r="B339" t="s">
        <v>16</v>
      </c>
      <c r="C339" t="s">
        <v>1154</v>
      </c>
      <c r="D339" t="s">
        <v>674</v>
      </c>
      <c r="E339" t="s">
        <v>644</v>
      </c>
      <c r="F339" t="s">
        <v>796</v>
      </c>
      <c r="G339" t="s">
        <v>676</v>
      </c>
    </row>
    <row r="340" spans="1:7" ht="15" hidden="1" customHeight="1" x14ac:dyDescent="0.25">
      <c r="A340" s="130" t="s">
        <v>1155</v>
      </c>
      <c r="B340" t="s">
        <v>16</v>
      </c>
      <c r="C340" t="s">
        <v>1156</v>
      </c>
      <c r="D340" t="s">
        <v>674</v>
      </c>
      <c r="E340" t="s">
        <v>644</v>
      </c>
      <c r="F340" t="s">
        <v>796</v>
      </c>
      <c r="G340" t="s">
        <v>676</v>
      </c>
    </row>
    <row r="341" spans="1:7" ht="15" hidden="1" customHeight="1" x14ac:dyDescent="0.25">
      <c r="A341" t="s">
        <v>1157</v>
      </c>
      <c r="B341" t="s">
        <v>16</v>
      </c>
      <c r="C341" t="s">
        <v>1158</v>
      </c>
      <c r="D341" t="s">
        <v>674</v>
      </c>
      <c r="E341" t="s">
        <v>644</v>
      </c>
      <c r="F341" t="s">
        <v>675</v>
      </c>
      <c r="G341" t="s">
        <v>676</v>
      </c>
    </row>
    <row r="342" spans="1:7" ht="15" hidden="1" customHeight="1" x14ac:dyDescent="0.25">
      <c r="A342" t="s">
        <v>1159</v>
      </c>
      <c r="B342" t="s">
        <v>16</v>
      </c>
      <c r="C342" t="s">
        <v>1160</v>
      </c>
      <c r="D342" t="s">
        <v>674</v>
      </c>
      <c r="E342" t="s">
        <v>644</v>
      </c>
      <c r="F342" t="s">
        <v>796</v>
      </c>
      <c r="G342" t="s">
        <v>676</v>
      </c>
    </row>
    <row r="343" spans="1:7" ht="15" hidden="1" customHeight="1" x14ac:dyDescent="0.25">
      <c r="A343" s="142" t="s">
        <v>376</v>
      </c>
      <c r="B343" t="s">
        <v>16</v>
      </c>
      <c r="C343" t="s">
        <v>375</v>
      </c>
      <c r="D343" t="s">
        <v>674</v>
      </c>
      <c r="E343" t="s">
        <v>644</v>
      </c>
      <c r="F343" t="s">
        <v>901</v>
      </c>
      <c r="G343" t="s">
        <v>676</v>
      </c>
    </row>
    <row r="344" spans="1:7" ht="15" hidden="1" customHeight="1" x14ac:dyDescent="0.25">
      <c r="A344" s="130" t="s">
        <v>1161</v>
      </c>
      <c r="B344" t="s">
        <v>16</v>
      </c>
      <c r="C344" t="s">
        <v>1162</v>
      </c>
      <c r="D344" t="s">
        <v>674</v>
      </c>
      <c r="E344" t="s">
        <v>644</v>
      </c>
      <c r="F344" t="s">
        <v>796</v>
      </c>
      <c r="G344" t="s">
        <v>676</v>
      </c>
    </row>
    <row r="345" spans="1:7" ht="15" hidden="1" customHeight="1" x14ac:dyDescent="0.25">
      <c r="A345" t="s">
        <v>1163</v>
      </c>
      <c r="B345" t="s">
        <v>16</v>
      </c>
      <c r="C345" t="s">
        <v>1164</v>
      </c>
      <c r="D345" t="s">
        <v>674</v>
      </c>
      <c r="E345" t="s">
        <v>644</v>
      </c>
      <c r="F345" t="s">
        <v>796</v>
      </c>
      <c r="G345" t="s">
        <v>676</v>
      </c>
    </row>
    <row r="346" spans="1:7" ht="15" hidden="1" customHeight="1" x14ac:dyDescent="0.25">
      <c r="A346" s="130" t="s">
        <v>1165</v>
      </c>
      <c r="B346" t="s">
        <v>16</v>
      </c>
      <c r="C346" t="s">
        <v>1166</v>
      </c>
      <c r="D346" t="s">
        <v>674</v>
      </c>
      <c r="E346" t="s">
        <v>644</v>
      </c>
      <c r="F346" t="s">
        <v>796</v>
      </c>
      <c r="G346" t="s">
        <v>676</v>
      </c>
    </row>
    <row r="347" spans="1:7" ht="15" hidden="1" customHeight="1" x14ac:dyDescent="0.25">
      <c r="A347" s="7" t="s">
        <v>1167</v>
      </c>
      <c r="B347" t="s">
        <v>16</v>
      </c>
      <c r="C347" t="s">
        <v>1168</v>
      </c>
      <c r="D347" t="s">
        <v>674</v>
      </c>
      <c r="E347" t="s">
        <v>644</v>
      </c>
      <c r="F347" t="s">
        <v>796</v>
      </c>
      <c r="G347" t="s">
        <v>676</v>
      </c>
    </row>
    <row r="348" spans="1:7" ht="15" hidden="1" customHeight="1" x14ac:dyDescent="0.25">
      <c r="A348" s="130" t="s">
        <v>325</v>
      </c>
      <c r="B348" t="s">
        <v>16</v>
      </c>
      <c r="C348" t="s">
        <v>324</v>
      </c>
      <c r="D348" t="s">
        <v>674</v>
      </c>
      <c r="E348" t="s">
        <v>644</v>
      </c>
      <c r="F348" t="s">
        <v>796</v>
      </c>
      <c r="G348" t="s">
        <v>676</v>
      </c>
    </row>
    <row r="349" spans="1:7" ht="15" hidden="1" customHeight="1" x14ac:dyDescent="0.25">
      <c r="A349" s="130" t="s">
        <v>1169</v>
      </c>
      <c r="B349" t="s">
        <v>16</v>
      </c>
      <c r="C349" s="130" t="s">
        <v>1170</v>
      </c>
      <c r="D349" t="s">
        <v>674</v>
      </c>
      <c r="E349" t="s">
        <v>644</v>
      </c>
      <c r="F349" t="s">
        <v>796</v>
      </c>
      <c r="G349" t="s">
        <v>676</v>
      </c>
    </row>
    <row r="350" spans="1:7" ht="15" hidden="1" customHeight="1" x14ac:dyDescent="0.25">
      <c r="A350" s="130" t="s">
        <v>400</v>
      </c>
      <c r="B350" t="s">
        <v>16</v>
      </c>
      <c r="C350" s="130" t="s">
        <v>399</v>
      </c>
      <c r="D350" t="s">
        <v>674</v>
      </c>
      <c r="E350" t="s">
        <v>644</v>
      </c>
      <c r="F350" t="s">
        <v>796</v>
      </c>
      <c r="G350" t="s">
        <v>676</v>
      </c>
    </row>
    <row r="351" spans="1:7" ht="15" hidden="1" customHeight="1" x14ac:dyDescent="0.25">
      <c r="A351" s="130" t="s">
        <v>1171</v>
      </c>
      <c r="B351" t="s">
        <v>16</v>
      </c>
      <c r="C351" s="268" t="s">
        <v>1172</v>
      </c>
      <c r="D351" t="s">
        <v>674</v>
      </c>
      <c r="E351" t="s">
        <v>644</v>
      </c>
      <c r="F351" t="s">
        <v>796</v>
      </c>
      <c r="G351" t="s">
        <v>676</v>
      </c>
    </row>
    <row r="352" spans="1:7" ht="15" hidden="1" customHeight="1" x14ac:dyDescent="0.25">
      <c r="A352" s="130" t="s">
        <v>1173</v>
      </c>
      <c r="B352" t="s">
        <v>16</v>
      </c>
      <c r="C352" s="268" t="s">
        <v>1174</v>
      </c>
      <c r="D352" t="s">
        <v>674</v>
      </c>
      <c r="E352" t="s">
        <v>644</v>
      </c>
      <c r="F352" t="s">
        <v>796</v>
      </c>
      <c r="G352" t="s">
        <v>676</v>
      </c>
    </row>
    <row r="353" spans="1:7" ht="15" hidden="1" customHeight="1" x14ac:dyDescent="0.25">
      <c r="A353" s="130" t="s">
        <v>1175</v>
      </c>
      <c r="B353" t="s">
        <v>16</v>
      </c>
      <c r="C353" s="268" t="s">
        <v>1176</v>
      </c>
      <c r="D353" t="s">
        <v>674</v>
      </c>
      <c r="E353" t="s">
        <v>644</v>
      </c>
      <c r="F353" t="s">
        <v>796</v>
      </c>
      <c r="G353" t="s">
        <v>676</v>
      </c>
    </row>
    <row r="354" spans="1:7" ht="15" hidden="1" customHeight="1" x14ac:dyDescent="0.25">
      <c r="A354" s="156" t="s">
        <v>1177</v>
      </c>
      <c r="B354" t="s">
        <v>16</v>
      </c>
      <c r="C354" t="s">
        <v>1178</v>
      </c>
      <c r="D354" t="s">
        <v>674</v>
      </c>
      <c r="E354" t="s">
        <v>644</v>
      </c>
      <c r="F354" t="s">
        <v>901</v>
      </c>
      <c r="G354" t="s">
        <v>676</v>
      </c>
    </row>
    <row r="355" spans="1:7" ht="15" hidden="1" customHeight="1" x14ac:dyDescent="0.25">
      <c r="A355" s="13" t="s">
        <v>1179</v>
      </c>
      <c r="B355" t="s">
        <v>16</v>
      </c>
      <c r="C355" t="s">
        <v>1180</v>
      </c>
      <c r="D355" t="s">
        <v>674</v>
      </c>
      <c r="E355" t="s">
        <v>644</v>
      </c>
      <c r="F355" t="s">
        <v>796</v>
      </c>
      <c r="G355" t="s">
        <v>676</v>
      </c>
    </row>
    <row r="356" spans="1:7" ht="15" hidden="1" customHeight="1" x14ac:dyDescent="0.25">
      <c r="A356" t="s">
        <v>357</v>
      </c>
      <c r="B356" t="s">
        <v>16</v>
      </c>
      <c r="C356" t="s">
        <v>356</v>
      </c>
      <c r="D356" t="s">
        <v>674</v>
      </c>
      <c r="E356" t="s">
        <v>644</v>
      </c>
      <c r="F356" t="s">
        <v>796</v>
      </c>
      <c r="G356" t="s">
        <v>676</v>
      </c>
    </row>
    <row r="357" spans="1:7" ht="15" hidden="1" customHeight="1" x14ac:dyDescent="0.25">
      <c r="A357" t="s">
        <v>1181</v>
      </c>
      <c r="B357" t="s">
        <v>16</v>
      </c>
      <c r="C357" t="s">
        <v>1182</v>
      </c>
      <c r="D357" t="s">
        <v>674</v>
      </c>
      <c r="E357" t="s">
        <v>644</v>
      </c>
      <c r="F357" t="s">
        <v>796</v>
      </c>
      <c r="G357" t="s">
        <v>676</v>
      </c>
    </row>
    <row r="358" spans="1:7" ht="15" hidden="1" customHeight="1" x14ac:dyDescent="0.25">
      <c r="A358" s="130" t="s">
        <v>1183</v>
      </c>
      <c r="B358" t="s">
        <v>16</v>
      </c>
      <c r="C358" t="s">
        <v>1184</v>
      </c>
      <c r="D358" t="s">
        <v>674</v>
      </c>
      <c r="E358" t="s">
        <v>644</v>
      </c>
      <c r="F358" t="s">
        <v>728</v>
      </c>
      <c r="G358" t="s">
        <v>676</v>
      </c>
    </row>
    <row r="359" spans="1:7" ht="15" hidden="1" customHeight="1" x14ac:dyDescent="0.25">
      <c r="A359" s="13" t="s">
        <v>398</v>
      </c>
      <c r="B359" t="s">
        <v>16</v>
      </c>
      <c r="C359" t="s">
        <v>397</v>
      </c>
      <c r="D359" t="s">
        <v>674</v>
      </c>
      <c r="E359" t="s">
        <v>644</v>
      </c>
      <c r="F359" t="s">
        <v>796</v>
      </c>
      <c r="G359" t="s">
        <v>676</v>
      </c>
    </row>
    <row r="360" spans="1:7" ht="15" hidden="1" customHeight="1" x14ac:dyDescent="0.25">
      <c r="A360" s="142" t="s">
        <v>1185</v>
      </c>
      <c r="B360" t="s">
        <v>16</v>
      </c>
      <c r="C360" t="s">
        <v>1186</v>
      </c>
      <c r="D360" t="s">
        <v>674</v>
      </c>
      <c r="E360" t="s">
        <v>644</v>
      </c>
      <c r="F360" t="s">
        <v>796</v>
      </c>
      <c r="G360" t="s">
        <v>676</v>
      </c>
    </row>
    <row r="361" spans="1:7" ht="15" hidden="1" customHeight="1" x14ac:dyDescent="0.25">
      <c r="A361" s="132" t="s">
        <v>1187</v>
      </c>
      <c r="B361" t="s">
        <v>16</v>
      </c>
      <c r="C361" t="s">
        <v>1188</v>
      </c>
      <c r="D361" t="s">
        <v>674</v>
      </c>
      <c r="E361" t="s">
        <v>644</v>
      </c>
      <c r="F361" t="s">
        <v>675</v>
      </c>
      <c r="G361" t="s">
        <v>676</v>
      </c>
    </row>
    <row r="362" spans="1:7" ht="15" hidden="1" customHeight="1" x14ac:dyDescent="0.25">
      <c r="A362" s="132" t="s">
        <v>341</v>
      </c>
      <c r="B362" t="s">
        <v>16</v>
      </c>
      <c r="C362" t="s">
        <v>340</v>
      </c>
      <c r="D362" t="s">
        <v>674</v>
      </c>
      <c r="E362" t="s">
        <v>644</v>
      </c>
      <c r="F362" t="s">
        <v>675</v>
      </c>
      <c r="G362" t="s">
        <v>676</v>
      </c>
    </row>
    <row r="363" spans="1:7" ht="15" hidden="1" customHeight="1" x14ac:dyDescent="0.25">
      <c r="A363" s="137" t="s">
        <v>1017</v>
      </c>
      <c r="B363" t="s">
        <v>16</v>
      </c>
      <c r="C363" t="s">
        <v>1189</v>
      </c>
      <c r="D363" t="s">
        <v>674</v>
      </c>
      <c r="E363" t="s">
        <v>644</v>
      </c>
      <c r="F363" t="s">
        <v>796</v>
      </c>
      <c r="G363" t="s">
        <v>676</v>
      </c>
    </row>
    <row r="364" spans="1:7" ht="15" hidden="1" customHeight="1" x14ac:dyDescent="0.25">
      <c r="A364" s="137" t="s">
        <v>1190</v>
      </c>
      <c r="B364" t="s">
        <v>16</v>
      </c>
      <c r="C364" t="s">
        <v>1191</v>
      </c>
      <c r="D364" t="s">
        <v>674</v>
      </c>
      <c r="E364" t="s">
        <v>644</v>
      </c>
      <c r="F364" t="s">
        <v>796</v>
      </c>
      <c r="G364" t="s">
        <v>676</v>
      </c>
    </row>
    <row r="365" spans="1:7" ht="15" hidden="1" customHeight="1" x14ac:dyDescent="0.25">
      <c r="A365" s="142" t="s">
        <v>1192</v>
      </c>
      <c r="B365" t="s">
        <v>16</v>
      </c>
      <c r="C365" t="s">
        <v>1193</v>
      </c>
      <c r="D365" t="s">
        <v>674</v>
      </c>
      <c r="E365" t="s">
        <v>644</v>
      </c>
      <c r="F365" t="s">
        <v>796</v>
      </c>
      <c r="G365" t="s">
        <v>676</v>
      </c>
    </row>
    <row r="366" spans="1:7" ht="15" hidden="1" customHeight="1" x14ac:dyDescent="0.25">
      <c r="A366" s="132" t="s">
        <v>359</v>
      </c>
      <c r="B366" t="s">
        <v>16</v>
      </c>
      <c r="C366" t="s">
        <v>358</v>
      </c>
      <c r="D366" t="s">
        <v>674</v>
      </c>
      <c r="E366" t="s">
        <v>644</v>
      </c>
      <c r="F366" t="s">
        <v>675</v>
      </c>
      <c r="G366" t="s">
        <v>676</v>
      </c>
    </row>
    <row r="367" spans="1:7" ht="15" hidden="1" customHeight="1" x14ac:dyDescent="0.25">
      <c r="A367" s="13" t="s">
        <v>1194</v>
      </c>
      <c r="B367" s="13" t="s">
        <v>16</v>
      </c>
      <c r="C367" s="130" t="s">
        <v>1195</v>
      </c>
      <c r="D367" s="13" t="s">
        <v>674</v>
      </c>
      <c r="E367" t="s">
        <v>644</v>
      </c>
      <c r="F367" t="s">
        <v>901</v>
      </c>
      <c r="G367" t="s">
        <v>676</v>
      </c>
    </row>
    <row r="368" spans="1:7" ht="15" hidden="1" customHeight="1" x14ac:dyDescent="0.25">
      <c r="A368" t="s">
        <v>1196</v>
      </c>
      <c r="B368" t="s">
        <v>16</v>
      </c>
      <c r="C368" s="130" t="s">
        <v>1197</v>
      </c>
      <c r="D368" t="s">
        <v>674</v>
      </c>
      <c r="E368" t="s">
        <v>644</v>
      </c>
      <c r="F368" t="s">
        <v>901</v>
      </c>
      <c r="G368" t="s">
        <v>676</v>
      </c>
    </row>
    <row r="369" spans="1:10" ht="15" hidden="1" customHeight="1" x14ac:dyDescent="0.25">
      <c r="A369" t="s">
        <v>1198</v>
      </c>
      <c r="B369" t="s">
        <v>16</v>
      </c>
      <c r="C369" s="130" t="s">
        <v>1199</v>
      </c>
      <c r="D369" t="s">
        <v>674</v>
      </c>
      <c r="E369" t="s">
        <v>644</v>
      </c>
      <c r="F369" t="s">
        <v>901</v>
      </c>
      <c r="G369" t="s">
        <v>676</v>
      </c>
    </row>
    <row r="370" spans="1:10" ht="15" hidden="1" customHeight="1" x14ac:dyDescent="0.25">
      <c r="A370" s="135" t="s">
        <v>386</v>
      </c>
      <c r="B370" t="s">
        <v>16</v>
      </c>
      <c r="C370" s="130" t="s">
        <v>385</v>
      </c>
      <c r="D370" t="s">
        <v>674</v>
      </c>
      <c r="E370" t="s">
        <v>644</v>
      </c>
      <c r="F370" t="s">
        <v>901</v>
      </c>
      <c r="G370" t="s">
        <v>676</v>
      </c>
    </row>
    <row r="371" spans="1:10" ht="15" hidden="1" customHeight="1" x14ac:dyDescent="0.25">
      <c r="A371" s="135" t="s">
        <v>1200</v>
      </c>
      <c r="B371" t="s">
        <v>16</v>
      </c>
      <c r="C371" s="130" t="s">
        <v>1201</v>
      </c>
      <c r="D371" t="s">
        <v>674</v>
      </c>
      <c r="E371" t="s">
        <v>644</v>
      </c>
      <c r="F371" t="s">
        <v>901</v>
      </c>
      <c r="G371" t="s">
        <v>676</v>
      </c>
    </row>
    <row r="372" spans="1:10" ht="15" hidden="1" customHeight="1" x14ac:dyDescent="0.25">
      <c r="A372" s="135" t="s">
        <v>327</v>
      </c>
      <c r="B372" t="s">
        <v>16</v>
      </c>
      <c r="C372" s="130" t="s">
        <v>326</v>
      </c>
      <c r="D372" t="s">
        <v>674</v>
      </c>
      <c r="E372" t="s">
        <v>644</v>
      </c>
      <c r="F372" t="s">
        <v>901</v>
      </c>
      <c r="G372" t="s">
        <v>676</v>
      </c>
    </row>
    <row r="373" spans="1:10" ht="15.75" hidden="1" customHeight="1" x14ac:dyDescent="0.25">
      <c r="A373" t="s">
        <v>364</v>
      </c>
      <c r="B373" t="s">
        <v>16</v>
      </c>
      <c r="C373" s="130" t="s">
        <v>363</v>
      </c>
      <c r="D373" t="s">
        <v>674</v>
      </c>
      <c r="E373" t="s">
        <v>644</v>
      </c>
      <c r="F373" t="s">
        <v>901</v>
      </c>
      <c r="G373" t="s">
        <v>676</v>
      </c>
    </row>
    <row r="374" spans="1:10" ht="15" hidden="1" customHeight="1" x14ac:dyDescent="0.25">
      <c r="A374" s="263" t="s">
        <v>1202</v>
      </c>
      <c r="B374" t="s">
        <v>16</v>
      </c>
      <c r="C374" s="263" t="s">
        <v>1203</v>
      </c>
      <c r="D374" t="s">
        <v>674</v>
      </c>
      <c r="E374" t="s">
        <v>644</v>
      </c>
      <c r="F374" t="s">
        <v>901</v>
      </c>
      <c r="G374" t="s">
        <v>676</v>
      </c>
    </row>
    <row r="375" spans="1:10" ht="15" hidden="1" customHeight="1" x14ac:dyDescent="0.25">
      <c r="A375" t="s">
        <v>1204</v>
      </c>
      <c r="B375" t="s">
        <v>16</v>
      </c>
      <c r="C375" s="137" t="s">
        <v>1205</v>
      </c>
      <c r="D375" t="s">
        <v>674</v>
      </c>
      <c r="E375" t="s">
        <v>644</v>
      </c>
      <c r="F375" t="s">
        <v>675</v>
      </c>
      <c r="G375" t="s">
        <v>676</v>
      </c>
      <c r="I375" t="s">
        <v>685</v>
      </c>
      <c r="J375" t="s">
        <v>686</v>
      </c>
    </row>
    <row r="376" spans="1:10" ht="15" hidden="1" customHeight="1" x14ac:dyDescent="0.25">
      <c r="A376" t="s">
        <v>1206</v>
      </c>
      <c r="B376" t="s">
        <v>16</v>
      </c>
      <c r="C376" s="137" t="s">
        <v>1207</v>
      </c>
      <c r="D376" t="s">
        <v>674</v>
      </c>
      <c r="E376" t="s">
        <v>644</v>
      </c>
      <c r="F376" t="s">
        <v>675</v>
      </c>
      <c r="G376" t="s">
        <v>676</v>
      </c>
      <c r="I376" t="s">
        <v>685</v>
      </c>
      <c r="J376" t="s">
        <v>686</v>
      </c>
    </row>
    <row r="377" spans="1:10" ht="15" hidden="1" customHeight="1" x14ac:dyDescent="0.25">
      <c r="A377" t="s">
        <v>1208</v>
      </c>
      <c r="B377" t="s">
        <v>16</v>
      </c>
      <c r="C377" t="s">
        <v>1209</v>
      </c>
      <c r="D377" t="s">
        <v>674</v>
      </c>
      <c r="E377" t="s">
        <v>644</v>
      </c>
      <c r="F377" t="s">
        <v>675</v>
      </c>
      <c r="G377" t="s">
        <v>676</v>
      </c>
    </row>
    <row r="378" spans="1:10" ht="15" hidden="1" customHeight="1" x14ac:dyDescent="0.25">
      <c r="A378" t="s">
        <v>1210</v>
      </c>
      <c r="B378" t="s">
        <v>16</v>
      </c>
      <c r="C378" t="s">
        <v>1211</v>
      </c>
      <c r="D378" t="s">
        <v>674</v>
      </c>
      <c r="E378" t="s">
        <v>644</v>
      </c>
      <c r="F378" t="s">
        <v>675</v>
      </c>
      <c r="G378" t="s">
        <v>676</v>
      </c>
    </row>
    <row r="379" spans="1:10" ht="15" hidden="1" customHeight="1" x14ac:dyDescent="0.25">
      <c r="A379" t="s">
        <v>1212</v>
      </c>
      <c r="B379" t="s">
        <v>16</v>
      </c>
      <c r="C379" s="135" t="s">
        <v>1213</v>
      </c>
      <c r="D379" t="s">
        <v>674</v>
      </c>
      <c r="E379" t="s">
        <v>644</v>
      </c>
      <c r="F379" t="s">
        <v>675</v>
      </c>
      <c r="G379" t="s">
        <v>676</v>
      </c>
    </row>
    <row r="380" spans="1:10" ht="15" hidden="1" customHeight="1" x14ac:dyDescent="0.25">
      <c r="A380" t="s">
        <v>388</v>
      </c>
      <c r="B380" t="s">
        <v>16</v>
      </c>
      <c r="C380" s="135" t="s">
        <v>387</v>
      </c>
      <c r="D380" t="s">
        <v>674</v>
      </c>
      <c r="E380" t="s">
        <v>644</v>
      </c>
      <c r="F380" t="s">
        <v>675</v>
      </c>
      <c r="G380" t="s">
        <v>676</v>
      </c>
    </row>
    <row r="381" spans="1:10" ht="15" hidden="1" customHeight="1" x14ac:dyDescent="0.25">
      <c r="A381" t="s">
        <v>312</v>
      </c>
      <c r="B381" t="s">
        <v>16</v>
      </c>
      <c r="C381" s="135" t="s">
        <v>311</v>
      </c>
      <c r="D381" t="s">
        <v>674</v>
      </c>
      <c r="E381" t="s">
        <v>644</v>
      </c>
      <c r="F381" t="s">
        <v>675</v>
      </c>
      <c r="G381" t="s">
        <v>676</v>
      </c>
    </row>
    <row r="382" spans="1:10" ht="15" hidden="1" customHeight="1" x14ac:dyDescent="0.25">
      <c r="A382" t="s">
        <v>1214</v>
      </c>
      <c r="B382" t="s">
        <v>16</v>
      </c>
      <c r="C382" s="135" t="s">
        <v>1215</v>
      </c>
      <c r="D382" t="s">
        <v>674</v>
      </c>
      <c r="E382" t="s">
        <v>644</v>
      </c>
      <c r="F382" t="s">
        <v>675</v>
      </c>
      <c r="G382" t="s">
        <v>676</v>
      </c>
    </row>
    <row r="383" spans="1:10" ht="15" hidden="1" customHeight="1" x14ac:dyDescent="0.25">
      <c r="A383" t="s">
        <v>1216</v>
      </c>
      <c r="B383" t="s">
        <v>16</v>
      </c>
      <c r="C383" s="135" t="s">
        <v>1217</v>
      </c>
      <c r="D383" t="s">
        <v>674</v>
      </c>
      <c r="E383" t="s">
        <v>644</v>
      </c>
      <c r="F383" t="s">
        <v>675</v>
      </c>
      <c r="G383" t="s">
        <v>676</v>
      </c>
    </row>
    <row r="384" spans="1:10" ht="15" hidden="1" customHeight="1" x14ac:dyDescent="0.25">
      <c r="A384" t="s">
        <v>1218</v>
      </c>
      <c r="B384" t="s">
        <v>16</v>
      </c>
      <c r="C384" s="135" t="s">
        <v>1219</v>
      </c>
      <c r="D384" t="s">
        <v>674</v>
      </c>
      <c r="E384" t="s">
        <v>644</v>
      </c>
      <c r="F384" t="s">
        <v>675</v>
      </c>
      <c r="G384" t="s">
        <v>676</v>
      </c>
    </row>
    <row r="385" spans="1:7" ht="15" hidden="1" customHeight="1" x14ac:dyDescent="0.25">
      <c r="A385" t="s">
        <v>1220</v>
      </c>
      <c r="B385" t="s">
        <v>16</v>
      </c>
      <c r="C385" s="135" t="s">
        <v>1221</v>
      </c>
      <c r="D385" t="s">
        <v>674</v>
      </c>
      <c r="E385" t="s">
        <v>644</v>
      </c>
      <c r="F385" t="s">
        <v>675</v>
      </c>
      <c r="G385" t="s">
        <v>676</v>
      </c>
    </row>
    <row r="386" spans="1:7" ht="15" hidden="1" customHeight="1" x14ac:dyDescent="0.25">
      <c r="A386" t="s">
        <v>1222</v>
      </c>
      <c r="B386" t="s">
        <v>16</v>
      </c>
      <c r="C386" s="282" t="s">
        <v>1223</v>
      </c>
      <c r="D386" t="s">
        <v>674</v>
      </c>
      <c r="E386" t="s">
        <v>644</v>
      </c>
      <c r="F386" t="s">
        <v>675</v>
      </c>
      <c r="G386" t="s">
        <v>676</v>
      </c>
    </row>
    <row r="387" spans="1:7" ht="15" hidden="1" customHeight="1" x14ac:dyDescent="0.25">
      <c r="A387" s="280" t="s">
        <v>1224</v>
      </c>
      <c r="B387" t="s">
        <v>16</v>
      </c>
      <c r="C387" s="135" t="s">
        <v>1225</v>
      </c>
      <c r="D387" t="s">
        <v>674</v>
      </c>
      <c r="E387" t="s">
        <v>644</v>
      </c>
      <c r="F387" t="s">
        <v>675</v>
      </c>
      <c r="G387" t="s">
        <v>676</v>
      </c>
    </row>
    <row r="388" spans="1:7" ht="15" hidden="1" customHeight="1" x14ac:dyDescent="0.25">
      <c r="A388" t="s">
        <v>1226</v>
      </c>
      <c r="B388" t="s">
        <v>16</v>
      </c>
      <c r="C388" s="135" t="s">
        <v>1227</v>
      </c>
      <c r="D388" t="s">
        <v>674</v>
      </c>
      <c r="E388" t="s">
        <v>644</v>
      </c>
      <c r="F388" t="s">
        <v>675</v>
      </c>
      <c r="G388" t="s">
        <v>676</v>
      </c>
    </row>
    <row r="389" spans="1:7" ht="15" hidden="1" customHeight="1" x14ac:dyDescent="0.25">
      <c r="A389" s="280" t="s">
        <v>1228</v>
      </c>
      <c r="B389" t="s">
        <v>16</v>
      </c>
      <c r="C389" s="135" t="s">
        <v>1229</v>
      </c>
      <c r="D389" t="s">
        <v>674</v>
      </c>
      <c r="E389" t="s">
        <v>644</v>
      </c>
      <c r="F389" t="s">
        <v>675</v>
      </c>
      <c r="G389" t="s">
        <v>676</v>
      </c>
    </row>
    <row r="390" spans="1:7" ht="15" hidden="1" customHeight="1" x14ac:dyDescent="0.25">
      <c r="A390" s="280" t="s">
        <v>374</v>
      </c>
      <c r="B390" t="s">
        <v>16</v>
      </c>
      <c r="C390" s="135" t="s">
        <v>373</v>
      </c>
      <c r="D390" t="s">
        <v>674</v>
      </c>
      <c r="E390" t="s">
        <v>644</v>
      </c>
      <c r="F390" t="s">
        <v>675</v>
      </c>
      <c r="G390" t="s">
        <v>676</v>
      </c>
    </row>
    <row r="391" spans="1:7" hidden="1" x14ac:dyDescent="0.25">
      <c r="A391" s="278" t="s">
        <v>1230</v>
      </c>
      <c r="B391" t="s">
        <v>16</v>
      </c>
      <c r="C391" t="s">
        <v>1231</v>
      </c>
      <c r="D391" t="s">
        <v>674</v>
      </c>
      <c r="E391" t="s">
        <v>644</v>
      </c>
      <c r="F391" t="s">
        <v>675</v>
      </c>
      <c r="G391" t="s">
        <v>676</v>
      </c>
    </row>
    <row r="392" spans="1:7" ht="15" hidden="1" customHeight="1" x14ac:dyDescent="0.25">
      <c r="A392" s="278" t="s">
        <v>1232</v>
      </c>
      <c r="B392" t="s">
        <v>16</v>
      </c>
      <c r="C392" t="s">
        <v>1233</v>
      </c>
      <c r="D392" t="s">
        <v>674</v>
      </c>
      <c r="E392" t="s">
        <v>644</v>
      </c>
      <c r="F392" t="s">
        <v>675</v>
      </c>
      <c r="G392" t="s">
        <v>676</v>
      </c>
    </row>
    <row r="393" spans="1:7" ht="15" hidden="1" customHeight="1" x14ac:dyDescent="0.25">
      <c r="A393" t="s">
        <v>410</v>
      </c>
      <c r="B393" t="s">
        <v>16</v>
      </c>
      <c r="C393" s="278" t="s">
        <v>409</v>
      </c>
      <c r="D393" t="s">
        <v>674</v>
      </c>
      <c r="E393" t="s">
        <v>644</v>
      </c>
      <c r="F393" t="s">
        <v>675</v>
      </c>
      <c r="G393" t="s">
        <v>676</v>
      </c>
    </row>
    <row r="394" spans="1:7" ht="15" hidden="1" customHeight="1" x14ac:dyDescent="0.25">
      <c r="A394" t="s">
        <v>1234</v>
      </c>
      <c r="B394" t="s">
        <v>16</v>
      </c>
      <c r="C394" t="s">
        <v>1235</v>
      </c>
      <c r="E394" t="s">
        <v>644</v>
      </c>
    </row>
    <row r="395" spans="1:7" ht="15" hidden="1" customHeight="1" x14ac:dyDescent="0.25">
      <c r="A395" t="s">
        <v>416</v>
      </c>
      <c r="B395" t="s">
        <v>16</v>
      </c>
      <c r="C395" t="s">
        <v>415</v>
      </c>
      <c r="E395" t="s">
        <v>644</v>
      </c>
    </row>
    <row r="396" spans="1:7" ht="15" hidden="1" customHeight="1" x14ac:dyDescent="0.25">
      <c r="A396" t="s">
        <v>1236</v>
      </c>
      <c r="B396" t="s">
        <v>138</v>
      </c>
      <c r="C396" s="130" t="s">
        <v>1237</v>
      </c>
      <c r="D396" t="s">
        <v>1238</v>
      </c>
      <c r="E396" t="s">
        <v>644</v>
      </c>
      <c r="F396" t="s">
        <v>901</v>
      </c>
      <c r="G396" t="s">
        <v>676</v>
      </c>
    </row>
    <row r="397" spans="1:7" ht="15" hidden="1" customHeight="1" x14ac:dyDescent="0.25">
      <c r="A397" t="s">
        <v>284</v>
      </c>
      <c r="B397" t="s">
        <v>138</v>
      </c>
      <c r="C397" s="130" t="s">
        <v>283</v>
      </c>
      <c r="D397" t="s">
        <v>1238</v>
      </c>
      <c r="E397" t="s">
        <v>644</v>
      </c>
      <c r="F397" t="s">
        <v>901</v>
      </c>
      <c r="G397" t="s">
        <v>676</v>
      </c>
    </row>
    <row r="398" spans="1:7" ht="15" hidden="1" customHeight="1" x14ac:dyDescent="0.25">
      <c r="A398" t="s">
        <v>248</v>
      </c>
      <c r="B398" t="s">
        <v>138</v>
      </c>
      <c r="C398" s="130" t="s">
        <v>247</v>
      </c>
      <c r="D398" t="s">
        <v>1238</v>
      </c>
      <c r="E398" t="s">
        <v>644</v>
      </c>
      <c r="F398" t="s">
        <v>901</v>
      </c>
      <c r="G398" t="s">
        <v>676</v>
      </c>
    </row>
    <row r="399" spans="1:7" ht="15" hidden="1" customHeight="1" x14ac:dyDescent="0.25">
      <c r="A399" s="209" t="s">
        <v>180</v>
      </c>
      <c r="B399" t="s">
        <v>138</v>
      </c>
      <c r="C399" s="209" t="s">
        <v>179</v>
      </c>
      <c r="D399" t="s">
        <v>1238</v>
      </c>
      <c r="E399" t="s">
        <v>644</v>
      </c>
      <c r="F399" t="s">
        <v>728</v>
      </c>
      <c r="G399" t="s">
        <v>676</v>
      </c>
    </row>
    <row r="400" spans="1:7" ht="15" hidden="1" customHeight="1" x14ac:dyDescent="0.25">
      <c r="A400" s="130" t="s">
        <v>137</v>
      </c>
      <c r="B400" t="s">
        <v>138</v>
      </c>
      <c r="C400" s="130" t="s">
        <v>136</v>
      </c>
      <c r="D400" t="s">
        <v>1238</v>
      </c>
      <c r="E400" t="s">
        <v>644</v>
      </c>
      <c r="F400" t="s">
        <v>901</v>
      </c>
      <c r="G400" t="s">
        <v>676</v>
      </c>
    </row>
    <row r="401" spans="1:10" ht="15" hidden="1" customHeight="1" x14ac:dyDescent="0.25">
      <c r="A401" s="130" t="s">
        <v>1239</v>
      </c>
      <c r="B401" t="s">
        <v>138</v>
      </c>
      <c r="C401" s="130" t="s">
        <v>1240</v>
      </c>
      <c r="D401" t="s">
        <v>1238</v>
      </c>
      <c r="E401" t="s">
        <v>644</v>
      </c>
      <c r="F401" t="s">
        <v>901</v>
      </c>
      <c r="G401" t="s">
        <v>676</v>
      </c>
    </row>
    <row r="402" spans="1:10" ht="15" hidden="1" customHeight="1" x14ac:dyDescent="0.25">
      <c r="A402" t="s">
        <v>1241</v>
      </c>
      <c r="B402" s="9" t="s">
        <v>138</v>
      </c>
      <c r="C402" t="s">
        <v>1242</v>
      </c>
      <c r="D402" t="s">
        <v>1238</v>
      </c>
      <c r="E402" t="s">
        <v>644</v>
      </c>
      <c r="F402" t="s">
        <v>901</v>
      </c>
      <c r="G402" t="s">
        <v>676</v>
      </c>
    </row>
    <row r="403" spans="1:10" ht="15" hidden="1" customHeight="1" x14ac:dyDescent="0.25">
      <c r="A403" t="s">
        <v>1243</v>
      </c>
      <c r="B403" s="9" t="s">
        <v>138</v>
      </c>
      <c r="C403" t="s">
        <v>1244</v>
      </c>
      <c r="D403" t="s">
        <v>1238</v>
      </c>
      <c r="E403" t="s">
        <v>644</v>
      </c>
      <c r="F403" t="s">
        <v>901</v>
      </c>
      <c r="G403" t="s">
        <v>676</v>
      </c>
    </row>
    <row r="404" spans="1:10" ht="15" hidden="1" customHeight="1" x14ac:dyDescent="0.25">
      <c r="A404" t="s">
        <v>234</v>
      </c>
      <c r="B404" s="9" t="s">
        <v>138</v>
      </c>
      <c r="C404" t="s">
        <v>233</v>
      </c>
      <c r="D404" t="s">
        <v>1238</v>
      </c>
      <c r="E404" t="s">
        <v>644</v>
      </c>
      <c r="F404" t="s">
        <v>901</v>
      </c>
      <c r="G404" t="s">
        <v>676</v>
      </c>
    </row>
    <row r="405" spans="1:10" ht="15" hidden="1" customHeight="1" x14ac:dyDescent="0.25">
      <c r="A405" t="s">
        <v>1245</v>
      </c>
      <c r="B405" t="s">
        <v>138</v>
      </c>
      <c r="C405" t="s">
        <v>1246</v>
      </c>
      <c r="D405" t="s">
        <v>1238</v>
      </c>
      <c r="E405" t="s">
        <v>644</v>
      </c>
      <c r="F405" t="s">
        <v>675</v>
      </c>
      <c r="G405" t="s">
        <v>676</v>
      </c>
      <c r="I405" t="s">
        <v>878</v>
      </c>
      <c r="J405" t="s">
        <v>762</v>
      </c>
    </row>
    <row r="406" spans="1:10" ht="15" hidden="1" customHeight="1" x14ac:dyDescent="0.25">
      <c r="A406" t="s">
        <v>288</v>
      </c>
      <c r="B406" t="s">
        <v>138</v>
      </c>
      <c r="C406" t="s">
        <v>287</v>
      </c>
      <c r="D406" t="s">
        <v>1238</v>
      </c>
      <c r="E406" t="s">
        <v>644</v>
      </c>
      <c r="F406" t="s">
        <v>728</v>
      </c>
      <c r="G406" t="s">
        <v>676</v>
      </c>
      <c r="I406" t="s">
        <v>1247</v>
      </c>
      <c r="J406" t="s">
        <v>709</v>
      </c>
    </row>
    <row r="407" spans="1:10" ht="15" hidden="1" customHeight="1" x14ac:dyDescent="0.25">
      <c r="A407" t="s">
        <v>1248</v>
      </c>
      <c r="B407" t="s">
        <v>138</v>
      </c>
      <c r="C407" t="s">
        <v>1249</v>
      </c>
      <c r="D407" t="s">
        <v>1238</v>
      </c>
      <c r="E407" t="s">
        <v>644</v>
      </c>
      <c r="F407" t="s">
        <v>728</v>
      </c>
      <c r="G407" t="s">
        <v>676</v>
      </c>
      <c r="I407" t="s">
        <v>849</v>
      </c>
      <c r="J407" t="s">
        <v>850</v>
      </c>
    </row>
    <row r="408" spans="1:10" ht="15" hidden="1" customHeight="1" x14ac:dyDescent="0.25">
      <c r="A408" t="s">
        <v>230</v>
      </c>
      <c r="B408" t="s">
        <v>138</v>
      </c>
      <c r="C408" t="s">
        <v>229</v>
      </c>
      <c r="D408" t="s">
        <v>1238</v>
      </c>
      <c r="E408" t="s">
        <v>644</v>
      </c>
      <c r="F408" t="s">
        <v>728</v>
      </c>
      <c r="G408" t="s">
        <v>676</v>
      </c>
      <c r="I408" t="s">
        <v>1250</v>
      </c>
      <c r="J408" t="s">
        <v>681</v>
      </c>
    </row>
    <row r="409" spans="1:10" ht="15" hidden="1" customHeight="1" x14ac:dyDescent="0.25">
      <c r="A409" t="s">
        <v>198</v>
      </c>
      <c r="B409" t="s">
        <v>138</v>
      </c>
      <c r="C409" t="s">
        <v>197</v>
      </c>
      <c r="D409" t="s">
        <v>1238</v>
      </c>
      <c r="E409" t="s">
        <v>644</v>
      </c>
      <c r="F409" t="s">
        <v>728</v>
      </c>
      <c r="G409" t="s">
        <v>676</v>
      </c>
      <c r="I409" t="s">
        <v>854</v>
      </c>
      <c r="J409" t="s">
        <v>855</v>
      </c>
    </row>
    <row r="410" spans="1:10" ht="15" hidden="1" customHeight="1" x14ac:dyDescent="0.25">
      <c r="A410" t="s">
        <v>266</v>
      </c>
      <c r="B410" t="s">
        <v>138</v>
      </c>
      <c r="C410" t="s">
        <v>265</v>
      </c>
      <c r="D410" t="s">
        <v>1238</v>
      </c>
      <c r="E410" t="s">
        <v>644</v>
      </c>
      <c r="F410" t="s">
        <v>728</v>
      </c>
      <c r="G410" t="s">
        <v>676</v>
      </c>
      <c r="I410" t="s">
        <v>1251</v>
      </c>
      <c r="J410" t="s">
        <v>681</v>
      </c>
    </row>
    <row r="411" spans="1:10" ht="15" hidden="1" customHeight="1" x14ac:dyDescent="0.25">
      <c r="A411" t="s">
        <v>1252</v>
      </c>
      <c r="B411" t="s">
        <v>138</v>
      </c>
      <c r="C411" t="s">
        <v>1253</v>
      </c>
      <c r="D411" t="s">
        <v>1238</v>
      </c>
      <c r="E411" t="s">
        <v>644</v>
      </c>
      <c r="F411" t="s">
        <v>728</v>
      </c>
      <c r="G411" t="s">
        <v>676</v>
      </c>
      <c r="I411" t="s">
        <v>851</v>
      </c>
      <c r="J411" t="s">
        <v>681</v>
      </c>
    </row>
    <row r="412" spans="1:10" ht="15" hidden="1" customHeight="1" x14ac:dyDescent="0.25">
      <c r="A412" t="s">
        <v>304</v>
      </c>
      <c r="B412" t="s">
        <v>138</v>
      </c>
      <c r="C412" t="s">
        <v>303</v>
      </c>
      <c r="D412" t="s">
        <v>1238</v>
      </c>
      <c r="E412" t="s">
        <v>644</v>
      </c>
      <c r="F412" t="s">
        <v>860</v>
      </c>
      <c r="G412" t="s">
        <v>676</v>
      </c>
      <c r="I412" t="s">
        <v>827</v>
      </c>
      <c r="J412" t="s">
        <v>709</v>
      </c>
    </row>
    <row r="413" spans="1:10" ht="15" hidden="1" customHeight="1" x14ac:dyDescent="0.25">
      <c r="A413" t="s">
        <v>252</v>
      </c>
      <c r="B413" t="s">
        <v>138</v>
      </c>
      <c r="C413" t="s">
        <v>251</v>
      </c>
      <c r="D413" t="s">
        <v>1238</v>
      </c>
      <c r="E413" t="s">
        <v>644</v>
      </c>
      <c r="F413" t="s">
        <v>675</v>
      </c>
      <c r="G413" t="s">
        <v>676</v>
      </c>
      <c r="I413" t="s">
        <v>708</v>
      </c>
      <c r="J413" t="s">
        <v>709</v>
      </c>
    </row>
    <row r="414" spans="1:10" ht="15" hidden="1" customHeight="1" x14ac:dyDescent="0.25">
      <c r="A414" t="s">
        <v>1254</v>
      </c>
      <c r="B414" t="s">
        <v>138</v>
      </c>
      <c r="C414" t="s">
        <v>1255</v>
      </c>
      <c r="D414" t="s">
        <v>1238</v>
      </c>
      <c r="E414" t="s">
        <v>644</v>
      </c>
      <c r="F414" t="s">
        <v>675</v>
      </c>
      <c r="G414" t="s">
        <v>676</v>
      </c>
      <c r="I414" t="s">
        <v>708</v>
      </c>
      <c r="J414" t="s">
        <v>709</v>
      </c>
    </row>
    <row r="415" spans="1:10" ht="15" hidden="1" customHeight="1" x14ac:dyDescent="0.25">
      <c r="A415" t="s">
        <v>228</v>
      </c>
      <c r="B415" t="s">
        <v>138</v>
      </c>
      <c r="C415" t="s">
        <v>227</v>
      </c>
      <c r="D415" t="s">
        <v>1238</v>
      </c>
      <c r="E415" t="s">
        <v>644</v>
      </c>
      <c r="F415" t="s">
        <v>901</v>
      </c>
      <c r="G415" t="s">
        <v>676</v>
      </c>
      <c r="I415" t="s">
        <v>685</v>
      </c>
      <c r="J415" t="s">
        <v>686</v>
      </c>
    </row>
    <row r="416" spans="1:10" ht="15" hidden="1" customHeight="1" x14ac:dyDescent="0.25">
      <c r="A416" t="s">
        <v>260</v>
      </c>
      <c r="B416" t="s">
        <v>138</v>
      </c>
      <c r="C416" t="s">
        <v>259</v>
      </c>
      <c r="D416" t="s">
        <v>1238</v>
      </c>
      <c r="E416" t="s">
        <v>644</v>
      </c>
      <c r="F416" t="s">
        <v>901</v>
      </c>
      <c r="G416" t="s">
        <v>676</v>
      </c>
      <c r="I416" t="s">
        <v>685</v>
      </c>
      <c r="J416" t="s">
        <v>686</v>
      </c>
    </row>
    <row r="417" spans="1:10" ht="15" hidden="1" customHeight="1" x14ac:dyDescent="0.25">
      <c r="A417" t="s">
        <v>1256</v>
      </c>
      <c r="B417" t="s">
        <v>138</v>
      </c>
      <c r="C417" t="s">
        <v>1257</v>
      </c>
      <c r="D417" t="s">
        <v>1238</v>
      </c>
      <c r="E417" t="s">
        <v>644</v>
      </c>
      <c r="F417" t="s">
        <v>852</v>
      </c>
      <c r="G417" t="s">
        <v>676</v>
      </c>
      <c r="I417" t="s">
        <v>853</v>
      </c>
      <c r="J417" t="s">
        <v>807</v>
      </c>
    </row>
    <row r="418" spans="1:10" ht="15" hidden="1" customHeight="1" x14ac:dyDescent="0.25">
      <c r="A418" t="s">
        <v>1258</v>
      </c>
      <c r="B418" t="s">
        <v>138</v>
      </c>
      <c r="C418" t="s">
        <v>1259</v>
      </c>
      <c r="D418" t="s">
        <v>1238</v>
      </c>
      <c r="E418" t="s">
        <v>644</v>
      </c>
      <c r="F418" t="s">
        <v>901</v>
      </c>
      <c r="G418" t="s">
        <v>676</v>
      </c>
      <c r="I418" t="s">
        <v>685</v>
      </c>
      <c r="J418" t="s">
        <v>686</v>
      </c>
    </row>
    <row r="419" spans="1:10" ht="15" hidden="1" customHeight="1" x14ac:dyDescent="0.25">
      <c r="A419" t="s">
        <v>276</v>
      </c>
      <c r="B419" t="s">
        <v>138</v>
      </c>
      <c r="C419" t="s">
        <v>275</v>
      </c>
      <c r="D419" t="s">
        <v>1238</v>
      </c>
      <c r="E419" t="s">
        <v>644</v>
      </c>
      <c r="F419" t="s">
        <v>901</v>
      </c>
      <c r="G419" t="s">
        <v>676</v>
      </c>
      <c r="I419" t="s">
        <v>1260</v>
      </c>
      <c r="J419" t="s">
        <v>855</v>
      </c>
    </row>
    <row r="420" spans="1:10" ht="15" hidden="1" customHeight="1" x14ac:dyDescent="0.25">
      <c r="A420" t="s">
        <v>202</v>
      </c>
      <c r="B420" t="s">
        <v>138</v>
      </c>
      <c r="C420" t="s">
        <v>201</v>
      </c>
      <c r="D420" t="s">
        <v>1238</v>
      </c>
      <c r="E420" t="s">
        <v>644</v>
      </c>
      <c r="F420" t="s">
        <v>901</v>
      </c>
      <c r="G420" t="s">
        <v>676</v>
      </c>
      <c r="I420" t="s">
        <v>1260</v>
      </c>
      <c r="J420" t="s">
        <v>855</v>
      </c>
    </row>
    <row r="421" spans="1:10" ht="15" hidden="1" customHeight="1" x14ac:dyDescent="0.25">
      <c r="A421" t="s">
        <v>250</v>
      </c>
      <c r="B421" t="s">
        <v>138</v>
      </c>
      <c r="C421" t="s">
        <v>249</v>
      </c>
      <c r="D421" t="s">
        <v>1238</v>
      </c>
      <c r="E421" t="s">
        <v>644</v>
      </c>
      <c r="F421" t="s">
        <v>728</v>
      </c>
      <c r="G421" t="s">
        <v>676</v>
      </c>
      <c r="I421" t="s">
        <v>1261</v>
      </c>
      <c r="J421" t="s">
        <v>681</v>
      </c>
    </row>
    <row r="422" spans="1:10" ht="15" hidden="1" customHeight="1" x14ac:dyDescent="0.25">
      <c r="A422" t="s">
        <v>200</v>
      </c>
      <c r="B422" t="s">
        <v>138</v>
      </c>
      <c r="C422" t="s">
        <v>199</v>
      </c>
      <c r="D422" t="s">
        <v>1238</v>
      </c>
      <c r="E422" t="s">
        <v>644</v>
      </c>
      <c r="F422" t="s">
        <v>675</v>
      </c>
      <c r="G422" t="s">
        <v>676</v>
      </c>
      <c r="I422" t="s">
        <v>870</v>
      </c>
      <c r="J422" t="s">
        <v>681</v>
      </c>
    </row>
    <row r="423" spans="1:10" ht="15" hidden="1" customHeight="1" x14ac:dyDescent="0.25">
      <c r="A423" t="s">
        <v>1262</v>
      </c>
      <c r="B423" t="s">
        <v>138</v>
      </c>
      <c r="C423" t="s">
        <v>1263</v>
      </c>
      <c r="D423" t="s">
        <v>1238</v>
      </c>
      <c r="E423" t="s">
        <v>644</v>
      </c>
      <c r="F423" t="s">
        <v>675</v>
      </c>
      <c r="G423" t="s">
        <v>676</v>
      </c>
      <c r="I423" t="s">
        <v>1264</v>
      </c>
      <c r="J423" t="s">
        <v>762</v>
      </c>
    </row>
    <row r="424" spans="1:10" ht="15" hidden="1" customHeight="1" x14ac:dyDescent="0.25">
      <c r="A424" t="s">
        <v>272</v>
      </c>
      <c r="B424" t="s">
        <v>138</v>
      </c>
      <c r="C424" t="s">
        <v>271</v>
      </c>
      <c r="D424" t="s">
        <v>1238</v>
      </c>
      <c r="E424" t="s">
        <v>644</v>
      </c>
      <c r="F424" t="s">
        <v>901</v>
      </c>
      <c r="G424" t="s">
        <v>676</v>
      </c>
      <c r="I424" t="s">
        <v>685</v>
      </c>
      <c r="J424" t="s">
        <v>686</v>
      </c>
    </row>
    <row r="425" spans="1:10" ht="15" hidden="1" customHeight="1" x14ac:dyDescent="0.25">
      <c r="A425" t="s">
        <v>1265</v>
      </c>
      <c r="B425" t="s">
        <v>138</v>
      </c>
      <c r="C425" t="s">
        <v>1266</v>
      </c>
      <c r="D425" t="s">
        <v>1238</v>
      </c>
      <c r="E425" t="s">
        <v>644</v>
      </c>
      <c r="F425" t="s">
        <v>901</v>
      </c>
      <c r="G425" t="s">
        <v>676</v>
      </c>
      <c r="I425" t="s">
        <v>685</v>
      </c>
      <c r="J425" t="s">
        <v>686</v>
      </c>
    </row>
    <row r="426" spans="1:10" ht="15" hidden="1" customHeight="1" x14ac:dyDescent="0.25">
      <c r="A426" t="s">
        <v>244</v>
      </c>
      <c r="B426" t="s">
        <v>138</v>
      </c>
      <c r="C426" t="s">
        <v>243</v>
      </c>
      <c r="D426" t="s">
        <v>1238</v>
      </c>
      <c r="E426" t="s">
        <v>644</v>
      </c>
      <c r="F426" t="s">
        <v>852</v>
      </c>
      <c r="G426" t="s">
        <v>676</v>
      </c>
      <c r="I426" t="s">
        <v>853</v>
      </c>
      <c r="J426" t="s">
        <v>807</v>
      </c>
    </row>
    <row r="427" spans="1:10" ht="15" hidden="1" customHeight="1" x14ac:dyDescent="0.25">
      <c r="A427" t="s">
        <v>268</v>
      </c>
      <c r="B427" t="s">
        <v>138</v>
      </c>
      <c r="C427" t="s">
        <v>267</v>
      </c>
      <c r="D427" t="s">
        <v>1238</v>
      </c>
      <c r="E427" t="s">
        <v>644</v>
      </c>
      <c r="F427" t="s">
        <v>675</v>
      </c>
      <c r="G427" t="s">
        <v>676</v>
      </c>
      <c r="I427" t="s">
        <v>1267</v>
      </c>
      <c r="J427" t="s">
        <v>681</v>
      </c>
    </row>
    <row r="428" spans="1:10" ht="15" hidden="1" customHeight="1" x14ac:dyDescent="0.25">
      <c r="A428" t="s">
        <v>150</v>
      </c>
      <c r="B428" t="s">
        <v>138</v>
      </c>
      <c r="C428" t="s">
        <v>149</v>
      </c>
      <c r="D428" t="s">
        <v>1238</v>
      </c>
      <c r="E428" t="s">
        <v>644</v>
      </c>
      <c r="F428" t="s">
        <v>901</v>
      </c>
      <c r="G428" t="s">
        <v>676</v>
      </c>
      <c r="I428" t="s">
        <v>685</v>
      </c>
      <c r="J428" t="s">
        <v>686</v>
      </c>
    </row>
    <row r="429" spans="1:10" ht="15" hidden="1" customHeight="1" x14ac:dyDescent="0.25">
      <c r="A429" t="s">
        <v>1268</v>
      </c>
      <c r="B429" t="s">
        <v>138</v>
      </c>
      <c r="C429" t="s">
        <v>1269</v>
      </c>
      <c r="D429" t="s">
        <v>1238</v>
      </c>
      <c r="E429" t="s">
        <v>644</v>
      </c>
      <c r="F429" t="s">
        <v>675</v>
      </c>
      <c r="G429" t="s">
        <v>676</v>
      </c>
      <c r="I429" t="s">
        <v>680</v>
      </c>
      <c r="J429" t="s">
        <v>681</v>
      </c>
    </row>
    <row r="430" spans="1:10" ht="15" hidden="1" customHeight="1" x14ac:dyDescent="0.25">
      <c r="A430" t="s">
        <v>1270</v>
      </c>
      <c r="B430" t="s">
        <v>138</v>
      </c>
      <c r="C430" t="s">
        <v>1271</v>
      </c>
      <c r="D430" t="s">
        <v>1238</v>
      </c>
      <c r="E430" t="s">
        <v>644</v>
      </c>
      <c r="F430" t="s">
        <v>728</v>
      </c>
      <c r="G430" t="s">
        <v>676</v>
      </c>
      <c r="I430" t="s">
        <v>1272</v>
      </c>
      <c r="J430" t="s">
        <v>709</v>
      </c>
    </row>
    <row r="431" spans="1:10" ht="15" hidden="1" customHeight="1" x14ac:dyDescent="0.25">
      <c r="A431" t="s">
        <v>1273</v>
      </c>
      <c r="B431" t="s">
        <v>138</v>
      </c>
      <c r="C431" s="130" t="s">
        <v>1274</v>
      </c>
      <c r="D431" t="s">
        <v>1275</v>
      </c>
      <c r="E431" t="s">
        <v>644</v>
      </c>
      <c r="F431" t="s">
        <v>728</v>
      </c>
      <c r="G431" t="s">
        <v>676</v>
      </c>
    </row>
    <row r="432" spans="1:10" ht="15" hidden="1" customHeight="1" x14ac:dyDescent="0.25">
      <c r="A432" t="s">
        <v>1276</v>
      </c>
      <c r="B432" t="s">
        <v>138</v>
      </c>
      <c r="C432" s="130" t="s">
        <v>1277</v>
      </c>
      <c r="D432" t="s">
        <v>1278</v>
      </c>
      <c r="E432" t="s">
        <v>644</v>
      </c>
      <c r="F432" t="s">
        <v>728</v>
      </c>
      <c r="G432" t="s">
        <v>676</v>
      </c>
    </row>
    <row r="433" spans="1:10" ht="15" hidden="1" customHeight="1" x14ac:dyDescent="0.25">
      <c r="A433" t="s">
        <v>256</v>
      </c>
      <c r="B433" t="s">
        <v>138</v>
      </c>
      <c r="C433" t="s">
        <v>255</v>
      </c>
      <c r="D433" t="s">
        <v>1238</v>
      </c>
      <c r="E433" t="s">
        <v>644</v>
      </c>
      <c r="F433" t="s">
        <v>728</v>
      </c>
      <c r="G433" t="s">
        <v>676</v>
      </c>
      <c r="I433" t="s">
        <v>1279</v>
      </c>
      <c r="J433" t="s">
        <v>855</v>
      </c>
    </row>
    <row r="434" spans="1:10" ht="15" hidden="1" customHeight="1" x14ac:dyDescent="0.25">
      <c r="A434" t="s">
        <v>154</v>
      </c>
      <c r="B434" t="s">
        <v>138</v>
      </c>
      <c r="C434" t="s">
        <v>153</v>
      </c>
      <c r="D434" t="s">
        <v>1238</v>
      </c>
      <c r="E434" t="s">
        <v>644</v>
      </c>
      <c r="F434" t="s">
        <v>901</v>
      </c>
      <c r="G434" t="s">
        <v>676</v>
      </c>
      <c r="I434" t="s">
        <v>685</v>
      </c>
      <c r="J434" t="s">
        <v>686</v>
      </c>
    </row>
    <row r="435" spans="1:10" ht="15" hidden="1" customHeight="1" x14ac:dyDescent="0.25">
      <c r="A435" t="s">
        <v>208</v>
      </c>
      <c r="B435" t="s">
        <v>138</v>
      </c>
      <c r="C435" t="s">
        <v>207</v>
      </c>
      <c r="D435" t="s">
        <v>1238</v>
      </c>
      <c r="E435" t="s">
        <v>644</v>
      </c>
      <c r="F435" t="s">
        <v>901</v>
      </c>
      <c r="G435" t="s">
        <v>676</v>
      </c>
      <c r="I435" t="s">
        <v>685</v>
      </c>
      <c r="J435" t="s">
        <v>686</v>
      </c>
    </row>
    <row r="436" spans="1:10" ht="15" hidden="1" customHeight="1" x14ac:dyDescent="0.25">
      <c r="A436" t="s">
        <v>278</v>
      </c>
      <c r="B436" t="s">
        <v>138</v>
      </c>
      <c r="C436" t="s">
        <v>277</v>
      </c>
      <c r="D436" t="s">
        <v>1238</v>
      </c>
      <c r="E436" t="s">
        <v>644</v>
      </c>
      <c r="F436" t="s">
        <v>728</v>
      </c>
      <c r="G436" t="s">
        <v>676</v>
      </c>
      <c r="I436" t="s">
        <v>685</v>
      </c>
      <c r="J436" t="s">
        <v>686</v>
      </c>
    </row>
    <row r="437" spans="1:10" ht="15" hidden="1" customHeight="1" x14ac:dyDescent="0.25">
      <c r="A437" t="s">
        <v>206</v>
      </c>
      <c r="B437" t="s">
        <v>138</v>
      </c>
      <c r="C437" t="s">
        <v>205</v>
      </c>
      <c r="D437" t="s">
        <v>1238</v>
      </c>
      <c r="E437" t="s">
        <v>644</v>
      </c>
      <c r="F437" t="s">
        <v>675</v>
      </c>
      <c r="G437" t="s">
        <v>676</v>
      </c>
      <c r="I437" t="s">
        <v>1260</v>
      </c>
      <c r="J437" t="s">
        <v>855</v>
      </c>
    </row>
    <row r="438" spans="1:10" ht="15" hidden="1" customHeight="1" x14ac:dyDescent="0.25">
      <c r="A438" t="s">
        <v>190</v>
      </c>
      <c r="B438" t="s">
        <v>138</v>
      </c>
      <c r="C438" t="s">
        <v>189</v>
      </c>
      <c r="D438" t="s">
        <v>1238</v>
      </c>
      <c r="E438" t="s">
        <v>644</v>
      </c>
      <c r="F438" t="s">
        <v>856</v>
      </c>
      <c r="G438" t="s">
        <v>676</v>
      </c>
      <c r="I438" t="s">
        <v>857</v>
      </c>
      <c r="J438" t="s">
        <v>858</v>
      </c>
    </row>
    <row r="439" spans="1:10" ht="15" hidden="1" customHeight="1" x14ac:dyDescent="0.25">
      <c r="A439" t="s">
        <v>164</v>
      </c>
      <c r="B439" t="s">
        <v>138</v>
      </c>
      <c r="C439" t="s">
        <v>163</v>
      </c>
      <c r="D439" t="s">
        <v>1238</v>
      </c>
      <c r="E439" t="s">
        <v>644</v>
      </c>
      <c r="F439" t="s">
        <v>675</v>
      </c>
      <c r="G439" t="s">
        <v>676</v>
      </c>
      <c r="I439" t="s">
        <v>1280</v>
      </c>
      <c r="J439" t="s">
        <v>855</v>
      </c>
    </row>
    <row r="440" spans="1:10" ht="15" hidden="1" customHeight="1" x14ac:dyDescent="0.25">
      <c r="A440" t="s">
        <v>1281</v>
      </c>
      <c r="B440" t="s">
        <v>138</v>
      </c>
      <c r="C440" t="s">
        <v>1282</v>
      </c>
      <c r="D440" t="s">
        <v>1238</v>
      </c>
      <c r="E440" t="s">
        <v>644</v>
      </c>
      <c r="F440" t="s">
        <v>675</v>
      </c>
      <c r="G440" t="s">
        <v>676</v>
      </c>
      <c r="I440" t="s">
        <v>685</v>
      </c>
      <c r="J440" t="s">
        <v>686</v>
      </c>
    </row>
    <row r="441" spans="1:10" ht="15" hidden="1" customHeight="1" x14ac:dyDescent="0.25">
      <c r="A441" t="s">
        <v>1283</v>
      </c>
      <c r="B441" t="s">
        <v>138</v>
      </c>
      <c r="C441" t="s">
        <v>1284</v>
      </c>
      <c r="D441" t="s">
        <v>1238</v>
      </c>
      <c r="E441" t="s">
        <v>644</v>
      </c>
      <c r="F441" t="s">
        <v>675</v>
      </c>
      <c r="G441" t="s">
        <v>676</v>
      </c>
      <c r="I441" t="s">
        <v>1285</v>
      </c>
      <c r="J441" t="s">
        <v>863</v>
      </c>
    </row>
    <row r="442" spans="1:10" ht="15" hidden="1" customHeight="1" x14ac:dyDescent="0.25">
      <c r="A442" t="s">
        <v>1286</v>
      </c>
      <c r="B442" t="s">
        <v>138</v>
      </c>
      <c r="C442" t="s">
        <v>1287</v>
      </c>
      <c r="D442" t="s">
        <v>1238</v>
      </c>
      <c r="E442" t="s">
        <v>644</v>
      </c>
      <c r="F442" t="s">
        <v>675</v>
      </c>
      <c r="G442" t="s">
        <v>676</v>
      </c>
      <c r="I442" t="s">
        <v>1288</v>
      </c>
      <c r="J442" t="s">
        <v>709</v>
      </c>
    </row>
    <row r="443" spans="1:10" ht="15" hidden="1" customHeight="1" x14ac:dyDescent="0.25">
      <c r="A443" t="s">
        <v>158</v>
      </c>
      <c r="B443" t="s">
        <v>138</v>
      </c>
      <c r="C443" t="s">
        <v>157</v>
      </c>
      <c r="D443" t="s">
        <v>1238</v>
      </c>
      <c r="E443" t="s">
        <v>644</v>
      </c>
      <c r="F443" t="s">
        <v>901</v>
      </c>
      <c r="G443" t="s">
        <v>676</v>
      </c>
      <c r="I443" t="s">
        <v>685</v>
      </c>
      <c r="J443" t="s">
        <v>686</v>
      </c>
    </row>
    <row r="444" spans="1:10" ht="15" hidden="1" customHeight="1" x14ac:dyDescent="0.25">
      <c r="A444" t="s">
        <v>140</v>
      </c>
      <c r="B444" t="s">
        <v>138</v>
      </c>
      <c r="C444" t="s">
        <v>139</v>
      </c>
      <c r="D444" t="s">
        <v>1238</v>
      </c>
      <c r="E444" t="s">
        <v>644</v>
      </c>
      <c r="F444" t="s">
        <v>675</v>
      </c>
      <c r="G444" t="s">
        <v>676</v>
      </c>
      <c r="I444" t="s">
        <v>1288</v>
      </c>
      <c r="J444" t="s">
        <v>709</v>
      </c>
    </row>
    <row r="445" spans="1:10" ht="15" hidden="1" customHeight="1" x14ac:dyDescent="0.25">
      <c r="A445" t="s">
        <v>1289</v>
      </c>
      <c r="B445" t="s">
        <v>138</v>
      </c>
      <c r="C445" t="s">
        <v>1290</v>
      </c>
      <c r="D445" t="s">
        <v>1238</v>
      </c>
      <c r="E445" t="s">
        <v>644</v>
      </c>
      <c r="F445" t="s">
        <v>675</v>
      </c>
      <c r="G445" t="s">
        <v>676</v>
      </c>
      <c r="I445" t="s">
        <v>877</v>
      </c>
      <c r="J445" t="s">
        <v>762</v>
      </c>
    </row>
    <row r="446" spans="1:10" ht="15" hidden="1" customHeight="1" x14ac:dyDescent="0.25">
      <c r="A446" t="s">
        <v>1291</v>
      </c>
      <c r="B446" t="s">
        <v>138</v>
      </c>
      <c r="C446" t="s">
        <v>1292</v>
      </c>
      <c r="D446" t="s">
        <v>1238</v>
      </c>
      <c r="E446" t="s">
        <v>644</v>
      </c>
      <c r="F446" t="s">
        <v>675</v>
      </c>
      <c r="G446" t="s">
        <v>676</v>
      </c>
      <c r="I446" t="s">
        <v>1272</v>
      </c>
      <c r="J446" t="s">
        <v>709</v>
      </c>
    </row>
    <row r="447" spans="1:10" ht="15" hidden="1" customHeight="1" x14ac:dyDescent="0.25">
      <c r="A447" t="s">
        <v>1293</v>
      </c>
      <c r="B447" t="s">
        <v>138</v>
      </c>
      <c r="C447" t="s">
        <v>1294</v>
      </c>
      <c r="D447" t="s">
        <v>1238</v>
      </c>
      <c r="E447" t="s">
        <v>644</v>
      </c>
      <c r="F447" t="s">
        <v>675</v>
      </c>
      <c r="G447" t="s">
        <v>676</v>
      </c>
      <c r="I447" t="s">
        <v>880</v>
      </c>
      <c r="J447" t="s">
        <v>681</v>
      </c>
    </row>
    <row r="448" spans="1:10" ht="15" hidden="1" customHeight="1" x14ac:dyDescent="0.25">
      <c r="A448" t="s">
        <v>216</v>
      </c>
      <c r="B448" t="s">
        <v>138</v>
      </c>
      <c r="C448" t="s">
        <v>215</v>
      </c>
      <c r="D448" t="s">
        <v>1238</v>
      </c>
      <c r="E448" t="s">
        <v>644</v>
      </c>
      <c r="F448" t="s">
        <v>901</v>
      </c>
      <c r="G448" t="s">
        <v>676</v>
      </c>
      <c r="I448" t="s">
        <v>685</v>
      </c>
      <c r="J448" t="s">
        <v>686</v>
      </c>
    </row>
    <row r="449" spans="1:10" ht="15" hidden="1" customHeight="1" x14ac:dyDescent="0.25">
      <c r="A449" t="s">
        <v>1295</v>
      </c>
      <c r="B449" t="s">
        <v>138</v>
      </c>
      <c r="C449" t="s">
        <v>1296</v>
      </c>
      <c r="D449" t="s">
        <v>1238</v>
      </c>
      <c r="E449" t="s">
        <v>644</v>
      </c>
      <c r="F449" t="s">
        <v>901</v>
      </c>
      <c r="G449" t="s">
        <v>676</v>
      </c>
      <c r="I449" t="s">
        <v>685</v>
      </c>
      <c r="J449" t="s">
        <v>686</v>
      </c>
    </row>
    <row r="450" spans="1:10" ht="15" hidden="1" customHeight="1" x14ac:dyDescent="0.25">
      <c r="A450" t="s">
        <v>1297</v>
      </c>
      <c r="B450" t="s">
        <v>138</v>
      </c>
      <c r="C450" t="s">
        <v>1298</v>
      </c>
      <c r="D450" t="s">
        <v>1238</v>
      </c>
      <c r="E450" t="s">
        <v>644</v>
      </c>
      <c r="F450" t="s">
        <v>901</v>
      </c>
      <c r="G450" t="s">
        <v>676</v>
      </c>
      <c r="I450" t="s">
        <v>685</v>
      </c>
      <c r="J450" t="s">
        <v>686</v>
      </c>
    </row>
    <row r="451" spans="1:10" ht="15" hidden="1" customHeight="1" x14ac:dyDescent="0.25">
      <c r="A451" t="s">
        <v>210</v>
      </c>
      <c r="B451" t="s">
        <v>138</v>
      </c>
      <c r="C451" t="s">
        <v>209</v>
      </c>
      <c r="D451" t="s">
        <v>1238</v>
      </c>
      <c r="E451" t="s">
        <v>644</v>
      </c>
      <c r="F451" t="s">
        <v>901</v>
      </c>
      <c r="G451" t="s">
        <v>676</v>
      </c>
      <c r="I451" t="s">
        <v>685</v>
      </c>
      <c r="J451" t="s">
        <v>686</v>
      </c>
    </row>
    <row r="452" spans="1:10" ht="15" hidden="1" customHeight="1" x14ac:dyDescent="0.25">
      <c r="A452" t="s">
        <v>176</v>
      </c>
      <c r="B452" t="s">
        <v>138</v>
      </c>
      <c r="C452" t="s">
        <v>175</v>
      </c>
      <c r="D452" t="s">
        <v>1238</v>
      </c>
      <c r="E452" t="s">
        <v>644</v>
      </c>
      <c r="F452" t="s">
        <v>675</v>
      </c>
      <c r="G452" t="s">
        <v>676</v>
      </c>
      <c r="I452" t="s">
        <v>870</v>
      </c>
      <c r="J452" t="s">
        <v>681</v>
      </c>
    </row>
    <row r="453" spans="1:10" ht="15" hidden="1" customHeight="1" x14ac:dyDescent="0.25">
      <c r="A453" t="s">
        <v>156</v>
      </c>
      <c r="B453" t="s">
        <v>138</v>
      </c>
      <c r="C453" t="s">
        <v>155</v>
      </c>
      <c r="D453" t="s">
        <v>1238</v>
      </c>
      <c r="E453" t="s">
        <v>644</v>
      </c>
      <c r="F453" t="s">
        <v>675</v>
      </c>
      <c r="G453" t="s">
        <v>676</v>
      </c>
      <c r="I453" t="s">
        <v>1272</v>
      </c>
      <c r="J453" t="s">
        <v>709</v>
      </c>
    </row>
    <row r="454" spans="1:10" ht="15" hidden="1" customHeight="1" x14ac:dyDescent="0.25">
      <c r="A454" t="s">
        <v>1299</v>
      </c>
      <c r="B454" t="s">
        <v>138</v>
      </c>
      <c r="C454" t="s">
        <v>1300</v>
      </c>
      <c r="D454" t="s">
        <v>1238</v>
      </c>
      <c r="E454" t="s">
        <v>644</v>
      </c>
      <c r="F454" t="s">
        <v>714</v>
      </c>
      <c r="G454" t="s">
        <v>676</v>
      </c>
      <c r="I454" t="s">
        <v>715</v>
      </c>
      <c r="J454" t="s">
        <v>716</v>
      </c>
    </row>
    <row r="455" spans="1:10" ht="15" hidden="1" customHeight="1" x14ac:dyDescent="0.25">
      <c r="A455" t="s">
        <v>1301</v>
      </c>
      <c r="B455" t="s">
        <v>138</v>
      </c>
      <c r="C455" t="s">
        <v>1302</v>
      </c>
      <c r="D455" t="s">
        <v>1238</v>
      </c>
      <c r="E455" t="s">
        <v>644</v>
      </c>
      <c r="F455" t="s">
        <v>714</v>
      </c>
      <c r="G455" t="s">
        <v>676</v>
      </c>
      <c r="I455" t="s">
        <v>715</v>
      </c>
      <c r="J455" t="s">
        <v>716</v>
      </c>
    </row>
    <row r="456" spans="1:10" ht="15" hidden="1" customHeight="1" x14ac:dyDescent="0.25">
      <c r="A456" t="s">
        <v>1303</v>
      </c>
      <c r="B456" t="s">
        <v>138</v>
      </c>
      <c r="C456" t="s">
        <v>1304</v>
      </c>
      <c r="D456" t="s">
        <v>1238</v>
      </c>
      <c r="E456" t="s">
        <v>644</v>
      </c>
      <c r="F456" t="s">
        <v>901</v>
      </c>
      <c r="G456" t="s">
        <v>676</v>
      </c>
      <c r="I456" t="s">
        <v>685</v>
      </c>
      <c r="J456" t="s">
        <v>686</v>
      </c>
    </row>
    <row r="457" spans="1:10" ht="15" hidden="1" customHeight="1" x14ac:dyDescent="0.25">
      <c r="A457" t="s">
        <v>174</v>
      </c>
      <c r="B457" t="s">
        <v>138</v>
      </c>
      <c r="C457" t="s">
        <v>173</v>
      </c>
      <c r="D457" t="s">
        <v>1238</v>
      </c>
      <c r="E457" t="s">
        <v>644</v>
      </c>
      <c r="F457" t="s">
        <v>714</v>
      </c>
      <c r="G457" t="s">
        <v>676</v>
      </c>
      <c r="I457" t="s">
        <v>715</v>
      </c>
      <c r="J457" t="s">
        <v>716</v>
      </c>
    </row>
    <row r="458" spans="1:10" ht="15" hidden="1" customHeight="1" x14ac:dyDescent="0.25">
      <c r="A458" t="s">
        <v>236</v>
      </c>
      <c r="B458" t="s">
        <v>138</v>
      </c>
      <c r="C458" t="s">
        <v>235</v>
      </c>
      <c r="D458" t="s">
        <v>1238</v>
      </c>
      <c r="E458" t="s">
        <v>644</v>
      </c>
      <c r="F458" t="s">
        <v>714</v>
      </c>
      <c r="G458" t="s">
        <v>676</v>
      </c>
      <c r="I458" t="s">
        <v>715</v>
      </c>
      <c r="J458" t="s">
        <v>716</v>
      </c>
    </row>
    <row r="459" spans="1:10" ht="15" hidden="1" customHeight="1" x14ac:dyDescent="0.25">
      <c r="A459" t="s">
        <v>1305</v>
      </c>
      <c r="B459" t="s">
        <v>138</v>
      </c>
      <c r="C459" t="s">
        <v>1306</v>
      </c>
      <c r="D459" t="s">
        <v>1238</v>
      </c>
      <c r="E459" t="s">
        <v>644</v>
      </c>
      <c r="F459" t="s">
        <v>675</v>
      </c>
      <c r="G459" t="s">
        <v>676</v>
      </c>
      <c r="I459" t="s">
        <v>1307</v>
      </c>
      <c r="J459" t="s">
        <v>681</v>
      </c>
    </row>
    <row r="460" spans="1:10" ht="15" hidden="1" customHeight="1" x14ac:dyDescent="0.25">
      <c r="A460" t="s">
        <v>1308</v>
      </c>
      <c r="B460" t="s">
        <v>138</v>
      </c>
      <c r="C460" t="s">
        <v>1309</v>
      </c>
      <c r="D460" t="s">
        <v>1238</v>
      </c>
      <c r="E460" t="s">
        <v>644</v>
      </c>
      <c r="F460" t="s">
        <v>675</v>
      </c>
      <c r="G460" t="s">
        <v>676</v>
      </c>
      <c r="I460" t="s">
        <v>1310</v>
      </c>
      <c r="J460" t="s">
        <v>863</v>
      </c>
    </row>
    <row r="461" spans="1:10" ht="15" hidden="1" customHeight="1" x14ac:dyDescent="0.25">
      <c r="A461" t="s">
        <v>310</v>
      </c>
      <c r="B461" t="s">
        <v>138</v>
      </c>
      <c r="C461" t="s">
        <v>309</v>
      </c>
      <c r="D461" t="s">
        <v>1238</v>
      </c>
      <c r="E461" t="s">
        <v>644</v>
      </c>
      <c r="F461" t="s">
        <v>675</v>
      </c>
      <c r="G461" t="s">
        <v>676</v>
      </c>
      <c r="I461" t="s">
        <v>719</v>
      </c>
      <c r="J461" t="s">
        <v>716</v>
      </c>
    </row>
    <row r="462" spans="1:10" ht="15" hidden="1" customHeight="1" x14ac:dyDescent="0.25">
      <c r="A462" t="s">
        <v>226</v>
      </c>
      <c r="B462" t="s">
        <v>138</v>
      </c>
      <c r="C462" t="s">
        <v>225</v>
      </c>
      <c r="D462" t="s">
        <v>1238</v>
      </c>
      <c r="E462" t="s">
        <v>644</v>
      </c>
      <c r="F462" t="s">
        <v>901</v>
      </c>
      <c r="G462" t="s">
        <v>676</v>
      </c>
      <c r="I462" t="s">
        <v>685</v>
      </c>
      <c r="J462" t="s">
        <v>686</v>
      </c>
    </row>
    <row r="463" spans="1:10" ht="15" hidden="1" customHeight="1" x14ac:dyDescent="0.25">
      <c r="A463" t="s">
        <v>254</v>
      </c>
      <c r="B463" t="s">
        <v>138</v>
      </c>
      <c r="C463" t="s">
        <v>253</v>
      </c>
      <c r="D463" t="s">
        <v>1238</v>
      </c>
      <c r="E463" t="s">
        <v>644</v>
      </c>
      <c r="F463" t="s">
        <v>675</v>
      </c>
      <c r="G463" t="s">
        <v>676</v>
      </c>
      <c r="I463" t="s">
        <v>685</v>
      </c>
      <c r="J463" t="s">
        <v>686</v>
      </c>
    </row>
    <row r="464" spans="1:10" ht="15" hidden="1" customHeight="1" x14ac:dyDescent="0.25">
      <c r="A464" t="s">
        <v>152</v>
      </c>
      <c r="B464" t="s">
        <v>138</v>
      </c>
      <c r="C464" t="s">
        <v>151</v>
      </c>
      <c r="D464" t="s">
        <v>1238</v>
      </c>
      <c r="E464" t="s">
        <v>644</v>
      </c>
      <c r="F464" t="s">
        <v>901</v>
      </c>
      <c r="G464" t="s">
        <v>676</v>
      </c>
      <c r="I464" t="s">
        <v>685</v>
      </c>
      <c r="J464" t="s">
        <v>686</v>
      </c>
    </row>
    <row r="465" spans="1:10" ht="15" hidden="1" customHeight="1" x14ac:dyDescent="0.25">
      <c r="A465" t="s">
        <v>1311</v>
      </c>
      <c r="B465" t="s">
        <v>138</v>
      </c>
      <c r="C465" t="s">
        <v>1312</v>
      </c>
      <c r="D465" t="s">
        <v>1238</v>
      </c>
      <c r="E465" t="s">
        <v>644</v>
      </c>
      <c r="F465" t="s">
        <v>901</v>
      </c>
      <c r="G465" t="s">
        <v>676</v>
      </c>
      <c r="I465" t="s">
        <v>685</v>
      </c>
      <c r="J465" t="s">
        <v>686</v>
      </c>
    </row>
    <row r="466" spans="1:10" ht="15" hidden="1" customHeight="1" x14ac:dyDescent="0.25">
      <c r="A466" t="s">
        <v>1313</v>
      </c>
      <c r="B466" t="s">
        <v>138</v>
      </c>
      <c r="C466" t="s">
        <v>1314</v>
      </c>
      <c r="D466" t="s">
        <v>1238</v>
      </c>
      <c r="E466" t="s">
        <v>644</v>
      </c>
      <c r="F466" t="s">
        <v>675</v>
      </c>
      <c r="G466" t="s">
        <v>676</v>
      </c>
      <c r="I466" t="s">
        <v>685</v>
      </c>
      <c r="J466" t="s">
        <v>686</v>
      </c>
    </row>
    <row r="467" spans="1:10" ht="15" hidden="1" customHeight="1" x14ac:dyDescent="0.25">
      <c r="A467" t="s">
        <v>242</v>
      </c>
      <c r="B467" t="s">
        <v>138</v>
      </c>
      <c r="C467" t="s">
        <v>241</v>
      </c>
      <c r="D467" t="s">
        <v>1238</v>
      </c>
      <c r="E467" t="s">
        <v>644</v>
      </c>
      <c r="F467" t="s">
        <v>675</v>
      </c>
      <c r="G467" t="s">
        <v>676</v>
      </c>
      <c r="I467" t="s">
        <v>1267</v>
      </c>
      <c r="J467" t="s">
        <v>681</v>
      </c>
    </row>
    <row r="468" spans="1:10" ht="15" hidden="1" customHeight="1" x14ac:dyDescent="0.25">
      <c r="A468" t="s">
        <v>286</v>
      </c>
      <c r="B468" t="s">
        <v>138</v>
      </c>
      <c r="C468" t="s">
        <v>285</v>
      </c>
      <c r="D468" t="s">
        <v>1238</v>
      </c>
      <c r="E468" t="s">
        <v>644</v>
      </c>
      <c r="F468" t="s">
        <v>675</v>
      </c>
      <c r="G468" t="s">
        <v>676</v>
      </c>
      <c r="I468" t="s">
        <v>867</v>
      </c>
      <c r="J468" t="s">
        <v>863</v>
      </c>
    </row>
    <row r="469" spans="1:10" ht="15" hidden="1" customHeight="1" x14ac:dyDescent="0.25">
      <c r="A469" t="s">
        <v>194</v>
      </c>
      <c r="B469" t="s">
        <v>138</v>
      </c>
      <c r="C469" t="s">
        <v>193</v>
      </c>
      <c r="D469" t="s">
        <v>1238</v>
      </c>
      <c r="E469" t="s">
        <v>644</v>
      </c>
      <c r="F469" t="s">
        <v>901</v>
      </c>
      <c r="G469" t="s">
        <v>676</v>
      </c>
      <c r="I469" t="s">
        <v>685</v>
      </c>
      <c r="J469" t="s">
        <v>686</v>
      </c>
    </row>
    <row r="470" spans="1:10" hidden="1" x14ac:dyDescent="0.25">
      <c r="A470" t="s">
        <v>1315</v>
      </c>
      <c r="B470" t="s">
        <v>138</v>
      </c>
      <c r="C470" t="s">
        <v>1316</v>
      </c>
      <c r="D470" t="s">
        <v>1238</v>
      </c>
      <c r="E470" t="s">
        <v>644</v>
      </c>
      <c r="F470" t="s">
        <v>901</v>
      </c>
      <c r="G470" t="s">
        <v>676</v>
      </c>
      <c r="I470" t="s">
        <v>685</v>
      </c>
      <c r="J470" t="s">
        <v>686</v>
      </c>
    </row>
    <row r="471" spans="1:10" ht="15" hidden="1" customHeight="1" x14ac:dyDescent="0.25">
      <c r="A471" t="s">
        <v>294</v>
      </c>
      <c r="B471" t="s">
        <v>138</v>
      </c>
      <c r="C471" t="s">
        <v>293</v>
      </c>
      <c r="D471" t="s">
        <v>1238</v>
      </c>
      <c r="E471" t="s">
        <v>644</v>
      </c>
      <c r="F471" t="s">
        <v>675</v>
      </c>
      <c r="G471" t="s">
        <v>676</v>
      </c>
      <c r="I471" t="s">
        <v>1307</v>
      </c>
      <c r="J471" t="s">
        <v>681</v>
      </c>
    </row>
    <row r="472" spans="1:10" ht="15" hidden="1" customHeight="1" x14ac:dyDescent="0.25">
      <c r="A472" t="s">
        <v>160</v>
      </c>
      <c r="B472" t="s">
        <v>138</v>
      </c>
      <c r="C472" s="135" t="s">
        <v>159</v>
      </c>
      <c r="D472" t="s">
        <v>1238</v>
      </c>
      <c r="E472" t="s">
        <v>644</v>
      </c>
      <c r="F472" t="s">
        <v>675</v>
      </c>
      <c r="G472" t="s">
        <v>676</v>
      </c>
      <c r="I472" t="s">
        <v>1317</v>
      </c>
      <c r="J472" t="s">
        <v>855</v>
      </c>
    </row>
    <row r="473" spans="1:10" ht="15" hidden="1" customHeight="1" x14ac:dyDescent="0.25">
      <c r="A473" t="s">
        <v>1318</v>
      </c>
      <c r="B473" t="s">
        <v>138</v>
      </c>
      <c r="C473" s="135" t="s">
        <v>1319</v>
      </c>
      <c r="D473" t="s">
        <v>1238</v>
      </c>
      <c r="E473" t="s">
        <v>644</v>
      </c>
      <c r="F473" t="s">
        <v>675</v>
      </c>
      <c r="G473" t="s">
        <v>676</v>
      </c>
      <c r="I473" t="s">
        <v>1320</v>
      </c>
      <c r="J473" t="s">
        <v>762</v>
      </c>
    </row>
    <row r="474" spans="1:10" ht="15" hidden="1" customHeight="1" x14ac:dyDescent="0.25">
      <c r="A474" t="s">
        <v>296</v>
      </c>
      <c r="B474" t="s">
        <v>138</v>
      </c>
      <c r="C474" s="135" t="s">
        <v>295</v>
      </c>
      <c r="D474" t="s">
        <v>1238</v>
      </c>
      <c r="E474" t="s">
        <v>644</v>
      </c>
      <c r="F474" t="s">
        <v>714</v>
      </c>
      <c r="G474" t="s">
        <v>676</v>
      </c>
      <c r="I474" t="s">
        <v>715</v>
      </c>
      <c r="J474" t="s">
        <v>716</v>
      </c>
    </row>
    <row r="475" spans="1:10" ht="15" hidden="1" customHeight="1" x14ac:dyDescent="0.25">
      <c r="A475" t="s">
        <v>1321</v>
      </c>
      <c r="B475" t="s">
        <v>138</v>
      </c>
      <c r="C475" t="s">
        <v>1322</v>
      </c>
      <c r="D475" t="s">
        <v>1238</v>
      </c>
      <c r="E475" t="s">
        <v>644</v>
      </c>
      <c r="F475" t="s">
        <v>675</v>
      </c>
      <c r="G475" t="s">
        <v>676</v>
      </c>
      <c r="I475" t="s">
        <v>680</v>
      </c>
      <c r="J475" t="s">
        <v>681</v>
      </c>
    </row>
    <row r="476" spans="1:10" ht="15" hidden="1" customHeight="1" x14ac:dyDescent="0.25">
      <c r="A476" t="s">
        <v>234</v>
      </c>
      <c r="B476" t="s">
        <v>138</v>
      </c>
      <c r="C476" t="s">
        <v>1323</v>
      </c>
      <c r="D476" t="s">
        <v>1238</v>
      </c>
      <c r="E476" t="s">
        <v>644</v>
      </c>
      <c r="F476" t="s">
        <v>901</v>
      </c>
      <c r="G476" t="s">
        <v>676</v>
      </c>
      <c r="I476" t="s">
        <v>685</v>
      </c>
      <c r="J476" t="s">
        <v>686</v>
      </c>
    </row>
    <row r="477" spans="1:10" ht="15" hidden="1" customHeight="1" x14ac:dyDescent="0.25">
      <c r="A477" t="s">
        <v>302</v>
      </c>
      <c r="B477" t="s">
        <v>138</v>
      </c>
      <c r="C477" t="s">
        <v>301</v>
      </c>
      <c r="D477" t="s">
        <v>1238</v>
      </c>
      <c r="E477" t="s">
        <v>644</v>
      </c>
      <c r="F477" t="s">
        <v>675</v>
      </c>
      <c r="G477" t="s">
        <v>676</v>
      </c>
      <c r="I477" t="s">
        <v>870</v>
      </c>
      <c r="J477" t="s">
        <v>681</v>
      </c>
    </row>
    <row r="478" spans="1:10" ht="15" hidden="1" customHeight="1" x14ac:dyDescent="0.25">
      <c r="A478" t="s">
        <v>1324</v>
      </c>
      <c r="B478" t="s">
        <v>138</v>
      </c>
      <c r="C478" t="s">
        <v>1325</v>
      </c>
      <c r="D478" t="s">
        <v>1238</v>
      </c>
      <c r="E478" t="s">
        <v>644</v>
      </c>
      <c r="F478" t="s">
        <v>675</v>
      </c>
      <c r="G478" t="s">
        <v>676</v>
      </c>
      <c r="I478" t="s">
        <v>871</v>
      </c>
      <c r="J478" t="s">
        <v>865</v>
      </c>
    </row>
    <row r="479" spans="1:10" ht="15" hidden="1" customHeight="1" x14ac:dyDescent="0.25">
      <c r="A479" t="s">
        <v>1326</v>
      </c>
      <c r="B479" t="s">
        <v>138</v>
      </c>
      <c r="C479" t="s">
        <v>1327</v>
      </c>
      <c r="D479" t="s">
        <v>1238</v>
      </c>
      <c r="E479" t="s">
        <v>644</v>
      </c>
      <c r="F479" t="s">
        <v>675</v>
      </c>
      <c r="G479" t="s">
        <v>676</v>
      </c>
      <c r="I479" t="s">
        <v>1328</v>
      </c>
      <c r="J479" t="s">
        <v>681</v>
      </c>
    </row>
    <row r="480" spans="1:10" ht="15" hidden="1" customHeight="1" x14ac:dyDescent="0.25">
      <c r="A480" t="s">
        <v>240</v>
      </c>
      <c r="B480" t="s">
        <v>138</v>
      </c>
      <c r="C480" t="s">
        <v>239</v>
      </c>
      <c r="D480" t="s">
        <v>1238</v>
      </c>
      <c r="E480" t="s">
        <v>644</v>
      </c>
      <c r="F480" t="s">
        <v>901</v>
      </c>
      <c r="G480" t="s">
        <v>676</v>
      </c>
      <c r="I480" t="s">
        <v>685</v>
      </c>
      <c r="J480" t="s">
        <v>686</v>
      </c>
    </row>
    <row r="481" spans="1:10" ht="15" hidden="1" customHeight="1" x14ac:dyDescent="0.25">
      <c r="A481" t="s">
        <v>1329</v>
      </c>
      <c r="B481" t="s">
        <v>138</v>
      </c>
      <c r="C481" t="s">
        <v>1330</v>
      </c>
      <c r="D481" t="s">
        <v>1238</v>
      </c>
      <c r="E481" t="s">
        <v>644</v>
      </c>
      <c r="F481" t="s">
        <v>901</v>
      </c>
      <c r="G481" t="s">
        <v>676</v>
      </c>
      <c r="I481" t="s">
        <v>685</v>
      </c>
      <c r="J481" t="s">
        <v>686</v>
      </c>
    </row>
    <row r="482" spans="1:10" ht="15" hidden="1" customHeight="1" x14ac:dyDescent="0.25">
      <c r="A482" t="s">
        <v>224</v>
      </c>
      <c r="B482" t="s">
        <v>138</v>
      </c>
      <c r="C482" t="s">
        <v>223</v>
      </c>
      <c r="D482" t="s">
        <v>1238</v>
      </c>
      <c r="E482" t="s">
        <v>644</v>
      </c>
      <c r="F482" t="s">
        <v>901</v>
      </c>
      <c r="G482" t="s">
        <v>676</v>
      </c>
      <c r="I482" t="s">
        <v>685</v>
      </c>
      <c r="J482" t="s">
        <v>686</v>
      </c>
    </row>
    <row r="483" spans="1:10" ht="15" hidden="1" customHeight="1" x14ac:dyDescent="0.25">
      <c r="A483" t="s">
        <v>222</v>
      </c>
      <c r="B483" t="s">
        <v>138</v>
      </c>
      <c r="C483" t="s">
        <v>221</v>
      </c>
      <c r="D483" t="s">
        <v>1238</v>
      </c>
      <c r="E483" t="s">
        <v>644</v>
      </c>
      <c r="F483" t="s">
        <v>901</v>
      </c>
      <c r="G483" t="s">
        <v>676</v>
      </c>
      <c r="I483" t="s">
        <v>685</v>
      </c>
      <c r="J483" t="s">
        <v>686</v>
      </c>
    </row>
    <row r="484" spans="1:10" ht="15" hidden="1" customHeight="1" x14ac:dyDescent="0.25">
      <c r="A484" t="s">
        <v>1331</v>
      </c>
      <c r="B484" t="s">
        <v>138</v>
      </c>
      <c r="C484" t="s">
        <v>1332</v>
      </c>
      <c r="D484" t="s">
        <v>1238</v>
      </c>
      <c r="E484" t="s">
        <v>644</v>
      </c>
      <c r="F484" t="s">
        <v>901</v>
      </c>
      <c r="G484" t="s">
        <v>676</v>
      </c>
    </row>
    <row r="485" spans="1:10" ht="15" hidden="1" customHeight="1" x14ac:dyDescent="0.25">
      <c r="A485" t="s">
        <v>282</v>
      </c>
      <c r="B485" t="s">
        <v>138</v>
      </c>
      <c r="C485" t="s">
        <v>281</v>
      </c>
      <c r="D485" t="s">
        <v>1238</v>
      </c>
      <c r="E485" t="s">
        <v>644</v>
      </c>
      <c r="F485" t="s">
        <v>874</v>
      </c>
      <c r="G485" t="s">
        <v>676</v>
      </c>
      <c r="I485" t="s">
        <v>761</v>
      </c>
      <c r="J485" t="s">
        <v>762</v>
      </c>
    </row>
    <row r="486" spans="1:10" ht="15" hidden="1" customHeight="1" x14ac:dyDescent="0.25">
      <c r="A486" t="s">
        <v>142</v>
      </c>
      <c r="B486" t="s">
        <v>138</v>
      </c>
      <c r="C486" t="s">
        <v>141</v>
      </c>
      <c r="D486" t="s">
        <v>1238</v>
      </c>
      <c r="E486" t="s">
        <v>644</v>
      </c>
      <c r="F486" t="s">
        <v>901</v>
      </c>
      <c r="G486" t="s">
        <v>676</v>
      </c>
      <c r="I486" t="s">
        <v>685</v>
      </c>
      <c r="J486" t="s">
        <v>686</v>
      </c>
    </row>
    <row r="487" spans="1:10" ht="15" hidden="1" customHeight="1" x14ac:dyDescent="0.25">
      <c r="A487" t="s">
        <v>186</v>
      </c>
      <c r="B487" t="s">
        <v>138</v>
      </c>
      <c r="C487" t="s">
        <v>185</v>
      </c>
      <c r="D487" t="s">
        <v>1238</v>
      </c>
      <c r="E487" t="s">
        <v>644</v>
      </c>
      <c r="F487" t="s">
        <v>675</v>
      </c>
      <c r="G487" t="s">
        <v>676</v>
      </c>
      <c r="I487" t="s">
        <v>1320</v>
      </c>
      <c r="J487" t="s">
        <v>762</v>
      </c>
    </row>
    <row r="488" spans="1:10" ht="15" hidden="1" customHeight="1" x14ac:dyDescent="0.25">
      <c r="A488" t="s">
        <v>258</v>
      </c>
      <c r="B488" t="s">
        <v>138</v>
      </c>
      <c r="C488" t="s">
        <v>257</v>
      </c>
      <c r="D488" t="s">
        <v>1238</v>
      </c>
      <c r="E488" t="s">
        <v>644</v>
      </c>
      <c r="F488" t="s">
        <v>675</v>
      </c>
      <c r="G488" t="s">
        <v>676</v>
      </c>
      <c r="I488" t="s">
        <v>1320</v>
      </c>
      <c r="J488" t="s">
        <v>762</v>
      </c>
    </row>
    <row r="489" spans="1:10" ht="15" hidden="1" customHeight="1" x14ac:dyDescent="0.25">
      <c r="A489" t="s">
        <v>1333</v>
      </c>
      <c r="B489" t="s">
        <v>138</v>
      </c>
      <c r="C489" t="s">
        <v>1334</v>
      </c>
      <c r="D489" t="s">
        <v>1238</v>
      </c>
      <c r="E489" t="s">
        <v>644</v>
      </c>
      <c r="F489" t="s">
        <v>675</v>
      </c>
      <c r="G489" t="s">
        <v>676</v>
      </c>
      <c r="I489" t="s">
        <v>685</v>
      </c>
      <c r="J489" t="s">
        <v>686</v>
      </c>
    </row>
    <row r="490" spans="1:10" ht="15" hidden="1" customHeight="1" x14ac:dyDescent="0.25">
      <c r="A490" t="s">
        <v>238</v>
      </c>
      <c r="B490" t="s">
        <v>138</v>
      </c>
      <c r="C490" t="s">
        <v>237</v>
      </c>
      <c r="D490" t="s">
        <v>1238</v>
      </c>
      <c r="E490" t="s">
        <v>644</v>
      </c>
      <c r="F490" t="s">
        <v>901</v>
      </c>
      <c r="G490" t="s">
        <v>676</v>
      </c>
      <c r="I490" t="s">
        <v>685</v>
      </c>
      <c r="J490" t="s">
        <v>686</v>
      </c>
    </row>
    <row r="491" spans="1:10" ht="15" hidden="1" customHeight="1" x14ac:dyDescent="0.25">
      <c r="A491" t="s">
        <v>146</v>
      </c>
      <c r="B491" t="s">
        <v>138</v>
      </c>
      <c r="C491" t="s">
        <v>145</v>
      </c>
      <c r="D491" t="s">
        <v>1238</v>
      </c>
      <c r="E491" t="s">
        <v>644</v>
      </c>
      <c r="F491" t="s">
        <v>901</v>
      </c>
      <c r="G491" t="s">
        <v>676</v>
      </c>
      <c r="I491" t="s">
        <v>685</v>
      </c>
      <c r="J491" t="s">
        <v>686</v>
      </c>
    </row>
    <row r="492" spans="1:10" ht="15" hidden="1" customHeight="1" x14ac:dyDescent="0.25">
      <c r="A492" t="s">
        <v>192</v>
      </c>
      <c r="B492" t="s">
        <v>138</v>
      </c>
      <c r="C492" t="s">
        <v>191</v>
      </c>
      <c r="D492" t="s">
        <v>1238</v>
      </c>
      <c r="E492" t="s">
        <v>644</v>
      </c>
      <c r="F492" t="s">
        <v>901</v>
      </c>
      <c r="G492" t="s">
        <v>676</v>
      </c>
      <c r="I492" t="s">
        <v>685</v>
      </c>
      <c r="J492" t="s">
        <v>686</v>
      </c>
    </row>
    <row r="493" spans="1:10" ht="15" hidden="1" customHeight="1" x14ac:dyDescent="0.25">
      <c r="A493" t="s">
        <v>1335</v>
      </c>
      <c r="B493" t="s">
        <v>138</v>
      </c>
      <c r="C493" t="s">
        <v>1336</v>
      </c>
      <c r="D493" t="s">
        <v>1238</v>
      </c>
      <c r="E493" t="s">
        <v>644</v>
      </c>
      <c r="F493" t="s">
        <v>675</v>
      </c>
      <c r="G493" t="s">
        <v>676</v>
      </c>
      <c r="I493" t="s">
        <v>1272</v>
      </c>
      <c r="J493" t="s">
        <v>709</v>
      </c>
    </row>
    <row r="494" spans="1:10" ht="15" hidden="1" customHeight="1" x14ac:dyDescent="0.25">
      <c r="A494" t="s">
        <v>270</v>
      </c>
      <c r="B494" t="s">
        <v>138</v>
      </c>
      <c r="C494" t="s">
        <v>269</v>
      </c>
      <c r="D494" t="s">
        <v>1238</v>
      </c>
      <c r="E494" t="s">
        <v>644</v>
      </c>
      <c r="F494" t="s">
        <v>675</v>
      </c>
      <c r="G494" t="s">
        <v>676</v>
      </c>
      <c r="I494" t="s">
        <v>1279</v>
      </c>
      <c r="J494" t="s">
        <v>855</v>
      </c>
    </row>
    <row r="495" spans="1:10" ht="15" hidden="1" customHeight="1" x14ac:dyDescent="0.25">
      <c r="A495" t="s">
        <v>204</v>
      </c>
      <c r="B495" t="s">
        <v>138</v>
      </c>
      <c r="C495" t="s">
        <v>203</v>
      </c>
      <c r="D495" t="s">
        <v>1238</v>
      </c>
      <c r="E495" t="s">
        <v>644</v>
      </c>
      <c r="F495" t="s">
        <v>675</v>
      </c>
      <c r="G495" t="s">
        <v>676</v>
      </c>
      <c r="I495" t="s">
        <v>1337</v>
      </c>
      <c r="J495" t="s">
        <v>863</v>
      </c>
    </row>
    <row r="496" spans="1:10" ht="15" hidden="1" customHeight="1" x14ac:dyDescent="0.25">
      <c r="A496" t="s">
        <v>218</v>
      </c>
      <c r="B496" t="s">
        <v>138</v>
      </c>
      <c r="C496" t="s">
        <v>217</v>
      </c>
      <c r="D496" t="s">
        <v>1238</v>
      </c>
      <c r="E496" t="s">
        <v>644</v>
      </c>
      <c r="F496" t="s">
        <v>675</v>
      </c>
      <c r="G496" t="s">
        <v>676</v>
      </c>
      <c r="I496" t="s">
        <v>877</v>
      </c>
      <c r="J496" t="s">
        <v>762</v>
      </c>
    </row>
    <row r="497" spans="1:10" ht="15" hidden="1" customHeight="1" x14ac:dyDescent="0.25">
      <c r="A497" t="s">
        <v>166</v>
      </c>
      <c r="B497" t="s">
        <v>138</v>
      </c>
      <c r="C497" t="s">
        <v>165</v>
      </c>
      <c r="D497" t="s">
        <v>1238</v>
      </c>
      <c r="E497" t="s">
        <v>644</v>
      </c>
      <c r="F497" t="s">
        <v>901</v>
      </c>
      <c r="G497" t="s">
        <v>676</v>
      </c>
      <c r="I497" t="s">
        <v>685</v>
      </c>
      <c r="J497" t="s">
        <v>686</v>
      </c>
    </row>
    <row r="498" spans="1:10" ht="15" hidden="1" customHeight="1" x14ac:dyDescent="0.25">
      <c r="A498" s="137" t="s">
        <v>1338</v>
      </c>
      <c r="B498" t="s">
        <v>138</v>
      </c>
      <c r="C498" t="s">
        <v>1339</v>
      </c>
      <c r="D498" t="s">
        <v>1238</v>
      </c>
      <c r="E498" t="s">
        <v>644</v>
      </c>
      <c r="F498" t="s">
        <v>901</v>
      </c>
      <c r="G498" t="s">
        <v>676</v>
      </c>
      <c r="I498" t="s">
        <v>685</v>
      </c>
    </row>
    <row r="499" spans="1:10" ht="15" hidden="1" customHeight="1" x14ac:dyDescent="0.25">
      <c r="A499" t="s">
        <v>306</v>
      </c>
      <c r="B499" t="s">
        <v>138</v>
      </c>
      <c r="C499" t="s">
        <v>305</v>
      </c>
      <c r="D499" t="s">
        <v>1238</v>
      </c>
      <c r="E499" t="s">
        <v>644</v>
      </c>
      <c r="F499" t="s">
        <v>675</v>
      </c>
      <c r="G499" t="s">
        <v>676</v>
      </c>
      <c r="I499" t="s">
        <v>878</v>
      </c>
      <c r="J499" t="s">
        <v>762</v>
      </c>
    </row>
    <row r="500" spans="1:10" ht="15" hidden="1" customHeight="1" x14ac:dyDescent="0.25">
      <c r="A500" t="s">
        <v>1340</v>
      </c>
      <c r="B500" t="s">
        <v>138</v>
      </c>
      <c r="C500" t="s">
        <v>1341</v>
      </c>
      <c r="D500" t="s">
        <v>1238</v>
      </c>
      <c r="E500" t="s">
        <v>644</v>
      </c>
      <c r="F500" t="s">
        <v>675</v>
      </c>
      <c r="G500" t="s">
        <v>676</v>
      </c>
      <c r="I500" t="s">
        <v>1307</v>
      </c>
      <c r="J500" t="s">
        <v>681</v>
      </c>
    </row>
    <row r="501" spans="1:10" ht="15" hidden="1" customHeight="1" x14ac:dyDescent="0.25">
      <c r="A501" t="s">
        <v>168</v>
      </c>
      <c r="B501" t="s">
        <v>138</v>
      </c>
      <c r="C501" t="s">
        <v>167</v>
      </c>
      <c r="D501" t="s">
        <v>1238</v>
      </c>
      <c r="E501" t="s">
        <v>644</v>
      </c>
      <c r="F501" t="s">
        <v>901</v>
      </c>
      <c r="G501" t="s">
        <v>676</v>
      </c>
      <c r="I501" t="s">
        <v>685</v>
      </c>
      <c r="J501" t="s">
        <v>686</v>
      </c>
    </row>
    <row r="502" spans="1:10" ht="15" hidden="1" customHeight="1" x14ac:dyDescent="0.25">
      <c r="A502" t="s">
        <v>196</v>
      </c>
      <c r="B502" t="s">
        <v>138</v>
      </c>
      <c r="C502" t="s">
        <v>195</v>
      </c>
      <c r="D502" t="s">
        <v>1238</v>
      </c>
      <c r="E502" t="s">
        <v>644</v>
      </c>
      <c r="F502" t="s">
        <v>675</v>
      </c>
      <c r="G502" t="s">
        <v>676</v>
      </c>
      <c r="I502" t="s">
        <v>1267</v>
      </c>
      <c r="J502" t="s">
        <v>681</v>
      </c>
    </row>
    <row r="503" spans="1:10" hidden="1" x14ac:dyDescent="0.25">
      <c r="A503" t="s">
        <v>144</v>
      </c>
      <c r="B503" t="s">
        <v>138</v>
      </c>
      <c r="C503" t="s">
        <v>143</v>
      </c>
      <c r="D503" t="s">
        <v>1238</v>
      </c>
      <c r="E503" t="s">
        <v>644</v>
      </c>
      <c r="F503" t="s">
        <v>675</v>
      </c>
      <c r="G503" t="s">
        <v>676</v>
      </c>
      <c r="I503" t="s">
        <v>1342</v>
      </c>
      <c r="J503" t="s">
        <v>681</v>
      </c>
    </row>
    <row r="504" spans="1:10" ht="15" hidden="1" customHeight="1" x14ac:dyDescent="0.25">
      <c r="A504" t="s">
        <v>182</v>
      </c>
      <c r="B504" t="s">
        <v>138</v>
      </c>
      <c r="C504" t="s">
        <v>181</v>
      </c>
      <c r="D504" t="s">
        <v>1238</v>
      </c>
      <c r="E504" t="s">
        <v>644</v>
      </c>
      <c r="F504" t="s">
        <v>856</v>
      </c>
      <c r="G504" t="s">
        <v>676</v>
      </c>
      <c r="I504" t="s">
        <v>857</v>
      </c>
      <c r="J504" t="s">
        <v>858</v>
      </c>
    </row>
    <row r="505" spans="1:10" ht="15" hidden="1" customHeight="1" x14ac:dyDescent="0.25">
      <c r="A505" t="s">
        <v>170</v>
      </c>
      <c r="B505" t="s">
        <v>138</v>
      </c>
      <c r="C505" t="s">
        <v>169</v>
      </c>
      <c r="D505" t="s">
        <v>1238</v>
      </c>
      <c r="E505" t="s">
        <v>644</v>
      </c>
      <c r="F505" t="s">
        <v>675</v>
      </c>
      <c r="G505" t="s">
        <v>676</v>
      </c>
      <c r="I505" t="s">
        <v>685</v>
      </c>
      <c r="J505" t="s">
        <v>686</v>
      </c>
    </row>
    <row r="506" spans="1:10" ht="15" hidden="1" customHeight="1" x14ac:dyDescent="0.25">
      <c r="A506" t="s">
        <v>262</v>
      </c>
      <c r="B506" t="s">
        <v>138</v>
      </c>
      <c r="C506" t="s">
        <v>261</v>
      </c>
      <c r="D506" t="s">
        <v>1238</v>
      </c>
      <c r="E506" t="s">
        <v>644</v>
      </c>
      <c r="F506" t="s">
        <v>675</v>
      </c>
      <c r="G506" t="s">
        <v>676</v>
      </c>
      <c r="I506" t="s">
        <v>1343</v>
      </c>
      <c r="J506" t="s">
        <v>762</v>
      </c>
    </row>
    <row r="507" spans="1:10" ht="15" hidden="1" customHeight="1" x14ac:dyDescent="0.25">
      <c r="A507" t="s">
        <v>292</v>
      </c>
      <c r="B507" t="s">
        <v>138</v>
      </c>
      <c r="C507" t="s">
        <v>291</v>
      </c>
      <c r="D507" t="s">
        <v>1238</v>
      </c>
      <c r="E507" t="s">
        <v>644</v>
      </c>
      <c r="F507" t="s">
        <v>675</v>
      </c>
      <c r="G507" t="s">
        <v>676</v>
      </c>
      <c r="I507" t="s">
        <v>1251</v>
      </c>
      <c r="J507" t="s">
        <v>681</v>
      </c>
    </row>
    <row r="508" spans="1:10" ht="15" hidden="1" customHeight="1" x14ac:dyDescent="0.25">
      <c r="A508" t="s">
        <v>1344</v>
      </c>
      <c r="B508" t="s">
        <v>138</v>
      </c>
      <c r="C508" t="s">
        <v>1345</v>
      </c>
      <c r="D508" t="s">
        <v>1238</v>
      </c>
      <c r="E508" t="s">
        <v>644</v>
      </c>
      <c r="F508" t="s">
        <v>675</v>
      </c>
      <c r="G508" t="s">
        <v>676</v>
      </c>
      <c r="I508" t="s">
        <v>1272</v>
      </c>
      <c r="J508" t="s">
        <v>709</v>
      </c>
    </row>
    <row r="509" spans="1:10" ht="15" hidden="1" customHeight="1" x14ac:dyDescent="0.25">
      <c r="A509" t="s">
        <v>214</v>
      </c>
      <c r="B509" t="s">
        <v>138</v>
      </c>
      <c r="C509" t="s">
        <v>213</v>
      </c>
      <c r="D509" t="s">
        <v>1238</v>
      </c>
      <c r="E509" t="s">
        <v>644</v>
      </c>
      <c r="F509" t="s">
        <v>675</v>
      </c>
      <c r="G509" t="s">
        <v>676</v>
      </c>
      <c r="I509" t="s">
        <v>680</v>
      </c>
      <c r="J509" t="s">
        <v>681</v>
      </c>
    </row>
    <row r="510" spans="1:10" ht="15" hidden="1" customHeight="1" x14ac:dyDescent="0.25">
      <c r="A510" t="s">
        <v>1346</v>
      </c>
      <c r="B510" t="s">
        <v>138</v>
      </c>
      <c r="C510" t="s">
        <v>1347</v>
      </c>
      <c r="D510" t="s">
        <v>1238</v>
      </c>
      <c r="E510" t="s">
        <v>644</v>
      </c>
      <c r="F510" t="s">
        <v>675</v>
      </c>
      <c r="G510" t="s">
        <v>676</v>
      </c>
      <c r="I510" t="s">
        <v>1272</v>
      </c>
      <c r="J510" t="s">
        <v>709</v>
      </c>
    </row>
    <row r="511" spans="1:10" ht="15" hidden="1" customHeight="1" x14ac:dyDescent="0.25">
      <c r="A511" t="s">
        <v>264</v>
      </c>
      <c r="B511" t="s">
        <v>138</v>
      </c>
      <c r="C511" t="s">
        <v>263</v>
      </c>
      <c r="D511" t="s">
        <v>1238</v>
      </c>
      <c r="E511" t="s">
        <v>644</v>
      </c>
      <c r="F511" t="s">
        <v>675</v>
      </c>
      <c r="G511" t="s">
        <v>676</v>
      </c>
      <c r="I511" t="s">
        <v>1247</v>
      </c>
      <c r="J511" t="s">
        <v>709</v>
      </c>
    </row>
    <row r="512" spans="1:10" ht="15" hidden="1" customHeight="1" x14ac:dyDescent="0.25">
      <c r="A512" t="s">
        <v>1348</v>
      </c>
      <c r="B512" t="s">
        <v>138</v>
      </c>
      <c r="C512" t="s">
        <v>1349</v>
      </c>
      <c r="D512" t="s">
        <v>1238</v>
      </c>
      <c r="E512" t="s">
        <v>644</v>
      </c>
      <c r="F512" t="s">
        <v>675</v>
      </c>
      <c r="G512" t="s">
        <v>676</v>
      </c>
      <c r="I512" t="s">
        <v>1272</v>
      </c>
      <c r="J512" t="s">
        <v>709</v>
      </c>
    </row>
    <row r="513" spans="1:10" ht="15" hidden="1" customHeight="1" x14ac:dyDescent="0.25">
      <c r="A513" t="s">
        <v>148</v>
      </c>
      <c r="B513" t="s">
        <v>138</v>
      </c>
      <c r="C513" t="s">
        <v>147</v>
      </c>
      <c r="D513" t="s">
        <v>1238</v>
      </c>
      <c r="E513" t="s">
        <v>644</v>
      </c>
      <c r="F513" t="s">
        <v>675</v>
      </c>
      <c r="G513" t="s">
        <v>676</v>
      </c>
      <c r="I513" t="s">
        <v>1272</v>
      </c>
      <c r="J513" t="s">
        <v>709</v>
      </c>
    </row>
    <row r="514" spans="1:10" ht="15" hidden="1" customHeight="1" x14ac:dyDescent="0.25">
      <c r="A514" t="s">
        <v>298</v>
      </c>
      <c r="B514" t="s">
        <v>138</v>
      </c>
      <c r="C514" t="s">
        <v>297</v>
      </c>
      <c r="D514" t="s">
        <v>1238</v>
      </c>
      <c r="E514" t="s">
        <v>644</v>
      </c>
      <c r="F514" t="s">
        <v>675</v>
      </c>
      <c r="G514" t="s">
        <v>676</v>
      </c>
      <c r="I514" t="s">
        <v>685</v>
      </c>
      <c r="J514" t="s">
        <v>686</v>
      </c>
    </row>
    <row r="515" spans="1:10" ht="15" hidden="1" customHeight="1" x14ac:dyDescent="0.25">
      <c r="A515" t="s">
        <v>300</v>
      </c>
      <c r="B515" t="s">
        <v>138</v>
      </c>
      <c r="C515" t="s">
        <v>299</v>
      </c>
      <c r="D515" t="s">
        <v>1238</v>
      </c>
      <c r="E515" t="s">
        <v>644</v>
      </c>
      <c r="F515" t="s">
        <v>901</v>
      </c>
      <c r="G515" t="s">
        <v>676</v>
      </c>
    </row>
    <row r="516" spans="1:10" ht="15" hidden="1" customHeight="1" x14ac:dyDescent="0.25">
      <c r="A516" t="s">
        <v>178</v>
      </c>
      <c r="B516" t="s">
        <v>138</v>
      </c>
      <c r="C516" t="s">
        <v>177</v>
      </c>
      <c r="D516" t="s">
        <v>1238</v>
      </c>
      <c r="E516" t="s">
        <v>644</v>
      </c>
      <c r="F516" t="s">
        <v>675</v>
      </c>
      <c r="G516" t="s">
        <v>676</v>
      </c>
      <c r="I516" t="s">
        <v>1350</v>
      </c>
      <c r="J516" t="s">
        <v>762</v>
      </c>
    </row>
    <row r="517" spans="1:10" ht="15" hidden="1" customHeight="1" x14ac:dyDescent="0.25">
      <c r="A517" t="s">
        <v>1351</v>
      </c>
      <c r="B517" t="s">
        <v>138</v>
      </c>
      <c r="C517" t="s">
        <v>1352</v>
      </c>
      <c r="D517" t="s">
        <v>1238</v>
      </c>
      <c r="E517" t="s">
        <v>644</v>
      </c>
      <c r="F517" t="s">
        <v>675</v>
      </c>
      <c r="G517" t="s">
        <v>676</v>
      </c>
      <c r="I517" t="s">
        <v>879</v>
      </c>
      <c r="J517" t="s">
        <v>863</v>
      </c>
    </row>
    <row r="518" spans="1:10" ht="15" hidden="1" customHeight="1" x14ac:dyDescent="0.25">
      <c r="A518" t="s">
        <v>1353</v>
      </c>
      <c r="B518" t="s">
        <v>138</v>
      </c>
      <c r="C518" t="s">
        <v>1354</v>
      </c>
      <c r="D518" t="s">
        <v>1238</v>
      </c>
      <c r="E518" t="s">
        <v>644</v>
      </c>
      <c r="F518" t="s">
        <v>675</v>
      </c>
      <c r="G518" t="s">
        <v>676</v>
      </c>
      <c r="I518" t="s">
        <v>1267</v>
      </c>
      <c r="J518" t="s">
        <v>807</v>
      </c>
    </row>
    <row r="519" spans="1:10" ht="15" hidden="1" customHeight="1" x14ac:dyDescent="0.25">
      <c r="A519" t="s">
        <v>1355</v>
      </c>
      <c r="B519" t="s">
        <v>138</v>
      </c>
      <c r="C519" t="s">
        <v>1356</v>
      </c>
      <c r="D519" t="s">
        <v>1238</v>
      </c>
      <c r="E519" t="s">
        <v>644</v>
      </c>
      <c r="F519" t="s">
        <v>675</v>
      </c>
      <c r="G519" t="s">
        <v>676</v>
      </c>
    </row>
    <row r="520" spans="1:10" ht="15" hidden="1" customHeight="1" x14ac:dyDescent="0.25">
      <c r="A520" t="s">
        <v>1357</v>
      </c>
      <c r="B520" t="s">
        <v>138</v>
      </c>
      <c r="C520" t="s">
        <v>1358</v>
      </c>
      <c r="D520" t="s">
        <v>1238</v>
      </c>
      <c r="E520" t="s">
        <v>644</v>
      </c>
      <c r="F520" t="s">
        <v>675</v>
      </c>
      <c r="G520" t="s">
        <v>676</v>
      </c>
      <c r="I520" t="s">
        <v>680</v>
      </c>
      <c r="J520" t="s">
        <v>681</v>
      </c>
    </row>
    <row r="521" spans="1:10" ht="15" hidden="1" customHeight="1" x14ac:dyDescent="0.25">
      <c r="A521" t="s">
        <v>246</v>
      </c>
      <c r="B521" t="s">
        <v>138</v>
      </c>
      <c r="C521" s="135" t="s">
        <v>245</v>
      </c>
      <c r="D521" t="s">
        <v>1238</v>
      </c>
      <c r="E521" t="s">
        <v>644</v>
      </c>
      <c r="F521" t="s">
        <v>728</v>
      </c>
      <c r="G521" t="s">
        <v>676</v>
      </c>
      <c r="I521" t="s">
        <v>853</v>
      </c>
      <c r="J521" t="s">
        <v>807</v>
      </c>
    </row>
    <row r="522" spans="1:10" ht="15" hidden="1" customHeight="1" x14ac:dyDescent="0.25">
      <c r="A522" t="s">
        <v>1359</v>
      </c>
      <c r="B522" t="s">
        <v>138</v>
      </c>
      <c r="C522" s="135" t="s">
        <v>1360</v>
      </c>
      <c r="D522" t="s">
        <v>1238</v>
      </c>
      <c r="E522" t="s">
        <v>644</v>
      </c>
      <c r="F522" t="s">
        <v>675</v>
      </c>
      <c r="G522" t="s">
        <v>676</v>
      </c>
      <c r="I522" t="s">
        <v>880</v>
      </c>
      <c r="J522" t="s">
        <v>681</v>
      </c>
    </row>
    <row r="523" spans="1:10" ht="15" hidden="1" customHeight="1" x14ac:dyDescent="0.25">
      <c r="A523" t="s">
        <v>1361</v>
      </c>
      <c r="B523" t="s">
        <v>138</v>
      </c>
      <c r="C523" s="135" t="s">
        <v>1362</v>
      </c>
      <c r="D523" t="s">
        <v>1238</v>
      </c>
      <c r="E523" t="s">
        <v>644</v>
      </c>
      <c r="F523" t="s">
        <v>675</v>
      </c>
      <c r="G523" t="s">
        <v>676</v>
      </c>
      <c r="I523" t="s">
        <v>685</v>
      </c>
      <c r="J523" t="s">
        <v>686</v>
      </c>
    </row>
    <row r="524" spans="1:10" ht="15" hidden="1" customHeight="1" x14ac:dyDescent="0.25">
      <c r="A524" t="s">
        <v>184</v>
      </c>
      <c r="B524" t="s">
        <v>138</v>
      </c>
      <c r="C524" s="135" t="s">
        <v>183</v>
      </c>
      <c r="D524" t="s">
        <v>1238</v>
      </c>
      <c r="E524" t="s">
        <v>644</v>
      </c>
      <c r="F524" t="s">
        <v>675</v>
      </c>
      <c r="G524" t="s">
        <v>676</v>
      </c>
      <c r="I524" t="s">
        <v>880</v>
      </c>
      <c r="J524" t="s">
        <v>681</v>
      </c>
    </row>
    <row r="525" spans="1:10" ht="15" hidden="1" customHeight="1" x14ac:dyDescent="0.25">
      <c r="A525" s="130" t="s">
        <v>1363</v>
      </c>
      <c r="B525" t="s">
        <v>138</v>
      </c>
      <c r="C525" s="135" t="s">
        <v>1364</v>
      </c>
      <c r="D525" t="s">
        <v>1238</v>
      </c>
      <c r="E525" t="s">
        <v>644</v>
      </c>
      <c r="F525" t="s">
        <v>728</v>
      </c>
      <c r="G525" t="s">
        <v>676</v>
      </c>
    </row>
    <row r="526" spans="1:10" ht="15" hidden="1" customHeight="1" x14ac:dyDescent="0.25">
      <c r="A526" t="s">
        <v>274</v>
      </c>
      <c r="B526" t="s">
        <v>138</v>
      </c>
      <c r="C526" t="s">
        <v>273</v>
      </c>
      <c r="D526" t="s">
        <v>1238</v>
      </c>
      <c r="E526" t="s">
        <v>644</v>
      </c>
      <c r="F526" t="s">
        <v>675</v>
      </c>
      <c r="G526" t="s">
        <v>676</v>
      </c>
      <c r="I526" t="s">
        <v>1272</v>
      </c>
      <c r="J526" t="s">
        <v>709</v>
      </c>
    </row>
    <row r="527" spans="1:10" ht="15" hidden="1" customHeight="1" x14ac:dyDescent="0.25">
      <c r="A527" t="s">
        <v>172</v>
      </c>
      <c r="B527" t="s">
        <v>138</v>
      </c>
      <c r="C527" t="s">
        <v>171</v>
      </c>
      <c r="D527" t="s">
        <v>1238</v>
      </c>
      <c r="E527" t="s">
        <v>644</v>
      </c>
      <c r="F527" t="s">
        <v>675</v>
      </c>
      <c r="G527" t="s">
        <v>676</v>
      </c>
      <c r="I527" t="s">
        <v>1365</v>
      </c>
      <c r="J527" t="s">
        <v>762</v>
      </c>
    </row>
    <row r="528" spans="1:10" ht="15" hidden="1" customHeight="1" x14ac:dyDescent="0.25">
      <c r="A528" t="s">
        <v>220</v>
      </c>
      <c r="B528" t="s">
        <v>138</v>
      </c>
      <c r="C528" t="s">
        <v>219</v>
      </c>
      <c r="D528" t="s">
        <v>1238</v>
      </c>
      <c r="E528" t="s">
        <v>644</v>
      </c>
      <c r="F528" t="s">
        <v>901</v>
      </c>
      <c r="G528" t="s">
        <v>676</v>
      </c>
      <c r="I528" t="s">
        <v>685</v>
      </c>
      <c r="J528" t="s">
        <v>686</v>
      </c>
    </row>
    <row r="529" spans="1:10" ht="15" hidden="1" customHeight="1" x14ac:dyDescent="0.25">
      <c r="A529" t="s">
        <v>232</v>
      </c>
      <c r="B529" t="s">
        <v>138</v>
      </c>
      <c r="C529" t="s">
        <v>231</v>
      </c>
      <c r="D529" t="s">
        <v>1238</v>
      </c>
      <c r="E529" t="s">
        <v>644</v>
      </c>
      <c r="F529" t="s">
        <v>675</v>
      </c>
      <c r="G529" t="s">
        <v>676</v>
      </c>
      <c r="I529" t="s">
        <v>685</v>
      </c>
      <c r="J529" t="s">
        <v>686</v>
      </c>
    </row>
    <row r="530" spans="1:10" ht="15" hidden="1" customHeight="1" x14ac:dyDescent="0.25">
      <c r="A530" t="s">
        <v>290</v>
      </c>
      <c r="B530" t="s">
        <v>138</v>
      </c>
      <c r="C530" t="s">
        <v>289</v>
      </c>
      <c r="D530" t="s">
        <v>1238</v>
      </c>
      <c r="E530" t="s">
        <v>644</v>
      </c>
      <c r="F530" t="s">
        <v>675</v>
      </c>
      <c r="G530" t="s">
        <v>676</v>
      </c>
      <c r="I530" t="s">
        <v>1328</v>
      </c>
      <c r="J530" t="s">
        <v>681</v>
      </c>
    </row>
    <row r="531" spans="1:10" ht="15" hidden="1" customHeight="1" x14ac:dyDescent="0.25">
      <c r="A531" t="s">
        <v>1366</v>
      </c>
      <c r="B531" t="s">
        <v>138</v>
      </c>
      <c r="C531" t="s">
        <v>1367</v>
      </c>
      <c r="D531" t="s">
        <v>1238</v>
      </c>
      <c r="E531" t="s">
        <v>644</v>
      </c>
      <c r="F531" t="s">
        <v>714</v>
      </c>
      <c r="G531" t="s">
        <v>676</v>
      </c>
      <c r="I531" t="s">
        <v>715</v>
      </c>
      <c r="J531" t="s">
        <v>716</v>
      </c>
    </row>
    <row r="532" spans="1:10" ht="15" hidden="1" customHeight="1" x14ac:dyDescent="0.25">
      <c r="A532" t="s">
        <v>188</v>
      </c>
      <c r="B532" t="s">
        <v>138</v>
      </c>
      <c r="C532" t="s">
        <v>187</v>
      </c>
      <c r="D532" t="s">
        <v>1238</v>
      </c>
      <c r="E532" t="s">
        <v>644</v>
      </c>
      <c r="F532" t="s">
        <v>675</v>
      </c>
      <c r="G532" t="s">
        <v>676</v>
      </c>
      <c r="I532" t="s">
        <v>881</v>
      </c>
      <c r="J532" t="s">
        <v>850</v>
      </c>
    </row>
    <row r="533" spans="1:10" ht="15" hidden="1" customHeight="1" x14ac:dyDescent="0.25">
      <c r="A533" t="s">
        <v>1368</v>
      </c>
      <c r="B533" t="s">
        <v>138</v>
      </c>
      <c r="C533" t="s">
        <v>1369</v>
      </c>
      <c r="D533" t="s">
        <v>1238</v>
      </c>
      <c r="E533" t="s">
        <v>644</v>
      </c>
      <c r="F533" t="s">
        <v>901</v>
      </c>
      <c r="G533" t="s">
        <v>676</v>
      </c>
      <c r="I533" t="s">
        <v>685</v>
      </c>
      <c r="J533" t="s">
        <v>686</v>
      </c>
    </row>
    <row r="534" spans="1:10" ht="15" hidden="1" customHeight="1" x14ac:dyDescent="0.25">
      <c r="A534" t="s">
        <v>162</v>
      </c>
      <c r="B534" t="s">
        <v>138</v>
      </c>
      <c r="C534" t="s">
        <v>161</v>
      </c>
      <c r="D534" t="s">
        <v>1238</v>
      </c>
      <c r="E534" t="s">
        <v>644</v>
      </c>
      <c r="F534" t="s">
        <v>675</v>
      </c>
      <c r="G534" t="s">
        <v>676</v>
      </c>
      <c r="I534" t="s">
        <v>1370</v>
      </c>
      <c r="J534" t="s">
        <v>681</v>
      </c>
    </row>
    <row r="535" spans="1:10" ht="15" hidden="1" customHeight="1" x14ac:dyDescent="0.25">
      <c r="A535" t="s">
        <v>1371</v>
      </c>
      <c r="B535" t="s">
        <v>138</v>
      </c>
      <c r="C535" t="s">
        <v>1372</v>
      </c>
      <c r="D535" t="s">
        <v>1238</v>
      </c>
      <c r="E535" t="s">
        <v>644</v>
      </c>
      <c r="F535" t="s">
        <v>675</v>
      </c>
      <c r="G535" t="s">
        <v>676</v>
      </c>
      <c r="I535" t="s">
        <v>883</v>
      </c>
      <c r="J535" t="s">
        <v>865</v>
      </c>
    </row>
    <row r="536" spans="1:10" ht="15" hidden="1" customHeight="1" x14ac:dyDescent="0.25">
      <c r="A536" t="s">
        <v>308</v>
      </c>
      <c r="B536" t="s">
        <v>138</v>
      </c>
      <c r="C536" t="s">
        <v>307</v>
      </c>
      <c r="D536" t="s">
        <v>1238</v>
      </c>
      <c r="E536" t="s">
        <v>644</v>
      </c>
      <c r="F536" t="s">
        <v>675</v>
      </c>
      <c r="G536" t="s">
        <v>676</v>
      </c>
      <c r="I536" t="s">
        <v>1247</v>
      </c>
      <c r="J536" t="s">
        <v>709</v>
      </c>
    </row>
    <row r="537" spans="1:10" ht="15" hidden="1" customHeight="1" x14ac:dyDescent="0.25">
      <c r="A537" t="s">
        <v>280</v>
      </c>
      <c r="B537" t="s">
        <v>138</v>
      </c>
      <c r="C537" t="s">
        <v>279</v>
      </c>
      <c r="D537" t="s">
        <v>1238</v>
      </c>
      <c r="E537" t="s">
        <v>644</v>
      </c>
      <c r="F537" t="s">
        <v>901</v>
      </c>
      <c r="G537" t="s">
        <v>676</v>
      </c>
      <c r="I537" t="s">
        <v>685</v>
      </c>
      <c r="J537" t="s">
        <v>686</v>
      </c>
    </row>
    <row r="538" spans="1:10" ht="15" hidden="1" customHeight="1" x14ac:dyDescent="0.25">
      <c r="A538" s="130" t="s">
        <v>212</v>
      </c>
      <c r="B538" s="13" t="s">
        <v>138</v>
      </c>
      <c r="C538" t="s">
        <v>211</v>
      </c>
      <c r="D538" t="s">
        <v>1238</v>
      </c>
      <c r="E538" t="s">
        <v>644</v>
      </c>
      <c r="F538" t="s">
        <v>901</v>
      </c>
      <c r="G538" t="s">
        <v>676</v>
      </c>
    </row>
    <row r="539" spans="1:10" ht="15" hidden="1" customHeight="1" x14ac:dyDescent="0.25">
      <c r="A539" s="135" t="s">
        <v>1373</v>
      </c>
      <c r="B539" t="s">
        <v>138</v>
      </c>
      <c r="C539" t="s">
        <v>1374</v>
      </c>
      <c r="E539" t="s">
        <v>644</v>
      </c>
    </row>
    <row r="540" spans="1:10" ht="15" hidden="1" customHeight="1" x14ac:dyDescent="0.25">
      <c r="A540" s="135" t="s">
        <v>658</v>
      </c>
      <c r="B540" t="s">
        <v>658</v>
      </c>
      <c r="C540" t="s">
        <v>1375</v>
      </c>
      <c r="D540" t="s">
        <v>674</v>
      </c>
      <c r="E540" t="s">
        <v>645</v>
      </c>
      <c r="F540" t="s">
        <v>675</v>
      </c>
      <c r="G540" t="s">
        <v>676</v>
      </c>
    </row>
    <row r="541" spans="1:10" ht="15" hidden="1" customHeight="1" x14ac:dyDescent="0.25">
      <c r="A541" t="s">
        <v>647</v>
      </c>
      <c r="B541" t="s">
        <v>647</v>
      </c>
      <c r="C541" t="s">
        <v>1376</v>
      </c>
      <c r="D541" t="s">
        <v>1238</v>
      </c>
      <c r="E541" t="s">
        <v>645</v>
      </c>
      <c r="F541" t="s">
        <v>781</v>
      </c>
      <c r="G541" t="s">
        <v>676</v>
      </c>
      <c r="I541" t="s">
        <v>685</v>
      </c>
      <c r="J541" t="s">
        <v>686</v>
      </c>
    </row>
    <row r="542" spans="1:10" ht="15" hidden="1" customHeight="1" x14ac:dyDescent="0.25">
      <c r="A542" s="130" t="s">
        <v>1377</v>
      </c>
      <c r="B542" t="s">
        <v>648</v>
      </c>
      <c r="C542" s="262" t="s">
        <v>1378</v>
      </c>
      <c r="D542" t="s">
        <v>1238</v>
      </c>
      <c r="E542" t="s">
        <v>645</v>
      </c>
      <c r="F542" t="s">
        <v>675</v>
      </c>
      <c r="G542" t="s">
        <v>676</v>
      </c>
    </row>
    <row r="543" spans="1:10" ht="15" hidden="1" customHeight="1" x14ac:dyDescent="0.25">
      <c r="A543" t="s">
        <v>133</v>
      </c>
      <c r="B543" s="9" t="s">
        <v>131</v>
      </c>
      <c r="C543" t="s">
        <v>132</v>
      </c>
      <c r="D543" t="s">
        <v>674</v>
      </c>
      <c r="E543" t="s">
        <v>637</v>
      </c>
      <c r="F543" t="s">
        <v>701</v>
      </c>
      <c r="G543" t="s">
        <v>676</v>
      </c>
    </row>
    <row r="544" spans="1:10" ht="15" hidden="1" customHeight="1" x14ac:dyDescent="0.25">
      <c r="A544" s="132" t="s">
        <v>130</v>
      </c>
      <c r="B544" t="s">
        <v>131</v>
      </c>
      <c r="C544" t="s">
        <v>129</v>
      </c>
      <c r="D544" t="s">
        <v>674</v>
      </c>
      <c r="E544" t="s">
        <v>637</v>
      </c>
      <c r="F544" t="s">
        <v>701</v>
      </c>
      <c r="G544" t="s">
        <v>676</v>
      </c>
      <c r="I544" t="s">
        <v>685</v>
      </c>
      <c r="J544" t="s">
        <v>686</v>
      </c>
    </row>
    <row r="545" spans="1:10" ht="15" hidden="1" customHeight="1" x14ac:dyDescent="0.25">
      <c r="A545" s="132" t="s">
        <v>1379</v>
      </c>
      <c r="B545" t="s">
        <v>131</v>
      </c>
      <c r="C545" t="s">
        <v>1380</v>
      </c>
      <c r="D545" t="s">
        <v>674</v>
      </c>
      <c r="E545" t="s">
        <v>637</v>
      </c>
      <c r="F545" t="s">
        <v>701</v>
      </c>
      <c r="G545" t="s">
        <v>676</v>
      </c>
    </row>
    <row r="546" spans="1:10" ht="15" customHeight="1" x14ac:dyDescent="0.25">
      <c r="A546" s="7" t="s">
        <v>1381</v>
      </c>
      <c r="B546" s="7" t="s">
        <v>1381</v>
      </c>
      <c r="C546" t="s">
        <v>1382</v>
      </c>
      <c r="D546" t="s">
        <v>1238</v>
      </c>
      <c r="E546" t="s">
        <v>675</v>
      </c>
      <c r="F546" t="s">
        <v>728</v>
      </c>
      <c r="G546" t="s">
        <v>676</v>
      </c>
    </row>
    <row r="547" spans="1:10" ht="15" customHeight="1" x14ac:dyDescent="0.25">
      <c r="A547" s="135" t="s">
        <v>1383</v>
      </c>
      <c r="B547" t="s">
        <v>1384</v>
      </c>
      <c r="C547" t="s">
        <v>1385</v>
      </c>
      <c r="D547" t="s">
        <v>1238</v>
      </c>
      <c r="E547" t="s">
        <v>675</v>
      </c>
      <c r="F547" t="s">
        <v>675</v>
      </c>
      <c r="G547" t="s">
        <v>676</v>
      </c>
      <c r="I547" t="s">
        <v>685</v>
      </c>
      <c r="J547" t="s">
        <v>686</v>
      </c>
    </row>
    <row r="548" spans="1:10" ht="15" customHeight="1" x14ac:dyDescent="0.25">
      <c r="A548" s="135" t="s">
        <v>1386</v>
      </c>
      <c r="B548" t="s">
        <v>1384</v>
      </c>
      <c r="C548" s="135" t="s">
        <v>1387</v>
      </c>
      <c r="D548" t="s">
        <v>1238</v>
      </c>
      <c r="E548" t="s">
        <v>675</v>
      </c>
      <c r="F548" t="s">
        <v>675</v>
      </c>
      <c r="G548" t="s">
        <v>676</v>
      </c>
      <c r="I548" t="s">
        <v>685</v>
      </c>
      <c r="J548" t="s">
        <v>686</v>
      </c>
    </row>
    <row r="549" spans="1:10" ht="15" customHeight="1" x14ac:dyDescent="0.25">
      <c r="A549" t="s">
        <v>1388</v>
      </c>
      <c r="B549" t="s">
        <v>1384</v>
      </c>
      <c r="C549" t="s">
        <v>1389</v>
      </c>
      <c r="D549" t="s">
        <v>1238</v>
      </c>
      <c r="E549" t="s">
        <v>675</v>
      </c>
      <c r="F549" t="s">
        <v>675</v>
      </c>
      <c r="G549" t="s">
        <v>676</v>
      </c>
      <c r="I549" t="s">
        <v>685</v>
      </c>
      <c r="J549" t="s">
        <v>686</v>
      </c>
    </row>
    <row r="550" spans="1:10" ht="15" customHeight="1" x14ac:dyDescent="0.25">
      <c r="A550" t="s">
        <v>1390</v>
      </c>
      <c r="B550" t="s">
        <v>1384</v>
      </c>
      <c r="C550" t="s">
        <v>1391</v>
      </c>
      <c r="D550" t="s">
        <v>1238</v>
      </c>
      <c r="E550" t="s">
        <v>675</v>
      </c>
      <c r="F550" t="s">
        <v>675</v>
      </c>
      <c r="G550" t="s">
        <v>676</v>
      </c>
      <c r="I550" t="s">
        <v>685</v>
      </c>
      <c r="J550" t="s">
        <v>686</v>
      </c>
    </row>
    <row r="551" spans="1:10" ht="15" customHeight="1" x14ac:dyDescent="0.25">
      <c r="A551" t="s">
        <v>1392</v>
      </c>
      <c r="B551" t="s">
        <v>1384</v>
      </c>
      <c r="C551" t="s">
        <v>1393</v>
      </c>
      <c r="D551" t="s">
        <v>1238</v>
      </c>
      <c r="E551" t="s">
        <v>675</v>
      </c>
      <c r="F551" t="s">
        <v>675</v>
      </c>
      <c r="G551" t="s">
        <v>676</v>
      </c>
      <c r="I551" t="s">
        <v>685</v>
      </c>
      <c r="J551" t="s">
        <v>686</v>
      </c>
    </row>
    <row r="552" spans="1:10" ht="15" customHeight="1" x14ac:dyDescent="0.25">
      <c r="A552" t="s">
        <v>128</v>
      </c>
      <c r="B552" t="s">
        <v>128</v>
      </c>
      <c r="C552" t="s">
        <v>127</v>
      </c>
      <c r="D552" t="s">
        <v>1238</v>
      </c>
      <c r="E552" t="s">
        <v>675</v>
      </c>
      <c r="F552" t="s">
        <v>675</v>
      </c>
      <c r="G552" t="s">
        <v>676</v>
      </c>
      <c r="I552" t="s">
        <v>685</v>
      </c>
      <c r="J552" t="s">
        <v>686</v>
      </c>
    </row>
    <row r="553" spans="1:10" ht="15" hidden="1" customHeight="1" x14ac:dyDescent="0.25">
      <c r="A553" t="s">
        <v>126</v>
      </c>
      <c r="B553" t="s">
        <v>126</v>
      </c>
      <c r="C553" s="137" t="s">
        <v>125</v>
      </c>
      <c r="D553" t="s">
        <v>1238</v>
      </c>
      <c r="E553" t="s">
        <v>645</v>
      </c>
      <c r="F553" t="s">
        <v>796</v>
      </c>
      <c r="G553" s="7" t="s">
        <v>676</v>
      </c>
    </row>
    <row r="554" spans="1:10" ht="15" hidden="1" customHeight="1" x14ac:dyDescent="0.25">
      <c r="A554" s="137" t="s">
        <v>1394</v>
      </c>
      <c r="B554" t="s">
        <v>652</v>
      </c>
      <c r="C554" s="137" t="s">
        <v>1395</v>
      </c>
      <c r="D554" t="s">
        <v>1238</v>
      </c>
      <c r="E554" t="s">
        <v>645</v>
      </c>
      <c r="F554" t="s">
        <v>781</v>
      </c>
      <c r="G554" t="s">
        <v>676</v>
      </c>
    </row>
    <row r="555" spans="1:10" ht="15" customHeight="1" x14ac:dyDescent="0.25">
      <c r="A555" s="130" t="s">
        <v>1396</v>
      </c>
      <c r="B555" s="130" t="s">
        <v>1396</v>
      </c>
      <c r="C555" t="s">
        <v>1397</v>
      </c>
      <c r="D555" t="s">
        <v>1238</v>
      </c>
      <c r="E555" t="s">
        <v>675</v>
      </c>
      <c r="F555" t="s">
        <v>675</v>
      </c>
      <c r="G555" t="s">
        <v>676</v>
      </c>
    </row>
    <row r="556" spans="1:10" ht="15" hidden="1" customHeight="1" x14ac:dyDescent="0.25">
      <c r="A556" t="s">
        <v>651</v>
      </c>
      <c r="B556" t="s">
        <v>651</v>
      </c>
      <c r="C556" t="s">
        <v>1398</v>
      </c>
      <c r="D556" t="s">
        <v>1238</v>
      </c>
      <c r="E556" t="s">
        <v>645</v>
      </c>
      <c r="F556" t="s">
        <v>796</v>
      </c>
      <c r="G556" t="s">
        <v>676</v>
      </c>
      <c r="I556" t="s">
        <v>685</v>
      </c>
      <c r="J556" t="s">
        <v>686</v>
      </c>
    </row>
    <row r="557" spans="1:10" ht="15" hidden="1" customHeight="1" x14ac:dyDescent="0.25">
      <c r="A557" t="s">
        <v>123</v>
      </c>
      <c r="B557" s="9" t="s">
        <v>124</v>
      </c>
      <c r="C557" s="3" t="s">
        <v>122</v>
      </c>
      <c r="D557" t="s">
        <v>1238</v>
      </c>
      <c r="E557" t="s">
        <v>645</v>
      </c>
      <c r="F557" t="s">
        <v>796</v>
      </c>
      <c r="G557" s="7" t="s">
        <v>676</v>
      </c>
    </row>
    <row r="558" spans="1:10" ht="15" customHeight="1" x14ac:dyDescent="0.25">
      <c r="A558" t="s">
        <v>1399</v>
      </c>
      <c r="B558" t="s">
        <v>1399</v>
      </c>
      <c r="C558" t="s">
        <v>1400</v>
      </c>
      <c r="D558" t="s">
        <v>674</v>
      </c>
      <c r="E558" t="s">
        <v>675</v>
      </c>
      <c r="F558" t="s">
        <v>675</v>
      </c>
      <c r="G558" t="s">
        <v>676</v>
      </c>
      <c r="I558" t="s">
        <v>685</v>
      </c>
      <c r="J558" t="s">
        <v>686</v>
      </c>
    </row>
    <row r="559" spans="1:10" ht="15" hidden="1" customHeight="1" x14ac:dyDescent="0.25">
      <c r="A559" s="135" t="s">
        <v>109</v>
      </c>
      <c r="B559" t="s">
        <v>107</v>
      </c>
      <c r="C559" s="137" t="s">
        <v>108</v>
      </c>
      <c r="D559" t="s">
        <v>1238</v>
      </c>
      <c r="E559" t="s">
        <v>645</v>
      </c>
      <c r="F559" t="s">
        <v>675</v>
      </c>
      <c r="G559" t="s">
        <v>676</v>
      </c>
      <c r="I559" t="s">
        <v>685</v>
      </c>
      <c r="J559" t="s">
        <v>686</v>
      </c>
    </row>
    <row r="560" spans="1:10" ht="15" hidden="1" customHeight="1" x14ac:dyDescent="0.25">
      <c r="A560" t="s">
        <v>1401</v>
      </c>
      <c r="B560" t="s">
        <v>107</v>
      </c>
      <c r="C560" s="130" t="s">
        <v>1402</v>
      </c>
      <c r="D560" t="s">
        <v>1238</v>
      </c>
      <c r="E560" t="s">
        <v>645</v>
      </c>
      <c r="F560" t="s">
        <v>796</v>
      </c>
      <c r="G560" s="7" t="s">
        <v>676</v>
      </c>
    </row>
    <row r="561" spans="1:10" ht="15" hidden="1" customHeight="1" x14ac:dyDescent="0.25">
      <c r="A561" t="s">
        <v>1403</v>
      </c>
      <c r="B561" t="s">
        <v>107</v>
      </c>
      <c r="C561" s="209" t="s">
        <v>1404</v>
      </c>
      <c r="D561" t="s">
        <v>1238</v>
      </c>
      <c r="E561" t="s">
        <v>645</v>
      </c>
      <c r="F561" t="s">
        <v>781</v>
      </c>
      <c r="G561" t="s">
        <v>676</v>
      </c>
    </row>
    <row r="562" spans="1:10" hidden="1" x14ac:dyDescent="0.25">
      <c r="A562" t="s">
        <v>121</v>
      </c>
      <c r="B562" s="9" t="s">
        <v>107</v>
      </c>
      <c r="C562" s="270" t="s">
        <v>120</v>
      </c>
      <c r="D562" t="s">
        <v>1238</v>
      </c>
      <c r="E562" t="s">
        <v>645</v>
      </c>
      <c r="F562" t="s">
        <v>781</v>
      </c>
      <c r="G562" t="s">
        <v>676</v>
      </c>
    </row>
    <row r="563" spans="1:10" ht="15" hidden="1" customHeight="1" x14ac:dyDescent="0.25">
      <c r="A563" s="137" t="s">
        <v>115</v>
      </c>
      <c r="B563" s="9" t="s">
        <v>107</v>
      </c>
      <c r="C563" t="s">
        <v>114</v>
      </c>
      <c r="D563" t="s">
        <v>1238</v>
      </c>
      <c r="E563" t="s">
        <v>645</v>
      </c>
      <c r="F563" t="s">
        <v>676</v>
      </c>
      <c r="G563" t="s">
        <v>676</v>
      </c>
      <c r="H563" t="s">
        <v>822</v>
      </c>
      <c r="I563" t="s">
        <v>686</v>
      </c>
    </row>
    <row r="564" spans="1:10" ht="15" hidden="1" customHeight="1" x14ac:dyDescent="0.25">
      <c r="A564" s="130" t="s">
        <v>1405</v>
      </c>
      <c r="B564" s="13" t="s">
        <v>107</v>
      </c>
      <c r="C564" t="s">
        <v>1406</v>
      </c>
      <c r="D564" t="s">
        <v>1238</v>
      </c>
      <c r="E564" t="s">
        <v>645</v>
      </c>
      <c r="F564" t="s">
        <v>781</v>
      </c>
      <c r="G564" t="s">
        <v>676</v>
      </c>
    </row>
    <row r="565" spans="1:10" ht="15" hidden="1" customHeight="1" x14ac:dyDescent="0.25">
      <c r="A565" s="142" t="s">
        <v>1407</v>
      </c>
      <c r="B565" s="13" t="s">
        <v>107</v>
      </c>
      <c r="C565" t="s">
        <v>1408</v>
      </c>
      <c r="D565" t="s">
        <v>1238</v>
      </c>
      <c r="E565" t="s">
        <v>645</v>
      </c>
      <c r="F565" t="s">
        <v>781</v>
      </c>
      <c r="G565" t="s">
        <v>676</v>
      </c>
    </row>
    <row r="566" spans="1:10" ht="15" hidden="1" customHeight="1" x14ac:dyDescent="0.25">
      <c r="A566" s="135" t="s">
        <v>113</v>
      </c>
      <c r="B566" t="s">
        <v>107</v>
      </c>
      <c r="C566" t="s">
        <v>112</v>
      </c>
      <c r="D566" t="s">
        <v>1238</v>
      </c>
      <c r="E566" t="s">
        <v>645</v>
      </c>
      <c r="F566" t="s">
        <v>781</v>
      </c>
      <c r="G566" t="s">
        <v>676</v>
      </c>
      <c r="I566" t="s">
        <v>685</v>
      </c>
      <c r="J566" t="s">
        <v>686</v>
      </c>
    </row>
    <row r="567" spans="1:10" ht="15" hidden="1" customHeight="1" x14ac:dyDescent="0.25">
      <c r="A567" t="s">
        <v>1409</v>
      </c>
      <c r="B567" t="s">
        <v>107</v>
      </c>
      <c r="C567" t="s">
        <v>1410</v>
      </c>
      <c r="D567" t="s">
        <v>1238</v>
      </c>
      <c r="E567" t="s">
        <v>645</v>
      </c>
      <c r="F567" t="s">
        <v>781</v>
      </c>
      <c r="G567" t="s">
        <v>676</v>
      </c>
    </row>
    <row r="568" spans="1:10" ht="15" hidden="1" customHeight="1" x14ac:dyDescent="0.25">
      <c r="A568" t="s">
        <v>119</v>
      </c>
      <c r="B568" t="s">
        <v>107</v>
      </c>
      <c r="C568" t="s">
        <v>118</v>
      </c>
      <c r="D568" t="s">
        <v>1238</v>
      </c>
      <c r="E568" t="s">
        <v>645</v>
      </c>
      <c r="F568" t="s">
        <v>781</v>
      </c>
      <c r="G568" t="s">
        <v>676</v>
      </c>
      <c r="I568" t="s">
        <v>685</v>
      </c>
      <c r="J568" t="s">
        <v>686</v>
      </c>
    </row>
    <row r="569" spans="1:10" ht="15" hidden="1" customHeight="1" x14ac:dyDescent="0.25">
      <c r="A569" t="s">
        <v>106</v>
      </c>
      <c r="B569" t="s">
        <v>107</v>
      </c>
      <c r="C569" t="s">
        <v>105</v>
      </c>
      <c r="D569" t="s">
        <v>1238</v>
      </c>
      <c r="E569" t="s">
        <v>645</v>
      </c>
      <c r="F569" t="s">
        <v>781</v>
      </c>
      <c r="G569" t="s">
        <v>676</v>
      </c>
      <c r="I569" t="s">
        <v>685</v>
      </c>
      <c r="J569" t="s">
        <v>686</v>
      </c>
    </row>
    <row r="570" spans="1:10" ht="15" hidden="1" customHeight="1" x14ac:dyDescent="0.25">
      <c r="A570" t="s">
        <v>117</v>
      </c>
      <c r="B570" t="s">
        <v>107</v>
      </c>
      <c r="C570" t="s">
        <v>116</v>
      </c>
      <c r="D570" t="s">
        <v>1238</v>
      </c>
      <c r="E570" t="s">
        <v>645</v>
      </c>
      <c r="F570" t="s">
        <v>781</v>
      </c>
      <c r="G570" t="s">
        <v>676</v>
      </c>
      <c r="I570" t="s">
        <v>685</v>
      </c>
      <c r="J570" t="s">
        <v>686</v>
      </c>
    </row>
    <row r="571" spans="1:10" ht="15" hidden="1" customHeight="1" x14ac:dyDescent="0.25">
      <c r="A571" t="s">
        <v>1411</v>
      </c>
      <c r="B571" t="s">
        <v>107</v>
      </c>
      <c r="C571" t="s">
        <v>1412</v>
      </c>
      <c r="D571" t="s">
        <v>1238</v>
      </c>
      <c r="E571" t="s">
        <v>645</v>
      </c>
      <c r="F571" t="s">
        <v>781</v>
      </c>
      <c r="G571" t="s">
        <v>676</v>
      </c>
      <c r="I571" t="s">
        <v>685</v>
      </c>
      <c r="J571" t="s">
        <v>686</v>
      </c>
    </row>
    <row r="572" spans="1:10" ht="15" hidden="1" customHeight="1" x14ac:dyDescent="0.25">
      <c r="A572" t="s">
        <v>111</v>
      </c>
      <c r="B572" t="s">
        <v>107</v>
      </c>
      <c r="C572" t="s">
        <v>110</v>
      </c>
      <c r="D572" t="s">
        <v>1238</v>
      </c>
      <c r="E572" t="s">
        <v>645</v>
      </c>
      <c r="F572" t="s">
        <v>781</v>
      </c>
      <c r="G572" t="s">
        <v>676</v>
      </c>
      <c r="I572" t="s">
        <v>685</v>
      </c>
      <c r="J572" t="s">
        <v>686</v>
      </c>
    </row>
    <row r="573" spans="1:10" ht="15" hidden="1" customHeight="1" x14ac:dyDescent="0.25">
      <c r="A573" s="13" t="s">
        <v>1413</v>
      </c>
      <c r="B573" t="s">
        <v>107</v>
      </c>
      <c r="C573" t="s">
        <v>1414</v>
      </c>
      <c r="D573" t="s">
        <v>1238</v>
      </c>
      <c r="E573" t="s">
        <v>645</v>
      </c>
      <c r="F573" t="s">
        <v>781</v>
      </c>
      <c r="G573" t="s">
        <v>676</v>
      </c>
    </row>
    <row r="574" spans="1:10" ht="15" customHeight="1" x14ac:dyDescent="0.25">
      <c r="A574" s="130" t="s">
        <v>1415</v>
      </c>
      <c r="B574" s="130" t="s">
        <v>1416</v>
      </c>
      <c r="C574" t="s">
        <v>1417</v>
      </c>
      <c r="D574" t="s">
        <v>1238</v>
      </c>
      <c r="E574" t="s">
        <v>675</v>
      </c>
      <c r="F574" t="s">
        <v>728</v>
      </c>
      <c r="G574" t="s">
        <v>676</v>
      </c>
    </row>
    <row r="575" spans="1:10" ht="15" customHeight="1" x14ac:dyDescent="0.25">
      <c r="A575" s="7" t="s">
        <v>1418</v>
      </c>
      <c r="B575" s="7" t="s">
        <v>1419</v>
      </c>
      <c r="C575" t="s">
        <v>1420</v>
      </c>
      <c r="D575" t="s">
        <v>1238</v>
      </c>
      <c r="E575" t="s">
        <v>675</v>
      </c>
      <c r="F575" t="s">
        <v>675</v>
      </c>
      <c r="G575" t="s">
        <v>676</v>
      </c>
    </row>
    <row r="576" spans="1:10" ht="15" customHeight="1" x14ac:dyDescent="0.25">
      <c r="A576" s="7" t="s">
        <v>1421</v>
      </c>
      <c r="B576" s="7" t="s">
        <v>1419</v>
      </c>
      <c r="C576" t="s">
        <v>1422</v>
      </c>
      <c r="D576" t="s">
        <v>1238</v>
      </c>
      <c r="E576" t="s">
        <v>675</v>
      </c>
      <c r="F576" t="s">
        <v>675</v>
      </c>
      <c r="G576" t="s">
        <v>676</v>
      </c>
    </row>
    <row r="577" spans="1:10" ht="15" customHeight="1" x14ac:dyDescent="0.25">
      <c r="A577" t="s">
        <v>1423</v>
      </c>
      <c r="B577" t="s">
        <v>1423</v>
      </c>
      <c r="C577" t="s">
        <v>1424</v>
      </c>
      <c r="D577" t="s">
        <v>674</v>
      </c>
      <c r="E577" t="s">
        <v>675</v>
      </c>
      <c r="F577" t="s">
        <v>728</v>
      </c>
      <c r="G577" t="s">
        <v>676</v>
      </c>
      <c r="I577" t="s">
        <v>685</v>
      </c>
      <c r="J577" t="s">
        <v>686</v>
      </c>
    </row>
    <row r="578" spans="1:10" hidden="1" x14ac:dyDescent="0.25">
      <c r="A578" t="s">
        <v>103</v>
      </c>
      <c r="B578" t="s">
        <v>104</v>
      </c>
      <c r="C578" t="s">
        <v>102</v>
      </c>
      <c r="D578" t="s">
        <v>1238</v>
      </c>
      <c r="E578" t="s">
        <v>637</v>
      </c>
      <c r="F578" t="s">
        <v>675</v>
      </c>
      <c r="G578" t="s">
        <v>676</v>
      </c>
      <c r="I578" t="s">
        <v>685</v>
      </c>
      <c r="J578" t="s">
        <v>686</v>
      </c>
    </row>
    <row r="579" spans="1:10" ht="15.75" customHeight="1" x14ac:dyDescent="0.25">
      <c r="A579" s="13" t="s">
        <v>1425</v>
      </c>
      <c r="B579" s="13" t="s">
        <v>1426</v>
      </c>
      <c r="C579" t="s">
        <v>1427</v>
      </c>
      <c r="D579" t="s">
        <v>1238</v>
      </c>
      <c r="E579" t="s">
        <v>675</v>
      </c>
      <c r="F579" t="s">
        <v>675</v>
      </c>
      <c r="G579" t="s">
        <v>676</v>
      </c>
      <c r="I579" t="s">
        <v>822</v>
      </c>
      <c r="J579" t="s">
        <v>686</v>
      </c>
    </row>
    <row r="580" spans="1:10" ht="15" customHeight="1" x14ac:dyDescent="0.25">
      <c r="A580" s="13" t="s">
        <v>1428</v>
      </c>
      <c r="B580" s="13" t="s">
        <v>1426</v>
      </c>
      <c r="C580" t="s">
        <v>1429</v>
      </c>
      <c r="D580" t="s">
        <v>1430</v>
      </c>
      <c r="E580" t="s">
        <v>675</v>
      </c>
      <c r="F580" t="s">
        <v>675</v>
      </c>
      <c r="G580" t="s">
        <v>676</v>
      </c>
      <c r="I580" t="s">
        <v>822</v>
      </c>
    </row>
    <row r="581" spans="1:10" ht="15" customHeight="1" x14ac:dyDescent="0.25">
      <c r="A581" t="s">
        <v>1431</v>
      </c>
      <c r="B581" t="s">
        <v>1432</v>
      </c>
      <c r="C581" t="s">
        <v>1433</v>
      </c>
      <c r="D581" t="s">
        <v>674</v>
      </c>
      <c r="E581" t="s">
        <v>675</v>
      </c>
      <c r="F581" t="s">
        <v>675</v>
      </c>
      <c r="G581" t="s">
        <v>676</v>
      </c>
      <c r="I581" t="s">
        <v>708</v>
      </c>
      <c r="J581" t="s">
        <v>709</v>
      </c>
    </row>
    <row r="582" spans="1:10" ht="15" customHeight="1" x14ac:dyDescent="0.25">
      <c r="A582" t="s">
        <v>1434</v>
      </c>
      <c r="B582" t="s">
        <v>1432</v>
      </c>
      <c r="C582" t="s">
        <v>1435</v>
      </c>
      <c r="D582" t="s">
        <v>674</v>
      </c>
      <c r="E582" t="s">
        <v>675</v>
      </c>
      <c r="F582" t="s">
        <v>675</v>
      </c>
      <c r="G582" t="s">
        <v>676</v>
      </c>
      <c r="I582" t="s">
        <v>761</v>
      </c>
      <c r="J582" t="s">
        <v>762</v>
      </c>
    </row>
    <row r="583" spans="1:10" ht="15" hidden="1" customHeight="1" x14ac:dyDescent="0.25">
      <c r="A583" t="s">
        <v>646</v>
      </c>
      <c r="B583" t="s">
        <v>646</v>
      </c>
      <c r="C583" t="s">
        <v>1436</v>
      </c>
      <c r="D583" t="s">
        <v>1238</v>
      </c>
      <c r="E583" t="s">
        <v>645</v>
      </c>
      <c r="F583" t="s">
        <v>781</v>
      </c>
      <c r="G583" t="s">
        <v>676</v>
      </c>
      <c r="I583" t="s">
        <v>685</v>
      </c>
      <c r="J583" t="s">
        <v>686</v>
      </c>
    </row>
    <row r="584" spans="1:10" ht="15" hidden="1" customHeight="1" x14ac:dyDescent="0.25">
      <c r="A584" t="s">
        <v>1437</v>
      </c>
      <c r="B584" t="s">
        <v>640</v>
      </c>
      <c r="C584" t="s">
        <v>1438</v>
      </c>
      <c r="D584" t="s">
        <v>674</v>
      </c>
      <c r="E584" t="s">
        <v>637</v>
      </c>
      <c r="F584" t="s">
        <v>675</v>
      </c>
      <c r="G584" t="s">
        <v>676</v>
      </c>
      <c r="I584" t="s">
        <v>685</v>
      </c>
      <c r="J584" t="s">
        <v>686</v>
      </c>
    </row>
    <row r="585" spans="1:10" ht="15" hidden="1" customHeight="1" x14ac:dyDescent="0.25">
      <c r="A585" t="s">
        <v>1439</v>
      </c>
      <c r="B585" t="s">
        <v>640</v>
      </c>
      <c r="C585" t="s">
        <v>1440</v>
      </c>
      <c r="D585" t="s">
        <v>674</v>
      </c>
      <c r="E585" t="s">
        <v>637</v>
      </c>
      <c r="F585" t="s">
        <v>675</v>
      </c>
      <c r="G585" t="s">
        <v>676</v>
      </c>
      <c r="I585" t="s">
        <v>708</v>
      </c>
      <c r="J585" t="s">
        <v>709</v>
      </c>
    </row>
    <row r="586" spans="1:10" ht="15" hidden="1" customHeight="1" x14ac:dyDescent="0.25">
      <c r="A586" t="s">
        <v>1441</v>
      </c>
      <c r="B586" t="s">
        <v>640</v>
      </c>
      <c r="C586" t="s">
        <v>1442</v>
      </c>
      <c r="D586" t="s">
        <v>674</v>
      </c>
      <c r="E586" t="s">
        <v>637</v>
      </c>
      <c r="F586" t="s">
        <v>675</v>
      </c>
      <c r="G586" t="s">
        <v>676</v>
      </c>
      <c r="I586" t="s">
        <v>870</v>
      </c>
      <c r="J586" t="s">
        <v>681</v>
      </c>
    </row>
    <row r="587" spans="1:10" ht="15" hidden="1" customHeight="1" x14ac:dyDescent="0.25">
      <c r="A587" t="s">
        <v>1443</v>
      </c>
      <c r="B587" t="s">
        <v>640</v>
      </c>
      <c r="D587" t="s">
        <v>674</v>
      </c>
      <c r="E587" t="s">
        <v>637</v>
      </c>
      <c r="F587" t="s">
        <v>675</v>
      </c>
      <c r="G587" t="s">
        <v>676</v>
      </c>
      <c r="I587" t="s">
        <v>685</v>
      </c>
      <c r="J587" t="s">
        <v>686</v>
      </c>
    </row>
    <row r="588" spans="1:10" ht="15" hidden="1" customHeight="1" x14ac:dyDescent="0.25">
      <c r="A588" t="s">
        <v>1444</v>
      </c>
      <c r="B588" t="s">
        <v>640</v>
      </c>
      <c r="D588" t="s">
        <v>674</v>
      </c>
      <c r="E588" t="s">
        <v>637</v>
      </c>
      <c r="F588" t="s">
        <v>675</v>
      </c>
      <c r="G588" t="s">
        <v>676</v>
      </c>
      <c r="I588" t="s">
        <v>685</v>
      </c>
      <c r="J588" t="s">
        <v>686</v>
      </c>
    </row>
    <row r="589" spans="1:10" ht="15" hidden="1" customHeight="1" x14ac:dyDescent="0.25">
      <c r="A589" t="s">
        <v>1445</v>
      </c>
      <c r="B589" t="s">
        <v>640</v>
      </c>
      <c r="C589" t="s">
        <v>1446</v>
      </c>
      <c r="D589" t="s">
        <v>1238</v>
      </c>
      <c r="E589" t="s">
        <v>637</v>
      </c>
      <c r="F589" t="s">
        <v>675</v>
      </c>
      <c r="G589" t="s">
        <v>676</v>
      </c>
      <c r="I589" t="s">
        <v>715</v>
      </c>
      <c r="J589" t="s">
        <v>716</v>
      </c>
    </row>
    <row r="590" spans="1:10" ht="15" hidden="1" customHeight="1" x14ac:dyDescent="0.25">
      <c r="A590" t="s">
        <v>101</v>
      </c>
      <c r="B590" t="s">
        <v>101</v>
      </c>
      <c r="C590" t="s">
        <v>100</v>
      </c>
      <c r="D590" t="s">
        <v>1238</v>
      </c>
      <c r="E590" t="s">
        <v>645</v>
      </c>
      <c r="F590" t="s">
        <v>781</v>
      </c>
      <c r="G590" t="s">
        <v>676</v>
      </c>
      <c r="I590" t="s">
        <v>685</v>
      </c>
      <c r="J590" t="s">
        <v>686</v>
      </c>
    </row>
    <row r="591" spans="1:10" ht="15" hidden="1" customHeight="1" x14ac:dyDescent="0.25">
      <c r="A591" t="s">
        <v>649</v>
      </c>
      <c r="B591" t="s">
        <v>649</v>
      </c>
      <c r="C591" t="s">
        <v>1447</v>
      </c>
      <c r="D591" t="s">
        <v>1238</v>
      </c>
      <c r="E591" t="s">
        <v>645</v>
      </c>
      <c r="F591" t="s">
        <v>675</v>
      </c>
      <c r="G591" t="s">
        <v>676</v>
      </c>
      <c r="I591" t="s">
        <v>822</v>
      </c>
      <c r="J591" t="s">
        <v>686</v>
      </c>
    </row>
    <row r="592" spans="1:10" ht="15" hidden="1" customHeight="1" x14ac:dyDescent="0.25">
      <c r="A592" t="s">
        <v>98</v>
      </c>
      <c r="B592" t="s">
        <v>99</v>
      </c>
      <c r="C592" t="s">
        <v>97</v>
      </c>
      <c r="D592" t="s">
        <v>1238</v>
      </c>
      <c r="E592" t="s">
        <v>645</v>
      </c>
      <c r="F592" t="s">
        <v>781</v>
      </c>
      <c r="G592" t="s">
        <v>676</v>
      </c>
      <c r="I592" t="s">
        <v>685</v>
      </c>
      <c r="J592" t="s">
        <v>686</v>
      </c>
    </row>
    <row r="593" spans="1:10" ht="15" hidden="1" customHeight="1" x14ac:dyDescent="0.25">
      <c r="A593" t="s">
        <v>1448</v>
      </c>
      <c r="B593" t="s">
        <v>99</v>
      </c>
      <c r="C593" t="s">
        <v>1449</v>
      </c>
      <c r="D593" t="s">
        <v>1238</v>
      </c>
      <c r="E593" t="s">
        <v>645</v>
      </c>
      <c r="F593" t="s">
        <v>675</v>
      </c>
      <c r="G593" t="s">
        <v>676</v>
      </c>
      <c r="I593" t="s">
        <v>685</v>
      </c>
      <c r="J593" t="s">
        <v>686</v>
      </c>
    </row>
    <row r="594" spans="1:10" ht="15" hidden="1" customHeight="1" x14ac:dyDescent="0.25">
      <c r="A594" s="129" t="s">
        <v>1450</v>
      </c>
      <c r="B594" s="9" t="s">
        <v>96</v>
      </c>
      <c r="C594" s="135" t="s">
        <v>1451</v>
      </c>
      <c r="D594" t="s">
        <v>1238</v>
      </c>
      <c r="E594" t="s">
        <v>645</v>
      </c>
      <c r="F594" t="s">
        <v>675</v>
      </c>
      <c r="G594" t="s">
        <v>676</v>
      </c>
    </row>
    <row r="595" spans="1:10" ht="15" hidden="1" customHeight="1" x14ac:dyDescent="0.25">
      <c r="A595" s="130" t="s">
        <v>1452</v>
      </c>
      <c r="B595" s="9" t="s">
        <v>96</v>
      </c>
      <c r="C595" t="s">
        <v>1453</v>
      </c>
      <c r="D595" t="s">
        <v>1238</v>
      </c>
      <c r="E595" t="s">
        <v>645</v>
      </c>
      <c r="F595" t="s">
        <v>675</v>
      </c>
      <c r="G595" t="s">
        <v>676</v>
      </c>
    </row>
    <row r="596" spans="1:10" ht="15" hidden="1" customHeight="1" x14ac:dyDescent="0.25">
      <c r="A596" s="130" t="s">
        <v>1454</v>
      </c>
      <c r="B596" s="9" t="s">
        <v>96</v>
      </c>
      <c r="C596" t="s">
        <v>1455</v>
      </c>
      <c r="D596" t="s">
        <v>1238</v>
      </c>
      <c r="E596" t="s">
        <v>645</v>
      </c>
      <c r="F596" t="s">
        <v>675</v>
      </c>
      <c r="G596" t="s">
        <v>676</v>
      </c>
    </row>
    <row r="597" spans="1:10" ht="15" hidden="1" customHeight="1" x14ac:dyDescent="0.25">
      <c r="A597" t="s">
        <v>1456</v>
      </c>
      <c r="B597" s="9" t="s">
        <v>96</v>
      </c>
      <c r="C597" t="s">
        <v>1457</v>
      </c>
      <c r="D597" t="s">
        <v>1238</v>
      </c>
      <c r="E597" t="s">
        <v>645</v>
      </c>
      <c r="F597" t="s">
        <v>781</v>
      </c>
      <c r="G597" t="s">
        <v>676</v>
      </c>
    </row>
    <row r="598" spans="1:10" ht="15" hidden="1" customHeight="1" x14ac:dyDescent="0.25">
      <c r="A598" s="130" t="s">
        <v>1458</v>
      </c>
      <c r="B598" s="13" t="s">
        <v>96</v>
      </c>
      <c r="C598" t="s">
        <v>1459</v>
      </c>
      <c r="D598" t="s">
        <v>1238</v>
      </c>
      <c r="E598" t="s">
        <v>645</v>
      </c>
      <c r="F598" t="s">
        <v>781</v>
      </c>
      <c r="G598" t="s">
        <v>676</v>
      </c>
    </row>
    <row r="599" spans="1:10" ht="15" hidden="1" customHeight="1" x14ac:dyDescent="0.25">
      <c r="A599" t="s">
        <v>1460</v>
      </c>
      <c r="B599" t="s">
        <v>96</v>
      </c>
      <c r="C599" t="s">
        <v>1461</v>
      </c>
      <c r="D599" t="s">
        <v>1238</v>
      </c>
      <c r="E599" t="s">
        <v>645</v>
      </c>
      <c r="F599" t="s">
        <v>675</v>
      </c>
      <c r="G599" t="s">
        <v>676</v>
      </c>
    </row>
    <row r="600" spans="1:10" ht="15" hidden="1" customHeight="1" x14ac:dyDescent="0.25">
      <c r="A600" t="s">
        <v>1462</v>
      </c>
      <c r="B600" t="s">
        <v>96</v>
      </c>
      <c r="C600" t="s">
        <v>1463</v>
      </c>
      <c r="D600" t="s">
        <v>1238</v>
      </c>
      <c r="E600" t="s">
        <v>645</v>
      </c>
      <c r="F600" t="s">
        <v>675</v>
      </c>
      <c r="G600" t="s">
        <v>676</v>
      </c>
    </row>
    <row r="601" spans="1:10" ht="15" hidden="1" customHeight="1" x14ac:dyDescent="0.25">
      <c r="A601" t="s">
        <v>1464</v>
      </c>
      <c r="B601" t="s">
        <v>96</v>
      </c>
      <c r="C601" t="s">
        <v>1465</v>
      </c>
      <c r="D601" t="s">
        <v>1238</v>
      </c>
      <c r="E601" t="s">
        <v>645</v>
      </c>
      <c r="F601" t="s">
        <v>675</v>
      </c>
      <c r="G601" t="s">
        <v>676</v>
      </c>
    </row>
    <row r="602" spans="1:10" ht="15" hidden="1" customHeight="1" x14ac:dyDescent="0.25">
      <c r="A602" t="s">
        <v>95</v>
      </c>
      <c r="B602" t="s">
        <v>96</v>
      </c>
      <c r="C602" t="s">
        <v>94</v>
      </c>
      <c r="D602" t="s">
        <v>1238</v>
      </c>
      <c r="E602" t="s">
        <v>645</v>
      </c>
      <c r="F602" t="s">
        <v>675</v>
      </c>
      <c r="G602" t="s">
        <v>676</v>
      </c>
      <c r="I602" t="s">
        <v>685</v>
      </c>
      <c r="J602" t="s">
        <v>686</v>
      </c>
    </row>
    <row r="603" spans="1:10" ht="15" hidden="1" customHeight="1" x14ac:dyDescent="0.25">
      <c r="A603" t="s">
        <v>1466</v>
      </c>
      <c r="B603" t="s">
        <v>96</v>
      </c>
      <c r="C603" t="s">
        <v>1467</v>
      </c>
      <c r="D603" t="s">
        <v>1238</v>
      </c>
      <c r="E603" t="s">
        <v>645</v>
      </c>
      <c r="F603" t="s">
        <v>781</v>
      </c>
      <c r="G603" t="s">
        <v>676</v>
      </c>
    </row>
    <row r="604" spans="1:10" ht="15" hidden="1" customHeight="1" x14ac:dyDescent="0.25">
      <c r="A604" t="s">
        <v>1468</v>
      </c>
      <c r="B604" t="s">
        <v>96</v>
      </c>
      <c r="C604" t="s">
        <v>1469</v>
      </c>
      <c r="D604" t="s">
        <v>1238</v>
      </c>
      <c r="E604" t="s">
        <v>645</v>
      </c>
      <c r="F604" t="s">
        <v>675</v>
      </c>
      <c r="G604" t="s">
        <v>676</v>
      </c>
      <c r="I604" t="s">
        <v>685</v>
      </c>
      <c r="J604" t="s">
        <v>686</v>
      </c>
    </row>
    <row r="605" spans="1:10" ht="15" hidden="1" customHeight="1" x14ac:dyDescent="0.25">
      <c r="A605" t="s">
        <v>1470</v>
      </c>
      <c r="B605" t="s">
        <v>96</v>
      </c>
      <c r="C605" t="s">
        <v>1471</v>
      </c>
      <c r="D605" t="s">
        <v>1238</v>
      </c>
      <c r="E605" t="s">
        <v>645</v>
      </c>
      <c r="F605" t="s">
        <v>675</v>
      </c>
      <c r="G605" t="s">
        <v>676</v>
      </c>
      <c r="I605" t="s">
        <v>685</v>
      </c>
      <c r="J605" t="s">
        <v>686</v>
      </c>
    </row>
    <row r="606" spans="1:10" ht="15" hidden="1" customHeight="1" x14ac:dyDescent="0.25">
      <c r="A606" t="s">
        <v>1472</v>
      </c>
      <c r="B606" t="s">
        <v>96</v>
      </c>
      <c r="C606" t="s">
        <v>1473</v>
      </c>
      <c r="D606" t="s">
        <v>1238</v>
      </c>
      <c r="E606" t="s">
        <v>645</v>
      </c>
      <c r="F606" t="s">
        <v>781</v>
      </c>
      <c r="G606" t="s">
        <v>676</v>
      </c>
    </row>
    <row r="607" spans="1:10" ht="15" hidden="1" customHeight="1" x14ac:dyDescent="0.25">
      <c r="A607" t="s">
        <v>1474</v>
      </c>
      <c r="B607" t="s">
        <v>96</v>
      </c>
      <c r="C607" t="s">
        <v>1475</v>
      </c>
      <c r="D607" t="s">
        <v>1238</v>
      </c>
      <c r="E607" t="s">
        <v>645</v>
      </c>
      <c r="F607" t="s">
        <v>781</v>
      </c>
      <c r="G607" t="s">
        <v>676</v>
      </c>
    </row>
    <row r="608" spans="1:10" ht="15" hidden="1" customHeight="1" x14ac:dyDescent="0.25">
      <c r="A608" t="s">
        <v>1476</v>
      </c>
      <c r="B608" t="s">
        <v>96</v>
      </c>
      <c r="C608" t="s">
        <v>1477</v>
      </c>
      <c r="D608" t="s">
        <v>1238</v>
      </c>
      <c r="E608" t="s">
        <v>645</v>
      </c>
      <c r="F608" t="s">
        <v>781</v>
      </c>
      <c r="G608" t="s">
        <v>676</v>
      </c>
      <c r="I608" t="s">
        <v>685</v>
      </c>
      <c r="J608" t="s">
        <v>686</v>
      </c>
    </row>
    <row r="609" spans="1:10" ht="15" hidden="1" customHeight="1" x14ac:dyDescent="0.25">
      <c r="A609" t="s">
        <v>1478</v>
      </c>
      <c r="B609" t="s">
        <v>96</v>
      </c>
      <c r="C609" t="s">
        <v>1479</v>
      </c>
      <c r="D609" t="s">
        <v>1238</v>
      </c>
      <c r="E609" t="s">
        <v>645</v>
      </c>
      <c r="F609" t="s">
        <v>781</v>
      </c>
      <c r="G609" t="s">
        <v>676</v>
      </c>
    </row>
    <row r="610" spans="1:10" ht="15" hidden="1" customHeight="1" x14ac:dyDescent="0.25">
      <c r="A610" t="s">
        <v>1480</v>
      </c>
      <c r="B610" t="s">
        <v>96</v>
      </c>
      <c r="C610" t="s">
        <v>1481</v>
      </c>
      <c r="D610" t="s">
        <v>1238</v>
      </c>
      <c r="E610" t="s">
        <v>645</v>
      </c>
      <c r="F610" t="s">
        <v>781</v>
      </c>
      <c r="G610" t="s">
        <v>676</v>
      </c>
    </row>
    <row r="611" spans="1:10" ht="15" hidden="1" customHeight="1" x14ac:dyDescent="0.25">
      <c r="A611" t="s">
        <v>1482</v>
      </c>
      <c r="B611" t="s">
        <v>96</v>
      </c>
      <c r="C611" t="s">
        <v>1483</v>
      </c>
      <c r="D611" t="s">
        <v>1238</v>
      </c>
      <c r="E611" t="s">
        <v>645</v>
      </c>
      <c r="F611" t="s">
        <v>781</v>
      </c>
      <c r="G611" t="s">
        <v>676</v>
      </c>
      <c r="I611" t="s">
        <v>685</v>
      </c>
      <c r="J611" t="s">
        <v>686</v>
      </c>
    </row>
    <row r="612" spans="1:10" ht="15" hidden="1" customHeight="1" x14ac:dyDescent="0.25">
      <c r="A612" s="7" t="s">
        <v>1484</v>
      </c>
      <c r="B612" t="s">
        <v>96</v>
      </c>
      <c r="C612" t="s">
        <v>1485</v>
      </c>
      <c r="D612" t="s">
        <v>1238</v>
      </c>
      <c r="E612" t="s">
        <v>645</v>
      </c>
      <c r="F612" t="s">
        <v>781</v>
      </c>
      <c r="G612" t="s">
        <v>676</v>
      </c>
    </row>
    <row r="613" spans="1:10" ht="15" hidden="1" customHeight="1" x14ac:dyDescent="0.25">
      <c r="A613" s="132" t="s">
        <v>1486</v>
      </c>
      <c r="B613" s="13" t="s">
        <v>96</v>
      </c>
      <c r="C613" t="s">
        <v>1487</v>
      </c>
      <c r="D613" t="s">
        <v>1238</v>
      </c>
      <c r="E613" t="s">
        <v>645</v>
      </c>
      <c r="F613" t="s">
        <v>781</v>
      </c>
      <c r="G613" t="s">
        <v>676</v>
      </c>
      <c r="I613" t="s">
        <v>685</v>
      </c>
      <c r="J613" t="s">
        <v>686</v>
      </c>
    </row>
    <row r="614" spans="1:10" ht="15" hidden="1" customHeight="1" x14ac:dyDescent="0.25">
      <c r="A614" t="s">
        <v>657</v>
      </c>
      <c r="B614" t="s">
        <v>657</v>
      </c>
      <c r="C614" s="3" t="s">
        <v>1488</v>
      </c>
      <c r="D614" t="s">
        <v>1238</v>
      </c>
      <c r="E614" t="s">
        <v>645</v>
      </c>
      <c r="F614" t="s">
        <v>796</v>
      </c>
      <c r="G614" s="7" t="s">
        <v>676</v>
      </c>
    </row>
    <row r="615" spans="1:10" ht="15" hidden="1" customHeight="1" x14ac:dyDescent="0.25">
      <c r="A615" s="262" t="s">
        <v>1489</v>
      </c>
      <c r="B615" s="7" t="s">
        <v>657</v>
      </c>
      <c r="C615" s="262" t="s">
        <v>1490</v>
      </c>
      <c r="D615" t="s">
        <v>1238</v>
      </c>
      <c r="E615" t="s">
        <v>645</v>
      </c>
      <c r="F615" t="s">
        <v>675</v>
      </c>
      <c r="G615" t="s">
        <v>676</v>
      </c>
    </row>
    <row r="616" spans="1:10" ht="15" hidden="1" customHeight="1" x14ac:dyDescent="0.25">
      <c r="A616" t="s">
        <v>657</v>
      </c>
      <c r="B616" t="s">
        <v>657</v>
      </c>
      <c r="C616" t="s">
        <v>1491</v>
      </c>
      <c r="D616" t="s">
        <v>674</v>
      </c>
      <c r="E616" t="s">
        <v>645</v>
      </c>
      <c r="F616" t="s">
        <v>675</v>
      </c>
      <c r="G616" t="s">
        <v>676</v>
      </c>
    </row>
    <row r="617" spans="1:10" ht="15" customHeight="1" x14ac:dyDescent="0.25">
      <c r="A617" t="s">
        <v>1492</v>
      </c>
      <c r="B617" t="s">
        <v>1493</v>
      </c>
      <c r="C617" t="s">
        <v>1494</v>
      </c>
      <c r="D617" t="s">
        <v>674</v>
      </c>
      <c r="E617" t="s">
        <v>675</v>
      </c>
      <c r="F617" t="s">
        <v>675</v>
      </c>
      <c r="G617" t="s">
        <v>676</v>
      </c>
      <c r="I617" t="s">
        <v>708</v>
      </c>
      <c r="J617" t="s">
        <v>709</v>
      </c>
    </row>
    <row r="618" spans="1:10" ht="15" customHeight="1" x14ac:dyDescent="0.25">
      <c r="A618" t="s">
        <v>1495</v>
      </c>
      <c r="B618" t="s">
        <v>1493</v>
      </c>
      <c r="C618" t="s">
        <v>1496</v>
      </c>
      <c r="D618" t="s">
        <v>674</v>
      </c>
      <c r="E618" t="s">
        <v>675</v>
      </c>
      <c r="F618" t="s">
        <v>675</v>
      </c>
      <c r="G618" t="s">
        <v>676</v>
      </c>
      <c r="I618" t="s">
        <v>685</v>
      </c>
      <c r="J618" t="s">
        <v>686</v>
      </c>
    </row>
    <row r="619" spans="1:10" x14ac:dyDescent="0.25">
      <c r="A619" t="s">
        <v>1497</v>
      </c>
      <c r="B619" t="s">
        <v>1493</v>
      </c>
      <c r="C619" t="s">
        <v>1498</v>
      </c>
      <c r="D619" t="s">
        <v>674</v>
      </c>
      <c r="E619" t="s">
        <v>675</v>
      </c>
      <c r="F619" t="s">
        <v>675</v>
      </c>
      <c r="G619" t="s">
        <v>676</v>
      </c>
      <c r="I619" t="s">
        <v>685</v>
      </c>
      <c r="J619" t="s">
        <v>686</v>
      </c>
    </row>
    <row r="620" spans="1:10" x14ac:dyDescent="0.25">
      <c r="A620" t="s">
        <v>1499</v>
      </c>
      <c r="B620" t="s">
        <v>1493</v>
      </c>
      <c r="C620" t="s">
        <v>1500</v>
      </c>
      <c r="D620" t="s">
        <v>1238</v>
      </c>
      <c r="E620" t="s">
        <v>675</v>
      </c>
      <c r="F620" t="s">
        <v>714</v>
      </c>
      <c r="G620" t="s">
        <v>676</v>
      </c>
      <c r="I620" t="s">
        <v>715</v>
      </c>
      <c r="J620" t="s">
        <v>716</v>
      </c>
    </row>
    <row r="621" spans="1:10" ht="15" customHeight="1" x14ac:dyDescent="0.25">
      <c r="A621" t="s">
        <v>1501</v>
      </c>
      <c r="B621" t="s">
        <v>1493</v>
      </c>
      <c r="C621" t="s">
        <v>1502</v>
      </c>
      <c r="D621" t="s">
        <v>1238</v>
      </c>
      <c r="E621" t="s">
        <v>675</v>
      </c>
      <c r="F621" t="s">
        <v>675</v>
      </c>
      <c r="G621" t="s">
        <v>676</v>
      </c>
      <c r="I621" t="s">
        <v>719</v>
      </c>
      <c r="J621" t="s">
        <v>716</v>
      </c>
    </row>
    <row r="622" spans="1:10" ht="15" customHeight="1" x14ac:dyDescent="0.25">
      <c r="A622" t="s">
        <v>1503</v>
      </c>
      <c r="B622" t="s">
        <v>1493</v>
      </c>
      <c r="C622" t="s">
        <v>1504</v>
      </c>
      <c r="D622" t="s">
        <v>674</v>
      </c>
      <c r="E622" t="s">
        <v>675</v>
      </c>
      <c r="F622" t="s">
        <v>675</v>
      </c>
      <c r="G622" t="s">
        <v>676</v>
      </c>
      <c r="I622" t="s">
        <v>685</v>
      </c>
      <c r="J622" t="s">
        <v>686</v>
      </c>
    </row>
    <row r="623" spans="1:10" ht="15" customHeight="1" x14ac:dyDescent="0.25">
      <c r="A623" t="s">
        <v>1505</v>
      </c>
      <c r="B623" s="9" t="s">
        <v>1493</v>
      </c>
      <c r="C623" t="s">
        <v>1506</v>
      </c>
      <c r="D623" t="s">
        <v>1275</v>
      </c>
      <c r="E623" t="s">
        <v>675</v>
      </c>
      <c r="F623" t="s">
        <v>675</v>
      </c>
      <c r="G623" t="s">
        <v>676</v>
      </c>
    </row>
    <row r="624" spans="1:10" ht="15" customHeight="1" x14ac:dyDescent="0.25">
      <c r="A624" s="148" t="s">
        <v>1507</v>
      </c>
      <c r="B624" s="13" t="s">
        <v>1493</v>
      </c>
      <c r="C624" t="s">
        <v>1508</v>
      </c>
      <c r="D624" t="s">
        <v>674</v>
      </c>
      <c r="E624" t="s">
        <v>675</v>
      </c>
      <c r="F624" t="s">
        <v>848</v>
      </c>
      <c r="G624" t="s">
        <v>676</v>
      </c>
    </row>
    <row r="625" spans="1:10" x14ac:dyDescent="0.25">
      <c r="A625" t="s">
        <v>1509</v>
      </c>
      <c r="B625" t="s">
        <v>1493</v>
      </c>
      <c r="C625" t="s">
        <v>1510</v>
      </c>
      <c r="D625" t="s">
        <v>674</v>
      </c>
      <c r="E625" t="s">
        <v>675</v>
      </c>
      <c r="F625" t="s">
        <v>675</v>
      </c>
      <c r="G625" t="s">
        <v>676</v>
      </c>
      <c r="I625" t="s">
        <v>685</v>
      </c>
      <c r="J625" t="s">
        <v>686</v>
      </c>
    </row>
    <row r="626" spans="1:10" ht="15" customHeight="1" x14ac:dyDescent="0.25">
      <c r="A626" t="s">
        <v>1511</v>
      </c>
      <c r="B626" t="s">
        <v>1493</v>
      </c>
      <c r="C626" t="s">
        <v>1512</v>
      </c>
      <c r="D626" t="s">
        <v>674</v>
      </c>
      <c r="E626" t="s">
        <v>675</v>
      </c>
      <c r="F626" t="s">
        <v>675</v>
      </c>
      <c r="G626" t="s">
        <v>676</v>
      </c>
      <c r="I626" t="s">
        <v>685</v>
      </c>
      <c r="J626" t="s">
        <v>686</v>
      </c>
    </row>
    <row r="627" spans="1:10" ht="15" customHeight="1" x14ac:dyDescent="0.25">
      <c r="A627" t="s">
        <v>1513</v>
      </c>
      <c r="B627" t="s">
        <v>1493</v>
      </c>
      <c r="C627" t="s">
        <v>1514</v>
      </c>
      <c r="D627" t="s">
        <v>674</v>
      </c>
      <c r="E627" t="s">
        <v>675</v>
      </c>
      <c r="F627" t="s">
        <v>675</v>
      </c>
      <c r="G627" t="s">
        <v>676</v>
      </c>
      <c r="I627" t="s">
        <v>685</v>
      </c>
      <c r="J627" t="s">
        <v>686</v>
      </c>
    </row>
    <row r="628" spans="1:10" ht="15" hidden="1" customHeight="1" x14ac:dyDescent="0.25">
      <c r="A628" s="142" t="s">
        <v>93</v>
      </c>
      <c r="B628" s="13" t="s">
        <v>91</v>
      </c>
      <c r="C628" t="s">
        <v>92</v>
      </c>
      <c r="D628" t="s">
        <v>1238</v>
      </c>
      <c r="E628" t="s">
        <v>645</v>
      </c>
      <c r="F628" t="s">
        <v>728</v>
      </c>
      <c r="G628" t="s">
        <v>676</v>
      </c>
    </row>
    <row r="629" spans="1:10" ht="15" hidden="1" customHeight="1" x14ac:dyDescent="0.25">
      <c r="A629" s="142" t="s">
        <v>90</v>
      </c>
      <c r="B629" s="13" t="s">
        <v>91</v>
      </c>
      <c r="C629" t="s">
        <v>89</v>
      </c>
      <c r="D629" t="s">
        <v>1238</v>
      </c>
      <c r="E629" t="s">
        <v>645</v>
      </c>
      <c r="F629" t="s">
        <v>901</v>
      </c>
      <c r="G629" t="s">
        <v>676</v>
      </c>
    </row>
    <row r="630" spans="1:10" ht="15" hidden="1" customHeight="1" x14ac:dyDescent="0.25">
      <c r="A630" t="s">
        <v>68</v>
      </c>
      <c r="B630" t="s">
        <v>60</v>
      </c>
      <c r="C630" t="s">
        <v>67</v>
      </c>
      <c r="D630" t="s">
        <v>1238</v>
      </c>
      <c r="E630" t="s">
        <v>645</v>
      </c>
      <c r="F630" t="s">
        <v>714</v>
      </c>
      <c r="G630" t="s">
        <v>676</v>
      </c>
      <c r="I630" t="s">
        <v>715</v>
      </c>
      <c r="J630" t="s">
        <v>716</v>
      </c>
    </row>
    <row r="631" spans="1:10" ht="15" hidden="1" customHeight="1" x14ac:dyDescent="0.25">
      <c r="A631" t="s">
        <v>62</v>
      </c>
      <c r="B631" t="s">
        <v>60</v>
      </c>
      <c r="C631" t="s">
        <v>61</v>
      </c>
      <c r="D631" t="s">
        <v>1238</v>
      </c>
      <c r="E631" t="s">
        <v>645</v>
      </c>
      <c r="F631" t="s">
        <v>860</v>
      </c>
      <c r="G631" t="s">
        <v>676</v>
      </c>
      <c r="I631" t="s">
        <v>827</v>
      </c>
      <c r="J631" t="s">
        <v>709</v>
      </c>
    </row>
    <row r="632" spans="1:10" ht="15" hidden="1" customHeight="1" x14ac:dyDescent="0.25">
      <c r="A632" t="s">
        <v>74</v>
      </c>
      <c r="B632" t="s">
        <v>60</v>
      </c>
      <c r="C632" t="s">
        <v>73</v>
      </c>
      <c r="D632" t="s">
        <v>1238</v>
      </c>
      <c r="E632" t="s">
        <v>645</v>
      </c>
      <c r="F632" t="s">
        <v>675</v>
      </c>
      <c r="G632" t="s">
        <v>676</v>
      </c>
      <c r="I632" t="s">
        <v>708</v>
      </c>
      <c r="J632" t="s">
        <v>709</v>
      </c>
    </row>
    <row r="633" spans="1:10" ht="15" hidden="1" customHeight="1" x14ac:dyDescent="0.25">
      <c r="A633" t="s">
        <v>70</v>
      </c>
      <c r="B633" t="s">
        <v>60</v>
      </c>
      <c r="C633" t="s">
        <v>69</v>
      </c>
      <c r="D633" t="s">
        <v>1238</v>
      </c>
      <c r="E633" t="s">
        <v>645</v>
      </c>
      <c r="F633" t="s">
        <v>852</v>
      </c>
      <c r="G633" t="s">
        <v>676</v>
      </c>
      <c r="I633" t="s">
        <v>853</v>
      </c>
      <c r="J633" t="s">
        <v>807</v>
      </c>
    </row>
    <row r="634" spans="1:10" ht="15" hidden="1" customHeight="1" x14ac:dyDescent="0.25">
      <c r="A634" t="s">
        <v>1515</v>
      </c>
      <c r="B634" t="s">
        <v>60</v>
      </c>
      <c r="C634" t="s">
        <v>1516</v>
      </c>
      <c r="D634" t="s">
        <v>1238</v>
      </c>
      <c r="E634" t="s">
        <v>645</v>
      </c>
      <c r="F634" t="s">
        <v>714</v>
      </c>
      <c r="G634" t="s">
        <v>676</v>
      </c>
      <c r="I634" t="s">
        <v>715</v>
      </c>
      <c r="J634" t="s">
        <v>716</v>
      </c>
    </row>
    <row r="635" spans="1:10" ht="15" hidden="1" customHeight="1" x14ac:dyDescent="0.25">
      <c r="A635" t="s">
        <v>88</v>
      </c>
      <c r="B635" t="s">
        <v>60</v>
      </c>
      <c r="C635" t="s">
        <v>87</v>
      </c>
      <c r="D635" t="s">
        <v>1238</v>
      </c>
      <c r="E635" t="s">
        <v>645</v>
      </c>
      <c r="F635" t="s">
        <v>856</v>
      </c>
      <c r="G635" t="s">
        <v>676</v>
      </c>
      <c r="I635" t="s">
        <v>857</v>
      </c>
      <c r="J635" t="s">
        <v>858</v>
      </c>
    </row>
    <row r="636" spans="1:10" ht="15" hidden="1" customHeight="1" x14ac:dyDescent="0.25">
      <c r="A636" t="s">
        <v>1517</v>
      </c>
      <c r="B636" t="s">
        <v>60</v>
      </c>
      <c r="C636" t="s">
        <v>1518</v>
      </c>
      <c r="D636" t="s">
        <v>1238</v>
      </c>
      <c r="E636" t="s">
        <v>645</v>
      </c>
      <c r="F636" t="s">
        <v>714</v>
      </c>
      <c r="G636" t="s">
        <v>676</v>
      </c>
      <c r="I636" t="s">
        <v>715</v>
      </c>
      <c r="J636" t="s">
        <v>716</v>
      </c>
    </row>
    <row r="637" spans="1:10" ht="15" hidden="1" customHeight="1" x14ac:dyDescent="0.25">
      <c r="A637" t="s">
        <v>76</v>
      </c>
      <c r="B637" t="s">
        <v>60</v>
      </c>
      <c r="C637" t="s">
        <v>75</v>
      </c>
      <c r="D637" t="s">
        <v>1238</v>
      </c>
      <c r="E637" t="s">
        <v>645</v>
      </c>
      <c r="F637" t="s">
        <v>781</v>
      </c>
      <c r="G637" t="s">
        <v>676</v>
      </c>
      <c r="I637" t="s">
        <v>685</v>
      </c>
      <c r="J637" t="s">
        <v>686</v>
      </c>
    </row>
    <row r="638" spans="1:10" ht="15" hidden="1" customHeight="1" x14ac:dyDescent="0.25">
      <c r="A638" t="s">
        <v>59</v>
      </c>
      <c r="B638" t="s">
        <v>60</v>
      </c>
      <c r="C638" t="s">
        <v>58</v>
      </c>
      <c r="D638" t="s">
        <v>1238</v>
      </c>
      <c r="E638" t="s">
        <v>645</v>
      </c>
      <c r="F638" t="s">
        <v>781</v>
      </c>
      <c r="G638" t="s">
        <v>676</v>
      </c>
      <c r="I638" t="s">
        <v>685</v>
      </c>
      <c r="J638" t="s">
        <v>686</v>
      </c>
    </row>
    <row r="639" spans="1:10" ht="15" hidden="1" customHeight="1" x14ac:dyDescent="0.25">
      <c r="A639" t="s">
        <v>64</v>
      </c>
      <c r="B639" t="s">
        <v>60</v>
      </c>
      <c r="C639" t="s">
        <v>63</v>
      </c>
      <c r="D639" t="s">
        <v>1238</v>
      </c>
      <c r="E639" t="s">
        <v>645</v>
      </c>
      <c r="F639" t="s">
        <v>874</v>
      </c>
      <c r="G639" t="s">
        <v>676</v>
      </c>
      <c r="I639" t="s">
        <v>761</v>
      </c>
      <c r="J639" t="s">
        <v>762</v>
      </c>
    </row>
    <row r="640" spans="1:10" hidden="1" x14ac:dyDescent="0.25">
      <c r="A640" t="s">
        <v>72</v>
      </c>
      <c r="B640" t="s">
        <v>60</v>
      </c>
      <c r="C640" t="s">
        <v>71</v>
      </c>
      <c r="D640" t="s">
        <v>1238</v>
      </c>
      <c r="E640" t="s">
        <v>645</v>
      </c>
      <c r="F640" t="s">
        <v>874</v>
      </c>
      <c r="G640" t="s">
        <v>676</v>
      </c>
      <c r="I640" t="s">
        <v>761</v>
      </c>
      <c r="J640" t="s">
        <v>762</v>
      </c>
    </row>
    <row r="641" spans="1:10" ht="15" hidden="1" customHeight="1" x14ac:dyDescent="0.25">
      <c r="A641" t="s">
        <v>66</v>
      </c>
      <c r="B641" t="s">
        <v>60</v>
      </c>
      <c r="C641" t="s">
        <v>65</v>
      </c>
      <c r="D641" t="s">
        <v>1238</v>
      </c>
      <c r="E641" t="s">
        <v>645</v>
      </c>
      <c r="F641" t="s">
        <v>675</v>
      </c>
      <c r="G641" t="s">
        <v>676</v>
      </c>
      <c r="I641" t="s">
        <v>1320</v>
      </c>
      <c r="J641" t="s">
        <v>762</v>
      </c>
    </row>
    <row r="642" spans="1:10" ht="15" hidden="1" customHeight="1" x14ac:dyDescent="0.25">
      <c r="A642" t="s">
        <v>78</v>
      </c>
      <c r="B642" t="s">
        <v>60</v>
      </c>
      <c r="C642" t="s">
        <v>77</v>
      </c>
      <c r="D642" t="s">
        <v>1238</v>
      </c>
      <c r="E642" t="s">
        <v>645</v>
      </c>
      <c r="F642" t="s">
        <v>781</v>
      </c>
      <c r="G642" t="s">
        <v>676</v>
      </c>
      <c r="I642" t="s">
        <v>685</v>
      </c>
      <c r="J642" t="s">
        <v>686</v>
      </c>
    </row>
    <row r="643" spans="1:10" ht="15" hidden="1" customHeight="1" x14ac:dyDescent="0.25">
      <c r="A643" t="s">
        <v>1519</v>
      </c>
      <c r="B643" t="s">
        <v>60</v>
      </c>
      <c r="C643" t="s">
        <v>1520</v>
      </c>
      <c r="D643" t="s">
        <v>1238</v>
      </c>
      <c r="E643" t="s">
        <v>645</v>
      </c>
      <c r="F643" t="s">
        <v>675</v>
      </c>
      <c r="G643" t="s">
        <v>676</v>
      </c>
      <c r="I643" t="s">
        <v>685</v>
      </c>
      <c r="J643" t="s">
        <v>686</v>
      </c>
    </row>
    <row r="644" spans="1:10" ht="15" hidden="1" customHeight="1" x14ac:dyDescent="0.25">
      <c r="A644" t="s">
        <v>82</v>
      </c>
      <c r="B644" t="s">
        <v>60</v>
      </c>
      <c r="C644" t="s">
        <v>81</v>
      </c>
      <c r="D644" t="s">
        <v>1238</v>
      </c>
      <c r="E644" t="s">
        <v>645</v>
      </c>
      <c r="F644" t="s">
        <v>781</v>
      </c>
      <c r="G644" t="s">
        <v>676</v>
      </c>
      <c r="I644" t="s">
        <v>685</v>
      </c>
      <c r="J644" t="s">
        <v>686</v>
      </c>
    </row>
    <row r="645" spans="1:10" ht="15" hidden="1" customHeight="1" x14ac:dyDescent="0.25">
      <c r="A645" s="13" t="s">
        <v>84</v>
      </c>
      <c r="B645" s="13" t="s">
        <v>60</v>
      </c>
      <c r="C645" t="s">
        <v>83</v>
      </c>
      <c r="D645" t="s">
        <v>1238</v>
      </c>
      <c r="E645" t="s">
        <v>645</v>
      </c>
      <c r="F645" t="s">
        <v>728</v>
      </c>
      <c r="G645" t="s">
        <v>676</v>
      </c>
    </row>
    <row r="646" spans="1:10" ht="15" hidden="1" customHeight="1" x14ac:dyDescent="0.25">
      <c r="A646" t="s">
        <v>80</v>
      </c>
      <c r="B646" t="s">
        <v>60</v>
      </c>
      <c r="C646" t="s">
        <v>79</v>
      </c>
      <c r="D646" t="s">
        <v>1238</v>
      </c>
      <c r="E646" t="s">
        <v>645</v>
      </c>
      <c r="F646" t="s">
        <v>675</v>
      </c>
      <c r="G646" t="s">
        <v>676</v>
      </c>
      <c r="I646" t="s">
        <v>1247</v>
      </c>
      <c r="J646" t="s">
        <v>709</v>
      </c>
    </row>
    <row r="647" spans="1:10" ht="15" hidden="1" customHeight="1" x14ac:dyDescent="0.25">
      <c r="A647" t="s">
        <v>86</v>
      </c>
      <c r="B647" t="s">
        <v>60</v>
      </c>
      <c r="C647" t="s">
        <v>85</v>
      </c>
      <c r="D647" t="s">
        <v>1238</v>
      </c>
      <c r="E647" t="s">
        <v>645</v>
      </c>
      <c r="F647" t="s">
        <v>675</v>
      </c>
      <c r="G647" t="s">
        <v>676</v>
      </c>
    </row>
    <row r="648" spans="1:10" ht="15" hidden="1" customHeight="1" x14ac:dyDescent="0.25">
      <c r="A648" t="s">
        <v>1521</v>
      </c>
      <c r="B648" t="s">
        <v>654</v>
      </c>
      <c r="C648" t="s">
        <v>1522</v>
      </c>
      <c r="D648" t="s">
        <v>1238</v>
      </c>
      <c r="E648" t="s">
        <v>645</v>
      </c>
      <c r="F648" t="s">
        <v>675</v>
      </c>
      <c r="G648" t="s">
        <v>676</v>
      </c>
      <c r="I648" t="s">
        <v>685</v>
      </c>
      <c r="J648" t="s">
        <v>686</v>
      </c>
    </row>
    <row r="649" spans="1:10" ht="15" hidden="1" customHeight="1" x14ac:dyDescent="0.25">
      <c r="A649" t="s">
        <v>1523</v>
      </c>
      <c r="B649" t="s">
        <v>654</v>
      </c>
      <c r="C649" t="s">
        <v>1524</v>
      </c>
      <c r="D649" t="s">
        <v>1238</v>
      </c>
      <c r="E649" t="s">
        <v>645</v>
      </c>
      <c r="F649" t="s">
        <v>675</v>
      </c>
      <c r="G649" t="s">
        <v>676</v>
      </c>
      <c r="I649" t="s">
        <v>708</v>
      </c>
      <c r="J649" t="s">
        <v>709</v>
      </c>
    </row>
    <row r="650" spans="1:10" ht="15" hidden="1" customHeight="1" x14ac:dyDescent="0.25">
      <c r="A650" t="s">
        <v>1525</v>
      </c>
      <c r="B650" t="s">
        <v>654</v>
      </c>
      <c r="C650" t="s">
        <v>1526</v>
      </c>
      <c r="D650" t="s">
        <v>1238</v>
      </c>
      <c r="E650" t="s">
        <v>645</v>
      </c>
      <c r="F650" t="s">
        <v>675</v>
      </c>
      <c r="G650" t="s">
        <v>676</v>
      </c>
      <c r="I650" t="s">
        <v>715</v>
      </c>
      <c r="J650" t="s">
        <v>716</v>
      </c>
    </row>
    <row r="651" spans="1:10" ht="15" hidden="1" customHeight="1" x14ac:dyDescent="0.25">
      <c r="A651" t="s">
        <v>1527</v>
      </c>
      <c r="B651" t="s">
        <v>654</v>
      </c>
      <c r="C651" t="s">
        <v>1528</v>
      </c>
      <c r="D651" t="s">
        <v>1238</v>
      </c>
      <c r="E651" t="s">
        <v>645</v>
      </c>
      <c r="F651" t="s">
        <v>675</v>
      </c>
      <c r="G651" t="s">
        <v>676</v>
      </c>
      <c r="I651" t="s">
        <v>715</v>
      </c>
      <c r="J651" t="s">
        <v>716</v>
      </c>
    </row>
    <row r="652" spans="1:10" ht="15" hidden="1" customHeight="1" x14ac:dyDescent="0.25">
      <c r="A652" t="s">
        <v>1529</v>
      </c>
      <c r="B652" t="s">
        <v>654</v>
      </c>
      <c r="C652" t="s">
        <v>1530</v>
      </c>
      <c r="D652" t="s">
        <v>1238</v>
      </c>
      <c r="E652" t="s">
        <v>645</v>
      </c>
      <c r="F652" t="s">
        <v>675</v>
      </c>
      <c r="G652" t="s">
        <v>676</v>
      </c>
      <c r="I652" t="s">
        <v>685</v>
      </c>
      <c r="J652" t="s">
        <v>686</v>
      </c>
    </row>
    <row r="653" spans="1:10" ht="15" hidden="1" customHeight="1" x14ac:dyDescent="0.25">
      <c r="A653" t="s">
        <v>1531</v>
      </c>
      <c r="B653" t="s">
        <v>654</v>
      </c>
      <c r="C653" t="s">
        <v>1532</v>
      </c>
      <c r="D653" t="s">
        <v>1238</v>
      </c>
      <c r="E653" t="s">
        <v>645</v>
      </c>
      <c r="F653" t="s">
        <v>675</v>
      </c>
      <c r="G653" t="s">
        <v>676</v>
      </c>
      <c r="I653" t="s">
        <v>685</v>
      </c>
      <c r="J653" t="s">
        <v>686</v>
      </c>
    </row>
    <row r="654" spans="1:10" ht="15" hidden="1" customHeight="1" x14ac:dyDescent="0.25">
      <c r="A654" t="s">
        <v>1533</v>
      </c>
      <c r="B654" t="s">
        <v>654</v>
      </c>
      <c r="C654" t="s">
        <v>1534</v>
      </c>
      <c r="D654" t="s">
        <v>1238</v>
      </c>
      <c r="E654" t="s">
        <v>645</v>
      </c>
      <c r="F654" t="s">
        <v>675</v>
      </c>
      <c r="G654" t="s">
        <v>676</v>
      </c>
      <c r="I654" t="s">
        <v>685</v>
      </c>
      <c r="J654" t="s">
        <v>686</v>
      </c>
    </row>
    <row r="655" spans="1:10" ht="15" hidden="1" customHeight="1" x14ac:dyDescent="0.25">
      <c r="A655" t="s">
        <v>1535</v>
      </c>
      <c r="B655" t="s">
        <v>654</v>
      </c>
      <c r="C655" t="s">
        <v>1536</v>
      </c>
      <c r="D655" t="s">
        <v>1238</v>
      </c>
      <c r="E655" t="s">
        <v>645</v>
      </c>
      <c r="F655" t="s">
        <v>675</v>
      </c>
      <c r="G655" t="s">
        <v>676</v>
      </c>
      <c r="I655" t="s">
        <v>685</v>
      </c>
      <c r="J655" t="s">
        <v>686</v>
      </c>
    </row>
    <row r="656" spans="1:10" ht="15" hidden="1" customHeight="1" x14ac:dyDescent="0.25">
      <c r="A656" t="s">
        <v>1537</v>
      </c>
      <c r="B656" t="s">
        <v>654</v>
      </c>
      <c r="C656" t="s">
        <v>1538</v>
      </c>
      <c r="D656" t="s">
        <v>1238</v>
      </c>
      <c r="E656" t="s">
        <v>645</v>
      </c>
      <c r="F656" t="s">
        <v>675</v>
      </c>
      <c r="G656" t="s">
        <v>676</v>
      </c>
      <c r="I656" t="s">
        <v>851</v>
      </c>
      <c r="J656" t="s">
        <v>681</v>
      </c>
    </row>
    <row r="657" spans="1:10" ht="15" hidden="1" customHeight="1" x14ac:dyDescent="0.25">
      <c r="A657" t="s">
        <v>1539</v>
      </c>
      <c r="B657" t="s">
        <v>654</v>
      </c>
      <c r="C657" t="s">
        <v>1540</v>
      </c>
      <c r="D657" t="s">
        <v>1238</v>
      </c>
      <c r="E657" t="s">
        <v>645</v>
      </c>
      <c r="F657" t="s">
        <v>675</v>
      </c>
      <c r="G657" t="s">
        <v>676</v>
      </c>
      <c r="I657" t="s">
        <v>853</v>
      </c>
      <c r="J657" t="s">
        <v>807</v>
      </c>
    </row>
    <row r="658" spans="1:10" ht="15" hidden="1" customHeight="1" x14ac:dyDescent="0.25">
      <c r="A658" t="s">
        <v>1541</v>
      </c>
      <c r="B658" t="s">
        <v>654</v>
      </c>
      <c r="C658" t="s">
        <v>1542</v>
      </c>
      <c r="D658" t="s">
        <v>1238</v>
      </c>
      <c r="E658" t="s">
        <v>645</v>
      </c>
      <c r="F658" t="s">
        <v>675</v>
      </c>
      <c r="G658" t="s">
        <v>676</v>
      </c>
      <c r="I658" t="s">
        <v>854</v>
      </c>
      <c r="J658" t="s">
        <v>855</v>
      </c>
    </row>
    <row r="659" spans="1:10" hidden="1" x14ac:dyDescent="0.25">
      <c r="A659" t="s">
        <v>1543</v>
      </c>
      <c r="B659" t="s">
        <v>654</v>
      </c>
      <c r="C659" t="s">
        <v>1544</v>
      </c>
      <c r="D659" t="s">
        <v>1238</v>
      </c>
      <c r="E659" t="s">
        <v>645</v>
      </c>
      <c r="F659" t="s">
        <v>675</v>
      </c>
      <c r="G659" t="s">
        <v>676</v>
      </c>
      <c r="I659" t="s">
        <v>857</v>
      </c>
      <c r="J659" t="s">
        <v>858</v>
      </c>
    </row>
    <row r="660" spans="1:10" ht="15" hidden="1" customHeight="1" x14ac:dyDescent="0.25">
      <c r="A660" t="s">
        <v>1545</v>
      </c>
      <c r="B660" t="s">
        <v>654</v>
      </c>
      <c r="C660" t="s">
        <v>1546</v>
      </c>
      <c r="D660" t="s">
        <v>1238</v>
      </c>
      <c r="E660" t="s">
        <v>645</v>
      </c>
      <c r="F660" t="s">
        <v>675</v>
      </c>
      <c r="G660" t="s">
        <v>676</v>
      </c>
      <c r="I660" t="s">
        <v>1547</v>
      </c>
      <c r="J660" t="s">
        <v>850</v>
      </c>
    </row>
    <row r="661" spans="1:10" hidden="1" x14ac:dyDescent="0.25">
      <c r="A661" t="s">
        <v>1548</v>
      </c>
      <c r="B661" t="s">
        <v>654</v>
      </c>
      <c r="C661" t="s">
        <v>1549</v>
      </c>
      <c r="D661" t="s">
        <v>1238</v>
      </c>
      <c r="E661" t="s">
        <v>645</v>
      </c>
      <c r="F661" t="s">
        <v>675</v>
      </c>
      <c r="G661" t="s">
        <v>676</v>
      </c>
      <c r="I661" t="s">
        <v>761</v>
      </c>
      <c r="J661" t="s">
        <v>762</v>
      </c>
    </row>
    <row r="662" spans="1:10" ht="15" hidden="1" customHeight="1" x14ac:dyDescent="0.25">
      <c r="A662" t="s">
        <v>1550</v>
      </c>
      <c r="B662" t="s">
        <v>654</v>
      </c>
      <c r="C662" t="s">
        <v>1551</v>
      </c>
      <c r="D662" t="s">
        <v>1238</v>
      </c>
      <c r="E662" t="s">
        <v>645</v>
      </c>
      <c r="F662" t="s">
        <v>675</v>
      </c>
      <c r="G662" t="s">
        <v>676</v>
      </c>
      <c r="I662" t="s">
        <v>685</v>
      </c>
      <c r="J662" t="s">
        <v>686</v>
      </c>
    </row>
    <row r="663" spans="1:10" ht="15" hidden="1" customHeight="1" x14ac:dyDescent="0.25">
      <c r="A663" t="s">
        <v>1552</v>
      </c>
      <c r="B663" t="s">
        <v>654</v>
      </c>
      <c r="C663" t="s">
        <v>1553</v>
      </c>
      <c r="D663" t="s">
        <v>1238</v>
      </c>
      <c r="E663" t="s">
        <v>645</v>
      </c>
      <c r="F663" t="s">
        <v>675</v>
      </c>
      <c r="G663" t="s">
        <v>676</v>
      </c>
      <c r="I663" t="s">
        <v>878</v>
      </c>
      <c r="J663" t="s">
        <v>762</v>
      </c>
    </row>
    <row r="664" spans="1:10" ht="15" hidden="1" customHeight="1" x14ac:dyDescent="0.25">
      <c r="A664" t="s">
        <v>1554</v>
      </c>
      <c r="B664" t="s">
        <v>654</v>
      </c>
      <c r="C664" t="s">
        <v>1555</v>
      </c>
      <c r="D664" t="s">
        <v>1238</v>
      </c>
      <c r="E664" t="s">
        <v>645</v>
      </c>
      <c r="F664" t="s">
        <v>675</v>
      </c>
      <c r="G664" t="s">
        <v>676</v>
      </c>
      <c r="I664" t="s">
        <v>685</v>
      </c>
      <c r="J664" t="s">
        <v>686</v>
      </c>
    </row>
    <row r="665" spans="1:10" ht="15" hidden="1" customHeight="1" x14ac:dyDescent="0.25">
      <c r="A665" t="s">
        <v>1556</v>
      </c>
      <c r="B665" t="s">
        <v>654</v>
      </c>
      <c r="C665" t="s">
        <v>1557</v>
      </c>
      <c r="D665" t="s">
        <v>1238</v>
      </c>
      <c r="E665" t="s">
        <v>645</v>
      </c>
      <c r="F665" t="s">
        <v>675</v>
      </c>
      <c r="G665" t="s">
        <v>676</v>
      </c>
      <c r="I665" t="s">
        <v>685</v>
      </c>
      <c r="J665" t="s">
        <v>686</v>
      </c>
    </row>
    <row r="666" spans="1:10" ht="15" hidden="1" customHeight="1" x14ac:dyDescent="0.25">
      <c r="A666" t="s">
        <v>1558</v>
      </c>
      <c r="B666" t="s">
        <v>654</v>
      </c>
      <c r="C666" t="s">
        <v>1559</v>
      </c>
      <c r="D666" t="s">
        <v>1238</v>
      </c>
      <c r="E666" t="s">
        <v>645</v>
      </c>
      <c r="F666" t="s">
        <v>675</v>
      </c>
      <c r="G666" t="s">
        <v>676</v>
      </c>
      <c r="I666" t="s">
        <v>685</v>
      </c>
      <c r="J666" t="s">
        <v>686</v>
      </c>
    </row>
    <row r="667" spans="1:10" ht="15" hidden="1" customHeight="1" x14ac:dyDescent="0.25">
      <c r="A667" t="s">
        <v>1560</v>
      </c>
      <c r="B667" t="s">
        <v>654</v>
      </c>
      <c r="C667" t="s">
        <v>1561</v>
      </c>
      <c r="D667" t="s">
        <v>1238</v>
      </c>
      <c r="E667" t="s">
        <v>645</v>
      </c>
      <c r="F667" t="s">
        <v>675</v>
      </c>
      <c r="G667" t="s">
        <v>676</v>
      </c>
      <c r="I667" t="s">
        <v>685</v>
      </c>
      <c r="J667" t="s">
        <v>686</v>
      </c>
    </row>
    <row r="668" spans="1:10" ht="15" hidden="1" customHeight="1" x14ac:dyDescent="0.25">
      <c r="A668" t="s">
        <v>1562</v>
      </c>
      <c r="B668" t="s">
        <v>654</v>
      </c>
      <c r="C668" t="s">
        <v>1563</v>
      </c>
      <c r="D668" t="s">
        <v>1238</v>
      </c>
      <c r="E668" t="s">
        <v>645</v>
      </c>
      <c r="F668" t="s">
        <v>675</v>
      </c>
      <c r="G668" t="s">
        <v>676</v>
      </c>
      <c r="I668" t="s">
        <v>685</v>
      </c>
      <c r="J668" t="s">
        <v>686</v>
      </c>
    </row>
    <row r="669" spans="1:10" ht="15" hidden="1" customHeight="1" x14ac:dyDescent="0.25">
      <c r="A669" t="s">
        <v>1564</v>
      </c>
      <c r="B669" t="s">
        <v>654</v>
      </c>
      <c r="C669" t="s">
        <v>1565</v>
      </c>
      <c r="D669" t="s">
        <v>1238</v>
      </c>
      <c r="E669" t="s">
        <v>645</v>
      </c>
      <c r="F669" t="s">
        <v>675</v>
      </c>
      <c r="G669" t="s">
        <v>676</v>
      </c>
      <c r="I669" t="s">
        <v>685</v>
      </c>
      <c r="J669" t="s">
        <v>686</v>
      </c>
    </row>
    <row r="670" spans="1:10" ht="15" hidden="1" customHeight="1" x14ac:dyDescent="0.25">
      <c r="A670" t="s">
        <v>1566</v>
      </c>
      <c r="B670" t="s">
        <v>654</v>
      </c>
      <c r="C670" t="s">
        <v>1567</v>
      </c>
      <c r="D670" t="s">
        <v>1238</v>
      </c>
      <c r="E670" t="s">
        <v>645</v>
      </c>
      <c r="F670" t="s">
        <v>675</v>
      </c>
      <c r="G670" t="s">
        <v>676</v>
      </c>
      <c r="I670" t="s">
        <v>685</v>
      </c>
      <c r="J670" t="s">
        <v>686</v>
      </c>
    </row>
    <row r="671" spans="1:10" ht="15" hidden="1" customHeight="1" x14ac:dyDescent="0.25">
      <c r="A671" t="s">
        <v>1568</v>
      </c>
      <c r="B671" t="s">
        <v>654</v>
      </c>
      <c r="C671" t="s">
        <v>1569</v>
      </c>
      <c r="D671" t="s">
        <v>1238</v>
      </c>
      <c r="E671" t="s">
        <v>645</v>
      </c>
      <c r="F671" t="s">
        <v>675</v>
      </c>
      <c r="G671" t="s">
        <v>676</v>
      </c>
      <c r="I671" t="s">
        <v>685</v>
      </c>
      <c r="J671" t="s">
        <v>686</v>
      </c>
    </row>
    <row r="672" spans="1:10" ht="15" hidden="1" customHeight="1" x14ac:dyDescent="0.25">
      <c r="A672" t="s">
        <v>1570</v>
      </c>
      <c r="B672" t="s">
        <v>654</v>
      </c>
      <c r="C672" t="s">
        <v>1571</v>
      </c>
      <c r="D672" t="s">
        <v>1238</v>
      </c>
      <c r="E672" t="s">
        <v>645</v>
      </c>
      <c r="F672" t="s">
        <v>675</v>
      </c>
      <c r="G672" t="s">
        <v>676</v>
      </c>
      <c r="I672" t="s">
        <v>685</v>
      </c>
      <c r="J672" t="s">
        <v>686</v>
      </c>
    </row>
    <row r="673" spans="1:10" ht="15" hidden="1" customHeight="1" x14ac:dyDescent="0.25">
      <c r="A673" t="s">
        <v>1572</v>
      </c>
      <c r="B673" t="s">
        <v>654</v>
      </c>
      <c r="C673" t="s">
        <v>1573</v>
      </c>
      <c r="D673" t="s">
        <v>1238</v>
      </c>
      <c r="E673" t="s">
        <v>645</v>
      </c>
      <c r="F673" t="s">
        <v>675</v>
      </c>
      <c r="G673" t="s">
        <v>676</v>
      </c>
      <c r="I673" t="s">
        <v>827</v>
      </c>
      <c r="J673" t="s">
        <v>709</v>
      </c>
    </row>
    <row r="674" spans="1:10" ht="15" hidden="1" customHeight="1" x14ac:dyDescent="0.25">
      <c r="A674" t="s">
        <v>1574</v>
      </c>
      <c r="B674" t="s">
        <v>654</v>
      </c>
      <c r="C674" t="s">
        <v>1575</v>
      </c>
      <c r="D674" t="s">
        <v>1238</v>
      </c>
      <c r="E674" t="s">
        <v>645</v>
      </c>
      <c r="F674" t="s">
        <v>675</v>
      </c>
      <c r="G674" t="s">
        <v>676</v>
      </c>
      <c r="I674" t="s">
        <v>708</v>
      </c>
      <c r="J674" t="s">
        <v>709</v>
      </c>
    </row>
    <row r="675" spans="1:10" ht="15" hidden="1" customHeight="1" x14ac:dyDescent="0.25">
      <c r="A675" t="s">
        <v>1576</v>
      </c>
      <c r="B675" t="s">
        <v>654</v>
      </c>
      <c r="C675" t="s">
        <v>1577</v>
      </c>
      <c r="D675" t="s">
        <v>1238</v>
      </c>
      <c r="E675" t="s">
        <v>645</v>
      </c>
      <c r="F675" t="s">
        <v>675</v>
      </c>
      <c r="G675" t="s">
        <v>676</v>
      </c>
      <c r="I675" t="s">
        <v>853</v>
      </c>
      <c r="J675" t="s">
        <v>807</v>
      </c>
    </row>
    <row r="676" spans="1:10" ht="15" hidden="1" customHeight="1" x14ac:dyDescent="0.25">
      <c r="A676" t="s">
        <v>1578</v>
      </c>
      <c r="B676" t="s">
        <v>654</v>
      </c>
      <c r="C676" t="s">
        <v>1579</v>
      </c>
      <c r="D676" t="s">
        <v>1238</v>
      </c>
      <c r="E676" t="s">
        <v>645</v>
      </c>
      <c r="F676" t="s">
        <v>675</v>
      </c>
      <c r="G676" t="s">
        <v>676</v>
      </c>
      <c r="I676" t="s">
        <v>715</v>
      </c>
      <c r="J676" t="s">
        <v>716</v>
      </c>
    </row>
    <row r="677" spans="1:10" ht="15" hidden="1" customHeight="1" x14ac:dyDescent="0.25">
      <c r="A677" t="s">
        <v>1580</v>
      </c>
      <c r="B677" t="s">
        <v>654</v>
      </c>
      <c r="C677" t="s">
        <v>1581</v>
      </c>
      <c r="D677" t="s">
        <v>1238</v>
      </c>
      <c r="E677" t="s">
        <v>645</v>
      </c>
      <c r="F677" t="s">
        <v>675</v>
      </c>
      <c r="G677" t="s">
        <v>676</v>
      </c>
      <c r="I677" t="s">
        <v>857</v>
      </c>
      <c r="J677" t="s">
        <v>858</v>
      </c>
    </row>
    <row r="678" spans="1:10" ht="15" hidden="1" customHeight="1" x14ac:dyDescent="0.25">
      <c r="A678" t="s">
        <v>1582</v>
      </c>
      <c r="B678" t="s">
        <v>654</v>
      </c>
      <c r="C678" t="s">
        <v>1583</v>
      </c>
      <c r="D678" t="s">
        <v>1238</v>
      </c>
      <c r="E678" t="s">
        <v>645</v>
      </c>
      <c r="F678" t="s">
        <v>675</v>
      </c>
      <c r="G678" t="s">
        <v>676</v>
      </c>
      <c r="I678" t="s">
        <v>685</v>
      </c>
      <c r="J678" t="s">
        <v>686</v>
      </c>
    </row>
    <row r="679" spans="1:10" ht="15" hidden="1" customHeight="1" x14ac:dyDescent="0.25">
      <c r="A679" t="s">
        <v>1584</v>
      </c>
      <c r="B679" t="s">
        <v>654</v>
      </c>
      <c r="C679" t="s">
        <v>1585</v>
      </c>
      <c r="D679" t="s">
        <v>1238</v>
      </c>
      <c r="E679" t="s">
        <v>645</v>
      </c>
      <c r="F679" t="s">
        <v>675</v>
      </c>
      <c r="G679" t="s">
        <v>676</v>
      </c>
      <c r="I679" t="s">
        <v>685</v>
      </c>
      <c r="J679" t="s">
        <v>686</v>
      </c>
    </row>
    <row r="680" spans="1:10" ht="15" hidden="1" customHeight="1" x14ac:dyDescent="0.25">
      <c r="A680" t="s">
        <v>1586</v>
      </c>
      <c r="B680" t="s">
        <v>654</v>
      </c>
      <c r="C680" t="s">
        <v>1587</v>
      </c>
      <c r="D680" t="s">
        <v>1238</v>
      </c>
      <c r="E680" t="s">
        <v>645</v>
      </c>
      <c r="F680" t="s">
        <v>675</v>
      </c>
      <c r="G680" t="s">
        <v>676</v>
      </c>
      <c r="I680" t="s">
        <v>761</v>
      </c>
      <c r="J680" t="s">
        <v>762</v>
      </c>
    </row>
    <row r="681" spans="1:10" ht="15" hidden="1" customHeight="1" x14ac:dyDescent="0.25">
      <c r="A681" t="s">
        <v>1588</v>
      </c>
      <c r="B681" t="s">
        <v>654</v>
      </c>
      <c r="C681" t="s">
        <v>1589</v>
      </c>
      <c r="D681" t="s">
        <v>1238</v>
      </c>
      <c r="E681" t="s">
        <v>645</v>
      </c>
      <c r="F681" t="s">
        <v>675</v>
      </c>
      <c r="G681" t="s">
        <v>676</v>
      </c>
      <c r="I681" t="s">
        <v>1320</v>
      </c>
      <c r="J681" t="s">
        <v>762</v>
      </c>
    </row>
    <row r="682" spans="1:10" ht="15" hidden="1" customHeight="1" x14ac:dyDescent="0.25">
      <c r="A682" t="s">
        <v>1590</v>
      </c>
      <c r="B682" t="s">
        <v>654</v>
      </c>
      <c r="C682" t="s">
        <v>1591</v>
      </c>
      <c r="D682" t="s">
        <v>1238</v>
      </c>
      <c r="E682" t="s">
        <v>645</v>
      </c>
      <c r="F682" t="s">
        <v>675</v>
      </c>
      <c r="G682" t="s">
        <v>676</v>
      </c>
      <c r="I682" t="s">
        <v>1247</v>
      </c>
      <c r="J682" t="s">
        <v>709</v>
      </c>
    </row>
    <row r="683" spans="1:10" ht="15" hidden="1" customHeight="1" x14ac:dyDescent="0.25">
      <c r="A683" t="s">
        <v>1592</v>
      </c>
      <c r="B683" t="s">
        <v>654</v>
      </c>
      <c r="C683" t="s">
        <v>1593</v>
      </c>
      <c r="D683" t="s">
        <v>1238</v>
      </c>
      <c r="E683" t="s">
        <v>645</v>
      </c>
      <c r="F683" t="s">
        <v>675</v>
      </c>
      <c r="G683" t="s">
        <v>676</v>
      </c>
      <c r="I683" t="s">
        <v>1320</v>
      </c>
      <c r="J683" t="s">
        <v>762</v>
      </c>
    </row>
    <row r="684" spans="1:10" ht="15" hidden="1" customHeight="1" x14ac:dyDescent="0.25">
      <c r="A684" t="s">
        <v>1594</v>
      </c>
      <c r="B684" t="s">
        <v>654</v>
      </c>
      <c r="C684" t="s">
        <v>1595</v>
      </c>
      <c r="D684" t="s">
        <v>1238</v>
      </c>
      <c r="E684" t="s">
        <v>645</v>
      </c>
      <c r="F684" t="s">
        <v>675</v>
      </c>
      <c r="G684" t="s">
        <v>676</v>
      </c>
      <c r="I684" t="s">
        <v>1320</v>
      </c>
      <c r="J684" t="s">
        <v>762</v>
      </c>
    </row>
    <row r="685" spans="1:10" ht="15" hidden="1" customHeight="1" x14ac:dyDescent="0.25">
      <c r="A685" t="s">
        <v>1596</v>
      </c>
      <c r="B685" t="s">
        <v>654</v>
      </c>
      <c r="C685" t="s">
        <v>1597</v>
      </c>
      <c r="D685" t="s">
        <v>1238</v>
      </c>
      <c r="E685" t="s">
        <v>645</v>
      </c>
      <c r="F685" t="s">
        <v>675</v>
      </c>
      <c r="G685" t="s">
        <v>676</v>
      </c>
      <c r="I685" t="s">
        <v>685</v>
      </c>
      <c r="J685" t="s">
        <v>686</v>
      </c>
    </row>
    <row r="686" spans="1:10" ht="15" hidden="1" customHeight="1" x14ac:dyDescent="0.25">
      <c r="A686" s="130" t="s">
        <v>1598</v>
      </c>
      <c r="B686" s="130" t="s">
        <v>654</v>
      </c>
      <c r="C686" t="s">
        <v>1599</v>
      </c>
      <c r="D686" t="s">
        <v>1238</v>
      </c>
      <c r="E686" t="s">
        <v>645</v>
      </c>
      <c r="F686" t="s">
        <v>728</v>
      </c>
      <c r="G686" t="s">
        <v>676</v>
      </c>
    </row>
    <row r="687" spans="1:10" ht="15" hidden="1" customHeight="1" x14ac:dyDescent="0.25">
      <c r="A687" t="s">
        <v>1600</v>
      </c>
      <c r="B687" t="s">
        <v>654</v>
      </c>
      <c r="C687" t="s">
        <v>1601</v>
      </c>
      <c r="D687" t="s">
        <v>1238</v>
      </c>
      <c r="E687" t="s">
        <v>645</v>
      </c>
      <c r="F687" t="s">
        <v>675</v>
      </c>
      <c r="G687" t="s">
        <v>676</v>
      </c>
      <c r="I687" t="s">
        <v>1272</v>
      </c>
      <c r="J687" t="s">
        <v>709</v>
      </c>
    </row>
    <row r="688" spans="1:10" ht="15" hidden="1" customHeight="1" x14ac:dyDescent="0.25">
      <c r="A688" t="s">
        <v>1602</v>
      </c>
      <c r="B688" t="s">
        <v>654</v>
      </c>
      <c r="C688" t="s">
        <v>1603</v>
      </c>
      <c r="D688" t="s">
        <v>1238</v>
      </c>
      <c r="E688" t="s">
        <v>645</v>
      </c>
      <c r="F688" t="s">
        <v>675</v>
      </c>
      <c r="G688" t="s">
        <v>676</v>
      </c>
      <c r="I688" t="s">
        <v>685</v>
      </c>
      <c r="J688" t="s">
        <v>686</v>
      </c>
    </row>
    <row r="689" spans="1:10" ht="15" hidden="1" customHeight="1" x14ac:dyDescent="0.25">
      <c r="A689" t="s">
        <v>1604</v>
      </c>
      <c r="B689" t="s">
        <v>654</v>
      </c>
      <c r="C689" t="s">
        <v>1605</v>
      </c>
      <c r="D689" t="s">
        <v>1238</v>
      </c>
      <c r="E689" t="s">
        <v>645</v>
      </c>
      <c r="F689" t="s">
        <v>675</v>
      </c>
      <c r="G689" t="s">
        <v>676</v>
      </c>
      <c r="I689" t="s">
        <v>685</v>
      </c>
      <c r="J689" t="s">
        <v>686</v>
      </c>
    </row>
    <row r="690" spans="1:10" ht="15" hidden="1" customHeight="1" x14ac:dyDescent="0.25">
      <c r="A690" t="s">
        <v>1606</v>
      </c>
      <c r="B690" t="s">
        <v>654</v>
      </c>
      <c r="C690" t="s">
        <v>1607</v>
      </c>
      <c r="D690" t="s">
        <v>1238</v>
      </c>
      <c r="E690" t="s">
        <v>645</v>
      </c>
      <c r="F690" t="s">
        <v>675</v>
      </c>
      <c r="G690" t="s">
        <v>676</v>
      </c>
      <c r="I690" t="s">
        <v>685</v>
      </c>
      <c r="J690" t="s">
        <v>686</v>
      </c>
    </row>
    <row r="691" spans="1:10" ht="15" hidden="1" customHeight="1" x14ac:dyDescent="0.25">
      <c r="A691" t="s">
        <v>1608</v>
      </c>
      <c r="B691" t="s">
        <v>654</v>
      </c>
      <c r="C691" t="s">
        <v>1609</v>
      </c>
      <c r="D691" t="s">
        <v>1238</v>
      </c>
      <c r="E691" t="s">
        <v>645</v>
      </c>
      <c r="F691" t="s">
        <v>675</v>
      </c>
      <c r="G691" t="s">
        <v>676</v>
      </c>
      <c r="I691" t="s">
        <v>1610</v>
      </c>
      <c r="J691" t="s">
        <v>850</v>
      </c>
    </row>
    <row r="692" spans="1:10" ht="15" hidden="1" customHeight="1" x14ac:dyDescent="0.25">
      <c r="A692" t="s">
        <v>1611</v>
      </c>
      <c r="B692" t="s">
        <v>654</v>
      </c>
      <c r="C692" t="s">
        <v>1612</v>
      </c>
      <c r="D692" t="s">
        <v>1238</v>
      </c>
      <c r="E692" t="s">
        <v>645</v>
      </c>
      <c r="F692" t="s">
        <v>675</v>
      </c>
      <c r="G692" t="s">
        <v>676</v>
      </c>
      <c r="I692" t="s">
        <v>1250</v>
      </c>
      <c r="J692" t="s">
        <v>681</v>
      </c>
    </row>
    <row r="693" spans="1:10" ht="15" hidden="1" customHeight="1" x14ac:dyDescent="0.25">
      <c r="A693" t="s">
        <v>1613</v>
      </c>
      <c r="B693" t="s">
        <v>654</v>
      </c>
      <c r="C693" t="s">
        <v>1614</v>
      </c>
      <c r="D693" t="s">
        <v>1238</v>
      </c>
      <c r="E693" t="s">
        <v>645</v>
      </c>
      <c r="F693" t="s">
        <v>675</v>
      </c>
      <c r="G693" t="s">
        <v>676</v>
      </c>
      <c r="I693" t="s">
        <v>1615</v>
      </c>
      <c r="J693" t="s">
        <v>865</v>
      </c>
    </row>
    <row r="694" spans="1:10" hidden="1" x14ac:dyDescent="0.25">
      <c r="A694" t="s">
        <v>1616</v>
      </c>
      <c r="B694" t="s">
        <v>654</v>
      </c>
      <c r="C694" t="s">
        <v>1617</v>
      </c>
      <c r="D694" t="s">
        <v>1238</v>
      </c>
      <c r="E694" t="s">
        <v>645</v>
      </c>
      <c r="F694" t="s">
        <v>675</v>
      </c>
      <c r="G694" t="s">
        <v>676</v>
      </c>
      <c r="I694" t="s">
        <v>827</v>
      </c>
      <c r="J694" t="s">
        <v>709</v>
      </c>
    </row>
    <row r="695" spans="1:10" hidden="1" x14ac:dyDescent="0.25">
      <c r="A695" t="s">
        <v>1618</v>
      </c>
      <c r="B695" t="s">
        <v>654</v>
      </c>
      <c r="C695" t="s">
        <v>1619</v>
      </c>
      <c r="D695" t="s">
        <v>1238</v>
      </c>
      <c r="E695" t="s">
        <v>645</v>
      </c>
      <c r="F695" t="s">
        <v>675</v>
      </c>
      <c r="G695" t="s">
        <v>676</v>
      </c>
      <c r="I695" t="s">
        <v>1261</v>
      </c>
      <c r="J695" t="s">
        <v>681</v>
      </c>
    </row>
    <row r="696" spans="1:10" ht="15" hidden="1" customHeight="1" x14ac:dyDescent="0.25">
      <c r="A696" t="s">
        <v>1620</v>
      </c>
      <c r="B696" t="s">
        <v>654</v>
      </c>
      <c r="C696" t="s">
        <v>1621</v>
      </c>
      <c r="D696" t="s">
        <v>1238</v>
      </c>
      <c r="E696" t="s">
        <v>645</v>
      </c>
      <c r="F696" t="s">
        <v>675</v>
      </c>
      <c r="G696" t="s">
        <v>676</v>
      </c>
      <c r="I696" t="s">
        <v>1547</v>
      </c>
      <c r="J696" t="s">
        <v>850</v>
      </c>
    </row>
    <row r="697" spans="1:10" ht="15" hidden="1" customHeight="1" x14ac:dyDescent="0.25">
      <c r="A697" t="s">
        <v>1622</v>
      </c>
      <c r="B697" t="s">
        <v>654</v>
      </c>
      <c r="C697" t="s">
        <v>1623</v>
      </c>
      <c r="D697" t="s">
        <v>1238</v>
      </c>
      <c r="E697" t="s">
        <v>645</v>
      </c>
      <c r="F697" t="s">
        <v>675</v>
      </c>
      <c r="G697" t="s">
        <v>676</v>
      </c>
      <c r="I697" t="s">
        <v>853</v>
      </c>
      <c r="J697" t="s">
        <v>807</v>
      </c>
    </row>
    <row r="698" spans="1:10" ht="15" hidden="1" customHeight="1" x14ac:dyDescent="0.25">
      <c r="A698" t="s">
        <v>1624</v>
      </c>
      <c r="B698" t="s">
        <v>654</v>
      </c>
      <c r="C698" t="s">
        <v>1625</v>
      </c>
      <c r="D698" t="s">
        <v>1238</v>
      </c>
      <c r="E698" t="s">
        <v>645</v>
      </c>
      <c r="F698" t="s">
        <v>675</v>
      </c>
      <c r="G698" t="s">
        <v>676</v>
      </c>
      <c r="I698" t="s">
        <v>853</v>
      </c>
      <c r="J698" t="s">
        <v>807</v>
      </c>
    </row>
    <row r="699" spans="1:10" ht="15" hidden="1" customHeight="1" x14ac:dyDescent="0.25">
      <c r="A699" t="s">
        <v>1626</v>
      </c>
      <c r="B699" t="s">
        <v>654</v>
      </c>
      <c r="C699" t="s">
        <v>1627</v>
      </c>
      <c r="D699" t="s">
        <v>1238</v>
      </c>
      <c r="E699" t="s">
        <v>645</v>
      </c>
      <c r="F699" t="s">
        <v>675</v>
      </c>
      <c r="G699" t="s">
        <v>676</v>
      </c>
      <c r="I699" t="s">
        <v>1267</v>
      </c>
      <c r="J699" t="s">
        <v>681</v>
      </c>
    </row>
    <row r="700" spans="1:10" ht="15" hidden="1" customHeight="1" x14ac:dyDescent="0.25">
      <c r="A700" t="s">
        <v>1628</v>
      </c>
      <c r="B700" t="s">
        <v>654</v>
      </c>
      <c r="C700" t="s">
        <v>1629</v>
      </c>
      <c r="D700" t="s">
        <v>1238</v>
      </c>
      <c r="E700" t="s">
        <v>645</v>
      </c>
      <c r="F700" t="s">
        <v>675</v>
      </c>
      <c r="G700" t="s">
        <v>676</v>
      </c>
      <c r="I700" t="s">
        <v>857</v>
      </c>
      <c r="J700" t="s">
        <v>858</v>
      </c>
    </row>
    <row r="701" spans="1:10" ht="15" hidden="1" customHeight="1" x14ac:dyDescent="0.25">
      <c r="A701" t="s">
        <v>1630</v>
      </c>
      <c r="B701" t="s">
        <v>654</v>
      </c>
      <c r="C701" t="s">
        <v>1631</v>
      </c>
      <c r="D701" t="s">
        <v>1238</v>
      </c>
      <c r="E701" t="s">
        <v>645</v>
      </c>
      <c r="F701" t="s">
        <v>675</v>
      </c>
      <c r="G701" t="s">
        <v>676</v>
      </c>
      <c r="I701" t="s">
        <v>708</v>
      </c>
      <c r="J701" t="s">
        <v>709</v>
      </c>
    </row>
    <row r="702" spans="1:10" ht="15" hidden="1" customHeight="1" x14ac:dyDescent="0.25">
      <c r="A702" t="s">
        <v>1632</v>
      </c>
      <c r="B702" t="s">
        <v>654</v>
      </c>
      <c r="C702" t="s">
        <v>1633</v>
      </c>
      <c r="D702" t="s">
        <v>1238</v>
      </c>
      <c r="E702" t="s">
        <v>645</v>
      </c>
      <c r="F702" t="s">
        <v>675</v>
      </c>
      <c r="G702" t="s">
        <v>676</v>
      </c>
      <c r="I702" t="s">
        <v>1310</v>
      </c>
      <c r="J702" t="s">
        <v>863</v>
      </c>
    </row>
    <row r="703" spans="1:10" ht="15" hidden="1" customHeight="1" x14ac:dyDescent="0.25">
      <c r="A703" t="s">
        <v>1634</v>
      </c>
      <c r="B703" t="s">
        <v>654</v>
      </c>
      <c r="C703" t="s">
        <v>1635</v>
      </c>
      <c r="D703" t="s">
        <v>1238</v>
      </c>
      <c r="E703" t="s">
        <v>645</v>
      </c>
      <c r="F703" t="s">
        <v>675</v>
      </c>
      <c r="G703" t="s">
        <v>676</v>
      </c>
      <c r="I703" t="s">
        <v>1328</v>
      </c>
      <c r="J703" t="s">
        <v>681</v>
      </c>
    </row>
    <row r="704" spans="1:10" ht="15" hidden="1" customHeight="1" x14ac:dyDescent="0.25">
      <c r="A704" t="s">
        <v>1636</v>
      </c>
      <c r="B704" t="s">
        <v>654</v>
      </c>
      <c r="C704" t="s">
        <v>1637</v>
      </c>
      <c r="D704" t="s">
        <v>1238</v>
      </c>
      <c r="E704" t="s">
        <v>645</v>
      </c>
      <c r="F704" t="s">
        <v>675</v>
      </c>
      <c r="G704" t="s">
        <v>676</v>
      </c>
      <c r="I704" t="s">
        <v>1638</v>
      </c>
      <c r="J704" t="s">
        <v>1639</v>
      </c>
    </row>
    <row r="705" spans="1:10" ht="15" hidden="1" customHeight="1" x14ac:dyDescent="0.25">
      <c r="A705" t="s">
        <v>1640</v>
      </c>
      <c r="B705" t="s">
        <v>654</v>
      </c>
      <c r="D705" t="s">
        <v>1238</v>
      </c>
      <c r="E705" t="s">
        <v>645</v>
      </c>
      <c r="F705" t="s">
        <v>675</v>
      </c>
      <c r="G705" t="s">
        <v>676</v>
      </c>
      <c r="I705" t="s">
        <v>867</v>
      </c>
      <c r="J705" t="s">
        <v>863</v>
      </c>
    </row>
    <row r="706" spans="1:10" ht="15" hidden="1" customHeight="1" x14ac:dyDescent="0.25">
      <c r="A706" t="s">
        <v>1641</v>
      </c>
      <c r="B706" t="s">
        <v>654</v>
      </c>
      <c r="D706" t="s">
        <v>1238</v>
      </c>
      <c r="E706" t="s">
        <v>645</v>
      </c>
      <c r="F706" t="s">
        <v>675</v>
      </c>
      <c r="G706" t="s">
        <v>676</v>
      </c>
      <c r="I706" t="s">
        <v>853</v>
      </c>
      <c r="J706" t="s">
        <v>807</v>
      </c>
    </row>
    <row r="707" spans="1:10" ht="15" hidden="1" customHeight="1" x14ac:dyDescent="0.25">
      <c r="A707" t="s">
        <v>1642</v>
      </c>
      <c r="B707" t="s">
        <v>654</v>
      </c>
      <c r="D707" t="s">
        <v>1238</v>
      </c>
      <c r="E707" t="s">
        <v>645</v>
      </c>
      <c r="F707" t="s">
        <v>675</v>
      </c>
      <c r="G707" t="s">
        <v>676</v>
      </c>
      <c r="I707" t="s">
        <v>1307</v>
      </c>
      <c r="J707" t="s">
        <v>681</v>
      </c>
    </row>
    <row r="708" spans="1:10" ht="15" hidden="1" customHeight="1" x14ac:dyDescent="0.25">
      <c r="A708" t="s">
        <v>1643</v>
      </c>
      <c r="B708" t="s">
        <v>654</v>
      </c>
      <c r="C708" t="s">
        <v>1644</v>
      </c>
      <c r="D708" t="s">
        <v>1238</v>
      </c>
      <c r="E708" t="s">
        <v>645</v>
      </c>
      <c r="F708" t="s">
        <v>675</v>
      </c>
      <c r="G708" t="s">
        <v>676</v>
      </c>
      <c r="I708" t="s">
        <v>1317</v>
      </c>
      <c r="J708" t="s">
        <v>855</v>
      </c>
    </row>
    <row r="709" spans="1:10" ht="15" hidden="1" customHeight="1" x14ac:dyDescent="0.25">
      <c r="A709" t="s">
        <v>1645</v>
      </c>
      <c r="B709" t="s">
        <v>654</v>
      </c>
      <c r="C709" t="s">
        <v>1646</v>
      </c>
      <c r="D709" t="s">
        <v>1238</v>
      </c>
      <c r="E709" t="s">
        <v>645</v>
      </c>
      <c r="F709" t="s">
        <v>675</v>
      </c>
      <c r="G709" t="s">
        <v>676</v>
      </c>
      <c r="I709" t="s">
        <v>1647</v>
      </c>
      <c r="J709" t="s">
        <v>850</v>
      </c>
    </row>
    <row r="710" spans="1:10" ht="15" hidden="1" customHeight="1" x14ac:dyDescent="0.25">
      <c r="A710" t="s">
        <v>1648</v>
      </c>
      <c r="B710" t="s">
        <v>654</v>
      </c>
      <c r="D710" t="s">
        <v>1238</v>
      </c>
      <c r="E710" t="s">
        <v>645</v>
      </c>
      <c r="F710" t="s">
        <v>675</v>
      </c>
      <c r="G710" t="s">
        <v>676</v>
      </c>
      <c r="I710" t="s">
        <v>719</v>
      </c>
      <c r="J710" t="s">
        <v>716</v>
      </c>
    </row>
    <row r="711" spans="1:10" ht="15" hidden="1" customHeight="1" x14ac:dyDescent="0.25">
      <c r="A711" t="s">
        <v>1649</v>
      </c>
      <c r="B711" t="s">
        <v>654</v>
      </c>
      <c r="C711" t="s">
        <v>1650</v>
      </c>
      <c r="D711" t="s">
        <v>1238</v>
      </c>
      <c r="E711" t="s">
        <v>645</v>
      </c>
      <c r="F711" t="s">
        <v>675</v>
      </c>
      <c r="G711" t="s">
        <v>676</v>
      </c>
      <c r="I711" t="s">
        <v>685</v>
      </c>
      <c r="J711" t="s">
        <v>686</v>
      </c>
    </row>
    <row r="712" spans="1:10" ht="15" hidden="1" customHeight="1" x14ac:dyDescent="0.25">
      <c r="A712" t="s">
        <v>1651</v>
      </c>
      <c r="B712" t="s">
        <v>654</v>
      </c>
      <c r="D712" t="s">
        <v>1238</v>
      </c>
      <c r="E712" t="s">
        <v>645</v>
      </c>
      <c r="F712" t="s">
        <v>675</v>
      </c>
      <c r="G712" t="s">
        <v>676</v>
      </c>
      <c r="I712" t="s">
        <v>1652</v>
      </c>
      <c r="J712" t="s">
        <v>681</v>
      </c>
    </row>
    <row r="713" spans="1:10" ht="15" hidden="1" customHeight="1" x14ac:dyDescent="0.25">
      <c r="A713" t="s">
        <v>1653</v>
      </c>
      <c r="B713" t="s">
        <v>654</v>
      </c>
      <c r="D713" t="s">
        <v>1238</v>
      </c>
      <c r="E713" t="s">
        <v>645</v>
      </c>
      <c r="F713" t="s">
        <v>675</v>
      </c>
      <c r="G713" t="s">
        <v>676</v>
      </c>
      <c r="I713" t="s">
        <v>1654</v>
      </c>
      <c r="J713" t="s">
        <v>865</v>
      </c>
    </row>
    <row r="714" spans="1:10" ht="15" hidden="1" customHeight="1" x14ac:dyDescent="0.25">
      <c r="A714" t="s">
        <v>1655</v>
      </c>
      <c r="B714" t="s">
        <v>654</v>
      </c>
      <c r="C714" t="s">
        <v>1656</v>
      </c>
      <c r="D714" t="s">
        <v>1238</v>
      </c>
      <c r="E714" t="s">
        <v>645</v>
      </c>
      <c r="F714" t="s">
        <v>675</v>
      </c>
      <c r="G714" t="s">
        <v>676</v>
      </c>
      <c r="I714" t="s">
        <v>1547</v>
      </c>
      <c r="J714" t="s">
        <v>850</v>
      </c>
    </row>
    <row r="715" spans="1:10" ht="15" hidden="1" customHeight="1" x14ac:dyDescent="0.25">
      <c r="A715" t="s">
        <v>1657</v>
      </c>
      <c r="B715" t="s">
        <v>654</v>
      </c>
      <c r="C715" t="s">
        <v>1658</v>
      </c>
      <c r="D715" t="s">
        <v>1238</v>
      </c>
      <c r="E715" t="s">
        <v>645</v>
      </c>
      <c r="F715" t="s">
        <v>675</v>
      </c>
      <c r="G715" t="s">
        <v>676</v>
      </c>
      <c r="I715" t="s">
        <v>685</v>
      </c>
      <c r="J715" t="s">
        <v>686</v>
      </c>
    </row>
    <row r="716" spans="1:10" ht="15" hidden="1" customHeight="1" x14ac:dyDescent="0.25">
      <c r="A716" t="s">
        <v>1659</v>
      </c>
      <c r="B716" t="s">
        <v>654</v>
      </c>
      <c r="C716" t="s">
        <v>1660</v>
      </c>
      <c r="D716" t="s">
        <v>1238</v>
      </c>
      <c r="E716" t="s">
        <v>645</v>
      </c>
      <c r="F716" t="s">
        <v>675</v>
      </c>
      <c r="G716" t="s">
        <v>676</v>
      </c>
      <c r="I716" t="s">
        <v>761</v>
      </c>
      <c r="J716" t="s">
        <v>762</v>
      </c>
    </row>
    <row r="717" spans="1:10" ht="15" hidden="1" customHeight="1" x14ac:dyDescent="0.25">
      <c r="A717" t="s">
        <v>1661</v>
      </c>
      <c r="B717" t="s">
        <v>654</v>
      </c>
      <c r="C717" t="s">
        <v>1662</v>
      </c>
      <c r="D717" t="s">
        <v>1238</v>
      </c>
      <c r="E717" t="s">
        <v>645</v>
      </c>
      <c r="F717" t="s">
        <v>675</v>
      </c>
      <c r="G717" t="s">
        <v>676</v>
      </c>
      <c r="I717" t="s">
        <v>761</v>
      </c>
      <c r="J717" t="s">
        <v>762</v>
      </c>
    </row>
    <row r="718" spans="1:10" ht="15" hidden="1" customHeight="1" x14ac:dyDescent="0.25">
      <c r="A718" t="s">
        <v>1663</v>
      </c>
      <c r="B718" t="s">
        <v>654</v>
      </c>
      <c r="C718" t="s">
        <v>1664</v>
      </c>
      <c r="D718" t="s">
        <v>1238</v>
      </c>
      <c r="E718" t="s">
        <v>645</v>
      </c>
      <c r="F718" t="s">
        <v>675</v>
      </c>
      <c r="G718" t="s">
        <v>676</v>
      </c>
      <c r="I718" t="s">
        <v>1350</v>
      </c>
      <c r="J718" t="s">
        <v>762</v>
      </c>
    </row>
    <row r="719" spans="1:10" ht="15" hidden="1" customHeight="1" x14ac:dyDescent="0.25">
      <c r="A719" t="s">
        <v>1665</v>
      </c>
      <c r="B719" t="s">
        <v>654</v>
      </c>
      <c r="C719" t="s">
        <v>1666</v>
      </c>
      <c r="D719" t="s">
        <v>1238</v>
      </c>
      <c r="E719" t="s">
        <v>645</v>
      </c>
      <c r="F719" t="s">
        <v>675</v>
      </c>
      <c r="G719" t="s">
        <v>676</v>
      </c>
      <c r="I719" t="s">
        <v>1667</v>
      </c>
      <c r="J719" t="s">
        <v>865</v>
      </c>
    </row>
    <row r="720" spans="1:10" ht="15" hidden="1" customHeight="1" x14ac:dyDescent="0.25">
      <c r="A720" t="s">
        <v>1668</v>
      </c>
      <c r="B720" t="s">
        <v>654</v>
      </c>
      <c r="C720" t="s">
        <v>1669</v>
      </c>
      <c r="D720" t="s">
        <v>1238</v>
      </c>
      <c r="E720" t="s">
        <v>645</v>
      </c>
      <c r="F720" t="s">
        <v>675</v>
      </c>
      <c r="G720" t="s">
        <v>676</v>
      </c>
      <c r="I720" t="s">
        <v>854</v>
      </c>
      <c r="J720" t="s">
        <v>855</v>
      </c>
    </row>
    <row r="721" spans="1:10" ht="15" hidden="1" customHeight="1" x14ac:dyDescent="0.25">
      <c r="A721" t="s">
        <v>1670</v>
      </c>
      <c r="B721" t="s">
        <v>654</v>
      </c>
      <c r="C721" t="s">
        <v>1671</v>
      </c>
      <c r="D721" t="s">
        <v>1238</v>
      </c>
      <c r="E721" t="s">
        <v>645</v>
      </c>
      <c r="F721" t="s">
        <v>675</v>
      </c>
      <c r="G721" t="s">
        <v>676</v>
      </c>
      <c r="I721" t="s">
        <v>1337</v>
      </c>
      <c r="J721" t="s">
        <v>863</v>
      </c>
    </row>
    <row r="722" spans="1:10" ht="15" hidden="1" customHeight="1" x14ac:dyDescent="0.25">
      <c r="A722" t="s">
        <v>1672</v>
      </c>
      <c r="B722" t="s">
        <v>654</v>
      </c>
      <c r="C722" t="s">
        <v>1673</v>
      </c>
      <c r="D722" t="s">
        <v>1238</v>
      </c>
      <c r="E722" t="s">
        <v>645</v>
      </c>
      <c r="F722" t="s">
        <v>675</v>
      </c>
      <c r="G722" t="s">
        <v>676</v>
      </c>
      <c r="I722" t="s">
        <v>1547</v>
      </c>
      <c r="J722" t="s">
        <v>850</v>
      </c>
    </row>
    <row r="723" spans="1:10" ht="15" hidden="1" customHeight="1" x14ac:dyDescent="0.25">
      <c r="A723" t="s">
        <v>1674</v>
      </c>
      <c r="B723" t="s">
        <v>654</v>
      </c>
      <c r="D723" t="s">
        <v>1238</v>
      </c>
      <c r="E723" t="s">
        <v>645</v>
      </c>
      <c r="F723" t="s">
        <v>675</v>
      </c>
      <c r="G723" t="s">
        <v>676</v>
      </c>
      <c r="I723" t="s">
        <v>1547</v>
      </c>
      <c r="J723" t="s">
        <v>850</v>
      </c>
    </row>
    <row r="724" spans="1:10" ht="15" hidden="1" customHeight="1" x14ac:dyDescent="0.25">
      <c r="A724" t="s">
        <v>1675</v>
      </c>
      <c r="B724" t="s">
        <v>654</v>
      </c>
      <c r="D724" t="s">
        <v>1238</v>
      </c>
      <c r="E724" t="s">
        <v>645</v>
      </c>
      <c r="F724" t="s">
        <v>675</v>
      </c>
      <c r="G724" t="s">
        <v>676</v>
      </c>
      <c r="I724" t="s">
        <v>877</v>
      </c>
      <c r="J724" t="s">
        <v>762</v>
      </c>
    </row>
    <row r="725" spans="1:10" ht="15" hidden="1" customHeight="1" x14ac:dyDescent="0.25">
      <c r="A725" t="s">
        <v>1676</v>
      </c>
      <c r="B725" t="s">
        <v>654</v>
      </c>
      <c r="D725" t="s">
        <v>1238</v>
      </c>
      <c r="E725" t="s">
        <v>645</v>
      </c>
      <c r="F725" t="s">
        <v>675</v>
      </c>
      <c r="G725" t="s">
        <v>676</v>
      </c>
      <c r="I725" t="s">
        <v>1342</v>
      </c>
      <c r="J725" t="s">
        <v>681</v>
      </c>
    </row>
    <row r="726" spans="1:10" ht="15" hidden="1" customHeight="1" x14ac:dyDescent="0.25">
      <c r="A726" t="s">
        <v>1677</v>
      </c>
      <c r="B726" t="s">
        <v>654</v>
      </c>
      <c r="D726" t="s">
        <v>1238</v>
      </c>
      <c r="E726" t="s">
        <v>645</v>
      </c>
      <c r="F726" t="s">
        <v>675</v>
      </c>
      <c r="G726" t="s">
        <v>676</v>
      </c>
      <c r="I726" t="s">
        <v>1678</v>
      </c>
      <c r="J726" t="s">
        <v>1639</v>
      </c>
    </row>
    <row r="727" spans="1:10" ht="15" hidden="1" customHeight="1" x14ac:dyDescent="0.25">
      <c r="A727" t="s">
        <v>1679</v>
      </c>
      <c r="B727" t="s">
        <v>654</v>
      </c>
      <c r="D727" t="s">
        <v>1238</v>
      </c>
      <c r="E727" t="s">
        <v>645</v>
      </c>
      <c r="F727" t="s">
        <v>675</v>
      </c>
      <c r="G727" t="s">
        <v>676</v>
      </c>
      <c r="I727" t="s">
        <v>1251</v>
      </c>
      <c r="J727" t="s">
        <v>681</v>
      </c>
    </row>
    <row r="728" spans="1:10" ht="15" hidden="1" customHeight="1" x14ac:dyDescent="0.25">
      <c r="A728" t="s">
        <v>1680</v>
      </c>
      <c r="B728" t="s">
        <v>654</v>
      </c>
      <c r="D728" t="s">
        <v>1238</v>
      </c>
      <c r="E728" t="s">
        <v>645</v>
      </c>
      <c r="F728" t="s">
        <v>675</v>
      </c>
      <c r="G728" t="s">
        <v>676</v>
      </c>
      <c r="I728" t="s">
        <v>1272</v>
      </c>
      <c r="J728" t="s">
        <v>709</v>
      </c>
    </row>
    <row r="729" spans="1:10" ht="15" hidden="1" customHeight="1" x14ac:dyDescent="0.25">
      <c r="A729" t="s">
        <v>1681</v>
      </c>
      <c r="B729" t="s">
        <v>654</v>
      </c>
      <c r="D729" t="s">
        <v>1238</v>
      </c>
      <c r="E729" t="s">
        <v>645</v>
      </c>
      <c r="F729" t="s">
        <v>675</v>
      </c>
      <c r="G729" t="s">
        <v>676</v>
      </c>
      <c r="I729" t="s">
        <v>862</v>
      </c>
      <c r="J729" t="s">
        <v>850</v>
      </c>
    </row>
    <row r="730" spans="1:10" ht="15" hidden="1" customHeight="1" x14ac:dyDescent="0.25">
      <c r="A730" t="s">
        <v>1682</v>
      </c>
      <c r="B730" t="s">
        <v>654</v>
      </c>
      <c r="C730" t="s">
        <v>1683</v>
      </c>
      <c r="D730" t="s">
        <v>1238</v>
      </c>
      <c r="E730" t="s">
        <v>645</v>
      </c>
      <c r="F730" t="s">
        <v>675</v>
      </c>
      <c r="G730" t="s">
        <v>676</v>
      </c>
      <c r="I730" t="s">
        <v>685</v>
      </c>
      <c r="J730" t="s">
        <v>686</v>
      </c>
    </row>
    <row r="731" spans="1:10" ht="15" hidden="1" customHeight="1" x14ac:dyDescent="0.25">
      <c r="A731" t="s">
        <v>1684</v>
      </c>
      <c r="B731" t="s">
        <v>654</v>
      </c>
      <c r="D731" t="s">
        <v>1238</v>
      </c>
      <c r="E731" t="s">
        <v>645</v>
      </c>
      <c r="F731" t="s">
        <v>675</v>
      </c>
      <c r="G731" t="s">
        <v>676</v>
      </c>
      <c r="I731" t="s">
        <v>880</v>
      </c>
      <c r="J731" t="s">
        <v>681</v>
      </c>
    </row>
    <row r="732" spans="1:10" ht="15" hidden="1" customHeight="1" x14ac:dyDescent="0.25">
      <c r="A732" t="s">
        <v>1685</v>
      </c>
      <c r="B732" t="s">
        <v>654</v>
      </c>
      <c r="D732" t="s">
        <v>1238</v>
      </c>
      <c r="E732" t="s">
        <v>645</v>
      </c>
      <c r="F732" t="s">
        <v>675</v>
      </c>
      <c r="G732" t="s">
        <v>676</v>
      </c>
      <c r="I732" t="s">
        <v>715</v>
      </c>
      <c r="J732" t="s">
        <v>716</v>
      </c>
    </row>
    <row r="733" spans="1:10" hidden="1" x14ac:dyDescent="0.25">
      <c r="A733" t="s">
        <v>1686</v>
      </c>
      <c r="B733" t="s">
        <v>654</v>
      </c>
      <c r="D733" t="s">
        <v>1238</v>
      </c>
      <c r="E733" t="s">
        <v>645</v>
      </c>
      <c r="F733" t="s">
        <v>675</v>
      </c>
      <c r="G733" t="s">
        <v>676</v>
      </c>
      <c r="I733" t="s">
        <v>879</v>
      </c>
      <c r="J733" t="s">
        <v>863</v>
      </c>
    </row>
    <row r="734" spans="1:10" ht="15" hidden="1" customHeight="1" x14ac:dyDescent="0.25">
      <c r="A734" t="s">
        <v>1687</v>
      </c>
      <c r="B734" t="s">
        <v>654</v>
      </c>
      <c r="D734" t="s">
        <v>1238</v>
      </c>
      <c r="E734" t="s">
        <v>645</v>
      </c>
      <c r="F734" t="s">
        <v>675</v>
      </c>
      <c r="G734" t="s">
        <v>676</v>
      </c>
      <c r="I734" t="s">
        <v>1365</v>
      </c>
      <c r="J734" t="s">
        <v>762</v>
      </c>
    </row>
    <row r="735" spans="1:10" ht="15" hidden="1" customHeight="1" x14ac:dyDescent="0.25">
      <c r="A735" t="s">
        <v>1688</v>
      </c>
      <c r="B735" t="s">
        <v>654</v>
      </c>
      <c r="D735" t="s">
        <v>1238</v>
      </c>
      <c r="E735" t="s">
        <v>645</v>
      </c>
      <c r="F735" t="s">
        <v>675</v>
      </c>
      <c r="G735" t="s">
        <v>676</v>
      </c>
      <c r="I735" t="s">
        <v>1689</v>
      </c>
      <c r="J735" t="s">
        <v>850</v>
      </c>
    </row>
    <row r="736" spans="1:10" ht="15" hidden="1" customHeight="1" x14ac:dyDescent="0.25">
      <c r="A736" t="s">
        <v>1690</v>
      </c>
      <c r="B736" t="s">
        <v>654</v>
      </c>
      <c r="D736" t="s">
        <v>1238</v>
      </c>
      <c r="E736" t="s">
        <v>645</v>
      </c>
      <c r="F736" t="s">
        <v>675</v>
      </c>
      <c r="G736" t="s">
        <v>676</v>
      </c>
      <c r="I736" t="s">
        <v>1691</v>
      </c>
      <c r="J736" t="s">
        <v>850</v>
      </c>
    </row>
    <row r="737" spans="1:10" ht="15" hidden="1" customHeight="1" x14ac:dyDescent="0.25">
      <c r="A737" t="s">
        <v>1692</v>
      </c>
      <c r="B737" t="s">
        <v>654</v>
      </c>
      <c r="D737" t="s">
        <v>1238</v>
      </c>
      <c r="E737" t="s">
        <v>645</v>
      </c>
      <c r="F737" t="s">
        <v>675</v>
      </c>
      <c r="G737" t="s">
        <v>676</v>
      </c>
      <c r="I737" t="s">
        <v>1370</v>
      </c>
      <c r="J737" t="s">
        <v>681</v>
      </c>
    </row>
    <row r="738" spans="1:10" ht="15" hidden="1" customHeight="1" x14ac:dyDescent="0.25">
      <c r="A738" t="s">
        <v>1693</v>
      </c>
      <c r="B738" t="s">
        <v>654</v>
      </c>
      <c r="D738" t="s">
        <v>1238</v>
      </c>
      <c r="E738" t="s">
        <v>645</v>
      </c>
      <c r="F738" t="s">
        <v>675</v>
      </c>
      <c r="G738" t="s">
        <v>676</v>
      </c>
      <c r="I738" t="s">
        <v>853</v>
      </c>
      <c r="J738" t="s">
        <v>807</v>
      </c>
    </row>
    <row r="739" spans="1:10" hidden="1" x14ac:dyDescent="0.25">
      <c r="A739" t="s">
        <v>1694</v>
      </c>
      <c r="B739" t="s">
        <v>654</v>
      </c>
      <c r="D739" t="s">
        <v>1238</v>
      </c>
      <c r="E739" t="s">
        <v>645</v>
      </c>
      <c r="F739" t="s">
        <v>675</v>
      </c>
      <c r="G739" t="s">
        <v>676</v>
      </c>
      <c r="I739" t="s">
        <v>1695</v>
      </c>
      <c r="J739" t="s">
        <v>1639</v>
      </c>
    </row>
    <row r="740" spans="1:10" ht="15" hidden="1" customHeight="1" x14ac:dyDescent="0.25">
      <c r="A740" t="s">
        <v>55</v>
      </c>
      <c r="B740" t="s">
        <v>43</v>
      </c>
      <c r="C740" t="s">
        <v>54</v>
      </c>
      <c r="D740" t="s">
        <v>674</v>
      </c>
      <c r="E740" t="s">
        <v>637</v>
      </c>
      <c r="F740" t="s">
        <v>701</v>
      </c>
      <c r="G740" t="s">
        <v>676</v>
      </c>
      <c r="I740" t="s">
        <v>685</v>
      </c>
      <c r="J740" t="s">
        <v>686</v>
      </c>
    </row>
    <row r="741" spans="1:10" ht="15" hidden="1" customHeight="1" x14ac:dyDescent="0.25">
      <c r="A741" t="s">
        <v>1696</v>
      </c>
      <c r="B741" t="s">
        <v>43</v>
      </c>
      <c r="C741" t="s">
        <v>1697</v>
      </c>
      <c r="D741" t="s">
        <v>674</v>
      </c>
      <c r="E741" t="s">
        <v>637</v>
      </c>
      <c r="F741" t="s">
        <v>860</v>
      </c>
      <c r="G741" t="s">
        <v>676</v>
      </c>
      <c r="I741" t="s">
        <v>827</v>
      </c>
      <c r="J741" t="s">
        <v>709</v>
      </c>
    </row>
    <row r="742" spans="1:10" ht="15" hidden="1" customHeight="1" x14ac:dyDescent="0.25">
      <c r="A742" t="s">
        <v>1698</v>
      </c>
      <c r="B742" t="s">
        <v>43</v>
      </c>
      <c r="C742" t="s">
        <v>1699</v>
      </c>
      <c r="D742" t="s">
        <v>674</v>
      </c>
      <c r="E742" t="s">
        <v>637</v>
      </c>
      <c r="F742" t="s">
        <v>675</v>
      </c>
      <c r="G742" t="s">
        <v>676</v>
      </c>
      <c r="I742" t="s">
        <v>708</v>
      </c>
      <c r="J742" t="s">
        <v>709</v>
      </c>
    </row>
    <row r="743" spans="1:10" ht="15" hidden="1" customHeight="1" x14ac:dyDescent="0.25">
      <c r="A743" t="s">
        <v>53</v>
      </c>
      <c r="B743" t="s">
        <v>43</v>
      </c>
      <c r="C743" t="s">
        <v>52</v>
      </c>
      <c r="D743" t="s">
        <v>674</v>
      </c>
      <c r="E743" t="s">
        <v>637</v>
      </c>
      <c r="F743" t="s">
        <v>701</v>
      </c>
      <c r="G743" t="s">
        <v>676</v>
      </c>
      <c r="I743" t="s">
        <v>685</v>
      </c>
      <c r="J743" t="s">
        <v>686</v>
      </c>
    </row>
    <row r="744" spans="1:10" ht="15" hidden="1" customHeight="1" x14ac:dyDescent="0.25">
      <c r="A744" t="s">
        <v>1700</v>
      </c>
      <c r="B744" t="s">
        <v>43</v>
      </c>
      <c r="C744" t="s">
        <v>1701</v>
      </c>
      <c r="D744" t="s">
        <v>674</v>
      </c>
      <c r="E744" t="s">
        <v>637</v>
      </c>
      <c r="F744" t="s">
        <v>675</v>
      </c>
      <c r="G744" t="s">
        <v>676</v>
      </c>
      <c r="I744" t="s">
        <v>1260</v>
      </c>
      <c r="J744" t="s">
        <v>855</v>
      </c>
    </row>
    <row r="745" spans="1:10" ht="15" hidden="1" customHeight="1" x14ac:dyDescent="0.25">
      <c r="A745" t="s">
        <v>47</v>
      </c>
      <c r="B745" t="s">
        <v>43</v>
      </c>
      <c r="C745" t="s">
        <v>46</v>
      </c>
      <c r="D745" t="s">
        <v>674</v>
      </c>
      <c r="E745" t="s">
        <v>637</v>
      </c>
      <c r="F745" t="s">
        <v>852</v>
      </c>
      <c r="G745" t="s">
        <v>676</v>
      </c>
      <c r="I745" t="s">
        <v>853</v>
      </c>
      <c r="J745" t="s">
        <v>807</v>
      </c>
    </row>
    <row r="746" spans="1:10" ht="15" hidden="1" customHeight="1" x14ac:dyDescent="0.25">
      <c r="A746" t="s">
        <v>1702</v>
      </c>
      <c r="B746" t="s">
        <v>43</v>
      </c>
      <c r="C746" t="s">
        <v>1703</v>
      </c>
      <c r="D746" t="s">
        <v>674</v>
      </c>
      <c r="E746" t="s">
        <v>637</v>
      </c>
      <c r="F746" t="s">
        <v>856</v>
      </c>
      <c r="G746" t="s">
        <v>676</v>
      </c>
      <c r="I746" t="s">
        <v>857</v>
      </c>
      <c r="J746" t="s">
        <v>858</v>
      </c>
    </row>
    <row r="747" spans="1:10" ht="15" hidden="1" customHeight="1" x14ac:dyDescent="0.25">
      <c r="A747" t="s">
        <v>1704</v>
      </c>
      <c r="B747" t="s">
        <v>43</v>
      </c>
      <c r="C747" t="s">
        <v>1705</v>
      </c>
      <c r="D747" t="s">
        <v>674</v>
      </c>
      <c r="E747" t="s">
        <v>637</v>
      </c>
      <c r="F747" t="s">
        <v>714</v>
      </c>
      <c r="G747" t="s">
        <v>676</v>
      </c>
      <c r="I747" t="s">
        <v>715</v>
      </c>
      <c r="J747" t="s">
        <v>716</v>
      </c>
    </row>
    <row r="748" spans="1:10" ht="15" hidden="1" customHeight="1" x14ac:dyDescent="0.25">
      <c r="A748" t="s">
        <v>45</v>
      </c>
      <c r="B748" t="s">
        <v>43</v>
      </c>
      <c r="C748" t="s">
        <v>44</v>
      </c>
      <c r="D748" t="s">
        <v>674</v>
      </c>
      <c r="E748" t="s">
        <v>637</v>
      </c>
      <c r="F748" t="s">
        <v>675</v>
      </c>
      <c r="G748" t="s">
        <v>676</v>
      </c>
      <c r="I748" t="s">
        <v>1547</v>
      </c>
      <c r="J748" t="s">
        <v>850</v>
      </c>
    </row>
    <row r="749" spans="1:10" ht="15" hidden="1" customHeight="1" x14ac:dyDescent="0.25">
      <c r="A749" t="s">
        <v>1706</v>
      </c>
      <c r="B749" t="s">
        <v>43</v>
      </c>
      <c r="C749" t="s">
        <v>1707</v>
      </c>
      <c r="D749" t="s">
        <v>674</v>
      </c>
      <c r="E749" t="s">
        <v>637</v>
      </c>
      <c r="F749" t="s">
        <v>701</v>
      </c>
      <c r="G749" t="s">
        <v>676</v>
      </c>
      <c r="I749" t="s">
        <v>685</v>
      </c>
      <c r="J749" t="s">
        <v>686</v>
      </c>
    </row>
    <row r="750" spans="1:10" ht="15" hidden="1" customHeight="1" x14ac:dyDescent="0.25">
      <c r="A750" t="s">
        <v>1708</v>
      </c>
      <c r="B750" t="s">
        <v>43</v>
      </c>
      <c r="C750" t="s">
        <v>1709</v>
      </c>
      <c r="D750" t="s">
        <v>674</v>
      </c>
      <c r="E750" t="s">
        <v>637</v>
      </c>
      <c r="F750" t="s">
        <v>714</v>
      </c>
      <c r="G750" t="s">
        <v>676</v>
      </c>
      <c r="I750" t="s">
        <v>715</v>
      </c>
      <c r="J750" t="s">
        <v>716</v>
      </c>
    </row>
    <row r="751" spans="1:10" ht="15" hidden="1" customHeight="1" x14ac:dyDescent="0.25">
      <c r="A751" t="s">
        <v>1710</v>
      </c>
      <c r="B751" t="s">
        <v>43</v>
      </c>
      <c r="C751" t="s">
        <v>1711</v>
      </c>
      <c r="D751" t="s">
        <v>674</v>
      </c>
      <c r="E751" t="s">
        <v>637</v>
      </c>
      <c r="F751" t="s">
        <v>675</v>
      </c>
      <c r="G751" t="s">
        <v>676</v>
      </c>
      <c r="I751" t="s">
        <v>719</v>
      </c>
      <c r="J751" t="s">
        <v>716</v>
      </c>
    </row>
    <row r="752" spans="1:10" ht="15" hidden="1" customHeight="1" x14ac:dyDescent="0.25">
      <c r="A752" t="s">
        <v>49</v>
      </c>
      <c r="B752" t="s">
        <v>43</v>
      </c>
      <c r="C752" t="s">
        <v>48</v>
      </c>
      <c r="D752" t="s">
        <v>674</v>
      </c>
      <c r="E752" t="s">
        <v>637</v>
      </c>
      <c r="F752" t="s">
        <v>675</v>
      </c>
      <c r="G752" t="s">
        <v>676</v>
      </c>
      <c r="I752" t="s">
        <v>685</v>
      </c>
      <c r="J752" t="s">
        <v>686</v>
      </c>
    </row>
    <row r="753" spans="1:10" ht="15" hidden="1" customHeight="1" x14ac:dyDescent="0.25">
      <c r="A753" t="s">
        <v>1712</v>
      </c>
      <c r="B753" t="s">
        <v>43</v>
      </c>
      <c r="C753" t="s">
        <v>1713</v>
      </c>
      <c r="D753" t="s">
        <v>674</v>
      </c>
      <c r="E753" t="s">
        <v>637</v>
      </c>
      <c r="F753" t="s">
        <v>675</v>
      </c>
      <c r="G753" t="s">
        <v>676</v>
      </c>
      <c r="I753" t="s">
        <v>685</v>
      </c>
      <c r="J753" t="s">
        <v>686</v>
      </c>
    </row>
    <row r="754" spans="1:10" ht="15" hidden="1" customHeight="1" x14ac:dyDescent="0.25">
      <c r="A754" t="s">
        <v>51</v>
      </c>
      <c r="B754" t="s">
        <v>43</v>
      </c>
      <c r="C754" t="s">
        <v>50</v>
      </c>
      <c r="D754" t="s">
        <v>674</v>
      </c>
      <c r="E754" t="s">
        <v>637</v>
      </c>
      <c r="F754" t="s">
        <v>675</v>
      </c>
      <c r="G754" t="s">
        <v>676</v>
      </c>
      <c r="I754" t="s">
        <v>680</v>
      </c>
      <c r="J754" t="s">
        <v>681</v>
      </c>
    </row>
    <row r="755" spans="1:10" ht="15" hidden="1" customHeight="1" x14ac:dyDescent="0.25">
      <c r="A755" t="s">
        <v>57</v>
      </c>
      <c r="B755" t="s">
        <v>43</v>
      </c>
      <c r="C755" t="s">
        <v>56</v>
      </c>
      <c r="D755" t="s">
        <v>674</v>
      </c>
      <c r="E755" t="s">
        <v>637</v>
      </c>
      <c r="F755" t="s">
        <v>874</v>
      </c>
      <c r="G755" t="s">
        <v>676</v>
      </c>
      <c r="I755" t="s">
        <v>761</v>
      </c>
      <c r="J755" t="s">
        <v>762</v>
      </c>
    </row>
    <row r="756" spans="1:10" ht="15" hidden="1" customHeight="1" x14ac:dyDescent="0.25">
      <c r="A756" t="s">
        <v>1714</v>
      </c>
      <c r="B756" t="s">
        <v>43</v>
      </c>
      <c r="C756" t="s">
        <v>1715</v>
      </c>
      <c r="D756" t="s">
        <v>674</v>
      </c>
      <c r="E756" t="s">
        <v>637</v>
      </c>
      <c r="F756" t="s">
        <v>675</v>
      </c>
      <c r="G756" t="s">
        <v>676</v>
      </c>
      <c r="I756" t="s">
        <v>878</v>
      </c>
      <c r="J756" t="s">
        <v>762</v>
      </c>
    </row>
    <row r="757" spans="1:10" ht="15" hidden="1" customHeight="1" x14ac:dyDescent="0.25">
      <c r="A757" t="s">
        <v>1716</v>
      </c>
      <c r="B757" t="s">
        <v>43</v>
      </c>
      <c r="C757" t="s">
        <v>1717</v>
      </c>
      <c r="D757" t="s">
        <v>674</v>
      </c>
      <c r="E757" t="s">
        <v>637</v>
      </c>
      <c r="F757" t="s">
        <v>675</v>
      </c>
      <c r="G757" t="s">
        <v>676</v>
      </c>
      <c r="I757" t="s">
        <v>1307</v>
      </c>
      <c r="J757" t="s">
        <v>681</v>
      </c>
    </row>
    <row r="758" spans="1:10" ht="15" hidden="1" customHeight="1" x14ac:dyDescent="0.25">
      <c r="A758" t="s">
        <v>42</v>
      </c>
      <c r="B758" t="s">
        <v>43</v>
      </c>
      <c r="C758" t="s">
        <v>41</v>
      </c>
      <c r="D758" t="s">
        <v>674</v>
      </c>
      <c r="E758" t="s">
        <v>637</v>
      </c>
      <c r="F758" t="s">
        <v>714</v>
      </c>
      <c r="G758" t="s">
        <v>859</v>
      </c>
      <c r="I758" t="s">
        <v>715</v>
      </c>
      <c r="J758" t="s">
        <v>716</v>
      </c>
    </row>
    <row r="759" spans="1:10" ht="15" hidden="1" customHeight="1" x14ac:dyDescent="0.25">
      <c r="A759" t="s">
        <v>1718</v>
      </c>
      <c r="B759" t="s">
        <v>43</v>
      </c>
      <c r="C759" t="s">
        <v>1719</v>
      </c>
      <c r="D759" t="s">
        <v>674</v>
      </c>
      <c r="E759" t="s">
        <v>637</v>
      </c>
      <c r="F759" t="s">
        <v>714</v>
      </c>
      <c r="G759" t="s">
        <v>676</v>
      </c>
      <c r="I759" t="s">
        <v>715</v>
      </c>
      <c r="J759" t="s">
        <v>716</v>
      </c>
    </row>
    <row r="760" spans="1:10" ht="15" hidden="1" customHeight="1" x14ac:dyDescent="0.25">
      <c r="A760" t="s">
        <v>1720</v>
      </c>
      <c r="B760" t="s">
        <v>43</v>
      </c>
      <c r="C760" t="s">
        <v>1721</v>
      </c>
      <c r="D760" t="s">
        <v>674</v>
      </c>
      <c r="E760" t="s">
        <v>637</v>
      </c>
      <c r="F760" t="s">
        <v>675</v>
      </c>
      <c r="G760" t="s">
        <v>676</v>
      </c>
      <c r="I760" t="s">
        <v>882</v>
      </c>
      <c r="J760" t="s">
        <v>863</v>
      </c>
    </row>
    <row r="761" spans="1:10" ht="15" hidden="1" customHeight="1" x14ac:dyDescent="0.25">
      <c r="A761" t="s">
        <v>1722</v>
      </c>
      <c r="B761" t="s">
        <v>43</v>
      </c>
      <c r="C761" t="s">
        <v>1723</v>
      </c>
      <c r="D761" t="s">
        <v>674</v>
      </c>
      <c r="E761" t="s">
        <v>637</v>
      </c>
      <c r="F761" t="s">
        <v>675</v>
      </c>
      <c r="G761" t="s">
        <v>676</v>
      </c>
      <c r="I761" t="s">
        <v>1247</v>
      </c>
      <c r="J761" t="s">
        <v>709</v>
      </c>
    </row>
    <row r="762" spans="1:10" ht="15" hidden="1" customHeight="1" x14ac:dyDescent="0.25">
      <c r="A762" t="s">
        <v>1724</v>
      </c>
      <c r="B762" t="s">
        <v>650</v>
      </c>
      <c r="C762" t="s">
        <v>1725</v>
      </c>
      <c r="D762" t="s">
        <v>1238</v>
      </c>
      <c r="E762" t="s">
        <v>645</v>
      </c>
      <c r="F762" t="s">
        <v>728</v>
      </c>
      <c r="G762" t="s">
        <v>676</v>
      </c>
      <c r="I762" t="s">
        <v>685</v>
      </c>
      <c r="J762" t="s">
        <v>686</v>
      </c>
    </row>
    <row r="763" spans="1:10" ht="15" customHeight="1" x14ac:dyDescent="0.25">
      <c r="A763" t="s">
        <v>1726</v>
      </c>
      <c r="B763" t="s">
        <v>1726</v>
      </c>
      <c r="C763" t="s">
        <v>1727</v>
      </c>
      <c r="D763" t="s">
        <v>1238</v>
      </c>
      <c r="E763" t="s">
        <v>675</v>
      </c>
      <c r="F763" t="s">
        <v>675</v>
      </c>
      <c r="G763" t="s">
        <v>676</v>
      </c>
      <c r="I763" t="s">
        <v>685</v>
      </c>
      <c r="J763" t="s">
        <v>686</v>
      </c>
    </row>
    <row r="764" spans="1:10" ht="15" customHeight="1" x14ac:dyDescent="0.25">
      <c r="A764" t="s">
        <v>1728</v>
      </c>
      <c r="B764" t="s">
        <v>1728</v>
      </c>
      <c r="C764" t="s">
        <v>1729</v>
      </c>
      <c r="D764" t="s">
        <v>674</v>
      </c>
      <c r="E764" t="s">
        <v>675</v>
      </c>
      <c r="F764" t="s">
        <v>675</v>
      </c>
      <c r="G764" t="s">
        <v>676</v>
      </c>
      <c r="I764" t="s">
        <v>685</v>
      </c>
      <c r="J764" t="s">
        <v>686</v>
      </c>
    </row>
    <row r="765" spans="1:10" ht="15" customHeight="1" x14ac:dyDescent="0.25">
      <c r="A765" t="s">
        <v>1730</v>
      </c>
      <c r="B765" t="s">
        <v>1730</v>
      </c>
      <c r="C765">
        <v>2184</v>
      </c>
      <c r="D765" t="s">
        <v>674</v>
      </c>
      <c r="E765" t="s">
        <v>675</v>
      </c>
      <c r="F765" t="s">
        <v>675</v>
      </c>
      <c r="G765" t="s">
        <v>676</v>
      </c>
      <c r="I765" t="s">
        <v>685</v>
      </c>
      <c r="J765" t="s">
        <v>686</v>
      </c>
    </row>
    <row r="766" spans="1:10" ht="15" hidden="1" customHeight="1" x14ac:dyDescent="0.25">
      <c r="A766" t="s">
        <v>1731</v>
      </c>
      <c r="B766" s="9" t="s">
        <v>655</v>
      </c>
      <c r="C766" s="132" t="s">
        <v>1732</v>
      </c>
      <c r="D766" t="s">
        <v>1238</v>
      </c>
      <c r="E766" t="s">
        <v>645</v>
      </c>
      <c r="F766" t="s">
        <v>796</v>
      </c>
      <c r="G766" s="7" t="s">
        <v>676</v>
      </c>
      <c r="I766" t="s">
        <v>822</v>
      </c>
    </row>
    <row r="767" spans="1:10" ht="15" hidden="1" customHeight="1" x14ac:dyDescent="0.25">
      <c r="A767" t="s">
        <v>1733</v>
      </c>
      <c r="B767" t="s">
        <v>40</v>
      </c>
      <c r="C767" t="s">
        <v>1734</v>
      </c>
      <c r="E767" t="s">
        <v>645</v>
      </c>
      <c r="F767" t="s">
        <v>675</v>
      </c>
    </row>
    <row r="768" spans="1:10" ht="15" hidden="1" customHeight="1" x14ac:dyDescent="0.25">
      <c r="A768" t="s">
        <v>39</v>
      </c>
      <c r="B768" t="s">
        <v>40</v>
      </c>
      <c r="C768" t="s">
        <v>1735</v>
      </c>
      <c r="D768" t="s">
        <v>674</v>
      </c>
      <c r="E768" t="s">
        <v>645</v>
      </c>
      <c r="F768" t="s">
        <v>675</v>
      </c>
      <c r="G768" t="s">
        <v>676</v>
      </c>
    </row>
    <row r="769" spans="1:10" ht="15" hidden="1" customHeight="1" x14ac:dyDescent="0.25">
      <c r="A769" t="s">
        <v>1736</v>
      </c>
      <c r="B769" t="s">
        <v>40</v>
      </c>
      <c r="C769" t="s">
        <v>1737</v>
      </c>
      <c r="D769" t="s">
        <v>674</v>
      </c>
      <c r="E769" t="s">
        <v>645</v>
      </c>
      <c r="F769" t="s">
        <v>675</v>
      </c>
      <c r="G769" t="s">
        <v>676</v>
      </c>
    </row>
    <row r="770" spans="1:10" ht="15" hidden="1" customHeight="1" x14ac:dyDescent="0.25">
      <c r="A770" t="s">
        <v>39</v>
      </c>
      <c r="B770" t="s">
        <v>40</v>
      </c>
      <c r="C770" t="s">
        <v>38</v>
      </c>
      <c r="D770" t="s">
        <v>674</v>
      </c>
      <c r="E770" t="s">
        <v>645</v>
      </c>
      <c r="F770" t="s">
        <v>675</v>
      </c>
      <c r="G770" t="s">
        <v>676</v>
      </c>
    </row>
    <row r="771" spans="1:10" ht="15" hidden="1" customHeight="1" x14ac:dyDescent="0.25">
      <c r="A771" t="s">
        <v>39</v>
      </c>
      <c r="B771" t="s">
        <v>40</v>
      </c>
      <c r="C771" t="s">
        <v>1738</v>
      </c>
      <c r="D771" t="s">
        <v>674</v>
      </c>
      <c r="E771" t="s">
        <v>645</v>
      </c>
      <c r="F771" t="s">
        <v>675</v>
      </c>
      <c r="G771" t="s">
        <v>676</v>
      </c>
    </row>
    <row r="772" spans="1:10" ht="15" hidden="1" customHeight="1" x14ac:dyDescent="0.25">
      <c r="A772" s="147" t="s">
        <v>1739</v>
      </c>
      <c r="B772" s="13" t="s">
        <v>656</v>
      </c>
      <c r="C772" t="s">
        <v>1740</v>
      </c>
      <c r="D772" t="s">
        <v>1238</v>
      </c>
      <c r="E772" t="s">
        <v>645</v>
      </c>
      <c r="F772" t="s">
        <v>781</v>
      </c>
      <c r="G772" t="s">
        <v>676</v>
      </c>
    </row>
    <row r="773" spans="1:10" ht="15" customHeight="1" x14ac:dyDescent="0.25">
      <c r="A773" t="s">
        <v>1741</v>
      </c>
      <c r="B773" t="s">
        <v>1741</v>
      </c>
      <c r="C773" t="s">
        <v>1742</v>
      </c>
      <c r="D773" t="s">
        <v>674</v>
      </c>
      <c r="E773" t="s">
        <v>675</v>
      </c>
      <c r="F773" t="s">
        <v>675</v>
      </c>
      <c r="G773" t="s">
        <v>676</v>
      </c>
      <c r="I773" t="s">
        <v>685</v>
      </c>
      <c r="J773" t="s">
        <v>686</v>
      </c>
    </row>
    <row r="774" spans="1:10" ht="15" customHeight="1" x14ac:dyDescent="0.25">
      <c r="A774" s="9" t="s">
        <v>1743</v>
      </c>
      <c r="B774" s="9" t="s">
        <v>1743</v>
      </c>
      <c r="C774" t="s">
        <v>1744</v>
      </c>
      <c r="D774" t="s">
        <v>1238</v>
      </c>
      <c r="E774" t="s">
        <v>675</v>
      </c>
      <c r="F774" t="s">
        <v>675</v>
      </c>
      <c r="G774" t="s">
        <v>676</v>
      </c>
      <c r="I774" t="s">
        <v>685</v>
      </c>
      <c r="J774" t="s">
        <v>686</v>
      </c>
    </row>
    <row r="775" spans="1:10" ht="15" customHeight="1" x14ac:dyDescent="0.25">
      <c r="A775" t="s">
        <v>1745</v>
      </c>
      <c r="B775" t="s">
        <v>1746</v>
      </c>
      <c r="C775" t="s">
        <v>1747</v>
      </c>
      <c r="D775" t="s">
        <v>1238</v>
      </c>
      <c r="E775" t="s">
        <v>675</v>
      </c>
      <c r="F775" t="s">
        <v>728</v>
      </c>
      <c r="G775" t="s">
        <v>676</v>
      </c>
      <c r="I775" t="s">
        <v>685</v>
      </c>
      <c r="J775" t="s">
        <v>686</v>
      </c>
    </row>
    <row r="776" spans="1:10" ht="15" customHeight="1" x14ac:dyDescent="0.25">
      <c r="A776" t="s">
        <v>1748</v>
      </c>
      <c r="B776" t="s">
        <v>1746</v>
      </c>
      <c r="C776" t="s">
        <v>1749</v>
      </c>
      <c r="D776" t="s">
        <v>1238</v>
      </c>
      <c r="E776" t="s">
        <v>675</v>
      </c>
      <c r="F776" t="s">
        <v>728</v>
      </c>
      <c r="G776" t="s">
        <v>676</v>
      </c>
      <c r="I776" t="s">
        <v>685</v>
      </c>
      <c r="J776" t="s">
        <v>686</v>
      </c>
    </row>
    <row r="777" spans="1:10" ht="15" customHeight="1" x14ac:dyDescent="0.25">
      <c r="A777" t="s">
        <v>1750</v>
      </c>
      <c r="B777" t="s">
        <v>1746</v>
      </c>
      <c r="C777" t="s">
        <v>1751</v>
      </c>
      <c r="D777" t="s">
        <v>1238</v>
      </c>
      <c r="E777" t="s">
        <v>675</v>
      </c>
      <c r="F777" t="s">
        <v>728</v>
      </c>
      <c r="G777" t="s">
        <v>676</v>
      </c>
      <c r="I777" t="s">
        <v>685</v>
      </c>
      <c r="J777" t="s">
        <v>686</v>
      </c>
    </row>
    <row r="778" spans="1:10" ht="15" customHeight="1" x14ac:dyDescent="0.25">
      <c r="A778" t="s">
        <v>1752</v>
      </c>
      <c r="B778" t="s">
        <v>1746</v>
      </c>
      <c r="C778" t="s">
        <v>1753</v>
      </c>
      <c r="D778" t="s">
        <v>1238</v>
      </c>
      <c r="E778" t="s">
        <v>675</v>
      </c>
      <c r="F778" t="s">
        <v>728</v>
      </c>
      <c r="G778" t="s">
        <v>676</v>
      </c>
      <c r="I778" t="s">
        <v>685</v>
      </c>
      <c r="J778" t="s">
        <v>686</v>
      </c>
    </row>
    <row r="779" spans="1:10" ht="15" customHeight="1" x14ac:dyDescent="0.25">
      <c r="A779" t="s">
        <v>1754</v>
      </c>
      <c r="B779" t="s">
        <v>1755</v>
      </c>
      <c r="C779" t="s">
        <v>1756</v>
      </c>
      <c r="D779" t="s">
        <v>1238</v>
      </c>
      <c r="E779" t="s">
        <v>675</v>
      </c>
      <c r="F779" t="s">
        <v>675</v>
      </c>
      <c r="G779" t="s">
        <v>676</v>
      </c>
      <c r="I779" t="s">
        <v>685</v>
      </c>
      <c r="J779" t="s">
        <v>686</v>
      </c>
    </row>
    <row r="780" spans="1:10" ht="15" customHeight="1" x14ac:dyDescent="0.25">
      <c r="A780" t="s">
        <v>1757</v>
      </c>
      <c r="B780" t="s">
        <v>1755</v>
      </c>
      <c r="C780" t="s">
        <v>1758</v>
      </c>
      <c r="D780" t="s">
        <v>1238</v>
      </c>
      <c r="E780" t="s">
        <v>675</v>
      </c>
      <c r="F780" t="s">
        <v>675</v>
      </c>
      <c r="G780" t="s">
        <v>676</v>
      </c>
      <c r="I780" t="s">
        <v>685</v>
      </c>
      <c r="J780" t="s">
        <v>686</v>
      </c>
    </row>
    <row r="781" spans="1:10" ht="15" customHeight="1" x14ac:dyDescent="0.25">
      <c r="A781" t="s">
        <v>1759</v>
      </c>
      <c r="B781" t="s">
        <v>1755</v>
      </c>
      <c r="C781" t="s">
        <v>1760</v>
      </c>
      <c r="D781" t="s">
        <v>1238</v>
      </c>
      <c r="E781" t="s">
        <v>675</v>
      </c>
      <c r="F781" t="s">
        <v>675</v>
      </c>
      <c r="G781" t="s">
        <v>676</v>
      </c>
      <c r="I781" t="s">
        <v>685</v>
      </c>
      <c r="J781" t="s">
        <v>686</v>
      </c>
    </row>
    <row r="782" spans="1:10" ht="15" customHeight="1" x14ac:dyDescent="0.25">
      <c r="A782" t="s">
        <v>1761</v>
      </c>
      <c r="B782" t="s">
        <v>1755</v>
      </c>
      <c r="C782" t="s">
        <v>1762</v>
      </c>
      <c r="D782" t="s">
        <v>1238</v>
      </c>
      <c r="E782" t="s">
        <v>675</v>
      </c>
      <c r="F782" t="s">
        <v>675</v>
      </c>
      <c r="G782" t="s">
        <v>676</v>
      </c>
      <c r="I782" t="s">
        <v>685</v>
      </c>
      <c r="J782" t="s">
        <v>686</v>
      </c>
    </row>
    <row r="783" spans="1:10" ht="15" customHeight="1" x14ac:dyDescent="0.25">
      <c r="A783" t="s">
        <v>1763</v>
      </c>
      <c r="B783" t="s">
        <v>1755</v>
      </c>
      <c r="C783" t="s">
        <v>1764</v>
      </c>
      <c r="D783" t="s">
        <v>1238</v>
      </c>
      <c r="E783" t="s">
        <v>675</v>
      </c>
      <c r="F783" t="s">
        <v>675</v>
      </c>
      <c r="G783" t="s">
        <v>676</v>
      </c>
      <c r="I783" t="s">
        <v>685</v>
      </c>
      <c r="J783" t="s">
        <v>686</v>
      </c>
    </row>
    <row r="784" spans="1:10" ht="15" customHeight="1" x14ac:dyDescent="0.25">
      <c r="A784" t="s">
        <v>1765</v>
      </c>
      <c r="B784" t="s">
        <v>1755</v>
      </c>
      <c r="C784" t="s">
        <v>1766</v>
      </c>
      <c r="D784" t="s">
        <v>1238</v>
      </c>
      <c r="E784" t="s">
        <v>675</v>
      </c>
      <c r="F784" t="s">
        <v>675</v>
      </c>
      <c r="G784" t="s">
        <v>676</v>
      </c>
      <c r="I784" t="s">
        <v>685</v>
      </c>
      <c r="J784" t="s">
        <v>686</v>
      </c>
    </row>
    <row r="785" spans="1:10" ht="15" customHeight="1" x14ac:dyDescent="0.25">
      <c r="A785" t="s">
        <v>1767</v>
      </c>
      <c r="B785" t="s">
        <v>1755</v>
      </c>
      <c r="C785" t="s">
        <v>1768</v>
      </c>
      <c r="D785" t="s">
        <v>1238</v>
      </c>
      <c r="E785" t="s">
        <v>675</v>
      </c>
      <c r="F785" t="s">
        <v>675</v>
      </c>
      <c r="G785" t="s">
        <v>676</v>
      </c>
      <c r="I785" t="s">
        <v>685</v>
      </c>
      <c r="J785" t="s">
        <v>686</v>
      </c>
    </row>
    <row r="786" spans="1:10" ht="15" customHeight="1" x14ac:dyDescent="0.25">
      <c r="A786" t="s">
        <v>1769</v>
      </c>
      <c r="B786" t="s">
        <v>1755</v>
      </c>
      <c r="C786" t="s">
        <v>1770</v>
      </c>
      <c r="D786" t="s">
        <v>1238</v>
      </c>
      <c r="E786" t="s">
        <v>675</v>
      </c>
      <c r="F786" t="s">
        <v>675</v>
      </c>
      <c r="G786" t="s">
        <v>676</v>
      </c>
      <c r="I786" t="s">
        <v>685</v>
      </c>
      <c r="J786" t="s">
        <v>686</v>
      </c>
    </row>
    <row r="787" spans="1:10" ht="15" customHeight="1" x14ac:dyDescent="0.25">
      <c r="A787" t="s">
        <v>1771</v>
      </c>
      <c r="B787" t="s">
        <v>1755</v>
      </c>
      <c r="C787" t="s">
        <v>1772</v>
      </c>
      <c r="D787" t="s">
        <v>1238</v>
      </c>
      <c r="E787" t="s">
        <v>675</v>
      </c>
      <c r="F787" t="s">
        <v>675</v>
      </c>
      <c r="G787" t="s">
        <v>676</v>
      </c>
      <c r="I787" t="s">
        <v>685</v>
      </c>
      <c r="J787" t="s">
        <v>686</v>
      </c>
    </row>
    <row r="788" spans="1:10" ht="15" customHeight="1" x14ac:dyDescent="0.25">
      <c r="A788" t="s">
        <v>1773</v>
      </c>
      <c r="B788" t="s">
        <v>1755</v>
      </c>
      <c r="C788" t="s">
        <v>1774</v>
      </c>
      <c r="D788" t="s">
        <v>1238</v>
      </c>
      <c r="E788" t="s">
        <v>675</v>
      </c>
      <c r="F788" t="s">
        <v>675</v>
      </c>
      <c r="G788" t="s">
        <v>676</v>
      </c>
      <c r="I788" t="s">
        <v>685</v>
      </c>
      <c r="J788" t="s">
        <v>686</v>
      </c>
    </row>
    <row r="789" spans="1:10" ht="15" customHeight="1" x14ac:dyDescent="0.25">
      <c r="A789" t="s">
        <v>1775</v>
      </c>
      <c r="B789" t="s">
        <v>1755</v>
      </c>
      <c r="C789" t="s">
        <v>1776</v>
      </c>
      <c r="D789" t="s">
        <v>1238</v>
      </c>
      <c r="E789" t="s">
        <v>675</v>
      </c>
      <c r="F789" t="s">
        <v>675</v>
      </c>
      <c r="G789" t="s">
        <v>676</v>
      </c>
      <c r="I789" t="s">
        <v>685</v>
      </c>
      <c r="J789" t="s">
        <v>686</v>
      </c>
    </row>
    <row r="790" spans="1:10" ht="15" customHeight="1" x14ac:dyDescent="0.25">
      <c r="A790" t="s">
        <v>1777</v>
      </c>
      <c r="B790" t="s">
        <v>1755</v>
      </c>
      <c r="C790" t="s">
        <v>1778</v>
      </c>
      <c r="D790" t="s">
        <v>1238</v>
      </c>
      <c r="E790" t="s">
        <v>675</v>
      </c>
      <c r="F790" t="s">
        <v>675</v>
      </c>
      <c r="G790" t="s">
        <v>676</v>
      </c>
      <c r="I790" t="s">
        <v>685</v>
      </c>
      <c r="J790" t="s">
        <v>686</v>
      </c>
    </row>
    <row r="791" spans="1:10" ht="15" customHeight="1" x14ac:dyDescent="0.25">
      <c r="A791" t="s">
        <v>1779</v>
      </c>
      <c r="B791" t="s">
        <v>1755</v>
      </c>
      <c r="C791" t="s">
        <v>1780</v>
      </c>
      <c r="D791" t="s">
        <v>1238</v>
      </c>
      <c r="E791" t="s">
        <v>675</v>
      </c>
      <c r="F791" t="s">
        <v>675</v>
      </c>
      <c r="G791" t="s">
        <v>676</v>
      </c>
      <c r="I791" t="s">
        <v>685</v>
      </c>
      <c r="J791" t="s">
        <v>686</v>
      </c>
    </row>
    <row r="792" spans="1:10" ht="15" customHeight="1" x14ac:dyDescent="0.25">
      <c r="A792" t="s">
        <v>1781</v>
      </c>
      <c r="B792" t="s">
        <v>1755</v>
      </c>
      <c r="C792" t="s">
        <v>1782</v>
      </c>
      <c r="D792" t="s">
        <v>1238</v>
      </c>
      <c r="E792" t="s">
        <v>675</v>
      </c>
      <c r="F792" t="s">
        <v>675</v>
      </c>
      <c r="G792" t="s">
        <v>676</v>
      </c>
      <c r="I792" t="s">
        <v>685</v>
      </c>
      <c r="J792" t="s">
        <v>686</v>
      </c>
    </row>
    <row r="793" spans="1:10" ht="15" customHeight="1" x14ac:dyDescent="0.25">
      <c r="A793" t="s">
        <v>1783</v>
      </c>
      <c r="B793" t="s">
        <v>1755</v>
      </c>
      <c r="C793" t="s">
        <v>1784</v>
      </c>
      <c r="D793" t="s">
        <v>1238</v>
      </c>
      <c r="E793" t="s">
        <v>675</v>
      </c>
      <c r="F793" t="s">
        <v>675</v>
      </c>
      <c r="G793" t="s">
        <v>676</v>
      </c>
      <c r="I793" t="s">
        <v>685</v>
      </c>
      <c r="J793" t="s">
        <v>686</v>
      </c>
    </row>
    <row r="794" spans="1:10" ht="15" customHeight="1" x14ac:dyDescent="0.25">
      <c r="A794" t="s">
        <v>1785</v>
      </c>
      <c r="B794" t="s">
        <v>1755</v>
      </c>
      <c r="C794" t="s">
        <v>1786</v>
      </c>
      <c r="D794" t="s">
        <v>1238</v>
      </c>
      <c r="E794" t="s">
        <v>675</v>
      </c>
      <c r="F794" t="s">
        <v>675</v>
      </c>
      <c r="G794" t="s">
        <v>676</v>
      </c>
      <c r="I794" t="s">
        <v>685</v>
      </c>
      <c r="J794" t="s">
        <v>686</v>
      </c>
    </row>
    <row r="795" spans="1:10" ht="15" customHeight="1" x14ac:dyDescent="0.25">
      <c r="A795" t="s">
        <v>1787</v>
      </c>
      <c r="B795" t="s">
        <v>1755</v>
      </c>
      <c r="C795" t="s">
        <v>1788</v>
      </c>
      <c r="D795" t="s">
        <v>1238</v>
      </c>
      <c r="E795" t="s">
        <v>675</v>
      </c>
      <c r="F795" t="s">
        <v>675</v>
      </c>
      <c r="G795" t="s">
        <v>676</v>
      </c>
      <c r="I795" t="s">
        <v>685</v>
      </c>
      <c r="J795" t="s">
        <v>686</v>
      </c>
    </row>
    <row r="796" spans="1:10" ht="15" customHeight="1" x14ac:dyDescent="0.25">
      <c r="A796" t="s">
        <v>1789</v>
      </c>
      <c r="B796" t="s">
        <v>1755</v>
      </c>
      <c r="C796" t="s">
        <v>1790</v>
      </c>
      <c r="D796" t="s">
        <v>1238</v>
      </c>
      <c r="E796" t="s">
        <v>675</v>
      </c>
      <c r="F796" t="s">
        <v>675</v>
      </c>
      <c r="G796" t="s">
        <v>676</v>
      </c>
      <c r="I796" t="s">
        <v>685</v>
      </c>
      <c r="J796" t="s">
        <v>686</v>
      </c>
    </row>
    <row r="797" spans="1:10" ht="15" customHeight="1" x14ac:dyDescent="0.25">
      <c r="A797" t="s">
        <v>1791</v>
      </c>
      <c r="B797" t="s">
        <v>1755</v>
      </c>
      <c r="C797" t="s">
        <v>1792</v>
      </c>
      <c r="D797" t="s">
        <v>1238</v>
      </c>
      <c r="E797" t="s">
        <v>675</v>
      </c>
      <c r="F797" t="s">
        <v>675</v>
      </c>
      <c r="G797" t="s">
        <v>676</v>
      </c>
      <c r="I797" t="s">
        <v>685</v>
      </c>
      <c r="J797" t="s">
        <v>686</v>
      </c>
    </row>
    <row r="798" spans="1:10" ht="15" customHeight="1" x14ac:dyDescent="0.25">
      <c r="A798" t="s">
        <v>1793</v>
      </c>
      <c r="B798" t="s">
        <v>1755</v>
      </c>
      <c r="C798" t="s">
        <v>1794</v>
      </c>
      <c r="D798" t="s">
        <v>1238</v>
      </c>
      <c r="E798" t="s">
        <v>675</v>
      </c>
      <c r="F798" t="s">
        <v>675</v>
      </c>
      <c r="G798" t="s">
        <v>676</v>
      </c>
      <c r="I798" t="s">
        <v>685</v>
      </c>
      <c r="J798" t="s">
        <v>686</v>
      </c>
    </row>
    <row r="799" spans="1:10" ht="15" customHeight="1" x14ac:dyDescent="0.25">
      <c r="A799" t="s">
        <v>1795</v>
      </c>
      <c r="B799" t="s">
        <v>1755</v>
      </c>
      <c r="C799" t="s">
        <v>1796</v>
      </c>
      <c r="D799" t="s">
        <v>1238</v>
      </c>
      <c r="E799" t="s">
        <v>675</v>
      </c>
      <c r="F799" t="s">
        <v>675</v>
      </c>
      <c r="G799" t="s">
        <v>676</v>
      </c>
      <c r="I799" t="s">
        <v>685</v>
      </c>
      <c r="J799" t="s">
        <v>686</v>
      </c>
    </row>
    <row r="800" spans="1:10" ht="15" customHeight="1" x14ac:dyDescent="0.25">
      <c r="A800" t="s">
        <v>1797</v>
      </c>
      <c r="B800" t="s">
        <v>1755</v>
      </c>
      <c r="C800" t="s">
        <v>1798</v>
      </c>
      <c r="D800" t="s">
        <v>1238</v>
      </c>
      <c r="E800" t="s">
        <v>675</v>
      </c>
      <c r="F800" t="s">
        <v>675</v>
      </c>
      <c r="G800" t="s">
        <v>676</v>
      </c>
      <c r="I800" t="s">
        <v>685</v>
      </c>
      <c r="J800" t="s">
        <v>686</v>
      </c>
    </row>
    <row r="801" spans="1:10" ht="15" customHeight="1" x14ac:dyDescent="0.25">
      <c r="A801" t="s">
        <v>1799</v>
      </c>
      <c r="B801" t="s">
        <v>1755</v>
      </c>
      <c r="C801" t="s">
        <v>1800</v>
      </c>
      <c r="D801" t="s">
        <v>1238</v>
      </c>
      <c r="E801" t="s">
        <v>675</v>
      </c>
      <c r="F801" t="s">
        <v>675</v>
      </c>
      <c r="G801" t="s">
        <v>676</v>
      </c>
      <c r="I801" t="s">
        <v>685</v>
      </c>
      <c r="J801" t="s">
        <v>686</v>
      </c>
    </row>
    <row r="802" spans="1:10" ht="15" customHeight="1" x14ac:dyDescent="0.25">
      <c r="A802" t="s">
        <v>1801</v>
      </c>
      <c r="B802" t="s">
        <v>1755</v>
      </c>
      <c r="C802" t="s">
        <v>1802</v>
      </c>
      <c r="D802" t="s">
        <v>1238</v>
      </c>
      <c r="E802" t="s">
        <v>675</v>
      </c>
      <c r="F802" t="s">
        <v>675</v>
      </c>
      <c r="G802" t="s">
        <v>676</v>
      </c>
      <c r="I802" t="s">
        <v>685</v>
      </c>
      <c r="J802" t="s">
        <v>686</v>
      </c>
    </row>
    <row r="803" spans="1:10" ht="15" customHeight="1" x14ac:dyDescent="0.25">
      <c r="A803" t="s">
        <v>1803</v>
      </c>
      <c r="B803" t="s">
        <v>1755</v>
      </c>
      <c r="C803" t="s">
        <v>1804</v>
      </c>
      <c r="D803" t="s">
        <v>1238</v>
      </c>
      <c r="E803" t="s">
        <v>675</v>
      </c>
      <c r="F803" t="s">
        <v>675</v>
      </c>
      <c r="G803" t="s">
        <v>676</v>
      </c>
      <c r="I803" t="s">
        <v>685</v>
      </c>
      <c r="J803" t="s">
        <v>686</v>
      </c>
    </row>
    <row r="804" spans="1:10" ht="15" customHeight="1" x14ac:dyDescent="0.25">
      <c r="A804" t="s">
        <v>1805</v>
      </c>
      <c r="B804" t="s">
        <v>1755</v>
      </c>
      <c r="C804" t="s">
        <v>1806</v>
      </c>
      <c r="D804" t="s">
        <v>1238</v>
      </c>
      <c r="E804" t="s">
        <v>675</v>
      </c>
      <c r="F804" t="s">
        <v>675</v>
      </c>
      <c r="G804" t="s">
        <v>676</v>
      </c>
      <c r="I804" t="s">
        <v>685</v>
      </c>
      <c r="J804" t="s">
        <v>686</v>
      </c>
    </row>
    <row r="805" spans="1:10" ht="15" customHeight="1" x14ac:dyDescent="0.25">
      <c r="A805" t="s">
        <v>1807</v>
      </c>
      <c r="B805" t="s">
        <v>1755</v>
      </c>
      <c r="C805" t="s">
        <v>1808</v>
      </c>
      <c r="D805" t="s">
        <v>1238</v>
      </c>
      <c r="E805" t="s">
        <v>675</v>
      </c>
      <c r="F805" t="s">
        <v>675</v>
      </c>
      <c r="G805" t="s">
        <v>676</v>
      </c>
      <c r="I805" t="s">
        <v>685</v>
      </c>
      <c r="J805" t="s">
        <v>686</v>
      </c>
    </row>
    <row r="806" spans="1:10" ht="15" customHeight="1" x14ac:dyDescent="0.25">
      <c r="A806" t="s">
        <v>1809</v>
      </c>
      <c r="B806" t="s">
        <v>1755</v>
      </c>
      <c r="C806" t="s">
        <v>1810</v>
      </c>
      <c r="D806" t="s">
        <v>1238</v>
      </c>
      <c r="E806" t="s">
        <v>675</v>
      </c>
      <c r="F806" t="s">
        <v>675</v>
      </c>
      <c r="G806" t="s">
        <v>676</v>
      </c>
      <c r="I806" t="s">
        <v>685</v>
      </c>
      <c r="J806" t="s">
        <v>686</v>
      </c>
    </row>
    <row r="807" spans="1:10" ht="15" customHeight="1" x14ac:dyDescent="0.25">
      <c r="A807" t="s">
        <v>1811</v>
      </c>
      <c r="B807" t="s">
        <v>1755</v>
      </c>
      <c r="C807" t="s">
        <v>1812</v>
      </c>
      <c r="D807" t="s">
        <v>1238</v>
      </c>
      <c r="E807" t="s">
        <v>675</v>
      </c>
      <c r="F807" t="s">
        <v>675</v>
      </c>
      <c r="G807" t="s">
        <v>676</v>
      </c>
      <c r="I807" t="s">
        <v>685</v>
      </c>
      <c r="J807" t="s">
        <v>686</v>
      </c>
    </row>
    <row r="808" spans="1:10" ht="15" customHeight="1" x14ac:dyDescent="0.25">
      <c r="A808" t="s">
        <v>1813</v>
      </c>
      <c r="B808" t="s">
        <v>1755</v>
      </c>
      <c r="C808" t="s">
        <v>1814</v>
      </c>
      <c r="D808" t="s">
        <v>1238</v>
      </c>
      <c r="E808" t="s">
        <v>675</v>
      </c>
      <c r="F808" t="s">
        <v>675</v>
      </c>
      <c r="G808" t="s">
        <v>676</v>
      </c>
      <c r="I808" t="s">
        <v>685</v>
      </c>
      <c r="J808" t="s">
        <v>686</v>
      </c>
    </row>
    <row r="809" spans="1:10" ht="15" customHeight="1" x14ac:dyDescent="0.25">
      <c r="A809" t="s">
        <v>1815</v>
      </c>
      <c r="B809" t="s">
        <v>1755</v>
      </c>
      <c r="C809" t="s">
        <v>1816</v>
      </c>
      <c r="D809" t="s">
        <v>1238</v>
      </c>
      <c r="E809" t="s">
        <v>675</v>
      </c>
      <c r="F809" t="s">
        <v>675</v>
      </c>
      <c r="G809" t="s">
        <v>676</v>
      </c>
      <c r="I809" t="s">
        <v>685</v>
      </c>
      <c r="J809" t="s">
        <v>686</v>
      </c>
    </row>
    <row r="810" spans="1:10" ht="15" customHeight="1" x14ac:dyDescent="0.25">
      <c r="A810" t="s">
        <v>1817</v>
      </c>
      <c r="B810" t="s">
        <v>1755</v>
      </c>
      <c r="C810" t="s">
        <v>1818</v>
      </c>
      <c r="D810" t="s">
        <v>1238</v>
      </c>
      <c r="E810" t="s">
        <v>675</v>
      </c>
      <c r="F810" t="s">
        <v>675</v>
      </c>
      <c r="G810" t="s">
        <v>676</v>
      </c>
      <c r="I810" t="s">
        <v>685</v>
      </c>
      <c r="J810" t="s">
        <v>686</v>
      </c>
    </row>
    <row r="811" spans="1:10" ht="15" customHeight="1" x14ac:dyDescent="0.25">
      <c r="A811" t="s">
        <v>1819</v>
      </c>
      <c r="B811" t="s">
        <v>1755</v>
      </c>
      <c r="C811" t="s">
        <v>1820</v>
      </c>
      <c r="D811" t="s">
        <v>1238</v>
      </c>
      <c r="E811" t="s">
        <v>675</v>
      </c>
      <c r="F811" t="s">
        <v>675</v>
      </c>
      <c r="G811" t="s">
        <v>676</v>
      </c>
      <c r="I811" t="s">
        <v>685</v>
      </c>
      <c r="J811" t="s">
        <v>686</v>
      </c>
    </row>
    <row r="812" spans="1:10" ht="15" customHeight="1" x14ac:dyDescent="0.25">
      <c r="A812" t="s">
        <v>1821</v>
      </c>
      <c r="B812" t="s">
        <v>1755</v>
      </c>
      <c r="C812" t="s">
        <v>1822</v>
      </c>
      <c r="D812" t="s">
        <v>1238</v>
      </c>
      <c r="E812" t="s">
        <v>675</v>
      </c>
      <c r="F812" t="s">
        <v>675</v>
      </c>
      <c r="G812" t="s">
        <v>676</v>
      </c>
      <c r="I812" t="s">
        <v>685</v>
      </c>
      <c r="J812" t="s">
        <v>686</v>
      </c>
    </row>
    <row r="813" spans="1:10" ht="15" customHeight="1" x14ac:dyDescent="0.25">
      <c r="A813" t="s">
        <v>1823</v>
      </c>
      <c r="B813" t="s">
        <v>1755</v>
      </c>
      <c r="C813" t="s">
        <v>1824</v>
      </c>
      <c r="D813" t="s">
        <v>1238</v>
      </c>
      <c r="E813" t="s">
        <v>675</v>
      </c>
      <c r="F813" t="s">
        <v>675</v>
      </c>
      <c r="G813" t="s">
        <v>676</v>
      </c>
      <c r="I813" t="s">
        <v>685</v>
      </c>
      <c r="J813" t="s">
        <v>686</v>
      </c>
    </row>
    <row r="814" spans="1:10" ht="15" customHeight="1" x14ac:dyDescent="0.25">
      <c r="A814" t="s">
        <v>1825</v>
      </c>
      <c r="B814" t="s">
        <v>1755</v>
      </c>
      <c r="C814" t="s">
        <v>1826</v>
      </c>
      <c r="D814" t="s">
        <v>1238</v>
      </c>
      <c r="E814" t="s">
        <v>675</v>
      </c>
      <c r="F814" t="s">
        <v>675</v>
      </c>
      <c r="G814" t="s">
        <v>676</v>
      </c>
      <c r="I814" t="s">
        <v>685</v>
      </c>
      <c r="J814" t="s">
        <v>686</v>
      </c>
    </row>
    <row r="815" spans="1:10" ht="15" customHeight="1" x14ac:dyDescent="0.25">
      <c r="A815" t="s">
        <v>1827</v>
      </c>
      <c r="B815" t="s">
        <v>1755</v>
      </c>
      <c r="C815" t="s">
        <v>1828</v>
      </c>
      <c r="D815" t="s">
        <v>1238</v>
      </c>
      <c r="E815" t="s">
        <v>675</v>
      </c>
      <c r="F815" t="s">
        <v>675</v>
      </c>
      <c r="G815" t="s">
        <v>676</v>
      </c>
      <c r="I815" t="s">
        <v>685</v>
      </c>
      <c r="J815" t="s">
        <v>686</v>
      </c>
    </row>
    <row r="816" spans="1:10" ht="15" customHeight="1" x14ac:dyDescent="0.25">
      <c r="A816" t="s">
        <v>1829</v>
      </c>
      <c r="B816" t="s">
        <v>1755</v>
      </c>
      <c r="C816" t="s">
        <v>1830</v>
      </c>
      <c r="D816" t="s">
        <v>1238</v>
      </c>
      <c r="E816" t="s">
        <v>675</v>
      </c>
      <c r="F816" t="s">
        <v>675</v>
      </c>
      <c r="G816" t="s">
        <v>676</v>
      </c>
      <c r="I816" t="s">
        <v>685</v>
      </c>
      <c r="J816" t="s">
        <v>686</v>
      </c>
    </row>
    <row r="817" spans="1:10" ht="15" customHeight="1" x14ac:dyDescent="0.25">
      <c r="A817" t="s">
        <v>1831</v>
      </c>
      <c r="B817" t="s">
        <v>1755</v>
      </c>
      <c r="C817" t="s">
        <v>1832</v>
      </c>
      <c r="D817" t="s">
        <v>1238</v>
      </c>
      <c r="E817" t="s">
        <v>675</v>
      </c>
      <c r="F817" t="s">
        <v>675</v>
      </c>
      <c r="G817" t="s">
        <v>676</v>
      </c>
      <c r="I817" t="s">
        <v>685</v>
      </c>
      <c r="J817" t="s">
        <v>686</v>
      </c>
    </row>
    <row r="818" spans="1:10" ht="15" customHeight="1" x14ac:dyDescent="0.25">
      <c r="A818" t="s">
        <v>1833</v>
      </c>
      <c r="B818" t="s">
        <v>1755</v>
      </c>
      <c r="C818" t="s">
        <v>1834</v>
      </c>
      <c r="D818" t="s">
        <v>1238</v>
      </c>
      <c r="E818" t="s">
        <v>675</v>
      </c>
      <c r="F818" t="s">
        <v>675</v>
      </c>
      <c r="G818" t="s">
        <v>676</v>
      </c>
      <c r="I818" t="s">
        <v>685</v>
      </c>
      <c r="J818" t="s">
        <v>686</v>
      </c>
    </row>
    <row r="819" spans="1:10" ht="15" customHeight="1" x14ac:dyDescent="0.25">
      <c r="A819" t="s">
        <v>1835</v>
      </c>
      <c r="B819" t="s">
        <v>1755</v>
      </c>
      <c r="C819" t="s">
        <v>1836</v>
      </c>
      <c r="D819" t="s">
        <v>1238</v>
      </c>
      <c r="E819" t="s">
        <v>675</v>
      </c>
      <c r="F819" t="s">
        <v>675</v>
      </c>
      <c r="G819" t="s">
        <v>676</v>
      </c>
      <c r="I819" t="s">
        <v>685</v>
      </c>
      <c r="J819" t="s">
        <v>686</v>
      </c>
    </row>
    <row r="820" spans="1:10" ht="15" customHeight="1" x14ac:dyDescent="0.25">
      <c r="A820" t="s">
        <v>1837</v>
      </c>
      <c r="B820" t="s">
        <v>1755</v>
      </c>
      <c r="C820" t="s">
        <v>1838</v>
      </c>
      <c r="D820" t="s">
        <v>1238</v>
      </c>
      <c r="E820" t="s">
        <v>675</v>
      </c>
      <c r="F820" t="s">
        <v>675</v>
      </c>
      <c r="G820" t="s">
        <v>676</v>
      </c>
      <c r="I820" t="s">
        <v>685</v>
      </c>
      <c r="J820" t="s">
        <v>686</v>
      </c>
    </row>
    <row r="821" spans="1:10" ht="15" customHeight="1" x14ac:dyDescent="0.25">
      <c r="A821" t="s">
        <v>1839</v>
      </c>
      <c r="B821" t="s">
        <v>1755</v>
      </c>
      <c r="C821" t="s">
        <v>1840</v>
      </c>
      <c r="D821" t="s">
        <v>1238</v>
      </c>
      <c r="E821" t="s">
        <v>675</v>
      </c>
      <c r="F821" t="s">
        <v>675</v>
      </c>
      <c r="G821" t="s">
        <v>676</v>
      </c>
      <c r="I821" t="s">
        <v>685</v>
      </c>
      <c r="J821" t="s">
        <v>686</v>
      </c>
    </row>
    <row r="822" spans="1:10" ht="15" customHeight="1" x14ac:dyDescent="0.25">
      <c r="A822" t="s">
        <v>1841</v>
      </c>
      <c r="B822" t="s">
        <v>1755</v>
      </c>
      <c r="C822" t="s">
        <v>1842</v>
      </c>
      <c r="D822" t="s">
        <v>1238</v>
      </c>
      <c r="E822" t="s">
        <v>675</v>
      </c>
      <c r="F822" t="s">
        <v>675</v>
      </c>
      <c r="G822" t="s">
        <v>676</v>
      </c>
      <c r="I822" t="s">
        <v>685</v>
      </c>
      <c r="J822" t="s">
        <v>686</v>
      </c>
    </row>
    <row r="823" spans="1:10" ht="15" customHeight="1" x14ac:dyDescent="0.25">
      <c r="A823" t="s">
        <v>1843</v>
      </c>
      <c r="B823" t="s">
        <v>1755</v>
      </c>
      <c r="C823" t="s">
        <v>1844</v>
      </c>
      <c r="D823" t="s">
        <v>1238</v>
      </c>
      <c r="E823" t="s">
        <v>675</v>
      </c>
      <c r="F823" t="s">
        <v>675</v>
      </c>
      <c r="G823" t="s">
        <v>676</v>
      </c>
      <c r="I823" t="s">
        <v>685</v>
      </c>
      <c r="J823" t="s">
        <v>686</v>
      </c>
    </row>
    <row r="824" spans="1:10" ht="15" customHeight="1" x14ac:dyDescent="0.25">
      <c r="A824" t="s">
        <v>1845</v>
      </c>
      <c r="B824" t="s">
        <v>1755</v>
      </c>
      <c r="C824" t="s">
        <v>1846</v>
      </c>
      <c r="D824" t="s">
        <v>1238</v>
      </c>
      <c r="E824" t="s">
        <v>675</v>
      </c>
      <c r="F824" t="s">
        <v>675</v>
      </c>
      <c r="G824" t="s">
        <v>676</v>
      </c>
      <c r="I824" t="s">
        <v>685</v>
      </c>
      <c r="J824" t="s">
        <v>686</v>
      </c>
    </row>
    <row r="825" spans="1:10" ht="15" customHeight="1" x14ac:dyDescent="0.25">
      <c r="A825" t="s">
        <v>1847</v>
      </c>
      <c r="B825" t="s">
        <v>1755</v>
      </c>
      <c r="C825" t="s">
        <v>1848</v>
      </c>
      <c r="D825" t="s">
        <v>1238</v>
      </c>
      <c r="E825" t="s">
        <v>675</v>
      </c>
      <c r="F825" t="s">
        <v>675</v>
      </c>
      <c r="G825" t="s">
        <v>676</v>
      </c>
      <c r="I825" t="s">
        <v>685</v>
      </c>
      <c r="J825" t="s">
        <v>686</v>
      </c>
    </row>
    <row r="826" spans="1:10" ht="15" customHeight="1" x14ac:dyDescent="0.25">
      <c r="A826" t="s">
        <v>1849</v>
      </c>
      <c r="B826" t="s">
        <v>1755</v>
      </c>
      <c r="C826" t="s">
        <v>1850</v>
      </c>
      <c r="D826" t="s">
        <v>1238</v>
      </c>
      <c r="E826" t="s">
        <v>675</v>
      </c>
      <c r="F826" t="s">
        <v>675</v>
      </c>
      <c r="G826" t="s">
        <v>676</v>
      </c>
      <c r="I826" t="s">
        <v>685</v>
      </c>
      <c r="J826" t="s">
        <v>686</v>
      </c>
    </row>
    <row r="827" spans="1:10" ht="15" customHeight="1" x14ac:dyDescent="0.25">
      <c r="A827" t="s">
        <v>1851</v>
      </c>
      <c r="B827" t="s">
        <v>1755</v>
      </c>
      <c r="C827" t="s">
        <v>1852</v>
      </c>
      <c r="D827" t="s">
        <v>1238</v>
      </c>
      <c r="E827" t="s">
        <v>675</v>
      </c>
      <c r="F827" t="s">
        <v>675</v>
      </c>
      <c r="G827" t="s">
        <v>676</v>
      </c>
      <c r="I827" t="s">
        <v>685</v>
      </c>
      <c r="J827" t="s">
        <v>686</v>
      </c>
    </row>
    <row r="828" spans="1:10" ht="15" customHeight="1" x14ac:dyDescent="0.25">
      <c r="A828" t="s">
        <v>1853</v>
      </c>
      <c r="B828" t="s">
        <v>1755</v>
      </c>
      <c r="C828" t="s">
        <v>1854</v>
      </c>
      <c r="D828" t="s">
        <v>1238</v>
      </c>
      <c r="E828" t="s">
        <v>675</v>
      </c>
      <c r="F828" t="s">
        <v>675</v>
      </c>
      <c r="G828" t="s">
        <v>676</v>
      </c>
      <c r="I828" t="s">
        <v>685</v>
      </c>
      <c r="J828" t="s">
        <v>686</v>
      </c>
    </row>
    <row r="829" spans="1:10" ht="15" customHeight="1" x14ac:dyDescent="0.25">
      <c r="A829" t="s">
        <v>1855</v>
      </c>
      <c r="B829" t="s">
        <v>1755</v>
      </c>
      <c r="C829" t="s">
        <v>1856</v>
      </c>
      <c r="D829" t="s">
        <v>1238</v>
      </c>
      <c r="E829" t="s">
        <v>675</v>
      </c>
      <c r="F829" t="s">
        <v>675</v>
      </c>
      <c r="G829" t="s">
        <v>676</v>
      </c>
      <c r="I829" t="s">
        <v>685</v>
      </c>
      <c r="J829" t="s">
        <v>686</v>
      </c>
    </row>
    <row r="830" spans="1:10" ht="15" customHeight="1" x14ac:dyDescent="0.25">
      <c r="A830" t="s">
        <v>1857</v>
      </c>
      <c r="B830" t="s">
        <v>1755</v>
      </c>
      <c r="C830" t="s">
        <v>1858</v>
      </c>
      <c r="D830" t="s">
        <v>1238</v>
      </c>
      <c r="E830" t="s">
        <v>675</v>
      </c>
      <c r="F830" t="s">
        <v>675</v>
      </c>
      <c r="G830" t="s">
        <v>676</v>
      </c>
      <c r="I830" t="s">
        <v>685</v>
      </c>
      <c r="J830" t="s">
        <v>686</v>
      </c>
    </row>
    <row r="831" spans="1:10" ht="15" customHeight="1" x14ac:dyDescent="0.25">
      <c r="A831" t="s">
        <v>1859</v>
      </c>
      <c r="B831" t="s">
        <v>1755</v>
      </c>
      <c r="C831" t="s">
        <v>1860</v>
      </c>
      <c r="D831" t="s">
        <v>1238</v>
      </c>
      <c r="E831" t="s">
        <v>675</v>
      </c>
      <c r="F831" t="s">
        <v>675</v>
      </c>
      <c r="G831" t="s">
        <v>676</v>
      </c>
      <c r="I831" t="s">
        <v>685</v>
      </c>
      <c r="J831" t="s">
        <v>686</v>
      </c>
    </row>
    <row r="832" spans="1:10" ht="15" customHeight="1" x14ac:dyDescent="0.25">
      <c r="A832" t="s">
        <v>1861</v>
      </c>
      <c r="B832" t="s">
        <v>1755</v>
      </c>
      <c r="C832" t="s">
        <v>1862</v>
      </c>
      <c r="D832" t="s">
        <v>1238</v>
      </c>
      <c r="E832" t="s">
        <v>675</v>
      </c>
      <c r="F832" t="s">
        <v>675</v>
      </c>
      <c r="G832" t="s">
        <v>676</v>
      </c>
      <c r="I832" t="s">
        <v>685</v>
      </c>
      <c r="J832" t="s">
        <v>686</v>
      </c>
    </row>
    <row r="833" spans="1:10" ht="15" customHeight="1" x14ac:dyDescent="0.25">
      <c r="A833" t="s">
        <v>1863</v>
      </c>
      <c r="B833" t="s">
        <v>1755</v>
      </c>
      <c r="C833" t="s">
        <v>1864</v>
      </c>
      <c r="D833" t="s">
        <v>1238</v>
      </c>
      <c r="E833" t="s">
        <v>675</v>
      </c>
      <c r="F833" t="s">
        <v>675</v>
      </c>
      <c r="G833" t="s">
        <v>676</v>
      </c>
      <c r="I833" t="s">
        <v>685</v>
      </c>
      <c r="J833" t="s">
        <v>686</v>
      </c>
    </row>
    <row r="834" spans="1:10" ht="15" customHeight="1" x14ac:dyDescent="0.25">
      <c r="A834" t="s">
        <v>1865</v>
      </c>
      <c r="B834" t="s">
        <v>1755</v>
      </c>
      <c r="C834" t="s">
        <v>1866</v>
      </c>
      <c r="D834" t="s">
        <v>1238</v>
      </c>
      <c r="E834" t="s">
        <v>675</v>
      </c>
      <c r="F834" t="s">
        <v>675</v>
      </c>
      <c r="G834" t="s">
        <v>676</v>
      </c>
      <c r="I834" t="s">
        <v>685</v>
      </c>
      <c r="J834" t="s">
        <v>686</v>
      </c>
    </row>
    <row r="835" spans="1:10" ht="15" customHeight="1" x14ac:dyDescent="0.25">
      <c r="A835" t="s">
        <v>1867</v>
      </c>
      <c r="B835" t="s">
        <v>1755</v>
      </c>
      <c r="C835" t="s">
        <v>1868</v>
      </c>
      <c r="D835" t="s">
        <v>1238</v>
      </c>
      <c r="E835" t="s">
        <v>675</v>
      </c>
      <c r="F835" t="s">
        <v>675</v>
      </c>
      <c r="G835" t="s">
        <v>676</v>
      </c>
      <c r="I835" t="s">
        <v>685</v>
      </c>
      <c r="J835" t="s">
        <v>686</v>
      </c>
    </row>
    <row r="836" spans="1:10" ht="15" customHeight="1" x14ac:dyDescent="0.25">
      <c r="A836" t="s">
        <v>1869</v>
      </c>
      <c r="B836" t="s">
        <v>1755</v>
      </c>
      <c r="C836" t="s">
        <v>1870</v>
      </c>
      <c r="D836" t="s">
        <v>1238</v>
      </c>
      <c r="E836" t="s">
        <v>675</v>
      </c>
      <c r="F836" t="s">
        <v>675</v>
      </c>
      <c r="G836" t="s">
        <v>676</v>
      </c>
      <c r="I836" t="s">
        <v>685</v>
      </c>
      <c r="J836" t="s">
        <v>686</v>
      </c>
    </row>
    <row r="837" spans="1:10" ht="15" customHeight="1" x14ac:dyDescent="0.25">
      <c r="A837" t="s">
        <v>1871</v>
      </c>
      <c r="B837" t="s">
        <v>1755</v>
      </c>
      <c r="C837" t="s">
        <v>1872</v>
      </c>
      <c r="D837" t="s">
        <v>1238</v>
      </c>
      <c r="E837" t="s">
        <v>675</v>
      </c>
      <c r="F837" t="s">
        <v>675</v>
      </c>
      <c r="G837" t="s">
        <v>676</v>
      </c>
      <c r="I837" t="s">
        <v>685</v>
      </c>
      <c r="J837" t="s">
        <v>686</v>
      </c>
    </row>
    <row r="838" spans="1:10" ht="15" customHeight="1" x14ac:dyDescent="0.25">
      <c r="A838" t="s">
        <v>1873</v>
      </c>
      <c r="B838" t="s">
        <v>1755</v>
      </c>
      <c r="C838" t="s">
        <v>1874</v>
      </c>
      <c r="D838" t="s">
        <v>1238</v>
      </c>
      <c r="E838" t="s">
        <v>675</v>
      </c>
      <c r="F838" t="s">
        <v>675</v>
      </c>
      <c r="G838" t="s">
        <v>676</v>
      </c>
      <c r="I838" t="s">
        <v>685</v>
      </c>
      <c r="J838" t="s">
        <v>686</v>
      </c>
    </row>
    <row r="839" spans="1:10" ht="15" customHeight="1" x14ac:dyDescent="0.25">
      <c r="A839" t="s">
        <v>1875</v>
      </c>
      <c r="B839" t="s">
        <v>1755</v>
      </c>
      <c r="C839" t="s">
        <v>1876</v>
      </c>
      <c r="D839" t="s">
        <v>1238</v>
      </c>
      <c r="E839" t="s">
        <v>675</v>
      </c>
      <c r="F839" t="s">
        <v>675</v>
      </c>
      <c r="G839" t="s">
        <v>676</v>
      </c>
      <c r="I839" t="s">
        <v>685</v>
      </c>
      <c r="J839" t="s">
        <v>686</v>
      </c>
    </row>
    <row r="840" spans="1:10" ht="15" customHeight="1" x14ac:dyDescent="0.25">
      <c r="A840" t="s">
        <v>1877</v>
      </c>
      <c r="B840" t="s">
        <v>1755</v>
      </c>
      <c r="C840" t="s">
        <v>1878</v>
      </c>
      <c r="D840" t="s">
        <v>1238</v>
      </c>
      <c r="E840" t="s">
        <v>675</v>
      </c>
      <c r="F840" t="s">
        <v>675</v>
      </c>
      <c r="G840" t="s">
        <v>676</v>
      </c>
      <c r="I840" t="s">
        <v>685</v>
      </c>
      <c r="J840" t="s">
        <v>686</v>
      </c>
    </row>
    <row r="841" spans="1:10" ht="15" customHeight="1" x14ac:dyDescent="0.25">
      <c r="A841" t="s">
        <v>1879</v>
      </c>
      <c r="B841" t="s">
        <v>1755</v>
      </c>
      <c r="C841" t="s">
        <v>1880</v>
      </c>
      <c r="D841" t="s">
        <v>1238</v>
      </c>
      <c r="E841" t="s">
        <v>675</v>
      </c>
      <c r="F841" t="s">
        <v>675</v>
      </c>
      <c r="G841" t="s">
        <v>676</v>
      </c>
      <c r="I841" t="s">
        <v>685</v>
      </c>
      <c r="J841" t="s">
        <v>686</v>
      </c>
    </row>
    <row r="842" spans="1:10" ht="15" customHeight="1" x14ac:dyDescent="0.25">
      <c r="A842" t="s">
        <v>1881</v>
      </c>
      <c r="B842" t="s">
        <v>1755</v>
      </c>
      <c r="C842" t="s">
        <v>1882</v>
      </c>
      <c r="D842" t="s">
        <v>1238</v>
      </c>
      <c r="E842" t="s">
        <v>675</v>
      </c>
      <c r="F842" t="s">
        <v>675</v>
      </c>
      <c r="G842" t="s">
        <v>676</v>
      </c>
      <c r="I842" t="s">
        <v>685</v>
      </c>
      <c r="J842" t="s">
        <v>686</v>
      </c>
    </row>
    <row r="843" spans="1:10" ht="15" customHeight="1" x14ac:dyDescent="0.25">
      <c r="A843" t="s">
        <v>1883</v>
      </c>
      <c r="B843" t="s">
        <v>1755</v>
      </c>
      <c r="C843" t="s">
        <v>1884</v>
      </c>
      <c r="D843" t="s">
        <v>1238</v>
      </c>
      <c r="E843" t="s">
        <v>675</v>
      </c>
      <c r="F843" t="s">
        <v>675</v>
      </c>
      <c r="G843" t="s">
        <v>676</v>
      </c>
      <c r="I843" t="s">
        <v>685</v>
      </c>
      <c r="J843" t="s">
        <v>686</v>
      </c>
    </row>
    <row r="844" spans="1:10" ht="15" customHeight="1" x14ac:dyDescent="0.25">
      <c r="A844" t="s">
        <v>1885</v>
      </c>
      <c r="B844" t="s">
        <v>1755</v>
      </c>
      <c r="C844" t="s">
        <v>1886</v>
      </c>
      <c r="D844" t="s">
        <v>1238</v>
      </c>
      <c r="E844" t="s">
        <v>675</v>
      </c>
      <c r="F844" t="s">
        <v>675</v>
      </c>
      <c r="G844" t="s">
        <v>676</v>
      </c>
      <c r="I844" t="s">
        <v>685</v>
      </c>
      <c r="J844" t="s">
        <v>686</v>
      </c>
    </row>
    <row r="845" spans="1:10" ht="15" customHeight="1" x14ac:dyDescent="0.25">
      <c r="A845" t="s">
        <v>1887</v>
      </c>
      <c r="B845" t="s">
        <v>1755</v>
      </c>
      <c r="C845" t="s">
        <v>1888</v>
      </c>
      <c r="D845" t="s">
        <v>1238</v>
      </c>
      <c r="E845" t="s">
        <v>675</v>
      </c>
      <c r="F845" t="s">
        <v>675</v>
      </c>
      <c r="G845" t="s">
        <v>676</v>
      </c>
      <c r="I845" t="s">
        <v>685</v>
      </c>
      <c r="J845" t="s">
        <v>686</v>
      </c>
    </row>
    <row r="846" spans="1:10" ht="15" customHeight="1" x14ac:dyDescent="0.25">
      <c r="A846" t="s">
        <v>1889</v>
      </c>
      <c r="B846" t="s">
        <v>1755</v>
      </c>
      <c r="C846" t="s">
        <v>1890</v>
      </c>
      <c r="D846" t="s">
        <v>1238</v>
      </c>
      <c r="E846" t="s">
        <v>675</v>
      </c>
      <c r="F846" t="s">
        <v>675</v>
      </c>
      <c r="G846" t="s">
        <v>676</v>
      </c>
      <c r="I846" t="s">
        <v>685</v>
      </c>
      <c r="J846" t="s">
        <v>686</v>
      </c>
    </row>
    <row r="847" spans="1:10" ht="15" customHeight="1" x14ac:dyDescent="0.25">
      <c r="A847" t="s">
        <v>1891</v>
      </c>
      <c r="B847" t="s">
        <v>1755</v>
      </c>
      <c r="C847" t="s">
        <v>1892</v>
      </c>
      <c r="D847" t="s">
        <v>1238</v>
      </c>
      <c r="E847" t="s">
        <v>675</v>
      </c>
      <c r="F847" t="s">
        <v>675</v>
      </c>
      <c r="G847" t="s">
        <v>676</v>
      </c>
      <c r="I847" t="s">
        <v>685</v>
      </c>
      <c r="J847" t="s">
        <v>686</v>
      </c>
    </row>
    <row r="848" spans="1:10" ht="15" customHeight="1" x14ac:dyDescent="0.25">
      <c r="A848" t="s">
        <v>1893</v>
      </c>
      <c r="B848" t="s">
        <v>1755</v>
      </c>
      <c r="C848" t="s">
        <v>1894</v>
      </c>
      <c r="D848" t="s">
        <v>1238</v>
      </c>
      <c r="E848" t="s">
        <v>675</v>
      </c>
      <c r="F848" t="s">
        <v>675</v>
      </c>
      <c r="G848" t="s">
        <v>676</v>
      </c>
      <c r="I848" t="s">
        <v>685</v>
      </c>
      <c r="J848" t="s">
        <v>686</v>
      </c>
    </row>
    <row r="849" spans="1:10" ht="15" customHeight="1" x14ac:dyDescent="0.25">
      <c r="A849" t="s">
        <v>1895</v>
      </c>
      <c r="B849" t="s">
        <v>1755</v>
      </c>
      <c r="C849" t="s">
        <v>1896</v>
      </c>
      <c r="D849" t="s">
        <v>1238</v>
      </c>
      <c r="E849" t="s">
        <v>675</v>
      </c>
      <c r="F849" t="s">
        <v>675</v>
      </c>
      <c r="G849" t="s">
        <v>676</v>
      </c>
      <c r="I849" t="s">
        <v>685</v>
      </c>
      <c r="J849" t="s">
        <v>686</v>
      </c>
    </row>
    <row r="850" spans="1:10" ht="15" customHeight="1" x14ac:dyDescent="0.25">
      <c r="A850" t="s">
        <v>1897</v>
      </c>
      <c r="B850" t="s">
        <v>1755</v>
      </c>
      <c r="C850" t="s">
        <v>1898</v>
      </c>
      <c r="D850" t="s">
        <v>1238</v>
      </c>
      <c r="E850" t="s">
        <v>675</v>
      </c>
      <c r="F850" t="s">
        <v>675</v>
      </c>
      <c r="G850" t="s">
        <v>676</v>
      </c>
      <c r="I850" t="s">
        <v>685</v>
      </c>
      <c r="J850" t="s">
        <v>686</v>
      </c>
    </row>
    <row r="851" spans="1:10" ht="15" customHeight="1" x14ac:dyDescent="0.25">
      <c r="A851" t="s">
        <v>1899</v>
      </c>
      <c r="B851" t="s">
        <v>1755</v>
      </c>
      <c r="C851" t="s">
        <v>1900</v>
      </c>
      <c r="D851" t="s">
        <v>1238</v>
      </c>
      <c r="E851" t="s">
        <v>675</v>
      </c>
      <c r="F851" t="s">
        <v>675</v>
      </c>
      <c r="G851" t="s">
        <v>676</v>
      </c>
      <c r="I851" t="s">
        <v>685</v>
      </c>
      <c r="J851" t="s">
        <v>686</v>
      </c>
    </row>
    <row r="852" spans="1:10" ht="15" customHeight="1" x14ac:dyDescent="0.25">
      <c r="A852" t="s">
        <v>1901</v>
      </c>
      <c r="B852" t="s">
        <v>1755</v>
      </c>
      <c r="C852" t="s">
        <v>1902</v>
      </c>
      <c r="D852" t="s">
        <v>1238</v>
      </c>
      <c r="E852" t="s">
        <v>675</v>
      </c>
      <c r="F852" t="s">
        <v>675</v>
      </c>
      <c r="G852" t="s">
        <v>676</v>
      </c>
      <c r="I852" t="s">
        <v>685</v>
      </c>
      <c r="J852" t="s">
        <v>686</v>
      </c>
    </row>
    <row r="853" spans="1:10" ht="15" customHeight="1" x14ac:dyDescent="0.25">
      <c r="A853" t="s">
        <v>1903</v>
      </c>
      <c r="B853" t="s">
        <v>1755</v>
      </c>
      <c r="C853" t="s">
        <v>1904</v>
      </c>
      <c r="D853" t="s">
        <v>1238</v>
      </c>
      <c r="E853" t="s">
        <v>675</v>
      </c>
      <c r="F853" t="s">
        <v>675</v>
      </c>
      <c r="G853" t="s">
        <v>676</v>
      </c>
      <c r="I853" t="s">
        <v>685</v>
      </c>
      <c r="J853" t="s">
        <v>686</v>
      </c>
    </row>
    <row r="854" spans="1:10" ht="15" customHeight="1" x14ac:dyDescent="0.25">
      <c r="A854" t="s">
        <v>1905</v>
      </c>
      <c r="B854" t="s">
        <v>1755</v>
      </c>
      <c r="C854" t="s">
        <v>1906</v>
      </c>
      <c r="D854" t="s">
        <v>1238</v>
      </c>
      <c r="E854" t="s">
        <v>675</v>
      </c>
      <c r="F854" t="s">
        <v>675</v>
      </c>
      <c r="G854" t="s">
        <v>676</v>
      </c>
      <c r="I854" t="s">
        <v>685</v>
      </c>
      <c r="J854" t="s">
        <v>686</v>
      </c>
    </row>
    <row r="855" spans="1:10" ht="15" customHeight="1" x14ac:dyDescent="0.25">
      <c r="A855" t="s">
        <v>1907</v>
      </c>
      <c r="B855" t="s">
        <v>1755</v>
      </c>
      <c r="C855" t="s">
        <v>1908</v>
      </c>
      <c r="D855" t="s">
        <v>1238</v>
      </c>
      <c r="E855" t="s">
        <v>675</v>
      </c>
      <c r="F855" t="s">
        <v>675</v>
      </c>
      <c r="G855" t="s">
        <v>676</v>
      </c>
      <c r="I855" t="s">
        <v>685</v>
      </c>
      <c r="J855" t="s">
        <v>686</v>
      </c>
    </row>
    <row r="856" spans="1:10" ht="15" customHeight="1" x14ac:dyDescent="0.25">
      <c r="A856" t="s">
        <v>1909</v>
      </c>
      <c r="B856" t="s">
        <v>1755</v>
      </c>
      <c r="C856" t="s">
        <v>1910</v>
      </c>
      <c r="D856" t="s">
        <v>1238</v>
      </c>
      <c r="E856" t="s">
        <v>675</v>
      </c>
      <c r="F856" t="s">
        <v>675</v>
      </c>
      <c r="G856" t="s">
        <v>676</v>
      </c>
      <c r="I856" t="s">
        <v>685</v>
      </c>
      <c r="J856" t="s">
        <v>686</v>
      </c>
    </row>
    <row r="857" spans="1:10" ht="15" customHeight="1" x14ac:dyDescent="0.25">
      <c r="A857" t="s">
        <v>1911</v>
      </c>
      <c r="B857" t="s">
        <v>1755</v>
      </c>
      <c r="C857" t="s">
        <v>1912</v>
      </c>
      <c r="D857" t="s">
        <v>1238</v>
      </c>
      <c r="E857" t="s">
        <v>675</v>
      </c>
      <c r="F857" t="s">
        <v>675</v>
      </c>
      <c r="G857" t="s">
        <v>676</v>
      </c>
      <c r="I857" t="s">
        <v>685</v>
      </c>
      <c r="J857" t="s">
        <v>686</v>
      </c>
    </row>
    <row r="858" spans="1:10" ht="15" customHeight="1" x14ac:dyDescent="0.25">
      <c r="A858" t="s">
        <v>1913</v>
      </c>
      <c r="B858" t="s">
        <v>1755</v>
      </c>
      <c r="C858" t="s">
        <v>1914</v>
      </c>
      <c r="D858" t="s">
        <v>1238</v>
      </c>
      <c r="E858" t="s">
        <v>675</v>
      </c>
      <c r="F858" t="s">
        <v>675</v>
      </c>
      <c r="G858" t="s">
        <v>676</v>
      </c>
      <c r="I858" t="s">
        <v>685</v>
      </c>
      <c r="J858" t="s">
        <v>686</v>
      </c>
    </row>
    <row r="859" spans="1:10" ht="15" customHeight="1" x14ac:dyDescent="0.25">
      <c r="A859" t="s">
        <v>1915</v>
      </c>
      <c r="B859" t="s">
        <v>1755</v>
      </c>
      <c r="C859" t="s">
        <v>1916</v>
      </c>
      <c r="D859" t="s">
        <v>1238</v>
      </c>
      <c r="E859" t="s">
        <v>675</v>
      </c>
      <c r="F859" t="s">
        <v>675</v>
      </c>
      <c r="G859" t="s">
        <v>676</v>
      </c>
      <c r="I859" t="s">
        <v>685</v>
      </c>
      <c r="J859" t="s">
        <v>686</v>
      </c>
    </row>
    <row r="860" spans="1:10" ht="15" customHeight="1" x14ac:dyDescent="0.25">
      <c r="A860" t="s">
        <v>1917</v>
      </c>
      <c r="B860" t="s">
        <v>1755</v>
      </c>
      <c r="C860" t="s">
        <v>1918</v>
      </c>
      <c r="D860" t="s">
        <v>1238</v>
      </c>
      <c r="E860" t="s">
        <v>675</v>
      </c>
      <c r="F860" t="s">
        <v>675</v>
      </c>
      <c r="G860" t="s">
        <v>676</v>
      </c>
      <c r="I860" t="s">
        <v>685</v>
      </c>
      <c r="J860" t="s">
        <v>686</v>
      </c>
    </row>
    <row r="861" spans="1:10" ht="15" customHeight="1" x14ac:dyDescent="0.25">
      <c r="A861" t="s">
        <v>1919</v>
      </c>
      <c r="B861" t="s">
        <v>1755</v>
      </c>
      <c r="C861" t="s">
        <v>1920</v>
      </c>
      <c r="D861" t="s">
        <v>1238</v>
      </c>
      <c r="E861" t="s">
        <v>675</v>
      </c>
      <c r="F861" t="s">
        <v>675</v>
      </c>
      <c r="G861" t="s">
        <v>676</v>
      </c>
      <c r="I861" t="s">
        <v>685</v>
      </c>
      <c r="J861" t="s">
        <v>686</v>
      </c>
    </row>
    <row r="862" spans="1:10" ht="15" customHeight="1" x14ac:dyDescent="0.25">
      <c r="A862" t="s">
        <v>1921</v>
      </c>
      <c r="B862" t="s">
        <v>1755</v>
      </c>
      <c r="C862" t="s">
        <v>1922</v>
      </c>
      <c r="D862" t="s">
        <v>1238</v>
      </c>
      <c r="E862" t="s">
        <v>675</v>
      </c>
      <c r="F862" t="s">
        <v>675</v>
      </c>
      <c r="G862" t="s">
        <v>676</v>
      </c>
      <c r="I862" t="s">
        <v>685</v>
      </c>
      <c r="J862" t="s">
        <v>686</v>
      </c>
    </row>
    <row r="863" spans="1:10" ht="15" customHeight="1" x14ac:dyDescent="0.25">
      <c r="A863" t="s">
        <v>1923</v>
      </c>
      <c r="B863" t="s">
        <v>1755</v>
      </c>
      <c r="C863" t="s">
        <v>1924</v>
      </c>
      <c r="D863" t="s">
        <v>1238</v>
      </c>
      <c r="E863" t="s">
        <v>675</v>
      </c>
      <c r="F863" t="s">
        <v>675</v>
      </c>
      <c r="G863" t="s">
        <v>676</v>
      </c>
      <c r="I863" t="s">
        <v>685</v>
      </c>
      <c r="J863" t="s">
        <v>686</v>
      </c>
    </row>
    <row r="864" spans="1:10" ht="15" customHeight="1" x14ac:dyDescent="0.25">
      <c r="A864" t="s">
        <v>1925</v>
      </c>
      <c r="B864" t="s">
        <v>1755</v>
      </c>
      <c r="C864" t="s">
        <v>1926</v>
      </c>
      <c r="D864" t="s">
        <v>1238</v>
      </c>
      <c r="E864" t="s">
        <v>675</v>
      </c>
      <c r="F864" t="s">
        <v>675</v>
      </c>
      <c r="G864" t="s">
        <v>676</v>
      </c>
      <c r="I864" t="s">
        <v>685</v>
      </c>
      <c r="J864" t="s">
        <v>686</v>
      </c>
    </row>
    <row r="865" spans="1:10" ht="15" customHeight="1" x14ac:dyDescent="0.25">
      <c r="A865" t="s">
        <v>1927</v>
      </c>
      <c r="B865" t="s">
        <v>1755</v>
      </c>
      <c r="C865" t="s">
        <v>1928</v>
      </c>
      <c r="D865" t="s">
        <v>1238</v>
      </c>
      <c r="E865" t="s">
        <v>675</v>
      </c>
      <c r="F865" t="s">
        <v>675</v>
      </c>
      <c r="G865" t="s">
        <v>676</v>
      </c>
      <c r="I865" t="s">
        <v>685</v>
      </c>
      <c r="J865" t="s">
        <v>686</v>
      </c>
    </row>
    <row r="866" spans="1:10" ht="15" customHeight="1" x14ac:dyDescent="0.25">
      <c r="A866" t="s">
        <v>1929</v>
      </c>
      <c r="B866" t="s">
        <v>1755</v>
      </c>
      <c r="C866" t="s">
        <v>1930</v>
      </c>
      <c r="D866" t="s">
        <v>1238</v>
      </c>
      <c r="E866" t="s">
        <v>675</v>
      </c>
      <c r="F866" t="s">
        <v>675</v>
      </c>
      <c r="G866" t="s">
        <v>676</v>
      </c>
      <c r="I866" t="s">
        <v>685</v>
      </c>
      <c r="J866" t="s">
        <v>686</v>
      </c>
    </row>
    <row r="867" spans="1:10" ht="15" customHeight="1" x14ac:dyDescent="0.25">
      <c r="A867" t="s">
        <v>1931</v>
      </c>
      <c r="B867" t="s">
        <v>1755</v>
      </c>
      <c r="C867" t="s">
        <v>1932</v>
      </c>
      <c r="D867" t="s">
        <v>1238</v>
      </c>
      <c r="E867" t="s">
        <v>675</v>
      </c>
      <c r="F867" t="s">
        <v>675</v>
      </c>
      <c r="G867" t="s">
        <v>676</v>
      </c>
      <c r="I867" t="s">
        <v>685</v>
      </c>
      <c r="J867" t="s">
        <v>686</v>
      </c>
    </row>
    <row r="868" spans="1:10" ht="15" customHeight="1" x14ac:dyDescent="0.25">
      <c r="A868" t="s">
        <v>1933</v>
      </c>
      <c r="B868" t="s">
        <v>1755</v>
      </c>
      <c r="C868" t="s">
        <v>1934</v>
      </c>
      <c r="D868" t="s">
        <v>1238</v>
      </c>
      <c r="E868" t="s">
        <v>675</v>
      </c>
      <c r="F868" t="s">
        <v>675</v>
      </c>
      <c r="G868" t="s">
        <v>676</v>
      </c>
      <c r="I868" t="s">
        <v>685</v>
      </c>
      <c r="J868" t="s">
        <v>686</v>
      </c>
    </row>
    <row r="869" spans="1:10" ht="15" customHeight="1" x14ac:dyDescent="0.25">
      <c r="A869" t="s">
        <v>1935</v>
      </c>
      <c r="B869" t="s">
        <v>1755</v>
      </c>
      <c r="C869" t="s">
        <v>1936</v>
      </c>
      <c r="D869" t="s">
        <v>1238</v>
      </c>
      <c r="E869" t="s">
        <v>675</v>
      </c>
      <c r="F869" t="s">
        <v>675</v>
      </c>
      <c r="G869" t="s">
        <v>676</v>
      </c>
      <c r="I869" t="s">
        <v>685</v>
      </c>
      <c r="J869" t="s">
        <v>686</v>
      </c>
    </row>
    <row r="870" spans="1:10" ht="15" customHeight="1" x14ac:dyDescent="0.25">
      <c r="A870" t="s">
        <v>1937</v>
      </c>
      <c r="B870" t="s">
        <v>1755</v>
      </c>
      <c r="C870" t="s">
        <v>1938</v>
      </c>
      <c r="D870" t="s">
        <v>1238</v>
      </c>
      <c r="E870" t="s">
        <v>675</v>
      </c>
      <c r="F870" t="s">
        <v>675</v>
      </c>
      <c r="G870" t="s">
        <v>676</v>
      </c>
      <c r="I870" t="s">
        <v>685</v>
      </c>
      <c r="J870" t="s">
        <v>686</v>
      </c>
    </row>
    <row r="871" spans="1:10" ht="15" customHeight="1" x14ac:dyDescent="0.25">
      <c r="A871" t="s">
        <v>1939</v>
      </c>
      <c r="B871" t="s">
        <v>1755</v>
      </c>
      <c r="C871" t="s">
        <v>1940</v>
      </c>
      <c r="D871" t="s">
        <v>1238</v>
      </c>
      <c r="E871" t="s">
        <v>675</v>
      </c>
      <c r="F871" t="s">
        <v>675</v>
      </c>
      <c r="G871" t="s">
        <v>676</v>
      </c>
      <c r="I871" t="s">
        <v>685</v>
      </c>
      <c r="J871" t="s">
        <v>686</v>
      </c>
    </row>
    <row r="872" spans="1:10" ht="15" customHeight="1" x14ac:dyDescent="0.25">
      <c r="A872" t="s">
        <v>1941</v>
      </c>
      <c r="B872" t="s">
        <v>1755</v>
      </c>
      <c r="C872" t="s">
        <v>1942</v>
      </c>
      <c r="D872" t="s">
        <v>1238</v>
      </c>
      <c r="E872" t="s">
        <v>675</v>
      </c>
      <c r="F872" t="s">
        <v>675</v>
      </c>
      <c r="G872" t="s">
        <v>676</v>
      </c>
      <c r="I872" t="s">
        <v>685</v>
      </c>
      <c r="J872" t="s">
        <v>686</v>
      </c>
    </row>
    <row r="873" spans="1:10" ht="15" customHeight="1" x14ac:dyDescent="0.25">
      <c r="A873" t="s">
        <v>1943</v>
      </c>
      <c r="B873" t="s">
        <v>1755</v>
      </c>
      <c r="C873" t="s">
        <v>1944</v>
      </c>
      <c r="D873" t="s">
        <v>1238</v>
      </c>
      <c r="E873" t="s">
        <v>675</v>
      </c>
      <c r="F873" t="s">
        <v>675</v>
      </c>
      <c r="G873" t="s">
        <v>676</v>
      </c>
      <c r="I873" t="s">
        <v>685</v>
      </c>
      <c r="J873" t="s">
        <v>686</v>
      </c>
    </row>
    <row r="874" spans="1:10" ht="15" customHeight="1" x14ac:dyDescent="0.25">
      <c r="A874" t="s">
        <v>1945</v>
      </c>
      <c r="B874" t="s">
        <v>1755</v>
      </c>
      <c r="C874" t="s">
        <v>1946</v>
      </c>
      <c r="D874" t="s">
        <v>1238</v>
      </c>
      <c r="E874" t="s">
        <v>675</v>
      </c>
      <c r="F874" t="s">
        <v>675</v>
      </c>
      <c r="G874" t="s">
        <v>676</v>
      </c>
      <c r="I874" t="s">
        <v>685</v>
      </c>
      <c r="J874" t="s">
        <v>686</v>
      </c>
    </row>
    <row r="875" spans="1:10" ht="15" customHeight="1" x14ac:dyDescent="0.25">
      <c r="A875" t="s">
        <v>1947</v>
      </c>
      <c r="B875" t="s">
        <v>1755</v>
      </c>
      <c r="C875" t="s">
        <v>1948</v>
      </c>
      <c r="D875" t="s">
        <v>1238</v>
      </c>
      <c r="E875" t="s">
        <v>675</v>
      </c>
      <c r="F875" t="s">
        <v>675</v>
      </c>
      <c r="G875" t="s">
        <v>676</v>
      </c>
      <c r="I875" t="s">
        <v>685</v>
      </c>
      <c r="J875" t="s">
        <v>686</v>
      </c>
    </row>
    <row r="876" spans="1:10" ht="15" customHeight="1" x14ac:dyDescent="0.25">
      <c r="A876" t="s">
        <v>1949</v>
      </c>
      <c r="B876" t="s">
        <v>1755</v>
      </c>
      <c r="C876" t="s">
        <v>1950</v>
      </c>
      <c r="D876" t="s">
        <v>1238</v>
      </c>
      <c r="E876" t="s">
        <v>675</v>
      </c>
      <c r="F876" t="s">
        <v>675</v>
      </c>
      <c r="G876" t="s">
        <v>676</v>
      </c>
      <c r="I876" t="s">
        <v>685</v>
      </c>
      <c r="J876" t="s">
        <v>686</v>
      </c>
    </row>
    <row r="877" spans="1:10" ht="15" customHeight="1" x14ac:dyDescent="0.25">
      <c r="A877" t="s">
        <v>1951</v>
      </c>
      <c r="B877" t="s">
        <v>1755</v>
      </c>
      <c r="C877" t="s">
        <v>1952</v>
      </c>
      <c r="D877" t="s">
        <v>1238</v>
      </c>
      <c r="E877" t="s">
        <v>675</v>
      </c>
      <c r="F877" t="s">
        <v>675</v>
      </c>
      <c r="G877" t="s">
        <v>676</v>
      </c>
      <c r="I877" t="s">
        <v>685</v>
      </c>
      <c r="J877" t="s">
        <v>686</v>
      </c>
    </row>
    <row r="878" spans="1:10" ht="15" customHeight="1" x14ac:dyDescent="0.25">
      <c r="A878" t="s">
        <v>1953</v>
      </c>
      <c r="B878" t="s">
        <v>1755</v>
      </c>
      <c r="C878" t="s">
        <v>1954</v>
      </c>
      <c r="D878" t="s">
        <v>1238</v>
      </c>
      <c r="E878" t="s">
        <v>675</v>
      </c>
      <c r="F878" t="s">
        <v>675</v>
      </c>
      <c r="G878" t="s">
        <v>676</v>
      </c>
      <c r="I878" t="s">
        <v>685</v>
      </c>
      <c r="J878" t="s">
        <v>686</v>
      </c>
    </row>
    <row r="879" spans="1:10" ht="15" customHeight="1" x14ac:dyDescent="0.25">
      <c r="A879" t="s">
        <v>1955</v>
      </c>
      <c r="B879" t="s">
        <v>1755</v>
      </c>
      <c r="C879" t="s">
        <v>1956</v>
      </c>
      <c r="D879" t="s">
        <v>1238</v>
      </c>
      <c r="E879" t="s">
        <v>675</v>
      </c>
      <c r="F879" t="s">
        <v>675</v>
      </c>
      <c r="G879" t="s">
        <v>676</v>
      </c>
      <c r="I879" t="s">
        <v>685</v>
      </c>
      <c r="J879" t="s">
        <v>686</v>
      </c>
    </row>
    <row r="880" spans="1:10" ht="15" customHeight="1" x14ac:dyDescent="0.25">
      <c r="A880" t="s">
        <v>1957</v>
      </c>
      <c r="B880" t="s">
        <v>1755</v>
      </c>
      <c r="C880" t="s">
        <v>1958</v>
      </c>
      <c r="D880" t="s">
        <v>1238</v>
      </c>
      <c r="E880" t="s">
        <v>675</v>
      </c>
      <c r="F880" t="s">
        <v>675</v>
      </c>
      <c r="G880" t="s">
        <v>676</v>
      </c>
      <c r="I880" t="s">
        <v>685</v>
      </c>
      <c r="J880" t="s">
        <v>686</v>
      </c>
    </row>
    <row r="881" spans="1:10" ht="15" customHeight="1" x14ac:dyDescent="0.25">
      <c r="A881" t="s">
        <v>1959</v>
      </c>
      <c r="B881" t="s">
        <v>1755</v>
      </c>
      <c r="C881" t="s">
        <v>1960</v>
      </c>
      <c r="D881" t="s">
        <v>1238</v>
      </c>
      <c r="E881" t="s">
        <v>675</v>
      </c>
      <c r="F881" t="s">
        <v>675</v>
      </c>
      <c r="G881" t="s">
        <v>676</v>
      </c>
      <c r="I881" t="s">
        <v>685</v>
      </c>
      <c r="J881" t="s">
        <v>686</v>
      </c>
    </row>
    <row r="882" spans="1:10" ht="15" customHeight="1" x14ac:dyDescent="0.25">
      <c r="A882" t="s">
        <v>1961</v>
      </c>
      <c r="B882" t="s">
        <v>1755</v>
      </c>
      <c r="C882" t="s">
        <v>1962</v>
      </c>
      <c r="D882" t="s">
        <v>1238</v>
      </c>
      <c r="E882" t="s">
        <v>675</v>
      </c>
      <c r="F882" t="s">
        <v>675</v>
      </c>
      <c r="G882" t="s">
        <v>676</v>
      </c>
      <c r="I882" t="s">
        <v>685</v>
      </c>
      <c r="J882" t="s">
        <v>686</v>
      </c>
    </row>
    <row r="883" spans="1:10" ht="15" customHeight="1" x14ac:dyDescent="0.25">
      <c r="A883" t="s">
        <v>1963</v>
      </c>
      <c r="B883" t="s">
        <v>1755</v>
      </c>
      <c r="C883" t="s">
        <v>1964</v>
      </c>
      <c r="D883" t="s">
        <v>1238</v>
      </c>
      <c r="E883" t="s">
        <v>675</v>
      </c>
      <c r="F883" t="s">
        <v>675</v>
      </c>
      <c r="G883" t="s">
        <v>676</v>
      </c>
      <c r="I883" t="s">
        <v>685</v>
      </c>
      <c r="J883" t="s">
        <v>686</v>
      </c>
    </row>
    <row r="884" spans="1:10" ht="15" customHeight="1" x14ac:dyDescent="0.25">
      <c r="A884" t="s">
        <v>1965</v>
      </c>
      <c r="B884" t="s">
        <v>1755</v>
      </c>
      <c r="C884" t="s">
        <v>1966</v>
      </c>
      <c r="D884" t="s">
        <v>1238</v>
      </c>
      <c r="E884" t="s">
        <v>675</v>
      </c>
      <c r="F884" t="s">
        <v>675</v>
      </c>
      <c r="G884" t="s">
        <v>676</v>
      </c>
      <c r="I884" t="s">
        <v>685</v>
      </c>
      <c r="J884" t="s">
        <v>686</v>
      </c>
    </row>
    <row r="885" spans="1:10" ht="15" customHeight="1" x14ac:dyDescent="0.25">
      <c r="A885" t="s">
        <v>1967</v>
      </c>
      <c r="B885" t="s">
        <v>1755</v>
      </c>
      <c r="C885" t="s">
        <v>1968</v>
      </c>
      <c r="D885" t="s">
        <v>1238</v>
      </c>
      <c r="E885" t="s">
        <v>675</v>
      </c>
      <c r="F885" t="s">
        <v>675</v>
      </c>
      <c r="G885" t="s">
        <v>676</v>
      </c>
      <c r="I885" t="s">
        <v>685</v>
      </c>
      <c r="J885" t="s">
        <v>686</v>
      </c>
    </row>
    <row r="886" spans="1:10" ht="15" customHeight="1" x14ac:dyDescent="0.25">
      <c r="A886" t="s">
        <v>1969</v>
      </c>
      <c r="B886" t="s">
        <v>1755</v>
      </c>
      <c r="C886" t="s">
        <v>1970</v>
      </c>
      <c r="D886" t="s">
        <v>1238</v>
      </c>
      <c r="E886" t="s">
        <v>675</v>
      </c>
      <c r="F886" t="s">
        <v>675</v>
      </c>
      <c r="G886" t="s">
        <v>676</v>
      </c>
      <c r="I886" t="s">
        <v>685</v>
      </c>
      <c r="J886" t="s">
        <v>686</v>
      </c>
    </row>
    <row r="887" spans="1:10" ht="15" customHeight="1" x14ac:dyDescent="0.25">
      <c r="A887" t="s">
        <v>1971</v>
      </c>
      <c r="B887" t="s">
        <v>1755</v>
      </c>
      <c r="C887" t="s">
        <v>1972</v>
      </c>
      <c r="D887" t="s">
        <v>1238</v>
      </c>
      <c r="E887" t="s">
        <v>675</v>
      </c>
      <c r="F887" t="s">
        <v>675</v>
      </c>
      <c r="G887" t="s">
        <v>676</v>
      </c>
      <c r="I887" t="s">
        <v>685</v>
      </c>
      <c r="J887" t="s">
        <v>686</v>
      </c>
    </row>
    <row r="888" spans="1:10" ht="15" customHeight="1" x14ac:dyDescent="0.25">
      <c r="A888" t="s">
        <v>1973</v>
      </c>
      <c r="B888" t="s">
        <v>1755</v>
      </c>
      <c r="C888" t="s">
        <v>1974</v>
      </c>
      <c r="D888" t="s">
        <v>1238</v>
      </c>
      <c r="E888" t="s">
        <v>675</v>
      </c>
      <c r="F888" t="s">
        <v>675</v>
      </c>
      <c r="G888" t="s">
        <v>676</v>
      </c>
      <c r="I888" t="s">
        <v>685</v>
      </c>
      <c r="J888" t="s">
        <v>686</v>
      </c>
    </row>
    <row r="889" spans="1:10" ht="15" customHeight="1" x14ac:dyDescent="0.25">
      <c r="A889" t="s">
        <v>1975</v>
      </c>
      <c r="B889" t="s">
        <v>1755</v>
      </c>
      <c r="C889" t="s">
        <v>1976</v>
      </c>
      <c r="D889" t="s">
        <v>1238</v>
      </c>
      <c r="E889" t="s">
        <v>675</v>
      </c>
      <c r="F889" t="s">
        <v>675</v>
      </c>
      <c r="G889" t="s">
        <v>676</v>
      </c>
      <c r="I889" t="s">
        <v>685</v>
      </c>
      <c r="J889" t="s">
        <v>686</v>
      </c>
    </row>
    <row r="890" spans="1:10" ht="15" customHeight="1" x14ac:dyDescent="0.25">
      <c r="A890" t="s">
        <v>1977</v>
      </c>
      <c r="B890" t="s">
        <v>1755</v>
      </c>
      <c r="C890" t="s">
        <v>1978</v>
      </c>
      <c r="D890" t="s">
        <v>1238</v>
      </c>
      <c r="E890" t="s">
        <v>675</v>
      </c>
      <c r="F890" t="s">
        <v>675</v>
      </c>
      <c r="G890" t="s">
        <v>676</v>
      </c>
      <c r="I890" t="s">
        <v>685</v>
      </c>
      <c r="J890" t="s">
        <v>686</v>
      </c>
    </row>
    <row r="891" spans="1:10" ht="15" customHeight="1" x14ac:dyDescent="0.25">
      <c r="A891" t="s">
        <v>1979</v>
      </c>
      <c r="B891" t="s">
        <v>1755</v>
      </c>
      <c r="C891" t="s">
        <v>1980</v>
      </c>
      <c r="D891" t="s">
        <v>1238</v>
      </c>
      <c r="E891" t="s">
        <v>675</v>
      </c>
      <c r="F891" t="s">
        <v>675</v>
      </c>
      <c r="G891" t="s">
        <v>676</v>
      </c>
      <c r="I891" t="s">
        <v>685</v>
      </c>
      <c r="J891" t="s">
        <v>686</v>
      </c>
    </row>
    <row r="892" spans="1:10" ht="15" customHeight="1" x14ac:dyDescent="0.25">
      <c r="A892" t="s">
        <v>1981</v>
      </c>
      <c r="B892" t="s">
        <v>1755</v>
      </c>
      <c r="C892" t="s">
        <v>1982</v>
      </c>
      <c r="D892" t="s">
        <v>1238</v>
      </c>
      <c r="E892" t="s">
        <v>675</v>
      </c>
      <c r="F892" t="s">
        <v>675</v>
      </c>
      <c r="G892" t="s">
        <v>676</v>
      </c>
      <c r="I892" t="s">
        <v>685</v>
      </c>
      <c r="J892" t="s">
        <v>686</v>
      </c>
    </row>
    <row r="893" spans="1:10" ht="15" customHeight="1" x14ac:dyDescent="0.25">
      <c r="A893" t="s">
        <v>1983</v>
      </c>
      <c r="B893" t="s">
        <v>1755</v>
      </c>
      <c r="C893" t="s">
        <v>1984</v>
      </c>
      <c r="D893" t="s">
        <v>1238</v>
      </c>
      <c r="E893" t="s">
        <v>675</v>
      </c>
      <c r="F893" t="s">
        <v>675</v>
      </c>
      <c r="G893" t="s">
        <v>676</v>
      </c>
      <c r="I893" t="s">
        <v>685</v>
      </c>
      <c r="J893" t="s">
        <v>686</v>
      </c>
    </row>
    <row r="894" spans="1:10" ht="15" customHeight="1" x14ac:dyDescent="0.25">
      <c r="A894" t="s">
        <v>1985</v>
      </c>
      <c r="B894" t="s">
        <v>1755</v>
      </c>
      <c r="C894" t="s">
        <v>1986</v>
      </c>
      <c r="D894" t="s">
        <v>1238</v>
      </c>
      <c r="E894" t="s">
        <v>675</v>
      </c>
      <c r="F894" t="s">
        <v>675</v>
      </c>
      <c r="G894" t="s">
        <v>676</v>
      </c>
      <c r="I894" t="s">
        <v>685</v>
      </c>
      <c r="J894" t="s">
        <v>686</v>
      </c>
    </row>
    <row r="895" spans="1:10" ht="15" customHeight="1" x14ac:dyDescent="0.25">
      <c r="A895" t="s">
        <v>1987</v>
      </c>
      <c r="B895" t="s">
        <v>1755</v>
      </c>
      <c r="C895" t="s">
        <v>1988</v>
      </c>
      <c r="D895" t="s">
        <v>1238</v>
      </c>
      <c r="E895" t="s">
        <v>675</v>
      </c>
      <c r="F895" t="s">
        <v>675</v>
      </c>
      <c r="G895" t="s">
        <v>676</v>
      </c>
      <c r="I895" t="s">
        <v>685</v>
      </c>
      <c r="J895" t="s">
        <v>686</v>
      </c>
    </row>
    <row r="896" spans="1:10" ht="15" customHeight="1" x14ac:dyDescent="0.25">
      <c r="A896" t="s">
        <v>1989</v>
      </c>
      <c r="B896" t="s">
        <v>1755</v>
      </c>
      <c r="C896" t="s">
        <v>1990</v>
      </c>
      <c r="D896" t="s">
        <v>1238</v>
      </c>
      <c r="E896" t="s">
        <v>675</v>
      </c>
      <c r="F896" t="s">
        <v>675</v>
      </c>
      <c r="G896" t="s">
        <v>676</v>
      </c>
      <c r="I896" t="s">
        <v>685</v>
      </c>
      <c r="J896" t="s">
        <v>686</v>
      </c>
    </row>
    <row r="897" spans="1:10" ht="15" customHeight="1" x14ac:dyDescent="0.25">
      <c r="A897" t="s">
        <v>1991</v>
      </c>
      <c r="B897" t="s">
        <v>1755</v>
      </c>
      <c r="C897" t="s">
        <v>1992</v>
      </c>
      <c r="D897" t="s">
        <v>1238</v>
      </c>
      <c r="E897" t="s">
        <v>675</v>
      </c>
      <c r="F897" t="s">
        <v>675</v>
      </c>
      <c r="G897" t="s">
        <v>676</v>
      </c>
      <c r="I897" t="s">
        <v>685</v>
      </c>
      <c r="J897" t="s">
        <v>686</v>
      </c>
    </row>
    <row r="898" spans="1:10" ht="15" customHeight="1" x14ac:dyDescent="0.25">
      <c r="A898" t="s">
        <v>1993</v>
      </c>
      <c r="B898" t="s">
        <v>1755</v>
      </c>
      <c r="C898" t="s">
        <v>1994</v>
      </c>
      <c r="D898" t="s">
        <v>1238</v>
      </c>
      <c r="E898" t="s">
        <v>675</v>
      </c>
      <c r="F898" t="s">
        <v>675</v>
      </c>
      <c r="G898" t="s">
        <v>676</v>
      </c>
      <c r="I898" t="s">
        <v>685</v>
      </c>
      <c r="J898" t="s">
        <v>686</v>
      </c>
    </row>
    <row r="899" spans="1:10" ht="15" customHeight="1" x14ac:dyDescent="0.25">
      <c r="A899" t="s">
        <v>1995</v>
      </c>
      <c r="B899" t="s">
        <v>1755</v>
      </c>
      <c r="C899" t="s">
        <v>1996</v>
      </c>
      <c r="D899" t="s">
        <v>1238</v>
      </c>
      <c r="E899" t="s">
        <v>675</v>
      </c>
      <c r="F899" t="s">
        <v>675</v>
      </c>
      <c r="G899" t="s">
        <v>676</v>
      </c>
      <c r="I899" t="s">
        <v>685</v>
      </c>
      <c r="J899" t="s">
        <v>686</v>
      </c>
    </row>
    <row r="900" spans="1:10" ht="15" customHeight="1" x14ac:dyDescent="0.25">
      <c r="A900" t="s">
        <v>1997</v>
      </c>
      <c r="B900" t="s">
        <v>1755</v>
      </c>
      <c r="C900" t="s">
        <v>1998</v>
      </c>
      <c r="D900" t="s">
        <v>1238</v>
      </c>
      <c r="E900" t="s">
        <v>675</v>
      </c>
      <c r="F900" t="s">
        <v>675</v>
      </c>
      <c r="G900" t="s">
        <v>676</v>
      </c>
      <c r="I900" t="s">
        <v>685</v>
      </c>
      <c r="J900" t="s">
        <v>686</v>
      </c>
    </row>
    <row r="901" spans="1:10" ht="15" customHeight="1" x14ac:dyDescent="0.25">
      <c r="A901" t="s">
        <v>1999</v>
      </c>
      <c r="B901" t="s">
        <v>1755</v>
      </c>
      <c r="C901" t="s">
        <v>2000</v>
      </c>
      <c r="D901" t="s">
        <v>1238</v>
      </c>
      <c r="E901" t="s">
        <v>675</v>
      </c>
      <c r="F901" t="s">
        <v>675</v>
      </c>
      <c r="G901" t="s">
        <v>676</v>
      </c>
      <c r="I901" t="s">
        <v>685</v>
      </c>
      <c r="J901" t="s">
        <v>686</v>
      </c>
    </row>
    <row r="902" spans="1:10" ht="15" customHeight="1" x14ac:dyDescent="0.25">
      <c r="A902" t="s">
        <v>2001</v>
      </c>
      <c r="B902" t="s">
        <v>1755</v>
      </c>
      <c r="C902" t="s">
        <v>2002</v>
      </c>
      <c r="D902" t="s">
        <v>1238</v>
      </c>
      <c r="E902" t="s">
        <v>675</v>
      </c>
      <c r="F902" t="s">
        <v>675</v>
      </c>
      <c r="G902" t="s">
        <v>676</v>
      </c>
      <c r="I902" t="s">
        <v>685</v>
      </c>
      <c r="J902" t="s">
        <v>686</v>
      </c>
    </row>
    <row r="903" spans="1:10" ht="15" customHeight="1" x14ac:dyDescent="0.25">
      <c r="A903" t="s">
        <v>2003</v>
      </c>
      <c r="B903" t="s">
        <v>1755</v>
      </c>
      <c r="C903" t="s">
        <v>2004</v>
      </c>
      <c r="D903" t="s">
        <v>1238</v>
      </c>
      <c r="E903" t="s">
        <v>675</v>
      </c>
      <c r="F903" t="s">
        <v>675</v>
      </c>
      <c r="G903" t="s">
        <v>676</v>
      </c>
      <c r="I903" t="s">
        <v>685</v>
      </c>
      <c r="J903" t="s">
        <v>686</v>
      </c>
    </row>
    <row r="904" spans="1:10" ht="15" customHeight="1" x14ac:dyDescent="0.25">
      <c r="A904" t="s">
        <v>2005</v>
      </c>
      <c r="B904" t="s">
        <v>1755</v>
      </c>
      <c r="C904" t="s">
        <v>2006</v>
      </c>
      <c r="D904" t="s">
        <v>1238</v>
      </c>
      <c r="E904" t="s">
        <v>675</v>
      </c>
      <c r="F904" t="s">
        <v>675</v>
      </c>
      <c r="G904" t="s">
        <v>676</v>
      </c>
      <c r="I904" t="s">
        <v>685</v>
      </c>
      <c r="J904" t="s">
        <v>686</v>
      </c>
    </row>
    <row r="905" spans="1:10" ht="15" customHeight="1" x14ac:dyDescent="0.25">
      <c r="A905" t="s">
        <v>2007</v>
      </c>
      <c r="B905" t="s">
        <v>1755</v>
      </c>
      <c r="C905" t="s">
        <v>2008</v>
      </c>
      <c r="D905" t="s">
        <v>1238</v>
      </c>
      <c r="E905" t="s">
        <v>675</v>
      </c>
      <c r="F905" t="s">
        <v>675</v>
      </c>
      <c r="G905" t="s">
        <v>676</v>
      </c>
      <c r="I905" t="s">
        <v>685</v>
      </c>
      <c r="J905" t="s">
        <v>686</v>
      </c>
    </row>
    <row r="906" spans="1:10" ht="15" customHeight="1" x14ac:dyDescent="0.25">
      <c r="A906" t="s">
        <v>2009</v>
      </c>
      <c r="B906" t="s">
        <v>1755</v>
      </c>
      <c r="C906" t="s">
        <v>2010</v>
      </c>
      <c r="D906" t="s">
        <v>1238</v>
      </c>
      <c r="E906" t="s">
        <v>675</v>
      </c>
      <c r="F906" t="s">
        <v>675</v>
      </c>
      <c r="G906" t="s">
        <v>676</v>
      </c>
      <c r="I906" t="s">
        <v>685</v>
      </c>
      <c r="J906" t="s">
        <v>686</v>
      </c>
    </row>
    <row r="907" spans="1:10" ht="15" customHeight="1" x14ac:dyDescent="0.25">
      <c r="A907" t="s">
        <v>2011</v>
      </c>
      <c r="B907" t="s">
        <v>1755</v>
      </c>
      <c r="C907" t="s">
        <v>2012</v>
      </c>
      <c r="D907" t="s">
        <v>1238</v>
      </c>
      <c r="E907" t="s">
        <v>675</v>
      </c>
      <c r="F907" t="s">
        <v>675</v>
      </c>
      <c r="G907" t="s">
        <v>676</v>
      </c>
      <c r="I907" t="s">
        <v>685</v>
      </c>
      <c r="J907" t="s">
        <v>686</v>
      </c>
    </row>
    <row r="908" spans="1:10" ht="15" customHeight="1" x14ac:dyDescent="0.25">
      <c r="A908" t="s">
        <v>2013</v>
      </c>
      <c r="B908" t="s">
        <v>1755</v>
      </c>
      <c r="C908" t="s">
        <v>2014</v>
      </c>
      <c r="D908" t="s">
        <v>1238</v>
      </c>
      <c r="E908" t="s">
        <v>675</v>
      </c>
      <c r="F908" t="s">
        <v>675</v>
      </c>
      <c r="G908" t="s">
        <v>676</v>
      </c>
      <c r="I908" t="s">
        <v>685</v>
      </c>
      <c r="J908" t="s">
        <v>686</v>
      </c>
    </row>
    <row r="909" spans="1:10" ht="15" customHeight="1" x14ac:dyDescent="0.25">
      <c r="A909" t="s">
        <v>2015</v>
      </c>
      <c r="B909" t="s">
        <v>1755</v>
      </c>
      <c r="C909" t="s">
        <v>2016</v>
      </c>
      <c r="D909" t="s">
        <v>1238</v>
      </c>
      <c r="E909" t="s">
        <v>675</v>
      </c>
      <c r="F909" t="s">
        <v>675</v>
      </c>
      <c r="G909" t="s">
        <v>676</v>
      </c>
      <c r="I909" t="s">
        <v>685</v>
      </c>
      <c r="J909" t="s">
        <v>686</v>
      </c>
    </row>
    <row r="910" spans="1:10" ht="15" customHeight="1" x14ac:dyDescent="0.25">
      <c r="A910" t="s">
        <v>2017</v>
      </c>
      <c r="B910" t="s">
        <v>1755</v>
      </c>
      <c r="C910" t="s">
        <v>2018</v>
      </c>
      <c r="D910" t="s">
        <v>1238</v>
      </c>
      <c r="E910" t="s">
        <v>675</v>
      </c>
      <c r="F910" t="s">
        <v>675</v>
      </c>
      <c r="G910" t="s">
        <v>676</v>
      </c>
      <c r="I910" t="s">
        <v>685</v>
      </c>
      <c r="J910" t="s">
        <v>686</v>
      </c>
    </row>
    <row r="911" spans="1:10" ht="15" customHeight="1" x14ac:dyDescent="0.25">
      <c r="A911" t="s">
        <v>2019</v>
      </c>
      <c r="B911" t="s">
        <v>1755</v>
      </c>
      <c r="C911" t="s">
        <v>2020</v>
      </c>
      <c r="D911" t="s">
        <v>1238</v>
      </c>
      <c r="E911" t="s">
        <v>675</v>
      </c>
      <c r="F911" t="s">
        <v>675</v>
      </c>
      <c r="G911" t="s">
        <v>676</v>
      </c>
      <c r="I911" t="s">
        <v>685</v>
      </c>
      <c r="J911" t="s">
        <v>686</v>
      </c>
    </row>
    <row r="912" spans="1:10" ht="15" customHeight="1" x14ac:dyDescent="0.25">
      <c r="A912" t="s">
        <v>2021</v>
      </c>
      <c r="B912" t="s">
        <v>1755</v>
      </c>
      <c r="C912" t="s">
        <v>2022</v>
      </c>
      <c r="D912" t="s">
        <v>1238</v>
      </c>
      <c r="E912" t="s">
        <v>675</v>
      </c>
      <c r="F912" t="s">
        <v>675</v>
      </c>
      <c r="G912" t="s">
        <v>676</v>
      </c>
      <c r="I912" t="s">
        <v>685</v>
      </c>
      <c r="J912" t="s">
        <v>686</v>
      </c>
    </row>
    <row r="913" spans="1:10" ht="15" customHeight="1" x14ac:dyDescent="0.25">
      <c r="A913" t="s">
        <v>2023</v>
      </c>
      <c r="B913" t="s">
        <v>1755</v>
      </c>
      <c r="C913" t="s">
        <v>2024</v>
      </c>
      <c r="D913" t="s">
        <v>1238</v>
      </c>
      <c r="E913" t="s">
        <v>675</v>
      </c>
      <c r="F913" t="s">
        <v>675</v>
      </c>
      <c r="G913" t="s">
        <v>676</v>
      </c>
      <c r="I913" t="s">
        <v>685</v>
      </c>
      <c r="J913" t="s">
        <v>686</v>
      </c>
    </row>
    <row r="914" spans="1:10" ht="15" customHeight="1" x14ac:dyDescent="0.25">
      <c r="A914" t="s">
        <v>2025</v>
      </c>
      <c r="B914" t="s">
        <v>1755</v>
      </c>
      <c r="C914" t="s">
        <v>2026</v>
      </c>
      <c r="D914" t="s">
        <v>1238</v>
      </c>
      <c r="E914" t="s">
        <v>675</v>
      </c>
      <c r="F914" t="s">
        <v>675</v>
      </c>
      <c r="G914" t="s">
        <v>676</v>
      </c>
      <c r="I914" t="s">
        <v>685</v>
      </c>
      <c r="J914" t="s">
        <v>686</v>
      </c>
    </row>
    <row r="915" spans="1:10" ht="15" customHeight="1" x14ac:dyDescent="0.25">
      <c r="A915" t="s">
        <v>2027</v>
      </c>
      <c r="B915" t="s">
        <v>1755</v>
      </c>
      <c r="C915" t="s">
        <v>2028</v>
      </c>
      <c r="D915" t="s">
        <v>1238</v>
      </c>
      <c r="E915" t="s">
        <v>675</v>
      </c>
      <c r="F915" t="s">
        <v>675</v>
      </c>
      <c r="G915" t="s">
        <v>676</v>
      </c>
      <c r="I915" t="s">
        <v>685</v>
      </c>
      <c r="J915" t="s">
        <v>686</v>
      </c>
    </row>
    <row r="916" spans="1:10" ht="15" customHeight="1" x14ac:dyDescent="0.25">
      <c r="A916" t="s">
        <v>2029</v>
      </c>
      <c r="B916" t="s">
        <v>1755</v>
      </c>
      <c r="C916" t="s">
        <v>2030</v>
      </c>
      <c r="D916" t="s">
        <v>1238</v>
      </c>
      <c r="E916" t="s">
        <v>675</v>
      </c>
      <c r="F916" t="s">
        <v>675</v>
      </c>
      <c r="G916" t="s">
        <v>676</v>
      </c>
      <c r="I916" t="s">
        <v>685</v>
      </c>
      <c r="J916" t="s">
        <v>686</v>
      </c>
    </row>
    <row r="917" spans="1:10" ht="15" customHeight="1" x14ac:dyDescent="0.25">
      <c r="A917" t="s">
        <v>2031</v>
      </c>
      <c r="B917" t="s">
        <v>1755</v>
      </c>
      <c r="C917" t="s">
        <v>2032</v>
      </c>
      <c r="D917" t="s">
        <v>1238</v>
      </c>
      <c r="E917" t="s">
        <v>675</v>
      </c>
      <c r="F917" t="s">
        <v>675</v>
      </c>
      <c r="G917" t="s">
        <v>676</v>
      </c>
      <c r="I917" t="s">
        <v>685</v>
      </c>
      <c r="J917" t="s">
        <v>686</v>
      </c>
    </row>
    <row r="918" spans="1:10" ht="15" customHeight="1" x14ac:dyDescent="0.25">
      <c r="A918" t="s">
        <v>2033</v>
      </c>
      <c r="B918" t="s">
        <v>1755</v>
      </c>
      <c r="C918" t="s">
        <v>2034</v>
      </c>
      <c r="D918" t="s">
        <v>1238</v>
      </c>
      <c r="E918" t="s">
        <v>675</v>
      </c>
      <c r="F918" t="s">
        <v>675</v>
      </c>
      <c r="G918" t="s">
        <v>676</v>
      </c>
      <c r="I918" t="s">
        <v>685</v>
      </c>
      <c r="J918" t="s">
        <v>686</v>
      </c>
    </row>
    <row r="919" spans="1:10" ht="15" customHeight="1" x14ac:dyDescent="0.25">
      <c r="A919" t="s">
        <v>2035</v>
      </c>
      <c r="B919" t="s">
        <v>1755</v>
      </c>
      <c r="C919" t="s">
        <v>2036</v>
      </c>
      <c r="D919" t="s">
        <v>1238</v>
      </c>
      <c r="E919" t="s">
        <v>675</v>
      </c>
      <c r="F919" t="s">
        <v>675</v>
      </c>
      <c r="G919" t="s">
        <v>676</v>
      </c>
      <c r="I919" t="s">
        <v>685</v>
      </c>
      <c r="J919" t="s">
        <v>686</v>
      </c>
    </row>
    <row r="920" spans="1:10" ht="15" customHeight="1" x14ac:dyDescent="0.25">
      <c r="A920" t="s">
        <v>2037</v>
      </c>
      <c r="B920" t="s">
        <v>1755</v>
      </c>
      <c r="C920" t="s">
        <v>2038</v>
      </c>
      <c r="D920" t="s">
        <v>1238</v>
      </c>
      <c r="E920" t="s">
        <v>675</v>
      </c>
      <c r="F920" t="s">
        <v>675</v>
      </c>
      <c r="G920" t="s">
        <v>676</v>
      </c>
      <c r="I920" t="s">
        <v>685</v>
      </c>
      <c r="J920" t="s">
        <v>686</v>
      </c>
    </row>
    <row r="921" spans="1:10" ht="15" customHeight="1" x14ac:dyDescent="0.25">
      <c r="A921" t="s">
        <v>2039</v>
      </c>
      <c r="B921" t="s">
        <v>1755</v>
      </c>
      <c r="C921" t="s">
        <v>2040</v>
      </c>
      <c r="D921" t="s">
        <v>1238</v>
      </c>
      <c r="E921" t="s">
        <v>675</v>
      </c>
      <c r="F921" t="s">
        <v>675</v>
      </c>
      <c r="G921" t="s">
        <v>676</v>
      </c>
      <c r="I921" t="s">
        <v>685</v>
      </c>
      <c r="J921" t="s">
        <v>686</v>
      </c>
    </row>
    <row r="922" spans="1:10" ht="15" customHeight="1" x14ac:dyDescent="0.25">
      <c r="A922" t="s">
        <v>2041</v>
      </c>
      <c r="B922" t="s">
        <v>1755</v>
      </c>
      <c r="C922" t="s">
        <v>2042</v>
      </c>
      <c r="D922" t="s">
        <v>1238</v>
      </c>
      <c r="E922" t="s">
        <v>675</v>
      </c>
      <c r="F922" t="s">
        <v>675</v>
      </c>
      <c r="G922" t="s">
        <v>676</v>
      </c>
      <c r="I922" t="s">
        <v>685</v>
      </c>
      <c r="J922" t="s">
        <v>686</v>
      </c>
    </row>
    <row r="923" spans="1:10" ht="15" customHeight="1" x14ac:dyDescent="0.25">
      <c r="A923" t="s">
        <v>2043</v>
      </c>
      <c r="B923" t="s">
        <v>1755</v>
      </c>
      <c r="C923" t="s">
        <v>2044</v>
      </c>
      <c r="D923" t="s">
        <v>1238</v>
      </c>
      <c r="E923" t="s">
        <v>675</v>
      </c>
      <c r="F923" t="s">
        <v>675</v>
      </c>
      <c r="G923" t="s">
        <v>676</v>
      </c>
      <c r="I923" t="s">
        <v>685</v>
      </c>
      <c r="J923" t="s">
        <v>686</v>
      </c>
    </row>
    <row r="924" spans="1:10" ht="15" customHeight="1" x14ac:dyDescent="0.25">
      <c r="A924" t="s">
        <v>2045</v>
      </c>
      <c r="B924" t="s">
        <v>1755</v>
      </c>
      <c r="C924" t="s">
        <v>2046</v>
      </c>
      <c r="D924" t="s">
        <v>1238</v>
      </c>
      <c r="E924" t="s">
        <v>675</v>
      </c>
      <c r="F924" t="s">
        <v>675</v>
      </c>
      <c r="G924" t="s">
        <v>676</v>
      </c>
      <c r="I924" t="s">
        <v>685</v>
      </c>
      <c r="J924" t="s">
        <v>686</v>
      </c>
    </row>
    <row r="925" spans="1:10" ht="15" customHeight="1" x14ac:dyDescent="0.25">
      <c r="A925" t="s">
        <v>2047</v>
      </c>
      <c r="B925" t="s">
        <v>1755</v>
      </c>
      <c r="C925" t="s">
        <v>2048</v>
      </c>
      <c r="D925" t="s">
        <v>1238</v>
      </c>
      <c r="E925" t="s">
        <v>675</v>
      </c>
      <c r="F925" t="s">
        <v>675</v>
      </c>
      <c r="G925" t="s">
        <v>676</v>
      </c>
      <c r="I925" t="s">
        <v>685</v>
      </c>
      <c r="J925" t="s">
        <v>686</v>
      </c>
    </row>
    <row r="926" spans="1:10" ht="15" customHeight="1" x14ac:dyDescent="0.25">
      <c r="A926" t="s">
        <v>2049</v>
      </c>
      <c r="B926" t="s">
        <v>1755</v>
      </c>
      <c r="C926" t="s">
        <v>2050</v>
      </c>
      <c r="D926" t="s">
        <v>1238</v>
      </c>
      <c r="E926" t="s">
        <v>675</v>
      </c>
      <c r="F926" t="s">
        <v>675</v>
      </c>
      <c r="G926" t="s">
        <v>676</v>
      </c>
      <c r="I926" t="s">
        <v>685</v>
      </c>
      <c r="J926" t="s">
        <v>686</v>
      </c>
    </row>
    <row r="927" spans="1:10" ht="15" customHeight="1" x14ac:dyDescent="0.25">
      <c r="A927" t="s">
        <v>2051</v>
      </c>
      <c r="B927" t="s">
        <v>1755</v>
      </c>
      <c r="C927" t="s">
        <v>2052</v>
      </c>
      <c r="D927" t="s">
        <v>1238</v>
      </c>
      <c r="E927" t="s">
        <v>675</v>
      </c>
      <c r="F927" t="s">
        <v>675</v>
      </c>
      <c r="G927" t="s">
        <v>676</v>
      </c>
      <c r="I927" t="s">
        <v>685</v>
      </c>
      <c r="J927" t="s">
        <v>686</v>
      </c>
    </row>
    <row r="928" spans="1:10" ht="15" customHeight="1" x14ac:dyDescent="0.25">
      <c r="A928" t="s">
        <v>2053</v>
      </c>
      <c r="B928" t="s">
        <v>1755</v>
      </c>
      <c r="C928" t="s">
        <v>2054</v>
      </c>
      <c r="D928" t="s">
        <v>1238</v>
      </c>
      <c r="E928" t="s">
        <v>675</v>
      </c>
      <c r="F928" t="s">
        <v>675</v>
      </c>
      <c r="G928" t="s">
        <v>676</v>
      </c>
      <c r="I928" t="s">
        <v>685</v>
      </c>
      <c r="J928" t="s">
        <v>686</v>
      </c>
    </row>
    <row r="929" spans="1:10" ht="15" customHeight="1" x14ac:dyDescent="0.25">
      <c r="A929" t="s">
        <v>2055</v>
      </c>
      <c r="B929" t="s">
        <v>1755</v>
      </c>
      <c r="C929" t="s">
        <v>2056</v>
      </c>
      <c r="D929" t="s">
        <v>1238</v>
      </c>
      <c r="E929" t="s">
        <v>675</v>
      </c>
      <c r="F929" t="s">
        <v>675</v>
      </c>
      <c r="G929" t="s">
        <v>676</v>
      </c>
      <c r="I929" t="s">
        <v>685</v>
      </c>
      <c r="J929" t="s">
        <v>686</v>
      </c>
    </row>
    <row r="930" spans="1:10" ht="15" customHeight="1" x14ac:dyDescent="0.25">
      <c r="A930" t="s">
        <v>2057</v>
      </c>
      <c r="B930" t="s">
        <v>1755</v>
      </c>
      <c r="C930" t="s">
        <v>2058</v>
      </c>
      <c r="D930" t="s">
        <v>1238</v>
      </c>
      <c r="E930" t="s">
        <v>675</v>
      </c>
      <c r="F930" t="s">
        <v>675</v>
      </c>
      <c r="G930" t="s">
        <v>676</v>
      </c>
      <c r="I930" t="s">
        <v>685</v>
      </c>
      <c r="J930" t="s">
        <v>686</v>
      </c>
    </row>
    <row r="931" spans="1:10" ht="15" customHeight="1" x14ac:dyDescent="0.25">
      <c r="A931" t="s">
        <v>2059</v>
      </c>
      <c r="B931" t="s">
        <v>1755</v>
      </c>
      <c r="C931" t="s">
        <v>2060</v>
      </c>
      <c r="D931" t="s">
        <v>1238</v>
      </c>
      <c r="E931" t="s">
        <v>675</v>
      </c>
      <c r="F931" t="s">
        <v>675</v>
      </c>
      <c r="G931" t="s">
        <v>676</v>
      </c>
      <c r="I931" t="s">
        <v>685</v>
      </c>
      <c r="J931" t="s">
        <v>686</v>
      </c>
    </row>
    <row r="932" spans="1:10" ht="15" customHeight="1" x14ac:dyDescent="0.25">
      <c r="A932" t="s">
        <v>2061</v>
      </c>
      <c r="B932" t="s">
        <v>1755</v>
      </c>
      <c r="C932" t="s">
        <v>2062</v>
      </c>
      <c r="D932" t="s">
        <v>1238</v>
      </c>
      <c r="E932" t="s">
        <v>675</v>
      </c>
      <c r="F932" t="s">
        <v>675</v>
      </c>
      <c r="G932" t="s">
        <v>676</v>
      </c>
      <c r="I932" t="s">
        <v>685</v>
      </c>
      <c r="J932" t="s">
        <v>686</v>
      </c>
    </row>
    <row r="933" spans="1:10" ht="15" customHeight="1" x14ac:dyDescent="0.25">
      <c r="A933" t="s">
        <v>2063</v>
      </c>
      <c r="B933" t="s">
        <v>1755</v>
      </c>
      <c r="C933" t="s">
        <v>2064</v>
      </c>
      <c r="D933" t="s">
        <v>1238</v>
      </c>
      <c r="E933" t="s">
        <v>675</v>
      </c>
      <c r="F933" t="s">
        <v>675</v>
      </c>
      <c r="G933" t="s">
        <v>676</v>
      </c>
      <c r="I933" t="s">
        <v>685</v>
      </c>
      <c r="J933" t="s">
        <v>686</v>
      </c>
    </row>
    <row r="934" spans="1:10" ht="15" customHeight="1" x14ac:dyDescent="0.25">
      <c r="A934" t="s">
        <v>2065</v>
      </c>
      <c r="B934" t="s">
        <v>1755</v>
      </c>
      <c r="C934" t="s">
        <v>2066</v>
      </c>
      <c r="D934" t="s">
        <v>1238</v>
      </c>
      <c r="E934" t="s">
        <v>675</v>
      </c>
      <c r="F934" t="s">
        <v>675</v>
      </c>
      <c r="G934" t="s">
        <v>676</v>
      </c>
      <c r="I934" t="s">
        <v>685</v>
      </c>
      <c r="J934" t="s">
        <v>686</v>
      </c>
    </row>
    <row r="935" spans="1:10" ht="15" customHeight="1" x14ac:dyDescent="0.25">
      <c r="A935" t="s">
        <v>2067</v>
      </c>
      <c r="B935" t="s">
        <v>1755</v>
      </c>
      <c r="C935" t="s">
        <v>2068</v>
      </c>
      <c r="D935" t="s">
        <v>1238</v>
      </c>
      <c r="E935" t="s">
        <v>675</v>
      </c>
      <c r="F935" t="s">
        <v>675</v>
      </c>
      <c r="G935" t="s">
        <v>676</v>
      </c>
      <c r="I935" t="s">
        <v>685</v>
      </c>
      <c r="J935" t="s">
        <v>686</v>
      </c>
    </row>
    <row r="936" spans="1:10" ht="15" customHeight="1" x14ac:dyDescent="0.25">
      <c r="A936" t="s">
        <v>2069</v>
      </c>
      <c r="B936" t="s">
        <v>1755</v>
      </c>
      <c r="C936" t="s">
        <v>2070</v>
      </c>
      <c r="D936" t="s">
        <v>1238</v>
      </c>
      <c r="E936" t="s">
        <v>675</v>
      </c>
      <c r="F936" t="s">
        <v>675</v>
      </c>
      <c r="G936" t="s">
        <v>676</v>
      </c>
      <c r="I936" t="s">
        <v>685</v>
      </c>
      <c r="J936" t="s">
        <v>686</v>
      </c>
    </row>
    <row r="937" spans="1:10" ht="15" customHeight="1" x14ac:dyDescent="0.25">
      <c r="A937" t="s">
        <v>2071</v>
      </c>
      <c r="B937" t="s">
        <v>1755</v>
      </c>
      <c r="C937" t="s">
        <v>2072</v>
      </c>
      <c r="D937" t="s">
        <v>1238</v>
      </c>
      <c r="E937" t="s">
        <v>675</v>
      </c>
      <c r="F937" t="s">
        <v>675</v>
      </c>
      <c r="G937" t="s">
        <v>676</v>
      </c>
      <c r="I937" t="s">
        <v>685</v>
      </c>
      <c r="J937" t="s">
        <v>686</v>
      </c>
    </row>
    <row r="938" spans="1:10" ht="15" customHeight="1" x14ac:dyDescent="0.25">
      <c r="A938" t="s">
        <v>2073</v>
      </c>
      <c r="B938" t="s">
        <v>1755</v>
      </c>
      <c r="C938" t="s">
        <v>2074</v>
      </c>
      <c r="D938" t="s">
        <v>1238</v>
      </c>
      <c r="E938" t="s">
        <v>675</v>
      </c>
      <c r="F938" t="s">
        <v>675</v>
      </c>
      <c r="G938" t="s">
        <v>676</v>
      </c>
      <c r="I938" t="s">
        <v>685</v>
      </c>
      <c r="J938" t="s">
        <v>686</v>
      </c>
    </row>
    <row r="939" spans="1:10" ht="15" customHeight="1" x14ac:dyDescent="0.25">
      <c r="A939" t="s">
        <v>2075</v>
      </c>
      <c r="B939" t="s">
        <v>1755</v>
      </c>
      <c r="C939" t="s">
        <v>2076</v>
      </c>
      <c r="D939" t="s">
        <v>1238</v>
      </c>
      <c r="E939" t="s">
        <v>675</v>
      </c>
      <c r="F939" t="s">
        <v>675</v>
      </c>
      <c r="G939" t="s">
        <v>676</v>
      </c>
      <c r="I939" t="s">
        <v>685</v>
      </c>
      <c r="J939" t="s">
        <v>686</v>
      </c>
    </row>
    <row r="940" spans="1:10" ht="15" customHeight="1" x14ac:dyDescent="0.25">
      <c r="A940" t="s">
        <v>2077</v>
      </c>
      <c r="B940" t="s">
        <v>1755</v>
      </c>
      <c r="C940" t="s">
        <v>2078</v>
      </c>
      <c r="D940" t="s">
        <v>1238</v>
      </c>
      <c r="E940" t="s">
        <v>675</v>
      </c>
      <c r="F940" t="s">
        <v>675</v>
      </c>
      <c r="G940" t="s">
        <v>676</v>
      </c>
      <c r="I940" t="s">
        <v>685</v>
      </c>
      <c r="J940" t="s">
        <v>686</v>
      </c>
    </row>
    <row r="941" spans="1:10" ht="15" customHeight="1" x14ac:dyDescent="0.25">
      <c r="A941" t="s">
        <v>2079</v>
      </c>
      <c r="B941" t="s">
        <v>1755</v>
      </c>
      <c r="C941" t="s">
        <v>2080</v>
      </c>
      <c r="D941" t="s">
        <v>1238</v>
      </c>
      <c r="E941" t="s">
        <v>675</v>
      </c>
      <c r="F941" t="s">
        <v>675</v>
      </c>
      <c r="G941" t="s">
        <v>676</v>
      </c>
      <c r="I941" t="s">
        <v>685</v>
      </c>
      <c r="J941" t="s">
        <v>686</v>
      </c>
    </row>
    <row r="942" spans="1:10" ht="15" customHeight="1" x14ac:dyDescent="0.25">
      <c r="A942" t="s">
        <v>2081</v>
      </c>
      <c r="B942" t="s">
        <v>1755</v>
      </c>
      <c r="C942" t="s">
        <v>2082</v>
      </c>
      <c r="D942" t="s">
        <v>1238</v>
      </c>
      <c r="E942" t="s">
        <v>675</v>
      </c>
      <c r="F942" t="s">
        <v>675</v>
      </c>
      <c r="G942" t="s">
        <v>676</v>
      </c>
      <c r="I942" t="s">
        <v>685</v>
      </c>
      <c r="J942" t="s">
        <v>686</v>
      </c>
    </row>
    <row r="943" spans="1:10" ht="15" customHeight="1" x14ac:dyDescent="0.25">
      <c r="A943" t="s">
        <v>2083</v>
      </c>
      <c r="B943" t="s">
        <v>1755</v>
      </c>
      <c r="C943" t="s">
        <v>2084</v>
      </c>
      <c r="D943" t="s">
        <v>1238</v>
      </c>
      <c r="E943" t="s">
        <v>675</v>
      </c>
      <c r="F943" t="s">
        <v>675</v>
      </c>
      <c r="G943" t="s">
        <v>676</v>
      </c>
      <c r="I943" t="s">
        <v>685</v>
      </c>
      <c r="J943" t="s">
        <v>686</v>
      </c>
    </row>
    <row r="944" spans="1:10" ht="15" customHeight="1" x14ac:dyDescent="0.25">
      <c r="A944" t="s">
        <v>2085</v>
      </c>
      <c r="B944" t="s">
        <v>1755</v>
      </c>
      <c r="C944" t="s">
        <v>2086</v>
      </c>
      <c r="D944" t="s">
        <v>1238</v>
      </c>
      <c r="E944" t="s">
        <v>675</v>
      </c>
      <c r="F944" t="s">
        <v>675</v>
      </c>
      <c r="G944" t="s">
        <v>676</v>
      </c>
      <c r="I944" t="s">
        <v>685</v>
      </c>
      <c r="J944" t="s">
        <v>686</v>
      </c>
    </row>
    <row r="945" spans="1:10" ht="15" customHeight="1" x14ac:dyDescent="0.25">
      <c r="A945" t="s">
        <v>2087</v>
      </c>
      <c r="B945" t="s">
        <v>1755</v>
      </c>
      <c r="C945" t="s">
        <v>2088</v>
      </c>
      <c r="D945" t="s">
        <v>1238</v>
      </c>
      <c r="E945" t="s">
        <v>675</v>
      </c>
      <c r="F945" t="s">
        <v>675</v>
      </c>
      <c r="G945" t="s">
        <v>676</v>
      </c>
      <c r="I945" t="s">
        <v>685</v>
      </c>
      <c r="J945" t="s">
        <v>686</v>
      </c>
    </row>
    <row r="946" spans="1:10" ht="15" customHeight="1" x14ac:dyDescent="0.25">
      <c r="A946" t="s">
        <v>2089</v>
      </c>
      <c r="B946" t="s">
        <v>1755</v>
      </c>
      <c r="C946" t="s">
        <v>2090</v>
      </c>
      <c r="D946" t="s">
        <v>1238</v>
      </c>
      <c r="E946" t="s">
        <v>675</v>
      </c>
      <c r="F946" t="s">
        <v>675</v>
      </c>
      <c r="G946" t="s">
        <v>676</v>
      </c>
      <c r="I946" t="s">
        <v>685</v>
      </c>
      <c r="J946" t="s">
        <v>686</v>
      </c>
    </row>
    <row r="947" spans="1:10" ht="15" customHeight="1" x14ac:dyDescent="0.25">
      <c r="A947" t="s">
        <v>2091</v>
      </c>
      <c r="B947" t="s">
        <v>1755</v>
      </c>
      <c r="C947" t="s">
        <v>2092</v>
      </c>
      <c r="D947" t="s">
        <v>1238</v>
      </c>
      <c r="E947" t="s">
        <v>675</v>
      </c>
      <c r="F947" t="s">
        <v>675</v>
      </c>
      <c r="G947" t="s">
        <v>676</v>
      </c>
      <c r="I947" t="s">
        <v>685</v>
      </c>
      <c r="J947" t="s">
        <v>686</v>
      </c>
    </row>
    <row r="948" spans="1:10" ht="15" customHeight="1" x14ac:dyDescent="0.25">
      <c r="A948" t="s">
        <v>2093</v>
      </c>
      <c r="B948" t="s">
        <v>1755</v>
      </c>
      <c r="C948" t="s">
        <v>2094</v>
      </c>
      <c r="D948" t="s">
        <v>1238</v>
      </c>
      <c r="E948" t="s">
        <v>675</v>
      </c>
      <c r="F948" t="s">
        <v>675</v>
      </c>
      <c r="G948" t="s">
        <v>676</v>
      </c>
      <c r="I948" t="s">
        <v>685</v>
      </c>
      <c r="J948" t="s">
        <v>686</v>
      </c>
    </row>
    <row r="949" spans="1:10" ht="15" customHeight="1" x14ac:dyDescent="0.25">
      <c r="A949" t="s">
        <v>2095</v>
      </c>
      <c r="B949" t="s">
        <v>1755</v>
      </c>
      <c r="C949" t="s">
        <v>2096</v>
      </c>
      <c r="D949" t="s">
        <v>1238</v>
      </c>
      <c r="E949" t="s">
        <v>675</v>
      </c>
      <c r="F949" t="s">
        <v>675</v>
      </c>
      <c r="G949" t="s">
        <v>676</v>
      </c>
      <c r="I949" t="s">
        <v>685</v>
      </c>
      <c r="J949" t="s">
        <v>686</v>
      </c>
    </row>
    <row r="950" spans="1:10" ht="15" customHeight="1" x14ac:dyDescent="0.25">
      <c r="A950" t="s">
        <v>2097</v>
      </c>
      <c r="B950" t="s">
        <v>1755</v>
      </c>
      <c r="C950" t="s">
        <v>2098</v>
      </c>
      <c r="D950" t="s">
        <v>1238</v>
      </c>
      <c r="E950" t="s">
        <v>675</v>
      </c>
      <c r="F950" t="s">
        <v>675</v>
      </c>
      <c r="G950" t="s">
        <v>676</v>
      </c>
      <c r="I950" t="s">
        <v>685</v>
      </c>
      <c r="J950" t="s">
        <v>686</v>
      </c>
    </row>
    <row r="951" spans="1:10" ht="15" customHeight="1" x14ac:dyDescent="0.25">
      <c r="A951" t="s">
        <v>2099</v>
      </c>
      <c r="B951" t="s">
        <v>1755</v>
      </c>
      <c r="C951" t="s">
        <v>2100</v>
      </c>
      <c r="D951" t="s">
        <v>1238</v>
      </c>
      <c r="E951" t="s">
        <v>675</v>
      </c>
      <c r="F951" t="s">
        <v>675</v>
      </c>
      <c r="G951" t="s">
        <v>676</v>
      </c>
      <c r="I951" t="s">
        <v>685</v>
      </c>
      <c r="J951" t="s">
        <v>686</v>
      </c>
    </row>
    <row r="952" spans="1:10" ht="15" customHeight="1" x14ac:dyDescent="0.25">
      <c r="A952" t="s">
        <v>2101</v>
      </c>
      <c r="B952" t="s">
        <v>1755</v>
      </c>
      <c r="C952" t="s">
        <v>2102</v>
      </c>
      <c r="D952" t="s">
        <v>1238</v>
      </c>
      <c r="E952" t="s">
        <v>675</v>
      </c>
      <c r="F952" t="s">
        <v>675</v>
      </c>
      <c r="G952" t="s">
        <v>676</v>
      </c>
      <c r="I952" t="s">
        <v>685</v>
      </c>
      <c r="J952" t="s">
        <v>686</v>
      </c>
    </row>
    <row r="953" spans="1:10" ht="15" customHeight="1" x14ac:dyDescent="0.25">
      <c r="A953" t="s">
        <v>2103</v>
      </c>
      <c r="B953" t="s">
        <v>1755</v>
      </c>
      <c r="C953" t="s">
        <v>2104</v>
      </c>
      <c r="D953" t="s">
        <v>1238</v>
      </c>
      <c r="E953" t="s">
        <v>675</v>
      </c>
      <c r="F953" t="s">
        <v>675</v>
      </c>
      <c r="G953" t="s">
        <v>676</v>
      </c>
      <c r="I953" t="s">
        <v>685</v>
      </c>
      <c r="J953" t="s">
        <v>686</v>
      </c>
    </row>
    <row r="954" spans="1:10" ht="15" customHeight="1" x14ac:dyDescent="0.25">
      <c r="A954" t="s">
        <v>2105</v>
      </c>
      <c r="B954" t="s">
        <v>1755</v>
      </c>
      <c r="C954" t="s">
        <v>2106</v>
      </c>
      <c r="D954" t="s">
        <v>1238</v>
      </c>
      <c r="E954" t="s">
        <v>675</v>
      </c>
      <c r="F954" t="s">
        <v>675</v>
      </c>
      <c r="G954" t="s">
        <v>676</v>
      </c>
      <c r="I954" t="s">
        <v>685</v>
      </c>
      <c r="J954" t="s">
        <v>686</v>
      </c>
    </row>
    <row r="955" spans="1:10" ht="15" customHeight="1" x14ac:dyDescent="0.25">
      <c r="A955" t="s">
        <v>2107</v>
      </c>
      <c r="B955" t="s">
        <v>1755</v>
      </c>
      <c r="C955" t="s">
        <v>2108</v>
      </c>
      <c r="D955" t="s">
        <v>1238</v>
      </c>
      <c r="E955" t="s">
        <v>675</v>
      </c>
      <c r="F955" t="s">
        <v>675</v>
      </c>
      <c r="G955" t="s">
        <v>676</v>
      </c>
      <c r="I955" t="s">
        <v>685</v>
      </c>
      <c r="J955" t="s">
        <v>686</v>
      </c>
    </row>
    <row r="956" spans="1:10" ht="15" customHeight="1" x14ac:dyDescent="0.25">
      <c r="A956" t="s">
        <v>2109</v>
      </c>
      <c r="B956" t="s">
        <v>1755</v>
      </c>
      <c r="C956" t="s">
        <v>2110</v>
      </c>
      <c r="D956" t="s">
        <v>1238</v>
      </c>
      <c r="E956" t="s">
        <v>675</v>
      </c>
      <c r="F956" t="s">
        <v>675</v>
      </c>
      <c r="G956" t="s">
        <v>676</v>
      </c>
      <c r="I956" t="s">
        <v>685</v>
      </c>
      <c r="J956" t="s">
        <v>686</v>
      </c>
    </row>
    <row r="957" spans="1:10" ht="15" customHeight="1" x14ac:dyDescent="0.25">
      <c r="A957" t="s">
        <v>2111</v>
      </c>
      <c r="B957" t="s">
        <v>1755</v>
      </c>
      <c r="C957" t="s">
        <v>2112</v>
      </c>
      <c r="D957" t="s">
        <v>1238</v>
      </c>
      <c r="E957" t="s">
        <v>675</v>
      </c>
      <c r="F957" t="s">
        <v>675</v>
      </c>
      <c r="G957" t="s">
        <v>676</v>
      </c>
      <c r="I957" t="s">
        <v>685</v>
      </c>
      <c r="J957" t="s">
        <v>686</v>
      </c>
    </row>
    <row r="958" spans="1:10" ht="15" customHeight="1" x14ac:dyDescent="0.25">
      <c r="A958" t="s">
        <v>2113</v>
      </c>
      <c r="B958" t="s">
        <v>1755</v>
      </c>
      <c r="C958" t="s">
        <v>2114</v>
      </c>
      <c r="D958" t="s">
        <v>1238</v>
      </c>
      <c r="E958" t="s">
        <v>675</v>
      </c>
      <c r="F958" t="s">
        <v>675</v>
      </c>
      <c r="G958" t="s">
        <v>676</v>
      </c>
      <c r="I958" t="s">
        <v>685</v>
      </c>
      <c r="J958" t="s">
        <v>686</v>
      </c>
    </row>
    <row r="959" spans="1:10" ht="15" customHeight="1" x14ac:dyDescent="0.25">
      <c r="A959" t="s">
        <v>2115</v>
      </c>
      <c r="B959" t="s">
        <v>1755</v>
      </c>
      <c r="C959" t="s">
        <v>2116</v>
      </c>
      <c r="D959" t="s">
        <v>1238</v>
      </c>
      <c r="E959" t="s">
        <v>675</v>
      </c>
      <c r="F959" t="s">
        <v>675</v>
      </c>
      <c r="G959" t="s">
        <v>676</v>
      </c>
      <c r="I959" t="s">
        <v>685</v>
      </c>
      <c r="J959" t="s">
        <v>686</v>
      </c>
    </row>
    <row r="960" spans="1:10" ht="15" customHeight="1" x14ac:dyDescent="0.25">
      <c r="A960" t="s">
        <v>2117</v>
      </c>
      <c r="B960" t="s">
        <v>1755</v>
      </c>
      <c r="C960" t="s">
        <v>2118</v>
      </c>
      <c r="D960" t="s">
        <v>1238</v>
      </c>
      <c r="E960" t="s">
        <v>675</v>
      </c>
      <c r="F960" t="s">
        <v>675</v>
      </c>
      <c r="G960" t="s">
        <v>676</v>
      </c>
      <c r="I960" t="s">
        <v>685</v>
      </c>
      <c r="J960" t="s">
        <v>686</v>
      </c>
    </row>
    <row r="961" spans="1:10" ht="15" customHeight="1" x14ac:dyDescent="0.25">
      <c r="A961" t="s">
        <v>2119</v>
      </c>
      <c r="B961" t="s">
        <v>1755</v>
      </c>
      <c r="C961" t="s">
        <v>2120</v>
      </c>
      <c r="D961" t="s">
        <v>1238</v>
      </c>
      <c r="E961" t="s">
        <v>675</v>
      </c>
      <c r="F961" t="s">
        <v>675</v>
      </c>
      <c r="G961" t="s">
        <v>676</v>
      </c>
      <c r="I961" t="s">
        <v>685</v>
      </c>
      <c r="J961" t="s">
        <v>686</v>
      </c>
    </row>
    <row r="962" spans="1:10" ht="15" customHeight="1" x14ac:dyDescent="0.25">
      <c r="A962" t="s">
        <v>2121</v>
      </c>
      <c r="B962" t="s">
        <v>1755</v>
      </c>
      <c r="C962" t="s">
        <v>2122</v>
      </c>
      <c r="D962" t="s">
        <v>1238</v>
      </c>
      <c r="E962" t="s">
        <v>675</v>
      </c>
      <c r="F962" t="s">
        <v>675</v>
      </c>
      <c r="G962" t="s">
        <v>676</v>
      </c>
      <c r="I962" t="s">
        <v>685</v>
      </c>
      <c r="J962" t="s">
        <v>686</v>
      </c>
    </row>
    <row r="963" spans="1:10" ht="15" customHeight="1" x14ac:dyDescent="0.25">
      <c r="A963" t="s">
        <v>2123</v>
      </c>
      <c r="B963" t="s">
        <v>1755</v>
      </c>
      <c r="C963" t="s">
        <v>2124</v>
      </c>
      <c r="D963" t="s">
        <v>1238</v>
      </c>
      <c r="E963" t="s">
        <v>675</v>
      </c>
      <c r="F963" t="s">
        <v>675</v>
      </c>
      <c r="G963" t="s">
        <v>676</v>
      </c>
      <c r="I963" t="s">
        <v>685</v>
      </c>
      <c r="J963" t="s">
        <v>686</v>
      </c>
    </row>
    <row r="964" spans="1:10" ht="15" customHeight="1" x14ac:dyDescent="0.25">
      <c r="A964" t="s">
        <v>2125</v>
      </c>
      <c r="B964" t="s">
        <v>1755</v>
      </c>
      <c r="C964" t="s">
        <v>2126</v>
      </c>
      <c r="D964" t="s">
        <v>1238</v>
      </c>
      <c r="E964" t="s">
        <v>675</v>
      </c>
      <c r="F964" t="s">
        <v>675</v>
      </c>
      <c r="G964" t="s">
        <v>676</v>
      </c>
      <c r="I964" t="s">
        <v>685</v>
      </c>
      <c r="J964" t="s">
        <v>686</v>
      </c>
    </row>
    <row r="965" spans="1:10" ht="15" customHeight="1" x14ac:dyDescent="0.25">
      <c r="A965" t="s">
        <v>2127</v>
      </c>
      <c r="B965" t="s">
        <v>1755</v>
      </c>
      <c r="C965" t="s">
        <v>2128</v>
      </c>
      <c r="D965" t="s">
        <v>1238</v>
      </c>
      <c r="E965" t="s">
        <v>675</v>
      </c>
      <c r="F965" t="s">
        <v>675</v>
      </c>
      <c r="G965" t="s">
        <v>676</v>
      </c>
      <c r="I965" t="s">
        <v>685</v>
      </c>
      <c r="J965" t="s">
        <v>686</v>
      </c>
    </row>
    <row r="966" spans="1:10" ht="15" customHeight="1" x14ac:dyDescent="0.25">
      <c r="A966" t="s">
        <v>2129</v>
      </c>
      <c r="B966" t="s">
        <v>1755</v>
      </c>
      <c r="C966" t="s">
        <v>2130</v>
      </c>
      <c r="D966" t="s">
        <v>1238</v>
      </c>
      <c r="E966" t="s">
        <v>675</v>
      </c>
      <c r="F966" t="s">
        <v>675</v>
      </c>
      <c r="G966" t="s">
        <v>676</v>
      </c>
      <c r="I966" t="s">
        <v>685</v>
      </c>
      <c r="J966" t="s">
        <v>686</v>
      </c>
    </row>
    <row r="967" spans="1:10" ht="15" customHeight="1" x14ac:dyDescent="0.25">
      <c r="A967" t="s">
        <v>2131</v>
      </c>
      <c r="B967" t="s">
        <v>1755</v>
      </c>
      <c r="C967" t="s">
        <v>2132</v>
      </c>
      <c r="D967" t="s">
        <v>1238</v>
      </c>
      <c r="E967" t="s">
        <v>675</v>
      </c>
      <c r="F967" t="s">
        <v>675</v>
      </c>
      <c r="G967" t="s">
        <v>676</v>
      </c>
      <c r="I967" t="s">
        <v>685</v>
      </c>
      <c r="J967" t="s">
        <v>686</v>
      </c>
    </row>
    <row r="968" spans="1:10" ht="15" customHeight="1" x14ac:dyDescent="0.25">
      <c r="A968" t="s">
        <v>2133</v>
      </c>
      <c r="B968" t="s">
        <v>1755</v>
      </c>
      <c r="C968" t="s">
        <v>2134</v>
      </c>
      <c r="D968" t="s">
        <v>1238</v>
      </c>
      <c r="E968" t="s">
        <v>675</v>
      </c>
      <c r="F968" t="s">
        <v>675</v>
      </c>
      <c r="G968" t="s">
        <v>676</v>
      </c>
      <c r="I968" t="s">
        <v>685</v>
      </c>
      <c r="J968" t="s">
        <v>686</v>
      </c>
    </row>
    <row r="969" spans="1:10" ht="15" customHeight="1" x14ac:dyDescent="0.25">
      <c r="A969" t="s">
        <v>2135</v>
      </c>
      <c r="B969" t="s">
        <v>1755</v>
      </c>
      <c r="C969" t="s">
        <v>2136</v>
      </c>
      <c r="D969" t="s">
        <v>1238</v>
      </c>
      <c r="E969" t="s">
        <v>675</v>
      </c>
      <c r="F969" t="s">
        <v>675</v>
      </c>
      <c r="G969" t="s">
        <v>676</v>
      </c>
      <c r="I969" t="s">
        <v>685</v>
      </c>
      <c r="J969" t="s">
        <v>686</v>
      </c>
    </row>
    <row r="970" spans="1:10" ht="15" customHeight="1" x14ac:dyDescent="0.25">
      <c r="A970" t="s">
        <v>2137</v>
      </c>
      <c r="B970" t="s">
        <v>1755</v>
      </c>
      <c r="C970" t="s">
        <v>2138</v>
      </c>
      <c r="D970" t="s">
        <v>1238</v>
      </c>
      <c r="E970" t="s">
        <v>675</v>
      </c>
      <c r="F970" t="s">
        <v>675</v>
      </c>
      <c r="G970" t="s">
        <v>676</v>
      </c>
      <c r="I970" t="s">
        <v>685</v>
      </c>
      <c r="J970" t="s">
        <v>686</v>
      </c>
    </row>
    <row r="971" spans="1:10" ht="15" customHeight="1" x14ac:dyDescent="0.25">
      <c r="A971" t="s">
        <v>2139</v>
      </c>
      <c r="B971" t="s">
        <v>1755</v>
      </c>
      <c r="C971" t="s">
        <v>2140</v>
      </c>
      <c r="D971" t="s">
        <v>1238</v>
      </c>
      <c r="E971" t="s">
        <v>675</v>
      </c>
      <c r="F971" t="s">
        <v>675</v>
      </c>
      <c r="G971" t="s">
        <v>676</v>
      </c>
      <c r="I971" t="s">
        <v>685</v>
      </c>
      <c r="J971" t="s">
        <v>686</v>
      </c>
    </row>
    <row r="972" spans="1:10" ht="15" customHeight="1" x14ac:dyDescent="0.25">
      <c r="A972" t="s">
        <v>2141</v>
      </c>
      <c r="B972" t="s">
        <v>1755</v>
      </c>
      <c r="C972" t="s">
        <v>2142</v>
      </c>
      <c r="D972" t="s">
        <v>1238</v>
      </c>
      <c r="E972" t="s">
        <v>675</v>
      </c>
      <c r="F972" t="s">
        <v>675</v>
      </c>
      <c r="G972" t="s">
        <v>676</v>
      </c>
      <c r="I972" t="s">
        <v>685</v>
      </c>
      <c r="J972" t="s">
        <v>686</v>
      </c>
    </row>
    <row r="973" spans="1:10" ht="15" customHeight="1" x14ac:dyDescent="0.25">
      <c r="A973" t="s">
        <v>2143</v>
      </c>
      <c r="B973" t="s">
        <v>1755</v>
      </c>
      <c r="C973" t="s">
        <v>2144</v>
      </c>
      <c r="D973" t="s">
        <v>1238</v>
      </c>
      <c r="E973" t="s">
        <v>675</v>
      </c>
      <c r="F973" t="s">
        <v>675</v>
      </c>
      <c r="G973" t="s">
        <v>676</v>
      </c>
      <c r="I973" t="s">
        <v>685</v>
      </c>
      <c r="J973" t="s">
        <v>686</v>
      </c>
    </row>
    <row r="974" spans="1:10" ht="15" customHeight="1" x14ac:dyDescent="0.25">
      <c r="A974" t="s">
        <v>2145</v>
      </c>
      <c r="B974" t="s">
        <v>1755</v>
      </c>
      <c r="C974" t="s">
        <v>2146</v>
      </c>
      <c r="D974" t="s">
        <v>1238</v>
      </c>
      <c r="E974" t="s">
        <v>675</v>
      </c>
      <c r="F974" t="s">
        <v>675</v>
      </c>
      <c r="G974" t="s">
        <v>676</v>
      </c>
      <c r="I974" t="s">
        <v>685</v>
      </c>
      <c r="J974" t="s">
        <v>686</v>
      </c>
    </row>
    <row r="975" spans="1:10" ht="15" customHeight="1" x14ac:dyDescent="0.25">
      <c r="A975" t="s">
        <v>2147</v>
      </c>
      <c r="B975" t="s">
        <v>1755</v>
      </c>
      <c r="C975" t="s">
        <v>2148</v>
      </c>
      <c r="D975" t="s">
        <v>1238</v>
      </c>
      <c r="E975" t="s">
        <v>675</v>
      </c>
      <c r="F975" t="s">
        <v>675</v>
      </c>
      <c r="G975" t="s">
        <v>676</v>
      </c>
      <c r="I975" t="s">
        <v>685</v>
      </c>
      <c r="J975" t="s">
        <v>686</v>
      </c>
    </row>
    <row r="976" spans="1:10" ht="15" customHeight="1" x14ac:dyDescent="0.25">
      <c r="A976" t="s">
        <v>2149</v>
      </c>
      <c r="B976" t="s">
        <v>1755</v>
      </c>
      <c r="C976" t="s">
        <v>2150</v>
      </c>
      <c r="D976" t="s">
        <v>1238</v>
      </c>
      <c r="E976" t="s">
        <v>675</v>
      </c>
      <c r="F976" t="s">
        <v>675</v>
      </c>
      <c r="G976" t="s">
        <v>676</v>
      </c>
      <c r="I976" t="s">
        <v>685</v>
      </c>
      <c r="J976" t="s">
        <v>686</v>
      </c>
    </row>
    <row r="977" spans="1:10" ht="15" customHeight="1" x14ac:dyDescent="0.25">
      <c r="A977" t="s">
        <v>2151</v>
      </c>
      <c r="B977" t="s">
        <v>1755</v>
      </c>
      <c r="C977" t="s">
        <v>2152</v>
      </c>
      <c r="D977" t="s">
        <v>1238</v>
      </c>
      <c r="E977" t="s">
        <v>675</v>
      </c>
      <c r="F977" t="s">
        <v>675</v>
      </c>
      <c r="G977" t="s">
        <v>676</v>
      </c>
      <c r="I977" t="s">
        <v>685</v>
      </c>
      <c r="J977" t="s">
        <v>686</v>
      </c>
    </row>
    <row r="978" spans="1:10" ht="15" customHeight="1" x14ac:dyDescent="0.25">
      <c r="A978" t="s">
        <v>2153</v>
      </c>
      <c r="B978" t="s">
        <v>1755</v>
      </c>
      <c r="C978" t="s">
        <v>2154</v>
      </c>
      <c r="D978" t="s">
        <v>1238</v>
      </c>
      <c r="E978" t="s">
        <v>675</v>
      </c>
      <c r="F978" t="s">
        <v>675</v>
      </c>
      <c r="G978" t="s">
        <v>676</v>
      </c>
      <c r="I978" t="s">
        <v>685</v>
      </c>
      <c r="J978" t="s">
        <v>686</v>
      </c>
    </row>
    <row r="979" spans="1:10" ht="15" customHeight="1" x14ac:dyDescent="0.25">
      <c r="A979" t="s">
        <v>2155</v>
      </c>
      <c r="B979" t="s">
        <v>1755</v>
      </c>
      <c r="C979" t="s">
        <v>2156</v>
      </c>
      <c r="D979" t="s">
        <v>1238</v>
      </c>
      <c r="E979" t="s">
        <v>675</v>
      </c>
      <c r="F979" t="s">
        <v>675</v>
      </c>
      <c r="G979" t="s">
        <v>676</v>
      </c>
      <c r="I979" t="s">
        <v>685</v>
      </c>
      <c r="J979" t="s">
        <v>686</v>
      </c>
    </row>
    <row r="980" spans="1:10" x14ac:dyDescent="0.25">
      <c r="A980" t="s">
        <v>2157</v>
      </c>
      <c r="B980" t="s">
        <v>1755</v>
      </c>
      <c r="C980" t="s">
        <v>2158</v>
      </c>
      <c r="D980" t="s">
        <v>1238</v>
      </c>
      <c r="E980" t="s">
        <v>675</v>
      </c>
      <c r="F980" t="s">
        <v>675</v>
      </c>
      <c r="G980" t="s">
        <v>676</v>
      </c>
      <c r="I980" t="s">
        <v>685</v>
      </c>
      <c r="J980" t="s">
        <v>686</v>
      </c>
    </row>
    <row r="981" spans="1:10" ht="15" customHeight="1" x14ac:dyDescent="0.25">
      <c r="A981" t="s">
        <v>2159</v>
      </c>
      <c r="B981" t="s">
        <v>1755</v>
      </c>
      <c r="C981" t="s">
        <v>2160</v>
      </c>
      <c r="D981" t="s">
        <v>1238</v>
      </c>
      <c r="E981" t="s">
        <v>675</v>
      </c>
      <c r="F981" t="s">
        <v>675</v>
      </c>
      <c r="G981" t="s">
        <v>676</v>
      </c>
      <c r="I981" t="s">
        <v>685</v>
      </c>
      <c r="J981" t="s">
        <v>686</v>
      </c>
    </row>
    <row r="982" spans="1:10" ht="15" customHeight="1" x14ac:dyDescent="0.25">
      <c r="A982" t="s">
        <v>2161</v>
      </c>
      <c r="B982" t="s">
        <v>1755</v>
      </c>
      <c r="C982" t="s">
        <v>2162</v>
      </c>
      <c r="D982" t="s">
        <v>1238</v>
      </c>
      <c r="E982" t="s">
        <v>675</v>
      </c>
      <c r="F982" t="s">
        <v>675</v>
      </c>
      <c r="G982" t="s">
        <v>676</v>
      </c>
      <c r="I982" t="s">
        <v>685</v>
      </c>
      <c r="J982" t="s">
        <v>686</v>
      </c>
    </row>
    <row r="983" spans="1:10" ht="15" customHeight="1" x14ac:dyDescent="0.25">
      <c r="A983" t="s">
        <v>2163</v>
      </c>
      <c r="B983" t="s">
        <v>1755</v>
      </c>
      <c r="C983" t="s">
        <v>2164</v>
      </c>
      <c r="D983" t="s">
        <v>1238</v>
      </c>
      <c r="E983" t="s">
        <v>675</v>
      </c>
      <c r="F983" t="s">
        <v>675</v>
      </c>
      <c r="G983" t="s">
        <v>676</v>
      </c>
      <c r="I983" t="s">
        <v>685</v>
      </c>
      <c r="J983" t="s">
        <v>686</v>
      </c>
    </row>
    <row r="984" spans="1:10" ht="15" customHeight="1" x14ac:dyDescent="0.25">
      <c r="A984" t="s">
        <v>2165</v>
      </c>
      <c r="B984" t="s">
        <v>1755</v>
      </c>
      <c r="C984" t="s">
        <v>2166</v>
      </c>
      <c r="D984" t="s">
        <v>1238</v>
      </c>
      <c r="E984" t="s">
        <v>675</v>
      </c>
      <c r="F984" t="s">
        <v>675</v>
      </c>
      <c r="G984" t="s">
        <v>676</v>
      </c>
      <c r="I984" t="s">
        <v>685</v>
      </c>
      <c r="J984" t="s">
        <v>686</v>
      </c>
    </row>
    <row r="985" spans="1:10" ht="15" customHeight="1" x14ac:dyDescent="0.25">
      <c r="A985" t="s">
        <v>2167</v>
      </c>
      <c r="B985" t="s">
        <v>1755</v>
      </c>
      <c r="C985" t="s">
        <v>2168</v>
      </c>
      <c r="D985" t="s">
        <v>1238</v>
      </c>
      <c r="E985" t="s">
        <v>675</v>
      </c>
      <c r="F985" t="s">
        <v>675</v>
      </c>
      <c r="G985" t="s">
        <v>676</v>
      </c>
      <c r="I985" t="s">
        <v>685</v>
      </c>
      <c r="J985" t="s">
        <v>686</v>
      </c>
    </row>
    <row r="986" spans="1:10" ht="15" customHeight="1" x14ac:dyDescent="0.25">
      <c r="A986" t="s">
        <v>2169</v>
      </c>
      <c r="B986" t="s">
        <v>1755</v>
      </c>
      <c r="C986" t="s">
        <v>2170</v>
      </c>
      <c r="D986" t="s">
        <v>1238</v>
      </c>
      <c r="E986" t="s">
        <v>675</v>
      </c>
      <c r="F986" t="s">
        <v>675</v>
      </c>
      <c r="G986" t="s">
        <v>676</v>
      </c>
      <c r="I986" t="s">
        <v>685</v>
      </c>
      <c r="J986" t="s">
        <v>686</v>
      </c>
    </row>
    <row r="987" spans="1:10" ht="15" customHeight="1" x14ac:dyDescent="0.25">
      <c r="A987" t="s">
        <v>2171</v>
      </c>
      <c r="B987" t="s">
        <v>2172</v>
      </c>
      <c r="C987" t="s">
        <v>2173</v>
      </c>
      <c r="D987" t="s">
        <v>1430</v>
      </c>
      <c r="E987" t="s">
        <v>675</v>
      </c>
      <c r="F987" t="s">
        <v>675</v>
      </c>
      <c r="G987" t="s">
        <v>676</v>
      </c>
      <c r="I987" t="s">
        <v>685</v>
      </c>
      <c r="J987" t="s">
        <v>686</v>
      </c>
    </row>
    <row r="988" spans="1:10" ht="15" customHeight="1" x14ac:dyDescent="0.25">
      <c r="A988" t="s">
        <v>2174</v>
      </c>
      <c r="B988" t="s">
        <v>2172</v>
      </c>
      <c r="C988" t="s">
        <v>2175</v>
      </c>
      <c r="D988" t="s">
        <v>1238</v>
      </c>
      <c r="E988" t="s">
        <v>675</v>
      </c>
      <c r="F988" t="s">
        <v>728</v>
      </c>
      <c r="G988" t="s">
        <v>676</v>
      </c>
    </row>
    <row r="989" spans="1:10" ht="15" hidden="1" customHeight="1" x14ac:dyDescent="0.25">
      <c r="A989" t="s">
        <v>641</v>
      </c>
      <c r="B989" t="s">
        <v>641</v>
      </c>
      <c r="C989" t="s">
        <v>2176</v>
      </c>
      <c r="D989" t="s">
        <v>674</v>
      </c>
      <c r="E989" t="s">
        <v>637</v>
      </c>
      <c r="F989" t="s">
        <v>701</v>
      </c>
      <c r="G989" t="s">
        <v>676</v>
      </c>
      <c r="I989" t="s">
        <v>685</v>
      </c>
      <c r="J989" t="s">
        <v>686</v>
      </c>
    </row>
    <row r="990" spans="1:10" ht="15" hidden="1" customHeight="1" x14ac:dyDescent="0.25">
      <c r="A990" t="s">
        <v>653</v>
      </c>
      <c r="B990" t="s">
        <v>653</v>
      </c>
      <c r="C990" t="s">
        <v>2177</v>
      </c>
      <c r="D990" t="s">
        <v>1238</v>
      </c>
      <c r="E990" t="s">
        <v>645</v>
      </c>
      <c r="F990" t="s">
        <v>781</v>
      </c>
      <c r="G990" t="s">
        <v>676</v>
      </c>
      <c r="I990" t="s">
        <v>685</v>
      </c>
      <c r="J990" t="s">
        <v>686</v>
      </c>
    </row>
    <row r="991" spans="1:10" ht="15" customHeight="1" x14ac:dyDescent="0.25">
      <c r="A991" t="s">
        <v>2178</v>
      </c>
      <c r="B991" t="s">
        <v>2178</v>
      </c>
      <c r="C991" t="s">
        <v>2179</v>
      </c>
      <c r="D991" t="s">
        <v>674</v>
      </c>
      <c r="E991" t="s">
        <v>675</v>
      </c>
      <c r="F991" t="s">
        <v>675</v>
      </c>
      <c r="G991" t="s">
        <v>676</v>
      </c>
      <c r="I991" t="s">
        <v>685</v>
      </c>
      <c r="J991" t="s">
        <v>686</v>
      </c>
    </row>
    <row r="992" spans="1:10" ht="15" customHeight="1" x14ac:dyDescent="0.25">
      <c r="A992" t="s">
        <v>2180</v>
      </c>
      <c r="B992" t="s">
        <v>2181</v>
      </c>
      <c r="C992" t="s">
        <v>2182</v>
      </c>
      <c r="D992" t="s">
        <v>1238</v>
      </c>
      <c r="E992" t="s">
        <v>675</v>
      </c>
      <c r="F992" t="s">
        <v>675</v>
      </c>
      <c r="G992" t="s">
        <v>676</v>
      </c>
    </row>
    <row r="993" spans="1:10" ht="15" customHeight="1" x14ac:dyDescent="0.25">
      <c r="A993" t="s">
        <v>2183</v>
      </c>
      <c r="B993" s="9" t="s">
        <v>2184</v>
      </c>
      <c r="C993" t="s">
        <v>2185</v>
      </c>
      <c r="D993" t="s">
        <v>1238</v>
      </c>
      <c r="E993" t="s">
        <v>675</v>
      </c>
      <c r="F993" t="s">
        <v>675</v>
      </c>
      <c r="G993" t="s">
        <v>676</v>
      </c>
      <c r="I993" t="s">
        <v>685</v>
      </c>
      <c r="J993" t="s">
        <v>686</v>
      </c>
    </row>
    <row r="994" spans="1:10" ht="15" customHeight="1" x14ac:dyDescent="0.25">
      <c r="A994" t="s">
        <v>2186</v>
      </c>
      <c r="B994" t="s">
        <v>2184</v>
      </c>
      <c r="C994" t="s">
        <v>2187</v>
      </c>
      <c r="D994" t="s">
        <v>1238</v>
      </c>
      <c r="E994" t="s">
        <v>675</v>
      </c>
      <c r="F994" t="s">
        <v>675</v>
      </c>
      <c r="G994" t="s">
        <v>676</v>
      </c>
      <c r="I994" t="s">
        <v>708</v>
      </c>
      <c r="J994" t="s">
        <v>709</v>
      </c>
    </row>
    <row r="995" spans="1:10" ht="15" customHeight="1" x14ac:dyDescent="0.25">
      <c r="A995" t="s">
        <v>2188</v>
      </c>
      <c r="B995" t="s">
        <v>2184</v>
      </c>
      <c r="C995" t="s">
        <v>2189</v>
      </c>
      <c r="D995" t="s">
        <v>1238</v>
      </c>
      <c r="E995" t="s">
        <v>675</v>
      </c>
      <c r="F995" t="s">
        <v>675</v>
      </c>
      <c r="G995" t="s">
        <v>676</v>
      </c>
      <c r="I995" t="s">
        <v>685</v>
      </c>
      <c r="J995" t="s">
        <v>686</v>
      </c>
    </row>
    <row r="996" spans="1:10" ht="15" customHeight="1" x14ac:dyDescent="0.25">
      <c r="A996" t="s">
        <v>2190</v>
      </c>
      <c r="B996" t="s">
        <v>2184</v>
      </c>
      <c r="C996" t="s">
        <v>2191</v>
      </c>
      <c r="D996" t="s">
        <v>1238</v>
      </c>
      <c r="E996" t="s">
        <v>675</v>
      </c>
      <c r="F996" t="s">
        <v>675</v>
      </c>
      <c r="G996" t="s">
        <v>676</v>
      </c>
      <c r="I996" t="s">
        <v>715</v>
      </c>
      <c r="J996" t="s">
        <v>716</v>
      </c>
    </row>
    <row r="997" spans="1:10" ht="15" customHeight="1" x14ac:dyDescent="0.25">
      <c r="A997" t="s">
        <v>2192</v>
      </c>
      <c r="B997" t="s">
        <v>2184</v>
      </c>
      <c r="C997" t="s">
        <v>2193</v>
      </c>
      <c r="D997" t="s">
        <v>1238</v>
      </c>
      <c r="E997" t="s">
        <v>675</v>
      </c>
      <c r="F997" t="s">
        <v>675</v>
      </c>
      <c r="G997" t="s">
        <v>676</v>
      </c>
      <c r="I997" t="s">
        <v>715</v>
      </c>
      <c r="J997" t="s">
        <v>716</v>
      </c>
    </row>
    <row r="998" spans="1:10" ht="15" customHeight="1" x14ac:dyDescent="0.25">
      <c r="A998" t="s">
        <v>2194</v>
      </c>
      <c r="B998" t="s">
        <v>2184</v>
      </c>
      <c r="C998" t="s">
        <v>2195</v>
      </c>
      <c r="D998" t="s">
        <v>1238</v>
      </c>
      <c r="E998" t="s">
        <v>675</v>
      </c>
      <c r="F998" t="s">
        <v>675</v>
      </c>
      <c r="G998" t="s">
        <v>676</v>
      </c>
      <c r="I998" t="s">
        <v>685</v>
      </c>
      <c r="J998" t="s">
        <v>686</v>
      </c>
    </row>
    <row r="999" spans="1:10" ht="15" customHeight="1" x14ac:dyDescent="0.25">
      <c r="A999" t="s">
        <v>2196</v>
      </c>
      <c r="B999" t="s">
        <v>2184</v>
      </c>
      <c r="C999" t="s">
        <v>2197</v>
      </c>
      <c r="D999" t="s">
        <v>1238</v>
      </c>
      <c r="E999" t="s">
        <v>675</v>
      </c>
      <c r="F999" t="s">
        <v>675</v>
      </c>
      <c r="G999" t="s">
        <v>676</v>
      </c>
      <c r="I999" t="s">
        <v>680</v>
      </c>
      <c r="J999" t="s">
        <v>681</v>
      </c>
    </row>
    <row r="1000" spans="1:10" ht="15" customHeight="1" x14ac:dyDescent="0.25">
      <c r="A1000" t="s">
        <v>2198</v>
      </c>
      <c r="B1000" t="s">
        <v>2184</v>
      </c>
      <c r="C1000" t="s">
        <v>2199</v>
      </c>
      <c r="D1000" t="s">
        <v>1238</v>
      </c>
      <c r="E1000" t="s">
        <v>675</v>
      </c>
      <c r="F1000" t="s">
        <v>675</v>
      </c>
      <c r="G1000" t="s">
        <v>676</v>
      </c>
      <c r="I1000" t="s">
        <v>715</v>
      </c>
      <c r="J1000" t="s">
        <v>716</v>
      </c>
    </row>
    <row r="1001" spans="1:10" ht="15" customHeight="1" x14ac:dyDescent="0.25">
      <c r="A1001" t="s">
        <v>2200</v>
      </c>
      <c r="B1001" t="s">
        <v>2184</v>
      </c>
      <c r="C1001" t="s">
        <v>2201</v>
      </c>
      <c r="D1001" t="s">
        <v>1238</v>
      </c>
      <c r="E1001" t="s">
        <v>675</v>
      </c>
      <c r="F1001" t="s">
        <v>675</v>
      </c>
      <c r="G1001" t="s">
        <v>676</v>
      </c>
      <c r="I1001" t="s">
        <v>685</v>
      </c>
      <c r="J1001" t="s">
        <v>686</v>
      </c>
    </row>
    <row r="1002" spans="1:10" ht="15" customHeight="1" x14ac:dyDescent="0.25">
      <c r="A1002" t="s">
        <v>2202</v>
      </c>
      <c r="B1002" t="s">
        <v>2184</v>
      </c>
      <c r="D1002" t="s">
        <v>1238</v>
      </c>
      <c r="E1002" t="s">
        <v>675</v>
      </c>
      <c r="F1002" t="s">
        <v>675</v>
      </c>
      <c r="G1002" t="s">
        <v>676</v>
      </c>
      <c r="I1002" t="s">
        <v>827</v>
      </c>
      <c r="J1002" t="s">
        <v>709</v>
      </c>
    </row>
    <row r="1003" spans="1:10" ht="15" customHeight="1" x14ac:dyDescent="0.25">
      <c r="A1003" t="s">
        <v>2203</v>
      </c>
      <c r="B1003" t="s">
        <v>2184</v>
      </c>
      <c r="D1003" t="s">
        <v>1238</v>
      </c>
      <c r="E1003" t="s">
        <v>675</v>
      </c>
      <c r="F1003" t="s">
        <v>675</v>
      </c>
      <c r="G1003" t="s">
        <v>676</v>
      </c>
      <c r="I1003" t="s">
        <v>708</v>
      </c>
      <c r="J1003" t="s">
        <v>709</v>
      </c>
    </row>
    <row r="1004" spans="1:10" ht="15" customHeight="1" x14ac:dyDescent="0.25">
      <c r="A1004" t="s">
        <v>2204</v>
      </c>
      <c r="B1004" t="s">
        <v>2184</v>
      </c>
      <c r="D1004" t="s">
        <v>1238</v>
      </c>
      <c r="E1004" t="s">
        <v>675</v>
      </c>
      <c r="F1004" t="s">
        <v>675</v>
      </c>
      <c r="G1004" t="s">
        <v>676</v>
      </c>
      <c r="I1004" t="s">
        <v>1260</v>
      </c>
      <c r="J1004" t="s">
        <v>855</v>
      </c>
    </row>
    <row r="1005" spans="1:10" ht="15" customHeight="1" x14ac:dyDescent="0.25">
      <c r="A1005" t="s">
        <v>2205</v>
      </c>
      <c r="B1005" t="s">
        <v>2184</v>
      </c>
      <c r="D1005" t="s">
        <v>1238</v>
      </c>
      <c r="E1005" t="s">
        <v>675</v>
      </c>
      <c r="F1005" t="s">
        <v>675</v>
      </c>
      <c r="G1005" t="s">
        <v>676</v>
      </c>
      <c r="I1005" t="s">
        <v>1267</v>
      </c>
      <c r="J1005" t="s">
        <v>681</v>
      </c>
    </row>
    <row r="1006" spans="1:10" ht="15" customHeight="1" x14ac:dyDescent="0.25">
      <c r="A1006" t="s">
        <v>2206</v>
      </c>
      <c r="B1006" t="s">
        <v>2184</v>
      </c>
      <c r="D1006" t="s">
        <v>1238</v>
      </c>
      <c r="E1006" t="s">
        <v>675</v>
      </c>
      <c r="F1006" t="s">
        <v>675</v>
      </c>
      <c r="G1006" t="s">
        <v>676</v>
      </c>
      <c r="I1006" t="s">
        <v>685</v>
      </c>
      <c r="J1006" t="s">
        <v>686</v>
      </c>
    </row>
    <row r="1007" spans="1:10" ht="15" customHeight="1" x14ac:dyDescent="0.25">
      <c r="A1007" t="s">
        <v>2207</v>
      </c>
      <c r="B1007" t="s">
        <v>2184</v>
      </c>
      <c r="C1007" t="s">
        <v>2208</v>
      </c>
      <c r="D1007" t="s">
        <v>1238</v>
      </c>
      <c r="E1007" t="s">
        <v>675</v>
      </c>
      <c r="F1007" t="s">
        <v>675</v>
      </c>
      <c r="G1007" t="s">
        <v>676</v>
      </c>
      <c r="I1007" t="s">
        <v>685</v>
      </c>
      <c r="J1007" t="s">
        <v>686</v>
      </c>
    </row>
    <row r="1008" spans="1:10" ht="15" customHeight="1" x14ac:dyDescent="0.25">
      <c r="A1008" t="s">
        <v>2209</v>
      </c>
      <c r="B1008" t="s">
        <v>2184</v>
      </c>
      <c r="C1008" t="s">
        <v>2210</v>
      </c>
      <c r="D1008" t="s">
        <v>1238</v>
      </c>
      <c r="E1008" t="s">
        <v>675</v>
      </c>
      <c r="F1008" t="s">
        <v>675</v>
      </c>
      <c r="G1008" t="s">
        <v>676</v>
      </c>
      <c r="I1008" t="s">
        <v>685</v>
      </c>
      <c r="J1008" t="s">
        <v>686</v>
      </c>
    </row>
    <row r="1009" spans="1:10" ht="15" customHeight="1" x14ac:dyDescent="0.25">
      <c r="A1009" t="s">
        <v>2211</v>
      </c>
      <c r="B1009" t="s">
        <v>2184</v>
      </c>
      <c r="D1009" t="s">
        <v>1238</v>
      </c>
      <c r="E1009" t="s">
        <v>675</v>
      </c>
      <c r="F1009" t="s">
        <v>675</v>
      </c>
      <c r="G1009" t="s">
        <v>676</v>
      </c>
      <c r="I1009" t="s">
        <v>1365</v>
      </c>
      <c r="J1009" t="s">
        <v>762</v>
      </c>
    </row>
    <row r="1010" spans="1:10" ht="15" customHeight="1" x14ac:dyDescent="0.25">
      <c r="A1010" t="s">
        <v>2212</v>
      </c>
      <c r="B1010" t="s">
        <v>2184</v>
      </c>
      <c r="C1010" t="s">
        <v>2213</v>
      </c>
      <c r="D1010" t="s">
        <v>1238</v>
      </c>
      <c r="E1010" t="s">
        <v>675</v>
      </c>
      <c r="F1010" t="s">
        <v>675</v>
      </c>
      <c r="G1010" t="s">
        <v>676</v>
      </c>
      <c r="I1010" t="s">
        <v>685</v>
      </c>
      <c r="J1010" t="s">
        <v>686</v>
      </c>
    </row>
    <row r="1011" spans="1:10" ht="15" customHeight="1" x14ac:dyDescent="0.25">
      <c r="A1011" t="s">
        <v>2214</v>
      </c>
      <c r="B1011" t="s">
        <v>2184</v>
      </c>
      <c r="C1011" t="s">
        <v>2215</v>
      </c>
      <c r="D1011" t="s">
        <v>1238</v>
      </c>
      <c r="E1011" t="s">
        <v>675</v>
      </c>
      <c r="F1011" t="s">
        <v>675</v>
      </c>
      <c r="G1011" t="s">
        <v>676</v>
      </c>
      <c r="I1011" t="s">
        <v>1247</v>
      </c>
      <c r="J1011" t="s">
        <v>709</v>
      </c>
    </row>
    <row r="1012" spans="1:10" ht="15" customHeight="1" x14ac:dyDescent="0.25">
      <c r="A1012" t="s">
        <v>2216</v>
      </c>
      <c r="B1012" t="s">
        <v>2184</v>
      </c>
      <c r="C1012" t="s">
        <v>2217</v>
      </c>
      <c r="D1012" t="s">
        <v>1238</v>
      </c>
      <c r="E1012" t="s">
        <v>675</v>
      </c>
      <c r="F1012" t="s">
        <v>675</v>
      </c>
      <c r="G1012" t="s">
        <v>676</v>
      </c>
      <c r="I1012" t="s">
        <v>685</v>
      </c>
      <c r="J1012" t="s">
        <v>686</v>
      </c>
    </row>
    <row r="1013" spans="1:10" ht="15" customHeight="1" x14ac:dyDescent="0.25">
      <c r="A1013" t="s">
        <v>2218</v>
      </c>
      <c r="B1013" t="s">
        <v>2184</v>
      </c>
      <c r="C1013" t="s">
        <v>2219</v>
      </c>
      <c r="D1013" t="s">
        <v>1238</v>
      </c>
      <c r="E1013" t="s">
        <v>675</v>
      </c>
      <c r="F1013" t="s">
        <v>675</v>
      </c>
      <c r="G1013" t="s">
        <v>676</v>
      </c>
      <c r="I1013" t="s">
        <v>685</v>
      </c>
      <c r="J1013" t="s">
        <v>686</v>
      </c>
    </row>
    <row r="1014" spans="1:10" ht="15" customHeight="1" x14ac:dyDescent="0.25">
      <c r="A1014" t="s">
        <v>2220</v>
      </c>
      <c r="B1014" t="s">
        <v>2184</v>
      </c>
      <c r="C1014" t="s">
        <v>2221</v>
      </c>
      <c r="D1014" t="s">
        <v>1238</v>
      </c>
      <c r="E1014" t="s">
        <v>675</v>
      </c>
      <c r="F1014" t="s">
        <v>675</v>
      </c>
      <c r="G1014" t="s">
        <v>676</v>
      </c>
      <c r="I1014" t="s">
        <v>715</v>
      </c>
      <c r="J1014" t="s">
        <v>716</v>
      </c>
    </row>
    <row r="1015" spans="1:10" ht="15" customHeight="1" x14ac:dyDescent="0.25">
      <c r="A1015" t="s">
        <v>2222</v>
      </c>
      <c r="B1015" t="s">
        <v>2184</v>
      </c>
      <c r="C1015" t="s">
        <v>2223</v>
      </c>
      <c r="D1015" t="s">
        <v>1238</v>
      </c>
      <c r="E1015" t="s">
        <v>675</v>
      </c>
      <c r="F1015" t="s">
        <v>675</v>
      </c>
      <c r="G1015" t="s">
        <v>676</v>
      </c>
      <c r="I1015" t="s">
        <v>715</v>
      </c>
      <c r="J1015" t="s">
        <v>716</v>
      </c>
    </row>
    <row r="1016" spans="1:10" ht="15" customHeight="1" x14ac:dyDescent="0.25">
      <c r="A1016" t="s">
        <v>2224</v>
      </c>
      <c r="B1016" t="s">
        <v>2184</v>
      </c>
      <c r="C1016" t="s">
        <v>2225</v>
      </c>
      <c r="D1016" t="s">
        <v>1238</v>
      </c>
      <c r="E1016" t="s">
        <v>675</v>
      </c>
      <c r="F1016" t="s">
        <v>675</v>
      </c>
      <c r="G1016" t="s">
        <v>676</v>
      </c>
      <c r="I1016" t="s">
        <v>715</v>
      </c>
      <c r="J1016" t="s">
        <v>716</v>
      </c>
    </row>
    <row r="1017" spans="1:10" ht="15" customHeight="1" x14ac:dyDescent="0.25">
      <c r="A1017" t="s">
        <v>2226</v>
      </c>
      <c r="B1017" t="s">
        <v>2184</v>
      </c>
      <c r="D1017" t="s">
        <v>1238</v>
      </c>
      <c r="E1017" t="s">
        <v>675</v>
      </c>
      <c r="F1017" t="s">
        <v>675</v>
      </c>
      <c r="G1017" t="s">
        <v>676</v>
      </c>
      <c r="I1017" t="s">
        <v>715</v>
      </c>
      <c r="J1017" t="s">
        <v>716</v>
      </c>
    </row>
    <row r="1018" spans="1:10" ht="15" customHeight="1" x14ac:dyDescent="0.25">
      <c r="A1018" t="s">
        <v>2227</v>
      </c>
      <c r="B1018" t="s">
        <v>2184</v>
      </c>
      <c r="C1018" t="s">
        <v>2228</v>
      </c>
      <c r="D1018" t="s">
        <v>1238</v>
      </c>
      <c r="E1018" t="s">
        <v>675</v>
      </c>
      <c r="F1018" t="s">
        <v>675</v>
      </c>
      <c r="G1018" t="s">
        <v>676</v>
      </c>
      <c r="I1018" t="s">
        <v>685</v>
      </c>
      <c r="J1018" t="s">
        <v>686</v>
      </c>
    </row>
    <row r="1019" spans="1:10" ht="15" customHeight="1" x14ac:dyDescent="0.25">
      <c r="A1019" t="s">
        <v>2229</v>
      </c>
      <c r="B1019" t="s">
        <v>2184</v>
      </c>
      <c r="C1019" t="s">
        <v>2230</v>
      </c>
      <c r="D1019" t="s">
        <v>1238</v>
      </c>
      <c r="E1019" t="s">
        <v>675</v>
      </c>
      <c r="F1019" t="s">
        <v>675</v>
      </c>
      <c r="G1019" t="s">
        <v>676</v>
      </c>
      <c r="I1019" t="s">
        <v>715</v>
      </c>
      <c r="J1019" t="s">
        <v>716</v>
      </c>
    </row>
    <row r="1020" spans="1:10" ht="15" customHeight="1" x14ac:dyDescent="0.25">
      <c r="A1020" t="s">
        <v>2231</v>
      </c>
      <c r="B1020" t="s">
        <v>2184</v>
      </c>
      <c r="C1020" t="s">
        <v>2232</v>
      </c>
      <c r="D1020" t="s">
        <v>1238</v>
      </c>
      <c r="E1020" t="s">
        <v>675</v>
      </c>
      <c r="F1020" t="s">
        <v>728</v>
      </c>
      <c r="G1020" t="s">
        <v>676</v>
      </c>
      <c r="I1020" t="s">
        <v>853</v>
      </c>
      <c r="J1020" t="s">
        <v>807</v>
      </c>
    </row>
    <row r="1021" spans="1:10" ht="15" customHeight="1" x14ac:dyDescent="0.25">
      <c r="A1021" t="s">
        <v>2233</v>
      </c>
      <c r="B1021" t="s">
        <v>2184</v>
      </c>
      <c r="D1021" t="s">
        <v>1238</v>
      </c>
      <c r="E1021" t="s">
        <v>675</v>
      </c>
      <c r="F1021" t="s">
        <v>675</v>
      </c>
      <c r="G1021" t="s">
        <v>676</v>
      </c>
      <c r="I1021" t="s">
        <v>685</v>
      </c>
      <c r="J1021" t="s">
        <v>686</v>
      </c>
    </row>
    <row r="1022" spans="1:10" ht="15" customHeight="1" x14ac:dyDescent="0.25">
      <c r="A1022" t="s">
        <v>2234</v>
      </c>
      <c r="B1022" t="s">
        <v>2184</v>
      </c>
      <c r="C1022" t="s">
        <v>2235</v>
      </c>
      <c r="D1022" t="s">
        <v>1238</v>
      </c>
      <c r="E1022" t="s">
        <v>675</v>
      </c>
      <c r="F1022" t="s">
        <v>675</v>
      </c>
      <c r="G1022" t="s">
        <v>676</v>
      </c>
      <c r="I1022" t="s">
        <v>715</v>
      </c>
      <c r="J1022" t="s">
        <v>716</v>
      </c>
    </row>
    <row r="1023" spans="1:10" ht="15" customHeight="1" x14ac:dyDescent="0.25">
      <c r="A1023" t="s">
        <v>2236</v>
      </c>
      <c r="B1023" t="s">
        <v>2184</v>
      </c>
      <c r="D1023" t="s">
        <v>1238</v>
      </c>
      <c r="E1023" t="s">
        <v>675</v>
      </c>
      <c r="F1023" t="s">
        <v>675</v>
      </c>
      <c r="G1023" t="s">
        <v>676</v>
      </c>
      <c r="I1023" t="s">
        <v>870</v>
      </c>
      <c r="J1023" t="s">
        <v>681</v>
      </c>
    </row>
    <row r="1024" spans="1:10" ht="15" customHeight="1" x14ac:dyDescent="0.25">
      <c r="A1024" t="s">
        <v>2237</v>
      </c>
      <c r="B1024" t="s">
        <v>2184</v>
      </c>
      <c r="C1024" t="s">
        <v>2238</v>
      </c>
      <c r="D1024" t="s">
        <v>1238</v>
      </c>
      <c r="E1024" t="s">
        <v>675</v>
      </c>
      <c r="F1024" t="s">
        <v>675</v>
      </c>
      <c r="G1024" t="s">
        <v>676</v>
      </c>
      <c r="I1024" t="s">
        <v>685</v>
      </c>
      <c r="J1024" t="s">
        <v>686</v>
      </c>
    </row>
    <row r="1025" spans="1:10" ht="15" customHeight="1" x14ac:dyDescent="0.25">
      <c r="A1025" t="s">
        <v>2239</v>
      </c>
      <c r="B1025" t="s">
        <v>2184</v>
      </c>
      <c r="C1025" t="s">
        <v>2240</v>
      </c>
      <c r="D1025" t="s">
        <v>1238</v>
      </c>
      <c r="E1025" t="s">
        <v>675</v>
      </c>
      <c r="F1025" t="s">
        <v>675</v>
      </c>
      <c r="G1025" t="s">
        <v>676</v>
      </c>
      <c r="I1025" t="s">
        <v>685</v>
      </c>
      <c r="J1025" t="s">
        <v>686</v>
      </c>
    </row>
    <row r="1026" spans="1:10" ht="15" customHeight="1" x14ac:dyDescent="0.25">
      <c r="A1026" t="s">
        <v>2241</v>
      </c>
      <c r="B1026" t="s">
        <v>2184</v>
      </c>
      <c r="C1026" t="s">
        <v>2242</v>
      </c>
      <c r="D1026" t="s">
        <v>1238</v>
      </c>
      <c r="E1026" t="s">
        <v>675</v>
      </c>
      <c r="F1026" t="s">
        <v>675</v>
      </c>
      <c r="G1026" t="s">
        <v>676</v>
      </c>
      <c r="I1026" t="s">
        <v>685</v>
      </c>
      <c r="J1026" t="s">
        <v>686</v>
      </c>
    </row>
    <row r="1027" spans="1:10" ht="15" customHeight="1" x14ac:dyDescent="0.25">
      <c r="A1027" t="s">
        <v>2243</v>
      </c>
      <c r="B1027" t="s">
        <v>2184</v>
      </c>
      <c r="C1027" t="s">
        <v>2244</v>
      </c>
      <c r="D1027" t="s">
        <v>1238</v>
      </c>
      <c r="E1027" t="s">
        <v>675</v>
      </c>
      <c r="F1027" t="s">
        <v>675</v>
      </c>
      <c r="G1027" t="s">
        <v>676</v>
      </c>
      <c r="I1027" t="s">
        <v>685</v>
      </c>
      <c r="J1027" t="s">
        <v>686</v>
      </c>
    </row>
    <row r="1028" spans="1:10" ht="15" customHeight="1" x14ac:dyDescent="0.25">
      <c r="A1028" t="s">
        <v>2245</v>
      </c>
      <c r="B1028" t="s">
        <v>2184</v>
      </c>
      <c r="D1028" t="s">
        <v>1238</v>
      </c>
      <c r="E1028" t="s">
        <v>675</v>
      </c>
      <c r="F1028" t="s">
        <v>675</v>
      </c>
      <c r="G1028" t="s">
        <v>676</v>
      </c>
      <c r="I1028" t="s">
        <v>685</v>
      </c>
      <c r="J1028" t="s">
        <v>686</v>
      </c>
    </row>
    <row r="1029" spans="1:10" ht="15" customHeight="1" x14ac:dyDescent="0.25">
      <c r="A1029" t="s">
        <v>2246</v>
      </c>
      <c r="B1029" t="s">
        <v>2184</v>
      </c>
      <c r="C1029" t="s">
        <v>2247</v>
      </c>
      <c r="D1029" t="s">
        <v>1238</v>
      </c>
      <c r="E1029" t="s">
        <v>675</v>
      </c>
      <c r="F1029" t="s">
        <v>675</v>
      </c>
      <c r="G1029" t="s">
        <v>676</v>
      </c>
      <c r="I1029" t="s">
        <v>685</v>
      </c>
      <c r="J1029" t="s">
        <v>686</v>
      </c>
    </row>
    <row r="1030" spans="1:10" ht="15" customHeight="1" x14ac:dyDescent="0.25">
      <c r="A1030" t="s">
        <v>2248</v>
      </c>
      <c r="B1030" t="s">
        <v>2184</v>
      </c>
      <c r="C1030" t="s">
        <v>2249</v>
      </c>
      <c r="D1030" t="s">
        <v>1238</v>
      </c>
      <c r="E1030" t="s">
        <v>675</v>
      </c>
      <c r="F1030" t="s">
        <v>675</v>
      </c>
      <c r="G1030" t="s">
        <v>676</v>
      </c>
      <c r="I1030" t="s">
        <v>680</v>
      </c>
      <c r="J1030" t="s">
        <v>681</v>
      </c>
    </row>
    <row r="1031" spans="1:10" ht="15" customHeight="1" x14ac:dyDescent="0.25">
      <c r="A1031" t="s">
        <v>2250</v>
      </c>
      <c r="B1031" t="s">
        <v>2184</v>
      </c>
      <c r="C1031" t="s">
        <v>2251</v>
      </c>
      <c r="D1031" t="s">
        <v>1238</v>
      </c>
      <c r="E1031" t="s">
        <v>675</v>
      </c>
      <c r="F1031" t="s">
        <v>675</v>
      </c>
      <c r="G1031" t="s">
        <v>676</v>
      </c>
      <c r="I1031" t="s">
        <v>715</v>
      </c>
      <c r="J1031" t="s">
        <v>716</v>
      </c>
    </row>
    <row r="1032" spans="1:10" ht="15" customHeight="1" x14ac:dyDescent="0.25">
      <c r="A1032" t="s">
        <v>2252</v>
      </c>
      <c r="B1032" t="s">
        <v>2184</v>
      </c>
      <c r="C1032" t="s">
        <v>2253</v>
      </c>
      <c r="D1032" t="s">
        <v>1238</v>
      </c>
      <c r="E1032" t="s">
        <v>675</v>
      </c>
      <c r="F1032" t="s">
        <v>675</v>
      </c>
      <c r="G1032" t="s">
        <v>676</v>
      </c>
      <c r="I1032" t="s">
        <v>1615</v>
      </c>
      <c r="J1032" t="s">
        <v>865</v>
      </c>
    </row>
    <row r="1033" spans="1:10" ht="15" customHeight="1" x14ac:dyDescent="0.25">
      <c r="A1033" t="s">
        <v>2254</v>
      </c>
      <c r="B1033" t="s">
        <v>2184</v>
      </c>
      <c r="C1033" t="s">
        <v>2255</v>
      </c>
      <c r="D1033" t="s">
        <v>1238</v>
      </c>
      <c r="E1033" t="s">
        <v>675</v>
      </c>
      <c r="F1033" t="s">
        <v>675</v>
      </c>
      <c r="G1033" t="s">
        <v>676</v>
      </c>
      <c r="I1033" t="s">
        <v>715</v>
      </c>
      <c r="J1033" t="s">
        <v>716</v>
      </c>
    </row>
    <row r="1034" spans="1:10" ht="15" customHeight="1" x14ac:dyDescent="0.25">
      <c r="A1034" t="s">
        <v>2256</v>
      </c>
      <c r="B1034" t="s">
        <v>2184</v>
      </c>
      <c r="C1034" t="s">
        <v>2257</v>
      </c>
      <c r="D1034" t="s">
        <v>1238</v>
      </c>
      <c r="E1034" t="s">
        <v>675</v>
      </c>
      <c r="F1034" t="s">
        <v>675</v>
      </c>
      <c r="G1034" t="s">
        <v>676</v>
      </c>
      <c r="I1034" t="s">
        <v>827</v>
      </c>
      <c r="J1034" t="s">
        <v>709</v>
      </c>
    </row>
    <row r="1035" spans="1:10" ht="15" customHeight="1" x14ac:dyDescent="0.25">
      <c r="A1035" t="s">
        <v>2258</v>
      </c>
      <c r="B1035" t="s">
        <v>2184</v>
      </c>
      <c r="D1035" t="s">
        <v>1238</v>
      </c>
      <c r="E1035" t="s">
        <v>675</v>
      </c>
      <c r="F1035" t="s">
        <v>675</v>
      </c>
      <c r="G1035" t="s">
        <v>676</v>
      </c>
      <c r="I1035" t="s">
        <v>708</v>
      </c>
      <c r="J1035" t="s">
        <v>709</v>
      </c>
    </row>
    <row r="1036" spans="1:10" ht="15" customHeight="1" x14ac:dyDescent="0.25">
      <c r="A1036" t="s">
        <v>2259</v>
      </c>
      <c r="B1036" t="s">
        <v>2184</v>
      </c>
      <c r="C1036" t="s">
        <v>2260</v>
      </c>
      <c r="D1036" t="s">
        <v>1238</v>
      </c>
      <c r="E1036" t="s">
        <v>675</v>
      </c>
      <c r="F1036" t="s">
        <v>728</v>
      </c>
      <c r="G1036" t="s">
        <v>676</v>
      </c>
      <c r="I1036" t="s">
        <v>853</v>
      </c>
      <c r="J1036" t="s">
        <v>807</v>
      </c>
    </row>
    <row r="1037" spans="1:10" ht="15" customHeight="1" x14ac:dyDescent="0.25">
      <c r="A1037" t="s">
        <v>2261</v>
      </c>
      <c r="B1037" t="s">
        <v>2184</v>
      </c>
      <c r="C1037" t="s">
        <v>2262</v>
      </c>
      <c r="D1037" t="s">
        <v>1238</v>
      </c>
      <c r="E1037" t="s">
        <v>675</v>
      </c>
      <c r="F1037" t="s">
        <v>728</v>
      </c>
      <c r="G1037" t="s">
        <v>676</v>
      </c>
      <c r="I1037" t="s">
        <v>857</v>
      </c>
      <c r="J1037" t="s">
        <v>858</v>
      </c>
    </row>
    <row r="1038" spans="1:10" ht="15" customHeight="1" x14ac:dyDescent="0.25">
      <c r="A1038" t="s">
        <v>2263</v>
      </c>
      <c r="B1038" t="s">
        <v>2184</v>
      </c>
      <c r="C1038" t="s">
        <v>2264</v>
      </c>
      <c r="D1038" t="s">
        <v>1238</v>
      </c>
      <c r="E1038" t="s">
        <v>675</v>
      </c>
      <c r="F1038" t="s">
        <v>675</v>
      </c>
      <c r="G1038" t="s">
        <v>676</v>
      </c>
      <c r="I1038" t="s">
        <v>685</v>
      </c>
      <c r="J1038" t="s">
        <v>686</v>
      </c>
    </row>
    <row r="1039" spans="1:10" ht="15" customHeight="1" x14ac:dyDescent="0.25">
      <c r="A1039" t="s">
        <v>2265</v>
      </c>
      <c r="B1039" t="s">
        <v>2184</v>
      </c>
      <c r="C1039" t="s">
        <v>2266</v>
      </c>
      <c r="D1039" t="s">
        <v>1238</v>
      </c>
      <c r="E1039" t="s">
        <v>675</v>
      </c>
      <c r="F1039" t="s">
        <v>675</v>
      </c>
      <c r="G1039" t="s">
        <v>676</v>
      </c>
      <c r="I1039" t="s">
        <v>719</v>
      </c>
      <c r="J1039" t="s">
        <v>716</v>
      </c>
    </row>
    <row r="1040" spans="1:10" ht="15" customHeight="1" x14ac:dyDescent="0.25">
      <c r="A1040" t="s">
        <v>2267</v>
      </c>
      <c r="B1040" t="s">
        <v>2184</v>
      </c>
      <c r="C1040" t="s">
        <v>2268</v>
      </c>
      <c r="D1040" t="s">
        <v>1238</v>
      </c>
      <c r="E1040" t="s">
        <v>675</v>
      </c>
      <c r="F1040" t="s">
        <v>675</v>
      </c>
      <c r="G1040" t="s">
        <v>676</v>
      </c>
      <c r="I1040" t="s">
        <v>1251</v>
      </c>
      <c r="J1040" t="s">
        <v>681</v>
      </c>
    </row>
    <row r="1041" spans="1:10" ht="15" customHeight="1" x14ac:dyDescent="0.25">
      <c r="A1041" t="s">
        <v>2269</v>
      </c>
      <c r="B1041" t="s">
        <v>2184</v>
      </c>
      <c r="D1041" t="s">
        <v>1238</v>
      </c>
      <c r="E1041" t="s">
        <v>675</v>
      </c>
      <c r="F1041" t="s">
        <v>675</v>
      </c>
      <c r="G1041" t="s">
        <v>676</v>
      </c>
      <c r="I1041" t="s">
        <v>715</v>
      </c>
      <c r="J1041" t="s">
        <v>716</v>
      </c>
    </row>
    <row r="1042" spans="1:10" ht="15" customHeight="1" x14ac:dyDescent="0.25">
      <c r="A1042" t="s">
        <v>2270</v>
      </c>
      <c r="B1042" t="s">
        <v>2184</v>
      </c>
      <c r="C1042" t="s">
        <v>2271</v>
      </c>
      <c r="D1042" t="s">
        <v>1238</v>
      </c>
      <c r="E1042" t="s">
        <v>675</v>
      </c>
      <c r="F1042" t="s">
        <v>675</v>
      </c>
      <c r="G1042" t="s">
        <v>676</v>
      </c>
      <c r="I1042" t="s">
        <v>685</v>
      </c>
      <c r="J1042" t="s">
        <v>686</v>
      </c>
    </row>
    <row r="1043" spans="1:10" ht="15" customHeight="1" x14ac:dyDescent="0.25">
      <c r="A1043" t="s">
        <v>2272</v>
      </c>
      <c r="B1043" t="s">
        <v>2184</v>
      </c>
      <c r="C1043" t="s">
        <v>2273</v>
      </c>
      <c r="D1043" t="s">
        <v>1238</v>
      </c>
      <c r="E1043" t="s">
        <v>675</v>
      </c>
      <c r="F1043" t="s">
        <v>675</v>
      </c>
      <c r="G1043" t="s">
        <v>676</v>
      </c>
      <c r="I1043" t="s">
        <v>715</v>
      </c>
      <c r="J1043" t="s">
        <v>716</v>
      </c>
    </row>
    <row r="1044" spans="1:10" ht="15" customHeight="1" x14ac:dyDescent="0.25">
      <c r="A1044" t="s">
        <v>2274</v>
      </c>
      <c r="B1044" t="s">
        <v>2184</v>
      </c>
      <c r="C1044" t="s">
        <v>2275</v>
      </c>
      <c r="D1044" t="s">
        <v>1238</v>
      </c>
      <c r="E1044" t="s">
        <v>675</v>
      </c>
      <c r="F1044" t="s">
        <v>675</v>
      </c>
      <c r="G1044" t="s">
        <v>676</v>
      </c>
      <c r="I1044" t="s">
        <v>715</v>
      </c>
      <c r="J1044" t="s">
        <v>716</v>
      </c>
    </row>
    <row r="1045" spans="1:10" ht="15" customHeight="1" x14ac:dyDescent="0.25">
      <c r="A1045" t="s">
        <v>2276</v>
      </c>
      <c r="B1045" t="s">
        <v>2184</v>
      </c>
      <c r="C1045" t="s">
        <v>2277</v>
      </c>
      <c r="D1045" t="s">
        <v>1238</v>
      </c>
      <c r="E1045" t="s">
        <v>675</v>
      </c>
      <c r="F1045" t="s">
        <v>675</v>
      </c>
      <c r="G1045" t="s">
        <v>676</v>
      </c>
      <c r="I1045" t="s">
        <v>685</v>
      </c>
      <c r="J1045" t="s">
        <v>686</v>
      </c>
    </row>
    <row r="1046" spans="1:10" ht="15" customHeight="1" x14ac:dyDescent="0.25">
      <c r="A1046" t="s">
        <v>2278</v>
      </c>
      <c r="B1046" t="s">
        <v>2184</v>
      </c>
      <c r="C1046" t="s">
        <v>2279</v>
      </c>
      <c r="D1046" t="s">
        <v>1238</v>
      </c>
      <c r="E1046" t="s">
        <v>675</v>
      </c>
      <c r="F1046" t="s">
        <v>675</v>
      </c>
      <c r="G1046" t="s">
        <v>676</v>
      </c>
      <c r="I1046" t="s">
        <v>715</v>
      </c>
      <c r="J1046" t="s">
        <v>716</v>
      </c>
    </row>
    <row r="1047" spans="1:10" ht="15" customHeight="1" x14ac:dyDescent="0.25">
      <c r="A1047" t="s">
        <v>2280</v>
      </c>
      <c r="B1047" t="s">
        <v>2184</v>
      </c>
      <c r="C1047" t="s">
        <v>2281</v>
      </c>
      <c r="D1047" t="s">
        <v>1238</v>
      </c>
      <c r="E1047" t="s">
        <v>675</v>
      </c>
      <c r="F1047" t="s">
        <v>675</v>
      </c>
      <c r="G1047" t="s">
        <v>676</v>
      </c>
      <c r="I1047" t="s">
        <v>715</v>
      </c>
      <c r="J1047" t="s">
        <v>716</v>
      </c>
    </row>
    <row r="1048" spans="1:10" ht="15" customHeight="1" x14ac:dyDescent="0.25">
      <c r="A1048" s="142" t="s">
        <v>2282</v>
      </c>
      <c r="B1048" s="13" t="s">
        <v>2184</v>
      </c>
      <c r="C1048" t="s">
        <v>2283</v>
      </c>
      <c r="D1048" t="s">
        <v>1238</v>
      </c>
      <c r="E1048" t="s">
        <v>675</v>
      </c>
      <c r="F1048" t="s">
        <v>728</v>
      </c>
      <c r="G1048" t="s">
        <v>676</v>
      </c>
    </row>
    <row r="1049" spans="1:10" ht="15" customHeight="1" x14ac:dyDescent="0.25">
      <c r="A1049" t="s">
        <v>2284</v>
      </c>
      <c r="B1049" t="s">
        <v>2184</v>
      </c>
      <c r="C1049" t="s">
        <v>2285</v>
      </c>
      <c r="D1049" t="s">
        <v>1238</v>
      </c>
      <c r="E1049" t="s">
        <v>675</v>
      </c>
      <c r="F1049" t="s">
        <v>675</v>
      </c>
      <c r="G1049" t="s">
        <v>676</v>
      </c>
      <c r="I1049" t="s">
        <v>882</v>
      </c>
      <c r="J1049" t="s">
        <v>863</v>
      </c>
    </row>
    <row r="1050" spans="1:10" ht="15" customHeight="1" x14ac:dyDescent="0.25">
      <c r="A1050" s="130" t="s">
        <v>2286</v>
      </c>
      <c r="B1050" s="130" t="s">
        <v>2184</v>
      </c>
      <c r="C1050" t="s">
        <v>2287</v>
      </c>
      <c r="D1050" t="s">
        <v>1238</v>
      </c>
      <c r="E1050" t="s">
        <v>675</v>
      </c>
      <c r="F1050" t="s">
        <v>728</v>
      </c>
      <c r="G1050" t="s">
        <v>676</v>
      </c>
    </row>
    <row r="1051" spans="1:10" ht="15" customHeight="1" x14ac:dyDescent="0.25">
      <c r="A1051" t="s">
        <v>2288</v>
      </c>
      <c r="B1051" t="s">
        <v>2184</v>
      </c>
      <c r="C1051" t="s">
        <v>2289</v>
      </c>
      <c r="D1051" t="s">
        <v>1238</v>
      </c>
      <c r="E1051" t="s">
        <v>675</v>
      </c>
      <c r="F1051" t="s">
        <v>675</v>
      </c>
      <c r="G1051" t="s">
        <v>676</v>
      </c>
      <c r="I1051" t="s">
        <v>685</v>
      </c>
      <c r="J1051" t="s">
        <v>686</v>
      </c>
    </row>
    <row r="1052" spans="1:10" ht="15" customHeight="1" x14ac:dyDescent="0.25">
      <c r="A1052" t="s">
        <v>2290</v>
      </c>
      <c r="B1052" t="s">
        <v>2184</v>
      </c>
      <c r="C1052" t="s">
        <v>2291</v>
      </c>
      <c r="D1052" t="s">
        <v>1238</v>
      </c>
      <c r="E1052" t="s">
        <v>675</v>
      </c>
      <c r="F1052" t="s">
        <v>675</v>
      </c>
      <c r="G1052" t="s">
        <v>676</v>
      </c>
      <c r="I1052" t="s">
        <v>685</v>
      </c>
      <c r="J1052" t="s">
        <v>686</v>
      </c>
    </row>
    <row r="1053" spans="1:10" ht="15" customHeight="1" x14ac:dyDescent="0.25">
      <c r="A1053" t="s">
        <v>2292</v>
      </c>
      <c r="B1053" t="s">
        <v>2184</v>
      </c>
      <c r="C1053" t="s">
        <v>2293</v>
      </c>
      <c r="D1053" t="s">
        <v>1238</v>
      </c>
      <c r="E1053" t="s">
        <v>675</v>
      </c>
      <c r="F1053" t="s">
        <v>675</v>
      </c>
      <c r="G1053" t="s">
        <v>676</v>
      </c>
      <c r="I1053" t="s">
        <v>685</v>
      </c>
      <c r="J1053" t="s">
        <v>686</v>
      </c>
    </row>
    <row r="1054" spans="1:10" ht="15" customHeight="1" x14ac:dyDescent="0.25">
      <c r="A1054" t="s">
        <v>2294</v>
      </c>
      <c r="B1054" t="s">
        <v>2295</v>
      </c>
      <c r="C1054" t="s">
        <v>2296</v>
      </c>
      <c r="D1054" t="s">
        <v>1430</v>
      </c>
      <c r="E1054" t="s">
        <v>675</v>
      </c>
      <c r="F1054" t="s">
        <v>675</v>
      </c>
      <c r="G1054" t="s">
        <v>676</v>
      </c>
      <c r="I1054" t="s">
        <v>719</v>
      </c>
      <c r="J1054" t="s">
        <v>716</v>
      </c>
    </row>
    <row r="1055" spans="1:10" ht="15" customHeight="1" x14ac:dyDescent="0.25">
      <c r="A1055" s="137" t="s">
        <v>2297</v>
      </c>
      <c r="B1055" s="13" t="s">
        <v>2298</v>
      </c>
      <c r="C1055" t="s">
        <v>2299</v>
      </c>
      <c r="D1055" t="s">
        <v>1238</v>
      </c>
      <c r="E1055" t="s">
        <v>675</v>
      </c>
      <c r="F1055" t="s">
        <v>675</v>
      </c>
      <c r="G1055" t="s">
        <v>676</v>
      </c>
      <c r="I1055" t="s">
        <v>822</v>
      </c>
      <c r="J1055" t="s">
        <v>686</v>
      </c>
    </row>
    <row r="1056" spans="1:10" ht="15" customHeight="1" x14ac:dyDescent="0.25">
      <c r="A1056" t="s">
        <v>2300</v>
      </c>
      <c r="B1056" t="s">
        <v>2301</v>
      </c>
      <c r="C1056" t="s">
        <v>2302</v>
      </c>
      <c r="D1056" t="s">
        <v>674</v>
      </c>
      <c r="E1056" t="s">
        <v>675</v>
      </c>
      <c r="F1056" t="s">
        <v>728</v>
      </c>
      <c r="G1056" t="s">
        <v>676</v>
      </c>
      <c r="I1056" t="s">
        <v>685</v>
      </c>
      <c r="J1056" t="s">
        <v>686</v>
      </c>
    </row>
    <row r="1057" spans="1:10" ht="15" customHeight="1" x14ac:dyDescent="0.25">
      <c r="A1057" t="s">
        <v>2303</v>
      </c>
      <c r="B1057" t="s">
        <v>2301</v>
      </c>
      <c r="C1057" t="s">
        <v>2304</v>
      </c>
      <c r="D1057" t="s">
        <v>674</v>
      </c>
      <c r="E1057" t="s">
        <v>675</v>
      </c>
      <c r="F1057" t="s">
        <v>728</v>
      </c>
      <c r="G1057" t="s">
        <v>676</v>
      </c>
      <c r="I1057" t="s">
        <v>685</v>
      </c>
      <c r="J1057" t="s">
        <v>686</v>
      </c>
    </row>
    <row r="1058" spans="1:10" ht="15" customHeight="1" x14ac:dyDescent="0.25">
      <c r="A1058" t="s">
        <v>2305</v>
      </c>
      <c r="B1058" t="s">
        <v>2301</v>
      </c>
      <c r="C1058" t="s">
        <v>2306</v>
      </c>
      <c r="D1058" t="s">
        <v>674</v>
      </c>
      <c r="E1058" t="s">
        <v>675</v>
      </c>
      <c r="F1058" t="s">
        <v>728</v>
      </c>
      <c r="G1058" t="s">
        <v>676</v>
      </c>
      <c r="I1058" t="s">
        <v>685</v>
      </c>
      <c r="J1058" t="s">
        <v>686</v>
      </c>
    </row>
    <row r="1059" spans="1:10" ht="15" hidden="1" customHeight="1" x14ac:dyDescent="0.25">
      <c r="A1059" s="132" t="s">
        <v>29</v>
      </c>
      <c r="B1059" s="13" t="s">
        <v>19</v>
      </c>
      <c r="C1059" t="s">
        <v>28</v>
      </c>
      <c r="D1059" t="s">
        <v>1238</v>
      </c>
      <c r="E1059" t="s">
        <v>645</v>
      </c>
      <c r="F1059" t="s">
        <v>728</v>
      </c>
      <c r="G1059" t="s">
        <v>676</v>
      </c>
    </row>
    <row r="1060" spans="1:10" ht="15" hidden="1" customHeight="1" x14ac:dyDescent="0.25">
      <c r="A1060" t="s">
        <v>2307</v>
      </c>
      <c r="B1060" t="s">
        <v>19</v>
      </c>
      <c r="C1060" t="s">
        <v>2308</v>
      </c>
      <c r="D1060" t="s">
        <v>1238</v>
      </c>
      <c r="E1060" t="s">
        <v>645</v>
      </c>
      <c r="F1060" t="s">
        <v>728</v>
      </c>
      <c r="G1060" t="s">
        <v>676</v>
      </c>
      <c r="I1060" t="s">
        <v>685</v>
      </c>
      <c r="J1060" t="s">
        <v>686</v>
      </c>
    </row>
    <row r="1061" spans="1:10" ht="15" hidden="1" customHeight="1" x14ac:dyDescent="0.25">
      <c r="A1061" t="s">
        <v>2309</v>
      </c>
      <c r="B1061" t="s">
        <v>19</v>
      </c>
      <c r="C1061" t="s">
        <v>2310</v>
      </c>
      <c r="D1061" t="s">
        <v>1238</v>
      </c>
      <c r="E1061" t="s">
        <v>645</v>
      </c>
      <c r="F1061" t="s">
        <v>728</v>
      </c>
      <c r="G1061" t="s">
        <v>676</v>
      </c>
      <c r="I1061" t="s">
        <v>685</v>
      </c>
      <c r="J1061" t="s">
        <v>686</v>
      </c>
    </row>
    <row r="1062" spans="1:10" ht="15" hidden="1" customHeight="1" x14ac:dyDescent="0.25">
      <c r="A1062" t="s">
        <v>25</v>
      </c>
      <c r="B1062" t="s">
        <v>19</v>
      </c>
      <c r="C1062" t="s">
        <v>24</v>
      </c>
      <c r="D1062" t="s">
        <v>1238</v>
      </c>
      <c r="E1062" t="s">
        <v>645</v>
      </c>
      <c r="F1062" t="s">
        <v>728</v>
      </c>
      <c r="G1062" t="s">
        <v>676</v>
      </c>
      <c r="I1062" t="s">
        <v>1615</v>
      </c>
    </row>
    <row r="1063" spans="1:10" ht="15" hidden="1" customHeight="1" x14ac:dyDescent="0.25">
      <c r="A1063" t="s">
        <v>2311</v>
      </c>
      <c r="B1063" t="s">
        <v>19</v>
      </c>
      <c r="C1063" t="s">
        <v>2312</v>
      </c>
      <c r="D1063" t="s">
        <v>1238</v>
      </c>
      <c r="E1063" t="s">
        <v>645</v>
      </c>
      <c r="F1063" t="s">
        <v>728</v>
      </c>
      <c r="G1063" t="s">
        <v>676</v>
      </c>
      <c r="I1063" t="s">
        <v>685</v>
      </c>
      <c r="J1063" t="s">
        <v>686</v>
      </c>
    </row>
    <row r="1064" spans="1:10" ht="15" hidden="1" customHeight="1" x14ac:dyDescent="0.25">
      <c r="A1064" s="13" t="s">
        <v>2313</v>
      </c>
      <c r="B1064" s="13" t="s">
        <v>19</v>
      </c>
      <c r="C1064" t="s">
        <v>2314</v>
      </c>
      <c r="D1064" t="s">
        <v>1238</v>
      </c>
      <c r="E1064" t="s">
        <v>645</v>
      </c>
      <c r="F1064" t="s">
        <v>675</v>
      </c>
      <c r="G1064" t="s">
        <v>676</v>
      </c>
      <c r="I1064" t="s">
        <v>685</v>
      </c>
      <c r="J1064" t="s">
        <v>686</v>
      </c>
    </row>
    <row r="1065" spans="1:10" ht="15" hidden="1" customHeight="1" x14ac:dyDescent="0.25">
      <c r="A1065" s="130" t="s">
        <v>23</v>
      </c>
      <c r="B1065" s="130" t="s">
        <v>19</v>
      </c>
      <c r="C1065" t="s">
        <v>22</v>
      </c>
      <c r="D1065" t="s">
        <v>1238</v>
      </c>
      <c r="E1065" t="s">
        <v>645</v>
      </c>
      <c r="F1065" t="s">
        <v>728</v>
      </c>
      <c r="G1065" t="s">
        <v>676</v>
      </c>
    </row>
    <row r="1066" spans="1:10" ht="15" hidden="1" customHeight="1" x14ac:dyDescent="0.25">
      <c r="A1066" t="s">
        <v>2315</v>
      </c>
      <c r="B1066" t="s">
        <v>19</v>
      </c>
      <c r="C1066" t="s">
        <v>2316</v>
      </c>
      <c r="D1066" t="s">
        <v>1238</v>
      </c>
      <c r="E1066" t="s">
        <v>645</v>
      </c>
      <c r="F1066" t="s">
        <v>728</v>
      </c>
      <c r="G1066" t="s">
        <v>676</v>
      </c>
      <c r="I1066" t="s">
        <v>685</v>
      </c>
      <c r="J1066" t="s">
        <v>686</v>
      </c>
    </row>
    <row r="1067" spans="1:10" ht="15.75" hidden="1" customHeight="1" x14ac:dyDescent="0.25">
      <c r="A1067" s="13" t="s">
        <v>33</v>
      </c>
      <c r="B1067" s="13" t="s">
        <v>19</v>
      </c>
      <c r="C1067" t="s">
        <v>32</v>
      </c>
      <c r="D1067" t="s">
        <v>1238</v>
      </c>
      <c r="E1067" t="s">
        <v>645</v>
      </c>
      <c r="F1067" t="s">
        <v>852</v>
      </c>
      <c r="G1067" t="s">
        <v>676</v>
      </c>
    </row>
    <row r="1068" spans="1:10" ht="15" hidden="1" customHeight="1" x14ac:dyDescent="0.25">
      <c r="A1068" t="s">
        <v>2317</v>
      </c>
      <c r="B1068" t="s">
        <v>19</v>
      </c>
      <c r="C1068" t="s">
        <v>2318</v>
      </c>
      <c r="D1068" t="s">
        <v>1238</v>
      </c>
      <c r="E1068" t="s">
        <v>645</v>
      </c>
      <c r="F1068" t="s">
        <v>728</v>
      </c>
      <c r="G1068" t="s">
        <v>676</v>
      </c>
      <c r="I1068" t="s">
        <v>685</v>
      </c>
      <c r="J1068" t="s">
        <v>686</v>
      </c>
    </row>
    <row r="1069" spans="1:10" ht="15" hidden="1" customHeight="1" x14ac:dyDescent="0.25">
      <c r="A1069" t="s">
        <v>2319</v>
      </c>
      <c r="B1069" t="s">
        <v>19</v>
      </c>
      <c r="C1069" t="s">
        <v>2320</v>
      </c>
      <c r="D1069" t="s">
        <v>1238</v>
      </c>
      <c r="E1069" t="s">
        <v>645</v>
      </c>
      <c r="F1069" t="s">
        <v>728</v>
      </c>
      <c r="G1069" t="s">
        <v>676</v>
      </c>
      <c r="I1069" t="s">
        <v>685</v>
      </c>
      <c r="J1069" t="s">
        <v>686</v>
      </c>
    </row>
    <row r="1070" spans="1:10" ht="15" hidden="1" customHeight="1" x14ac:dyDescent="0.25">
      <c r="A1070" t="s">
        <v>2321</v>
      </c>
      <c r="B1070" t="s">
        <v>19</v>
      </c>
      <c r="C1070" t="s">
        <v>2322</v>
      </c>
      <c r="D1070" t="s">
        <v>1238</v>
      </c>
      <c r="E1070" t="s">
        <v>645</v>
      </c>
      <c r="F1070" t="s">
        <v>728</v>
      </c>
      <c r="G1070" t="s">
        <v>676</v>
      </c>
      <c r="I1070" t="s">
        <v>685</v>
      </c>
      <c r="J1070" t="s">
        <v>686</v>
      </c>
    </row>
    <row r="1071" spans="1:10" ht="15" hidden="1" customHeight="1" x14ac:dyDescent="0.25">
      <c r="A1071" s="130" t="s">
        <v>2323</v>
      </c>
      <c r="B1071" t="s">
        <v>19</v>
      </c>
      <c r="C1071" t="s">
        <v>2324</v>
      </c>
      <c r="D1071" t="s">
        <v>1238</v>
      </c>
      <c r="E1071" t="s">
        <v>645</v>
      </c>
      <c r="F1071" t="s">
        <v>728</v>
      </c>
      <c r="G1071" t="s">
        <v>676</v>
      </c>
    </row>
    <row r="1072" spans="1:10" ht="15" hidden="1" customHeight="1" x14ac:dyDescent="0.25">
      <c r="A1072" s="5" t="s">
        <v>21</v>
      </c>
      <c r="B1072" s="13" t="s">
        <v>19</v>
      </c>
      <c r="C1072" t="s">
        <v>20</v>
      </c>
      <c r="D1072" t="s">
        <v>1238</v>
      </c>
      <c r="E1072" t="s">
        <v>645</v>
      </c>
      <c r="F1072" t="s">
        <v>728</v>
      </c>
      <c r="G1072" t="s">
        <v>676</v>
      </c>
    </row>
    <row r="1073" spans="1:10" ht="15" hidden="1" customHeight="1" x14ac:dyDescent="0.25">
      <c r="A1073" t="s">
        <v>2325</v>
      </c>
      <c r="B1073" t="s">
        <v>19</v>
      </c>
      <c r="C1073" t="s">
        <v>2326</v>
      </c>
      <c r="D1073" t="s">
        <v>1238</v>
      </c>
      <c r="E1073" t="s">
        <v>645</v>
      </c>
      <c r="F1073" t="s">
        <v>728</v>
      </c>
      <c r="G1073" t="s">
        <v>676</v>
      </c>
      <c r="I1073" t="s">
        <v>685</v>
      </c>
      <c r="J1073" t="s">
        <v>686</v>
      </c>
    </row>
    <row r="1074" spans="1:10" ht="15" hidden="1" customHeight="1" x14ac:dyDescent="0.25">
      <c r="A1074" t="s">
        <v>27</v>
      </c>
      <c r="B1074" t="s">
        <v>19</v>
      </c>
      <c r="C1074" t="s">
        <v>26</v>
      </c>
      <c r="D1074" t="s">
        <v>1238</v>
      </c>
      <c r="E1074" t="s">
        <v>645</v>
      </c>
      <c r="F1074" t="s">
        <v>728</v>
      </c>
      <c r="G1074" t="s">
        <v>676</v>
      </c>
    </row>
    <row r="1075" spans="1:10" ht="15" hidden="1" customHeight="1" x14ac:dyDescent="0.25">
      <c r="A1075" t="s">
        <v>2327</v>
      </c>
      <c r="B1075" t="s">
        <v>19</v>
      </c>
      <c r="C1075" t="s">
        <v>2328</v>
      </c>
      <c r="D1075" t="s">
        <v>1238</v>
      </c>
      <c r="E1075" t="s">
        <v>645</v>
      </c>
      <c r="F1075" t="s">
        <v>728</v>
      </c>
      <c r="G1075" t="s">
        <v>676</v>
      </c>
    </row>
    <row r="1076" spans="1:10" ht="15" hidden="1" customHeight="1" x14ac:dyDescent="0.25">
      <c r="A1076" t="s">
        <v>2329</v>
      </c>
      <c r="B1076" t="s">
        <v>19</v>
      </c>
      <c r="C1076" t="s">
        <v>2330</v>
      </c>
      <c r="D1076" t="s">
        <v>1238</v>
      </c>
      <c r="E1076" t="s">
        <v>645</v>
      </c>
      <c r="F1076" t="s">
        <v>728</v>
      </c>
      <c r="G1076" t="s">
        <v>676</v>
      </c>
      <c r="I1076" t="s">
        <v>1615</v>
      </c>
      <c r="J1076" t="s">
        <v>865</v>
      </c>
    </row>
    <row r="1077" spans="1:10" ht="15" hidden="1" customHeight="1" x14ac:dyDescent="0.25">
      <c r="A1077" t="s">
        <v>35</v>
      </c>
      <c r="B1077" t="s">
        <v>19</v>
      </c>
      <c r="C1077" t="s">
        <v>34</v>
      </c>
      <c r="D1077" t="s">
        <v>1238</v>
      </c>
      <c r="E1077" t="s">
        <v>645</v>
      </c>
      <c r="F1077" t="s">
        <v>728</v>
      </c>
      <c r="G1077" t="s">
        <v>676</v>
      </c>
      <c r="I1077" t="s">
        <v>708</v>
      </c>
      <c r="J1077" t="s">
        <v>709</v>
      </c>
    </row>
    <row r="1078" spans="1:10" ht="15" hidden="1" customHeight="1" x14ac:dyDescent="0.25">
      <c r="A1078" t="s">
        <v>35</v>
      </c>
      <c r="B1078" t="s">
        <v>19</v>
      </c>
      <c r="C1078" t="s">
        <v>2331</v>
      </c>
      <c r="D1078" t="s">
        <v>1238</v>
      </c>
      <c r="E1078" t="s">
        <v>645</v>
      </c>
      <c r="F1078" t="s">
        <v>728</v>
      </c>
      <c r="G1078" t="s">
        <v>676</v>
      </c>
      <c r="I1078" t="s">
        <v>708</v>
      </c>
      <c r="J1078" t="s">
        <v>709</v>
      </c>
    </row>
    <row r="1079" spans="1:10" ht="15" hidden="1" customHeight="1" x14ac:dyDescent="0.25">
      <c r="A1079" t="s">
        <v>31</v>
      </c>
      <c r="B1079" t="s">
        <v>19</v>
      </c>
      <c r="C1079" t="s">
        <v>30</v>
      </c>
      <c r="D1079" t="s">
        <v>1238</v>
      </c>
      <c r="E1079" t="s">
        <v>645</v>
      </c>
      <c r="F1079" t="s">
        <v>728</v>
      </c>
      <c r="G1079" t="s">
        <v>676</v>
      </c>
      <c r="I1079" t="s">
        <v>857</v>
      </c>
      <c r="J1079" t="s">
        <v>858</v>
      </c>
    </row>
    <row r="1080" spans="1:10" ht="15" hidden="1" customHeight="1" x14ac:dyDescent="0.25">
      <c r="A1080" t="s">
        <v>2332</v>
      </c>
      <c r="B1080" t="s">
        <v>19</v>
      </c>
      <c r="C1080" t="s">
        <v>2333</v>
      </c>
      <c r="D1080" t="s">
        <v>1238</v>
      </c>
      <c r="E1080" t="s">
        <v>645</v>
      </c>
      <c r="F1080" t="s">
        <v>728</v>
      </c>
      <c r="G1080" t="s">
        <v>676</v>
      </c>
      <c r="I1080" t="s">
        <v>685</v>
      </c>
      <c r="J1080" t="s">
        <v>686</v>
      </c>
    </row>
    <row r="1081" spans="1:10" ht="15" hidden="1" customHeight="1" x14ac:dyDescent="0.25">
      <c r="A1081" t="s">
        <v>2334</v>
      </c>
      <c r="B1081" t="s">
        <v>19</v>
      </c>
      <c r="C1081" t="s">
        <v>2335</v>
      </c>
      <c r="D1081" t="s">
        <v>1238</v>
      </c>
      <c r="E1081" t="s">
        <v>645</v>
      </c>
      <c r="F1081" t="s">
        <v>728</v>
      </c>
      <c r="G1081" t="s">
        <v>676</v>
      </c>
      <c r="I1081" t="s">
        <v>685</v>
      </c>
      <c r="J1081" t="s">
        <v>686</v>
      </c>
    </row>
    <row r="1082" spans="1:10" ht="15" hidden="1" customHeight="1" x14ac:dyDescent="0.25">
      <c r="A1082" t="s">
        <v>2336</v>
      </c>
      <c r="B1082" t="s">
        <v>19</v>
      </c>
      <c r="C1082" t="s">
        <v>2337</v>
      </c>
      <c r="D1082" t="s">
        <v>1238</v>
      </c>
      <c r="E1082" t="s">
        <v>645</v>
      </c>
      <c r="F1082" t="s">
        <v>728</v>
      </c>
      <c r="G1082" t="s">
        <v>676</v>
      </c>
      <c r="I1082" t="s">
        <v>715</v>
      </c>
      <c r="J1082" t="s">
        <v>716</v>
      </c>
    </row>
    <row r="1083" spans="1:10" ht="15" hidden="1" customHeight="1" x14ac:dyDescent="0.25">
      <c r="A1083" t="s">
        <v>2338</v>
      </c>
      <c r="B1083" t="s">
        <v>19</v>
      </c>
      <c r="C1083" t="s">
        <v>2339</v>
      </c>
      <c r="D1083" t="s">
        <v>1238</v>
      </c>
      <c r="E1083" t="s">
        <v>645</v>
      </c>
      <c r="F1083" t="s">
        <v>728</v>
      </c>
      <c r="G1083" t="s">
        <v>676</v>
      </c>
      <c r="I1083" t="s">
        <v>685</v>
      </c>
      <c r="J1083" t="s">
        <v>686</v>
      </c>
    </row>
    <row r="1084" spans="1:10" ht="15" hidden="1" customHeight="1" x14ac:dyDescent="0.25">
      <c r="A1084" t="s">
        <v>2340</v>
      </c>
      <c r="B1084" t="s">
        <v>19</v>
      </c>
      <c r="C1084" t="s">
        <v>2341</v>
      </c>
      <c r="D1084" t="s">
        <v>1238</v>
      </c>
      <c r="E1084" t="s">
        <v>645</v>
      </c>
      <c r="F1084" t="s">
        <v>728</v>
      </c>
      <c r="G1084" t="s">
        <v>676</v>
      </c>
      <c r="I1084" t="s">
        <v>685</v>
      </c>
      <c r="J1084" t="s">
        <v>686</v>
      </c>
    </row>
    <row r="1085" spans="1:10" ht="15" hidden="1" customHeight="1" x14ac:dyDescent="0.25">
      <c r="A1085" t="s">
        <v>2342</v>
      </c>
      <c r="B1085" t="s">
        <v>19</v>
      </c>
      <c r="C1085" t="s">
        <v>2343</v>
      </c>
      <c r="D1085" t="s">
        <v>1238</v>
      </c>
      <c r="E1085" t="s">
        <v>645</v>
      </c>
      <c r="F1085" t="s">
        <v>728</v>
      </c>
      <c r="G1085" t="s">
        <v>676</v>
      </c>
      <c r="I1085" t="s">
        <v>685</v>
      </c>
      <c r="J1085" t="s">
        <v>686</v>
      </c>
    </row>
    <row r="1086" spans="1:10" ht="15" hidden="1" customHeight="1" x14ac:dyDescent="0.25">
      <c r="A1086" t="s">
        <v>2344</v>
      </c>
      <c r="B1086" t="s">
        <v>19</v>
      </c>
      <c r="C1086" t="s">
        <v>2345</v>
      </c>
      <c r="D1086" t="s">
        <v>1238</v>
      </c>
      <c r="E1086" t="s">
        <v>645</v>
      </c>
      <c r="F1086" t="s">
        <v>728</v>
      </c>
      <c r="G1086" t="s">
        <v>676</v>
      </c>
      <c r="I1086" t="s">
        <v>761</v>
      </c>
      <c r="J1086" t="s">
        <v>858</v>
      </c>
    </row>
    <row r="1087" spans="1:10" ht="15" hidden="1" customHeight="1" x14ac:dyDescent="0.25">
      <c r="A1087" s="132" t="s">
        <v>2346</v>
      </c>
      <c r="B1087" s="13" t="s">
        <v>19</v>
      </c>
      <c r="C1087" t="s">
        <v>2347</v>
      </c>
      <c r="D1087" t="s">
        <v>1238</v>
      </c>
      <c r="E1087" t="s">
        <v>645</v>
      </c>
      <c r="F1087" t="s">
        <v>728</v>
      </c>
      <c r="G1087" t="s">
        <v>676</v>
      </c>
    </row>
    <row r="1088" spans="1:10" hidden="1" x14ac:dyDescent="0.25">
      <c r="A1088" t="s">
        <v>2348</v>
      </c>
      <c r="B1088" t="s">
        <v>19</v>
      </c>
      <c r="C1088" t="s">
        <v>2349</v>
      </c>
      <c r="D1088" t="s">
        <v>1238</v>
      </c>
      <c r="E1088" t="s">
        <v>645</v>
      </c>
      <c r="F1088" t="s">
        <v>728</v>
      </c>
      <c r="G1088" t="s">
        <v>676</v>
      </c>
      <c r="I1088" t="s">
        <v>819</v>
      </c>
      <c r="J1088" t="s">
        <v>819</v>
      </c>
    </row>
    <row r="1089" spans="1:10" hidden="1" x14ac:dyDescent="0.25">
      <c r="A1089" t="s">
        <v>2350</v>
      </c>
      <c r="B1089" t="s">
        <v>19</v>
      </c>
      <c r="C1089" t="s">
        <v>2351</v>
      </c>
      <c r="D1089" t="s">
        <v>1238</v>
      </c>
      <c r="E1089" t="s">
        <v>645</v>
      </c>
      <c r="F1089" t="s">
        <v>728</v>
      </c>
      <c r="G1089" t="s">
        <v>676</v>
      </c>
      <c r="I1089" t="s">
        <v>685</v>
      </c>
      <c r="J1089" t="s">
        <v>686</v>
      </c>
    </row>
    <row r="1090" spans="1:10" ht="15.75" hidden="1" customHeight="1" x14ac:dyDescent="0.25">
      <c r="A1090" s="13" t="s">
        <v>2352</v>
      </c>
      <c r="B1090" t="s">
        <v>19</v>
      </c>
      <c r="C1090" t="s">
        <v>2353</v>
      </c>
      <c r="D1090" t="s">
        <v>1238</v>
      </c>
      <c r="E1090" t="s">
        <v>645</v>
      </c>
      <c r="F1090" t="s">
        <v>728</v>
      </c>
      <c r="G1090" t="s">
        <v>676</v>
      </c>
    </row>
    <row r="1091" spans="1:10" ht="15.75" hidden="1" customHeight="1" x14ac:dyDescent="0.25">
      <c r="A1091" s="13" t="s">
        <v>2354</v>
      </c>
      <c r="B1091" t="s">
        <v>19</v>
      </c>
      <c r="C1091" t="s">
        <v>2355</v>
      </c>
      <c r="D1091" t="s">
        <v>1238</v>
      </c>
      <c r="E1091" t="s">
        <v>645</v>
      </c>
      <c r="F1091" t="s">
        <v>728</v>
      </c>
      <c r="G1091" t="s">
        <v>676</v>
      </c>
    </row>
    <row r="1092" spans="1:10" ht="15" hidden="1" customHeight="1" x14ac:dyDescent="0.25">
      <c r="A1092" s="13" t="s">
        <v>2356</v>
      </c>
      <c r="B1092" s="4" t="s">
        <v>19</v>
      </c>
      <c r="C1092" s="269" t="s">
        <v>2357</v>
      </c>
      <c r="D1092" s="4" t="s">
        <v>1238</v>
      </c>
      <c r="E1092" t="s">
        <v>645</v>
      </c>
      <c r="F1092" t="s">
        <v>728</v>
      </c>
      <c r="G1092" t="s">
        <v>676</v>
      </c>
    </row>
    <row r="1093" spans="1:10" ht="15.75" hidden="1" customHeight="1" x14ac:dyDescent="0.25">
      <c r="A1093" s="156" t="s">
        <v>2358</v>
      </c>
      <c r="B1093" t="s">
        <v>19</v>
      </c>
      <c r="C1093" s="135" t="s">
        <v>2359</v>
      </c>
      <c r="D1093" t="s">
        <v>1238</v>
      </c>
      <c r="E1093" t="s">
        <v>645</v>
      </c>
      <c r="F1093" t="s">
        <v>728</v>
      </c>
      <c r="G1093" t="s">
        <v>676</v>
      </c>
    </row>
    <row r="1094" spans="1:10" ht="15.75" hidden="1" customHeight="1" x14ac:dyDescent="0.25">
      <c r="A1094" s="13" t="s">
        <v>2360</v>
      </c>
      <c r="B1094" t="s">
        <v>19</v>
      </c>
      <c r="C1094" t="s">
        <v>2361</v>
      </c>
      <c r="D1094" t="s">
        <v>1238</v>
      </c>
      <c r="E1094" t="s">
        <v>645</v>
      </c>
      <c r="F1094" t="s">
        <v>728</v>
      </c>
      <c r="G1094" t="s">
        <v>676</v>
      </c>
    </row>
    <row r="1095" spans="1:10" ht="15.75" hidden="1" customHeight="1" x14ac:dyDescent="0.25">
      <c r="A1095" s="13" t="s">
        <v>2362</v>
      </c>
      <c r="B1095" t="s">
        <v>19</v>
      </c>
      <c r="C1095" t="s">
        <v>2363</v>
      </c>
      <c r="D1095" t="s">
        <v>1238</v>
      </c>
      <c r="E1095" t="s">
        <v>645</v>
      </c>
      <c r="F1095" t="s">
        <v>728</v>
      </c>
      <c r="G1095" t="s">
        <v>676</v>
      </c>
    </row>
    <row r="1096" spans="1:10" ht="15.75" hidden="1" customHeight="1" x14ac:dyDescent="0.25">
      <c r="A1096" s="13" t="s">
        <v>2364</v>
      </c>
      <c r="B1096" s="12" t="s">
        <v>19</v>
      </c>
      <c r="C1096" t="s">
        <v>2365</v>
      </c>
      <c r="D1096" t="s">
        <v>1238</v>
      </c>
      <c r="E1096" t="s">
        <v>645</v>
      </c>
      <c r="F1096" t="s">
        <v>728</v>
      </c>
      <c r="G1096" t="s">
        <v>676</v>
      </c>
    </row>
    <row r="1097" spans="1:10" hidden="1" x14ac:dyDescent="0.25">
      <c r="A1097" t="s">
        <v>2366</v>
      </c>
      <c r="B1097" t="s">
        <v>19</v>
      </c>
      <c r="C1097" t="s">
        <v>2367</v>
      </c>
      <c r="D1097" t="s">
        <v>1238</v>
      </c>
      <c r="E1097" t="s">
        <v>645</v>
      </c>
      <c r="F1097" t="s">
        <v>728</v>
      </c>
      <c r="G1097" t="s">
        <v>676</v>
      </c>
      <c r="I1097" t="s">
        <v>685</v>
      </c>
      <c r="J1097" t="s">
        <v>686</v>
      </c>
    </row>
    <row r="1098" spans="1:10" ht="15.75" hidden="1" customHeight="1" x14ac:dyDescent="0.25">
      <c r="A1098" s="132" t="s">
        <v>2368</v>
      </c>
      <c r="B1098" s="13" t="s">
        <v>19</v>
      </c>
      <c r="C1098" t="s">
        <v>2369</v>
      </c>
      <c r="D1098" t="s">
        <v>1238</v>
      </c>
      <c r="E1098" t="s">
        <v>645</v>
      </c>
      <c r="F1098" t="s">
        <v>728</v>
      </c>
      <c r="G1098" t="s">
        <v>676</v>
      </c>
    </row>
    <row r="1099" spans="1:10" hidden="1" x14ac:dyDescent="0.25">
      <c r="A1099" t="s">
        <v>2370</v>
      </c>
      <c r="B1099" t="s">
        <v>19</v>
      </c>
      <c r="C1099" t="s">
        <v>2371</v>
      </c>
      <c r="D1099" t="s">
        <v>1238</v>
      </c>
      <c r="E1099" t="s">
        <v>645</v>
      </c>
      <c r="F1099" t="s">
        <v>728</v>
      </c>
      <c r="G1099" t="s">
        <v>676</v>
      </c>
      <c r="I1099" t="s">
        <v>685</v>
      </c>
      <c r="J1099" t="s">
        <v>686</v>
      </c>
    </row>
    <row r="1100" spans="1:10" hidden="1" x14ac:dyDescent="0.25">
      <c r="A1100" t="s">
        <v>2372</v>
      </c>
      <c r="B1100" t="s">
        <v>19</v>
      </c>
      <c r="C1100" t="s">
        <v>2373</v>
      </c>
      <c r="D1100" t="s">
        <v>1238</v>
      </c>
      <c r="E1100" t="s">
        <v>645</v>
      </c>
      <c r="F1100" t="s">
        <v>728</v>
      </c>
      <c r="G1100" t="s">
        <v>676</v>
      </c>
      <c r="I1100" t="s">
        <v>685</v>
      </c>
      <c r="J1100" t="s">
        <v>686</v>
      </c>
    </row>
    <row r="1101" spans="1:10" hidden="1" x14ac:dyDescent="0.25">
      <c r="A1101" t="s">
        <v>2374</v>
      </c>
      <c r="B1101" t="s">
        <v>19</v>
      </c>
      <c r="C1101" t="s">
        <v>2375</v>
      </c>
      <c r="D1101" t="s">
        <v>1238</v>
      </c>
      <c r="E1101" t="s">
        <v>645</v>
      </c>
      <c r="F1101" t="s">
        <v>728</v>
      </c>
      <c r="G1101" t="s">
        <v>676</v>
      </c>
      <c r="I1101" t="s">
        <v>685</v>
      </c>
      <c r="J1101" t="s">
        <v>686</v>
      </c>
    </row>
    <row r="1102" spans="1:10" hidden="1" x14ac:dyDescent="0.25">
      <c r="A1102" t="s">
        <v>2376</v>
      </c>
      <c r="B1102" t="s">
        <v>19</v>
      </c>
      <c r="C1102" t="s">
        <v>2377</v>
      </c>
      <c r="D1102" t="s">
        <v>1238</v>
      </c>
      <c r="E1102" t="s">
        <v>645</v>
      </c>
      <c r="F1102" t="s">
        <v>728</v>
      </c>
      <c r="G1102" t="s">
        <v>676</v>
      </c>
      <c r="I1102" t="s">
        <v>1370</v>
      </c>
      <c r="J1102" t="s">
        <v>819</v>
      </c>
    </row>
    <row r="1103" spans="1:10" hidden="1" x14ac:dyDescent="0.25">
      <c r="A1103" t="s">
        <v>2378</v>
      </c>
      <c r="B1103" t="s">
        <v>2379</v>
      </c>
      <c r="C1103" t="s">
        <v>2380</v>
      </c>
      <c r="D1103" t="s">
        <v>1238</v>
      </c>
      <c r="E1103" t="s">
        <v>645</v>
      </c>
      <c r="F1103" t="s">
        <v>728</v>
      </c>
      <c r="G1103" t="s">
        <v>676</v>
      </c>
      <c r="I1103" t="s">
        <v>853</v>
      </c>
      <c r="J1103" t="s">
        <v>807</v>
      </c>
    </row>
    <row r="1104" spans="1:10" hidden="1" x14ac:dyDescent="0.25">
      <c r="A1104" t="s">
        <v>2381</v>
      </c>
      <c r="B1104" t="s">
        <v>2379</v>
      </c>
      <c r="C1104" t="s">
        <v>2382</v>
      </c>
      <c r="D1104" t="s">
        <v>1238</v>
      </c>
      <c r="E1104" t="s">
        <v>645</v>
      </c>
      <c r="F1104" t="s">
        <v>728</v>
      </c>
      <c r="G1104" t="s">
        <v>676</v>
      </c>
      <c r="I1104" t="s">
        <v>857</v>
      </c>
      <c r="J1104" t="s">
        <v>858</v>
      </c>
    </row>
    <row r="1105" spans="1:10" hidden="1" x14ac:dyDescent="0.25">
      <c r="A1105" t="s">
        <v>2383</v>
      </c>
      <c r="B1105" t="s">
        <v>2379</v>
      </c>
      <c r="C1105" t="s">
        <v>2384</v>
      </c>
      <c r="D1105" t="s">
        <v>1238</v>
      </c>
      <c r="E1105" t="s">
        <v>645</v>
      </c>
      <c r="F1105" t="s">
        <v>728</v>
      </c>
      <c r="G1105" t="s">
        <v>676</v>
      </c>
      <c r="I1105" t="s">
        <v>827</v>
      </c>
      <c r="J1105" t="s">
        <v>709</v>
      </c>
    </row>
    <row r="1106" spans="1:10" hidden="1" x14ac:dyDescent="0.25">
      <c r="A1106" t="s">
        <v>2385</v>
      </c>
      <c r="B1106" t="s">
        <v>2379</v>
      </c>
      <c r="C1106" t="s">
        <v>2386</v>
      </c>
      <c r="D1106" t="s">
        <v>1238</v>
      </c>
      <c r="E1106" t="s">
        <v>645</v>
      </c>
      <c r="F1106" t="s">
        <v>728</v>
      </c>
      <c r="G1106" t="s">
        <v>676</v>
      </c>
      <c r="I1106" t="s">
        <v>685</v>
      </c>
      <c r="J1106" t="s">
        <v>686</v>
      </c>
    </row>
    <row r="1107" spans="1:10" hidden="1" x14ac:dyDescent="0.25">
      <c r="A1107" t="s">
        <v>2387</v>
      </c>
      <c r="B1107" t="s">
        <v>2379</v>
      </c>
      <c r="C1107" t="s">
        <v>2388</v>
      </c>
      <c r="D1107" t="s">
        <v>1238</v>
      </c>
      <c r="E1107" t="s">
        <v>645</v>
      </c>
      <c r="F1107" t="s">
        <v>728</v>
      </c>
      <c r="G1107" t="s">
        <v>676</v>
      </c>
      <c r="I1107" t="s">
        <v>1615</v>
      </c>
      <c r="J1107" t="s">
        <v>865</v>
      </c>
    </row>
    <row r="1108" spans="1:10" hidden="1" x14ac:dyDescent="0.25">
      <c r="A1108" t="s">
        <v>2389</v>
      </c>
      <c r="B1108" t="s">
        <v>2379</v>
      </c>
      <c r="C1108" t="s">
        <v>2390</v>
      </c>
      <c r="D1108" t="s">
        <v>1238</v>
      </c>
      <c r="E1108" t="s">
        <v>645</v>
      </c>
      <c r="F1108" t="s">
        <v>796</v>
      </c>
      <c r="G1108" t="s">
        <v>676</v>
      </c>
      <c r="I1108" t="s">
        <v>708</v>
      </c>
      <c r="J1108" t="s">
        <v>709</v>
      </c>
    </row>
    <row r="1109" spans="1:10" hidden="1" x14ac:dyDescent="0.25">
      <c r="A1109" t="s">
        <v>2389</v>
      </c>
      <c r="B1109" t="s">
        <v>2379</v>
      </c>
      <c r="C1109" t="s">
        <v>2391</v>
      </c>
      <c r="D1109" t="s">
        <v>1238</v>
      </c>
      <c r="E1109" t="s">
        <v>645</v>
      </c>
      <c r="F1109" t="s">
        <v>728</v>
      </c>
      <c r="G1109" t="s">
        <v>676</v>
      </c>
      <c r="I1109" t="s">
        <v>708</v>
      </c>
      <c r="J1109" t="s">
        <v>709</v>
      </c>
    </row>
    <row r="1110" spans="1:10" hidden="1" x14ac:dyDescent="0.25">
      <c r="A1110" t="s">
        <v>2392</v>
      </c>
      <c r="B1110" t="s">
        <v>2379</v>
      </c>
      <c r="C1110" s="281" t="s">
        <v>2393</v>
      </c>
      <c r="D1110" t="s">
        <v>1238</v>
      </c>
      <c r="E1110" t="s">
        <v>645</v>
      </c>
      <c r="F1110" t="s">
        <v>728</v>
      </c>
      <c r="G1110" t="s">
        <v>676</v>
      </c>
      <c r="I1110" t="s">
        <v>857</v>
      </c>
      <c r="J1110" t="s">
        <v>858</v>
      </c>
    </row>
    <row r="1111" spans="1:10" hidden="1" x14ac:dyDescent="0.25">
      <c r="A1111" s="279" t="s">
        <v>2394</v>
      </c>
      <c r="B1111" t="s">
        <v>2379</v>
      </c>
      <c r="C1111" t="s">
        <v>2395</v>
      </c>
      <c r="D1111" t="s">
        <v>1238</v>
      </c>
      <c r="E1111" t="s">
        <v>645</v>
      </c>
      <c r="F1111" t="s">
        <v>728</v>
      </c>
      <c r="G1111" t="s">
        <v>676</v>
      </c>
      <c r="I1111" t="s">
        <v>761</v>
      </c>
      <c r="J1111" t="s">
        <v>762</v>
      </c>
    </row>
    <row r="1112" spans="1:10" hidden="1" x14ac:dyDescent="0.25">
      <c r="A1112" t="s">
        <v>2396</v>
      </c>
      <c r="B1112" t="s">
        <v>2379</v>
      </c>
      <c r="C1112" t="s">
        <v>2397</v>
      </c>
      <c r="D1112" t="s">
        <v>1238</v>
      </c>
      <c r="E1112" t="s">
        <v>645</v>
      </c>
      <c r="F1112" t="s">
        <v>796</v>
      </c>
      <c r="G1112" t="s">
        <v>676</v>
      </c>
      <c r="I1112" t="s">
        <v>685</v>
      </c>
      <c r="J1112" t="s">
        <v>686</v>
      </c>
    </row>
    <row r="1113" spans="1:10" hidden="1" x14ac:dyDescent="0.25">
      <c r="A1113" s="279" t="s">
        <v>2398</v>
      </c>
      <c r="B1113" t="s">
        <v>2379</v>
      </c>
      <c r="C1113" t="s">
        <v>2399</v>
      </c>
      <c r="D1113" t="s">
        <v>1238</v>
      </c>
      <c r="E1113" t="s">
        <v>645</v>
      </c>
      <c r="F1113" t="s">
        <v>728</v>
      </c>
      <c r="G1113" t="s">
        <v>676</v>
      </c>
      <c r="I1113" t="s">
        <v>685</v>
      </c>
      <c r="J1113" t="s">
        <v>686</v>
      </c>
    </row>
    <row r="1114" spans="1:10" hidden="1" x14ac:dyDescent="0.25">
      <c r="A1114" s="279" t="s">
        <v>2400</v>
      </c>
      <c r="B1114" t="s">
        <v>642</v>
      </c>
      <c r="C1114" t="s">
        <v>2401</v>
      </c>
      <c r="D1114" t="s">
        <v>674</v>
      </c>
      <c r="E1114" t="s">
        <v>637</v>
      </c>
      <c r="F1114" t="s">
        <v>675</v>
      </c>
      <c r="G1114" t="s">
        <v>676</v>
      </c>
      <c r="I1114" t="s">
        <v>708</v>
      </c>
      <c r="J1114" t="s">
        <v>709</v>
      </c>
    </row>
    <row r="1115" spans="1:10" hidden="1" x14ac:dyDescent="0.25">
      <c r="A1115" s="279" t="s">
        <v>2402</v>
      </c>
      <c r="B1115" t="s">
        <v>642</v>
      </c>
      <c r="C1115" t="s">
        <v>2403</v>
      </c>
      <c r="D1115" t="s">
        <v>674</v>
      </c>
      <c r="E1115" t="s">
        <v>637</v>
      </c>
      <c r="F1115" t="s">
        <v>675</v>
      </c>
      <c r="G1115" t="s">
        <v>676</v>
      </c>
      <c r="I1115" t="s">
        <v>685</v>
      </c>
      <c r="J1115" t="s">
        <v>686</v>
      </c>
    </row>
    <row r="1116" spans="1:10" hidden="1" x14ac:dyDescent="0.25">
      <c r="A1116" s="279" t="s">
        <v>2404</v>
      </c>
      <c r="B1116" t="s">
        <v>642</v>
      </c>
      <c r="C1116" t="s">
        <v>2405</v>
      </c>
      <c r="D1116" t="s">
        <v>674</v>
      </c>
      <c r="E1116" t="s">
        <v>637</v>
      </c>
      <c r="F1116" t="s">
        <v>675</v>
      </c>
      <c r="G1116" t="s">
        <v>676</v>
      </c>
      <c r="I1116" t="s">
        <v>685</v>
      </c>
      <c r="J1116" t="s">
        <v>686</v>
      </c>
    </row>
    <row r="1117" spans="1:10" hidden="1" x14ac:dyDescent="0.25">
      <c r="A1117" t="s">
        <v>2406</v>
      </c>
      <c r="B1117" t="s">
        <v>642</v>
      </c>
      <c r="C1117" s="281" t="s">
        <v>2407</v>
      </c>
      <c r="D1117" t="s">
        <v>674</v>
      </c>
      <c r="E1117" t="s">
        <v>637</v>
      </c>
      <c r="F1117" t="s">
        <v>714</v>
      </c>
      <c r="G1117" t="s">
        <v>676</v>
      </c>
      <c r="I1117" t="s">
        <v>715</v>
      </c>
      <c r="J1117" t="s">
        <v>716</v>
      </c>
    </row>
    <row r="1118" spans="1:10" hidden="1" x14ac:dyDescent="0.25">
      <c r="A1118" t="s">
        <v>2408</v>
      </c>
      <c r="B1118" t="s">
        <v>642</v>
      </c>
      <c r="C1118" t="s">
        <v>2409</v>
      </c>
      <c r="D1118" t="s">
        <v>674</v>
      </c>
      <c r="E1118" t="s">
        <v>637</v>
      </c>
      <c r="F1118" t="s">
        <v>675</v>
      </c>
      <c r="G1118" t="s">
        <v>676</v>
      </c>
      <c r="I1118" t="s">
        <v>719</v>
      </c>
      <c r="J1118" t="s">
        <v>716</v>
      </c>
    </row>
    <row r="1119" spans="1:10" hidden="1" x14ac:dyDescent="0.25">
      <c r="A1119" t="s">
        <v>2410</v>
      </c>
      <c r="B1119" t="s">
        <v>642</v>
      </c>
      <c r="C1119" t="s">
        <v>2411</v>
      </c>
      <c r="D1119" t="s">
        <v>674</v>
      </c>
      <c r="E1119" t="s">
        <v>637</v>
      </c>
      <c r="F1119" t="s">
        <v>714</v>
      </c>
      <c r="G1119" t="s">
        <v>676</v>
      </c>
      <c r="I1119" t="s">
        <v>715</v>
      </c>
      <c r="J1119" t="s">
        <v>716</v>
      </c>
    </row>
    <row r="1120" spans="1:10" hidden="1" x14ac:dyDescent="0.25">
      <c r="A1120" t="s">
        <v>2412</v>
      </c>
      <c r="B1120" t="s">
        <v>642</v>
      </c>
      <c r="C1120" t="s">
        <v>2413</v>
      </c>
      <c r="D1120" t="s">
        <v>674</v>
      </c>
      <c r="E1120" t="s">
        <v>637</v>
      </c>
      <c r="F1120" t="s">
        <v>675</v>
      </c>
      <c r="G1120" t="s">
        <v>676</v>
      </c>
      <c r="I1120" t="s">
        <v>685</v>
      </c>
      <c r="J1120" t="s">
        <v>686</v>
      </c>
    </row>
    <row r="1121" spans="1:10" hidden="1" x14ac:dyDescent="0.25">
      <c r="A1121" t="s">
        <v>2414</v>
      </c>
      <c r="B1121" t="s">
        <v>642</v>
      </c>
      <c r="C1121" t="s">
        <v>2415</v>
      </c>
      <c r="D1121" t="s">
        <v>674</v>
      </c>
      <c r="E1121" t="s">
        <v>637</v>
      </c>
      <c r="F1121" t="s">
        <v>701</v>
      </c>
      <c r="G1121" t="s">
        <v>676</v>
      </c>
      <c r="I1121" t="s">
        <v>685</v>
      </c>
      <c r="J1121" t="s">
        <v>686</v>
      </c>
    </row>
    <row r="1122" spans="1:10" hidden="1" x14ac:dyDescent="0.25">
      <c r="A1122" t="s">
        <v>625</v>
      </c>
      <c r="B1122" t="s">
        <v>617</v>
      </c>
      <c r="C1122" t="s">
        <v>624</v>
      </c>
      <c r="E1122" t="s">
        <v>637</v>
      </c>
      <c r="F1122" t="s">
        <v>701</v>
      </c>
      <c r="G1122" t="s">
        <v>676</v>
      </c>
    </row>
    <row r="1123" spans="1:10" hidden="1" x14ac:dyDescent="0.25">
      <c r="A1123" t="s">
        <v>621</v>
      </c>
      <c r="B1123" t="s">
        <v>617</v>
      </c>
      <c r="C1123" t="s">
        <v>620</v>
      </c>
      <c r="E1123" t="s">
        <v>637</v>
      </c>
      <c r="F1123" t="s">
        <v>701</v>
      </c>
      <c r="G1123" t="s">
        <v>676</v>
      </c>
    </row>
    <row r="1124" spans="1:10" hidden="1" x14ac:dyDescent="0.25">
      <c r="A1124" t="s">
        <v>2416</v>
      </c>
      <c r="B1124" t="s">
        <v>16</v>
      </c>
      <c r="C1124" t="s">
        <v>2417</v>
      </c>
      <c r="D1124" t="s">
        <v>1238</v>
      </c>
      <c r="E1124" t="s">
        <v>644</v>
      </c>
      <c r="F1124" t="s">
        <v>901</v>
      </c>
      <c r="G1124" t="s">
        <v>676</v>
      </c>
    </row>
    <row r="1125" spans="1:10" hidden="1" x14ac:dyDescent="0.25">
      <c r="A1125" t="s">
        <v>2418</v>
      </c>
      <c r="B1125" t="s">
        <v>16</v>
      </c>
      <c r="C1125" t="s">
        <v>2419</v>
      </c>
      <c r="D1125" t="s">
        <v>1238</v>
      </c>
      <c r="E1125" t="s">
        <v>644</v>
      </c>
      <c r="F1125" t="s">
        <v>901</v>
      </c>
      <c r="G1125" t="s">
        <v>676</v>
      </c>
    </row>
    <row r="1126" spans="1:10" hidden="1" x14ac:dyDescent="0.25">
      <c r="A1126" t="s">
        <v>2420</v>
      </c>
      <c r="B1126" t="s">
        <v>16</v>
      </c>
      <c r="C1126" t="s">
        <v>2421</v>
      </c>
      <c r="D1126" t="s">
        <v>1238</v>
      </c>
      <c r="E1126" t="s">
        <v>644</v>
      </c>
      <c r="F1126" t="s">
        <v>901</v>
      </c>
      <c r="G1126" t="s">
        <v>676</v>
      </c>
    </row>
    <row r="1127" spans="1:10" hidden="1" x14ac:dyDescent="0.25">
      <c r="A1127" t="s">
        <v>2422</v>
      </c>
      <c r="B1127" t="s">
        <v>16</v>
      </c>
      <c r="C1127" t="s">
        <v>2423</v>
      </c>
      <c r="D1127" t="s">
        <v>1238</v>
      </c>
      <c r="E1127" t="s">
        <v>644</v>
      </c>
      <c r="F1127" t="s">
        <v>901</v>
      </c>
      <c r="G1127" t="s">
        <v>676</v>
      </c>
    </row>
    <row r="1128" spans="1:10" hidden="1" x14ac:dyDescent="0.25">
      <c r="A1128" t="s">
        <v>2424</v>
      </c>
      <c r="B1128" t="s">
        <v>16</v>
      </c>
      <c r="C1128" t="s">
        <v>2425</v>
      </c>
      <c r="D1128" t="s">
        <v>1238</v>
      </c>
      <c r="E1128" t="s">
        <v>644</v>
      </c>
      <c r="F1128" t="s">
        <v>901</v>
      </c>
      <c r="G1128" t="s">
        <v>676</v>
      </c>
    </row>
    <row r="1129" spans="1:10" hidden="1" x14ac:dyDescent="0.25">
      <c r="A1129" t="s">
        <v>2426</v>
      </c>
      <c r="B1129" t="s">
        <v>16</v>
      </c>
      <c r="C1129" t="s">
        <v>2427</v>
      </c>
      <c r="D1129" t="s">
        <v>1238</v>
      </c>
      <c r="E1129" t="s">
        <v>644</v>
      </c>
      <c r="F1129" t="s">
        <v>901</v>
      </c>
      <c r="G1129" t="s">
        <v>676</v>
      </c>
    </row>
    <row r="1130" spans="1:10" hidden="1" x14ac:dyDescent="0.25">
      <c r="A1130" t="s">
        <v>2428</v>
      </c>
      <c r="B1130" t="s">
        <v>16</v>
      </c>
      <c r="C1130" t="s">
        <v>2429</v>
      </c>
      <c r="D1130" t="s">
        <v>1238</v>
      </c>
      <c r="E1130" t="s">
        <v>644</v>
      </c>
      <c r="F1130" t="s">
        <v>901</v>
      </c>
      <c r="G1130" t="s">
        <v>676</v>
      </c>
    </row>
    <row r="1131" spans="1:10" hidden="1" x14ac:dyDescent="0.25">
      <c r="A1131" t="s">
        <v>2430</v>
      </c>
      <c r="B1131" t="s">
        <v>16</v>
      </c>
      <c r="C1131" t="s">
        <v>2431</v>
      </c>
      <c r="D1131" t="s">
        <v>1238</v>
      </c>
      <c r="E1131" t="s">
        <v>644</v>
      </c>
      <c r="F1131" t="s">
        <v>901</v>
      </c>
      <c r="G1131" t="s">
        <v>676</v>
      </c>
    </row>
    <row r="1132" spans="1:10" hidden="1" x14ac:dyDescent="0.25">
      <c r="A1132" t="s">
        <v>2432</v>
      </c>
      <c r="B1132" t="s">
        <v>16</v>
      </c>
      <c r="C1132" t="s">
        <v>2433</v>
      </c>
      <c r="D1132" t="s">
        <v>1238</v>
      </c>
      <c r="E1132" t="s">
        <v>644</v>
      </c>
      <c r="F1132" t="s">
        <v>901</v>
      </c>
      <c r="G1132" t="s">
        <v>676</v>
      </c>
    </row>
    <row r="1133" spans="1:10" hidden="1" x14ac:dyDescent="0.25">
      <c r="A1133" t="s">
        <v>337</v>
      </c>
      <c r="B1133" t="s">
        <v>16</v>
      </c>
      <c r="C1133" t="s">
        <v>336</v>
      </c>
      <c r="D1133" t="s">
        <v>1238</v>
      </c>
      <c r="E1133" t="s">
        <v>644</v>
      </c>
      <c r="F1133" t="s">
        <v>901</v>
      </c>
      <c r="G1133" t="s">
        <v>676</v>
      </c>
    </row>
    <row r="1134" spans="1:10" hidden="1" x14ac:dyDescent="0.25">
      <c r="A1134" s="293" t="s">
        <v>2434</v>
      </c>
      <c r="B1134" t="s">
        <v>561</v>
      </c>
      <c r="C1134" s="293" t="s">
        <v>2434</v>
      </c>
      <c r="D1134" t="s">
        <v>1238</v>
      </c>
      <c r="E1134" t="s">
        <v>637</v>
      </c>
      <c r="F1134" t="s">
        <v>675</v>
      </c>
      <c r="G1134" t="s">
        <v>676</v>
      </c>
    </row>
    <row r="1135" spans="1:10" hidden="1" x14ac:dyDescent="0.25">
      <c r="A1135" t="s">
        <v>2435</v>
      </c>
      <c r="B1135" t="s">
        <v>138</v>
      </c>
      <c r="C1135" t="s">
        <v>2436</v>
      </c>
      <c r="D1135" t="s">
        <v>1238</v>
      </c>
      <c r="E1135" t="s">
        <v>644</v>
      </c>
      <c r="F1135" t="s">
        <v>901</v>
      </c>
      <c r="G1135" t="s">
        <v>676</v>
      </c>
    </row>
    <row r="1136" spans="1:10" hidden="1" x14ac:dyDescent="0.25">
      <c r="A1136" t="s">
        <v>314</v>
      </c>
      <c r="B1136" t="s">
        <v>16</v>
      </c>
      <c r="C1136" t="s">
        <v>313</v>
      </c>
      <c r="D1136" t="s">
        <v>1238</v>
      </c>
      <c r="E1136" t="s">
        <v>644</v>
      </c>
      <c r="F1136" t="s">
        <v>901</v>
      </c>
      <c r="G1136" t="s">
        <v>676</v>
      </c>
    </row>
    <row r="1137" spans="1:7" hidden="1" x14ac:dyDescent="0.25">
      <c r="A1137" t="s">
        <v>579</v>
      </c>
      <c r="B1137" t="s">
        <v>561</v>
      </c>
      <c r="C1137" t="s">
        <v>578</v>
      </c>
      <c r="D1137" t="s">
        <v>1238</v>
      </c>
      <c r="E1137" t="s">
        <v>637</v>
      </c>
      <c r="F1137" t="s">
        <v>675</v>
      </c>
      <c r="G1137" t="s">
        <v>676</v>
      </c>
    </row>
    <row r="1138" spans="1:7" hidden="1" x14ac:dyDescent="0.25">
      <c r="A1138" t="s">
        <v>590</v>
      </c>
      <c r="B1138" t="s">
        <v>561</v>
      </c>
      <c r="C1138" t="s">
        <v>589</v>
      </c>
      <c r="D1138" t="s">
        <v>1238</v>
      </c>
      <c r="E1138" t="s">
        <v>637</v>
      </c>
      <c r="F1138" t="s">
        <v>675</v>
      </c>
      <c r="G1138" t="s">
        <v>676</v>
      </c>
    </row>
    <row r="1139" spans="1:7" hidden="1" x14ac:dyDescent="0.25">
      <c r="A1139" t="s">
        <v>595</v>
      </c>
      <c r="B1139" t="s">
        <v>593</v>
      </c>
      <c r="C1139" t="s">
        <v>594</v>
      </c>
      <c r="D1139" t="s">
        <v>1238</v>
      </c>
      <c r="E1139" t="s">
        <v>645</v>
      </c>
      <c r="F1139" t="s">
        <v>728</v>
      </c>
      <c r="G1139" t="s">
        <v>676</v>
      </c>
    </row>
    <row r="1140" spans="1:7" hidden="1" x14ac:dyDescent="0.25">
      <c r="A1140" t="s">
        <v>592</v>
      </c>
      <c r="B1140" t="s">
        <v>593</v>
      </c>
      <c r="C1140" t="s">
        <v>591</v>
      </c>
      <c r="D1140" t="s">
        <v>1238</v>
      </c>
      <c r="E1140" t="s">
        <v>645</v>
      </c>
      <c r="F1140" t="s">
        <v>728</v>
      </c>
      <c r="G1140" t="s">
        <v>676</v>
      </c>
    </row>
    <row r="1141" spans="1:7" hidden="1" x14ac:dyDescent="0.25">
      <c r="A1141" t="s">
        <v>2437</v>
      </c>
      <c r="B1141" t="s">
        <v>593</v>
      </c>
      <c r="C1141" t="s">
        <v>2438</v>
      </c>
      <c r="D1141" t="s">
        <v>1238</v>
      </c>
      <c r="E1141" t="s">
        <v>645</v>
      </c>
      <c r="F1141" t="s">
        <v>728</v>
      </c>
      <c r="G1141" t="s">
        <v>676</v>
      </c>
    </row>
    <row r="1142" spans="1:7" hidden="1" x14ac:dyDescent="0.25">
      <c r="A1142" t="s">
        <v>2439</v>
      </c>
      <c r="B1142" t="s">
        <v>646</v>
      </c>
      <c r="C1142" t="s">
        <v>2440</v>
      </c>
      <c r="D1142" t="s">
        <v>1238</v>
      </c>
      <c r="E1142" t="s">
        <v>645</v>
      </c>
      <c r="F1142" t="s">
        <v>728</v>
      </c>
      <c r="G1142" t="s">
        <v>676</v>
      </c>
    </row>
    <row r="1143" spans="1:7" hidden="1" x14ac:dyDescent="0.25">
      <c r="A1143" t="s">
        <v>2441</v>
      </c>
      <c r="B1143" t="s">
        <v>593</v>
      </c>
      <c r="C1143" t="s">
        <v>2442</v>
      </c>
      <c r="D1143" t="s">
        <v>1238</v>
      </c>
      <c r="E1143" t="s">
        <v>645</v>
      </c>
      <c r="F1143" t="s">
        <v>728</v>
      </c>
      <c r="G1143" t="s">
        <v>676</v>
      </c>
    </row>
    <row r="1144" spans="1:7" hidden="1" x14ac:dyDescent="0.25">
      <c r="A1144" t="s">
        <v>2443</v>
      </c>
      <c r="B1144" t="s">
        <v>593</v>
      </c>
      <c r="C1144" t="s">
        <v>2444</v>
      </c>
      <c r="D1144" t="s">
        <v>1238</v>
      </c>
      <c r="E1144" t="s">
        <v>645</v>
      </c>
      <c r="F1144" t="s">
        <v>728</v>
      </c>
      <c r="G1144" t="s">
        <v>676</v>
      </c>
    </row>
    <row r="1145" spans="1:7" hidden="1" x14ac:dyDescent="0.25">
      <c r="A1145" t="s">
        <v>2445</v>
      </c>
      <c r="B1145" t="s">
        <v>593</v>
      </c>
      <c r="C1145" t="s">
        <v>2446</v>
      </c>
      <c r="D1145" t="s">
        <v>1238</v>
      </c>
      <c r="E1145" t="s">
        <v>645</v>
      </c>
      <c r="F1145" t="s">
        <v>728</v>
      </c>
      <c r="G1145" t="s">
        <v>676</v>
      </c>
    </row>
    <row r="1146" spans="1:7" hidden="1" x14ac:dyDescent="0.25">
      <c r="A1146" t="s">
        <v>2447</v>
      </c>
      <c r="B1146" t="s">
        <v>593</v>
      </c>
      <c r="C1146" t="s">
        <v>2448</v>
      </c>
      <c r="D1146" t="s">
        <v>1238</v>
      </c>
      <c r="E1146" t="s">
        <v>645</v>
      </c>
      <c r="F1146" t="s">
        <v>728</v>
      </c>
      <c r="G1146" t="s">
        <v>676</v>
      </c>
    </row>
    <row r="1147" spans="1:7" hidden="1" x14ac:dyDescent="0.25">
      <c r="A1147" t="s">
        <v>2449</v>
      </c>
      <c r="B1147" t="s">
        <v>593</v>
      </c>
      <c r="C1147" t="s">
        <v>2450</v>
      </c>
      <c r="D1147" t="s">
        <v>1238</v>
      </c>
      <c r="E1147" t="s">
        <v>645</v>
      </c>
      <c r="F1147" t="s">
        <v>728</v>
      </c>
      <c r="G1147" t="s">
        <v>676</v>
      </c>
    </row>
    <row r="1148" spans="1:7" hidden="1" x14ac:dyDescent="0.25">
      <c r="A1148" t="s">
        <v>2451</v>
      </c>
      <c r="B1148" t="s">
        <v>593</v>
      </c>
      <c r="C1148" t="s">
        <v>2452</v>
      </c>
      <c r="D1148" t="s">
        <v>1238</v>
      </c>
      <c r="E1148" t="s">
        <v>645</v>
      </c>
      <c r="F1148" t="s">
        <v>728</v>
      </c>
      <c r="G1148" t="s">
        <v>676</v>
      </c>
    </row>
    <row r="1149" spans="1:7" hidden="1" x14ac:dyDescent="0.25">
      <c r="A1149" t="s">
        <v>2453</v>
      </c>
      <c r="B1149" t="s">
        <v>593</v>
      </c>
      <c r="C1149" t="s">
        <v>2454</v>
      </c>
      <c r="D1149" t="s">
        <v>1238</v>
      </c>
      <c r="E1149" t="s">
        <v>645</v>
      </c>
      <c r="F1149" t="s">
        <v>728</v>
      </c>
      <c r="G1149" t="s">
        <v>676</v>
      </c>
    </row>
    <row r="1150" spans="1:7" hidden="1" x14ac:dyDescent="0.25">
      <c r="A1150" t="s">
        <v>2455</v>
      </c>
      <c r="B1150" t="s">
        <v>593</v>
      </c>
      <c r="C1150" t="s">
        <v>2456</v>
      </c>
      <c r="D1150" t="s">
        <v>1238</v>
      </c>
      <c r="E1150" t="s">
        <v>645</v>
      </c>
      <c r="F1150" t="s">
        <v>728</v>
      </c>
      <c r="G1150" t="s">
        <v>676</v>
      </c>
    </row>
    <row r="1151" spans="1:7" hidden="1" x14ac:dyDescent="0.25">
      <c r="A1151" t="s">
        <v>2457</v>
      </c>
      <c r="B1151" t="s">
        <v>593</v>
      </c>
      <c r="C1151" t="s">
        <v>2458</v>
      </c>
      <c r="D1151" t="s">
        <v>1238</v>
      </c>
      <c r="E1151" t="s">
        <v>645</v>
      </c>
      <c r="F1151" t="s">
        <v>728</v>
      </c>
      <c r="G1151" t="s">
        <v>676</v>
      </c>
    </row>
    <row r="1152" spans="1:7" hidden="1" x14ac:dyDescent="0.25">
      <c r="A1152" t="s">
        <v>2459</v>
      </c>
      <c r="B1152" t="s">
        <v>593</v>
      </c>
      <c r="C1152" t="s">
        <v>2460</v>
      </c>
      <c r="D1152" t="s">
        <v>1238</v>
      </c>
      <c r="E1152" t="s">
        <v>645</v>
      </c>
      <c r="F1152" t="s">
        <v>728</v>
      </c>
      <c r="G1152" t="s">
        <v>676</v>
      </c>
    </row>
    <row r="1153" spans="1:7" hidden="1" x14ac:dyDescent="0.25">
      <c r="A1153" t="s">
        <v>2461</v>
      </c>
      <c r="B1153" t="s">
        <v>593</v>
      </c>
      <c r="C1153" t="s">
        <v>2462</v>
      </c>
      <c r="D1153" t="s">
        <v>1238</v>
      </c>
      <c r="E1153" t="s">
        <v>645</v>
      </c>
      <c r="F1153" t="s">
        <v>728</v>
      </c>
      <c r="G1153" t="s">
        <v>676</v>
      </c>
    </row>
    <row r="1154" spans="1:7" hidden="1" x14ac:dyDescent="0.25">
      <c r="A1154" t="s">
        <v>2463</v>
      </c>
      <c r="B1154" t="s">
        <v>593</v>
      </c>
      <c r="C1154" t="s">
        <v>2464</v>
      </c>
      <c r="D1154" t="s">
        <v>1238</v>
      </c>
      <c r="E1154" t="s">
        <v>645</v>
      </c>
      <c r="F1154" t="s">
        <v>728</v>
      </c>
      <c r="G1154" t="s">
        <v>676</v>
      </c>
    </row>
    <row r="1155" spans="1:7" hidden="1" x14ac:dyDescent="0.25">
      <c r="A1155" t="s">
        <v>2465</v>
      </c>
      <c r="B1155" t="s">
        <v>593</v>
      </c>
      <c r="C1155" t="s">
        <v>2466</v>
      </c>
      <c r="D1155" t="s">
        <v>1238</v>
      </c>
      <c r="E1155" t="s">
        <v>645</v>
      </c>
      <c r="F1155" t="s">
        <v>728</v>
      </c>
      <c r="G1155" t="s">
        <v>676</v>
      </c>
    </row>
    <row r="1156" spans="1:7" hidden="1" x14ac:dyDescent="0.25">
      <c r="A1156" t="s">
        <v>37</v>
      </c>
      <c r="B1156" t="s">
        <v>19</v>
      </c>
      <c r="C1156" t="s">
        <v>36</v>
      </c>
      <c r="D1156" t="s">
        <v>1238</v>
      </c>
      <c r="E1156" t="s">
        <v>645</v>
      </c>
      <c r="F1156" t="s">
        <v>728</v>
      </c>
      <c r="G1156" t="s">
        <v>676</v>
      </c>
    </row>
    <row r="1157" spans="1:7" hidden="1" x14ac:dyDescent="0.25">
      <c r="A1157" t="s">
        <v>2467</v>
      </c>
      <c r="B1157" t="s">
        <v>16</v>
      </c>
      <c r="C1157" t="s">
        <v>2467</v>
      </c>
      <c r="D1157" t="s">
        <v>1238</v>
      </c>
      <c r="E1157" t="s">
        <v>644</v>
      </c>
      <c r="F1157" t="s">
        <v>901</v>
      </c>
      <c r="G1157" t="s">
        <v>676</v>
      </c>
    </row>
    <row r="1158" spans="1:7" hidden="1" x14ac:dyDescent="0.25">
      <c r="A1158" t="s">
        <v>2468</v>
      </c>
      <c r="B1158" t="s">
        <v>16</v>
      </c>
      <c r="C1158" t="s">
        <v>2468</v>
      </c>
      <c r="D1158" t="s">
        <v>1238</v>
      </c>
      <c r="E1158" t="s">
        <v>644</v>
      </c>
      <c r="F1158" t="s">
        <v>901</v>
      </c>
      <c r="G1158" t="s">
        <v>676</v>
      </c>
    </row>
    <row r="1159" spans="1:7" hidden="1" x14ac:dyDescent="0.25">
      <c r="A1159" t="s">
        <v>2469</v>
      </c>
      <c r="B1159" t="s">
        <v>16</v>
      </c>
      <c r="C1159" t="s">
        <v>2469</v>
      </c>
      <c r="D1159" t="s">
        <v>1238</v>
      </c>
      <c r="E1159" t="s">
        <v>644</v>
      </c>
      <c r="F1159" t="s">
        <v>901</v>
      </c>
      <c r="G1159" t="s">
        <v>676</v>
      </c>
    </row>
    <row r="1160" spans="1:7" hidden="1" x14ac:dyDescent="0.25">
      <c r="A1160" t="s">
        <v>2470</v>
      </c>
      <c r="B1160" t="s">
        <v>16</v>
      </c>
      <c r="C1160" t="s">
        <v>2470</v>
      </c>
      <c r="D1160" t="s">
        <v>1238</v>
      </c>
      <c r="E1160" t="s">
        <v>644</v>
      </c>
      <c r="F1160" t="s">
        <v>901</v>
      </c>
      <c r="G1160" t="s">
        <v>676</v>
      </c>
    </row>
    <row r="1161" spans="1:7" hidden="1" x14ac:dyDescent="0.25">
      <c r="A1161" t="s">
        <v>2471</v>
      </c>
      <c r="B1161" t="s">
        <v>16</v>
      </c>
      <c r="C1161" t="s">
        <v>2471</v>
      </c>
      <c r="D1161" t="s">
        <v>1238</v>
      </c>
      <c r="E1161" t="s">
        <v>644</v>
      </c>
      <c r="F1161" t="s">
        <v>901</v>
      </c>
      <c r="G1161" t="s">
        <v>676</v>
      </c>
    </row>
    <row r="1162" spans="1:7" hidden="1" x14ac:dyDescent="0.25">
      <c r="A1162" t="s">
        <v>616</v>
      </c>
      <c r="B1162" t="s">
        <v>617</v>
      </c>
      <c r="C1162" t="s">
        <v>615</v>
      </c>
      <c r="D1162" t="s">
        <v>1238</v>
      </c>
      <c r="E1162" t="s">
        <v>637</v>
      </c>
      <c r="F1162" t="s">
        <v>675</v>
      </c>
      <c r="G1162" t="s">
        <v>676</v>
      </c>
    </row>
    <row r="1163" spans="1:7" hidden="1" x14ac:dyDescent="0.25">
      <c r="A1163" t="s">
        <v>577</v>
      </c>
      <c r="B1163" t="s">
        <v>561</v>
      </c>
      <c r="C1163" t="s">
        <v>576</v>
      </c>
      <c r="D1163" t="s">
        <v>1238</v>
      </c>
      <c r="E1163" t="s">
        <v>637</v>
      </c>
      <c r="F1163" t="s">
        <v>675</v>
      </c>
      <c r="G1163" t="s">
        <v>676</v>
      </c>
    </row>
    <row r="1164" spans="1:7" hidden="1" x14ac:dyDescent="0.25">
      <c r="A1164" t="s">
        <v>2472</v>
      </c>
      <c r="B1164" t="s">
        <v>16</v>
      </c>
      <c r="C1164" t="s">
        <v>2472</v>
      </c>
      <c r="D1164" t="s">
        <v>1238</v>
      </c>
      <c r="E1164" t="s">
        <v>644</v>
      </c>
      <c r="F1164" t="s">
        <v>901</v>
      </c>
      <c r="G1164" t="s">
        <v>676</v>
      </c>
    </row>
    <row r="1165" spans="1:7" hidden="1" x14ac:dyDescent="0.25">
      <c r="A1165" t="s">
        <v>2473</v>
      </c>
      <c r="B1165" t="s">
        <v>16</v>
      </c>
      <c r="C1165" t="s">
        <v>2473</v>
      </c>
      <c r="D1165" t="s">
        <v>1238</v>
      </c>
      <c r="E1165" t="s">
        <v>644</v>
      </c>
      <c r="F1165" t="s">
        <v>901</v>
      </c>
      <c r="G1165" t="s">
        <v>676</v>
      </c>
    </row>
    <row r="1166" spans="1:7" hidden="1" x14ac:dyDescent="0.25">
      <c r="A1166" t="s">
        <v>2474</v>
      </c>
      <c r="B1166" t="s">
        <v>16</v>
      </c>
      <c r="C1166" t="s">
        <v>2474</v>
      </c>
      <c r="D1166" t="s">
        <v>1238</v>
      </c>
      <c r="E1166" t="s">
        <v>644</v>
      </c>
      <c r="F1166" t="s">
        <v>901</v>
      </c>
      <c r="G1166" t="s">
        <v>676</v>
      </c>
    </row>
    <row r="1167" spans="1:7" hidden="1" x14ac:dyDescent="0.25">
      <c r="A1167" t="s">
        <v>2475</v>
      </c>
      <c r="B1167" t="s">
        <v>16</v>
      </c>
      <c r="C1167" t="s">
        <v>2475</v>
      </c>
      <c r="D1167" t="s">
        <v>1238</v>
      </c>
      <c r="E1167" t="s">
        <v>644</v>
      </c>
      <c r="F1167" t="s">
        <v>901</v>
      </c>
      <c r="G1167" t="s">
        <v>676</v>
      </c>
    </row>
    <row r="1168" spans="1:7" hidden="1" x14ac:dyDescent="0.25">
      <c r="A1168" t="s">
        <v>2476</v>
      </c>
      <c r="B1168" t="s">
        <v>16</v>
      </c>
      <c r="C1168" t="s">
        <v>2476</v>
      </c>
      <c r="D1168" t="s">
        <v>1238</v>
      </c>
      <c r="E1168" t="s">
        <v>644</v>
      </c>
      <c r="F1168" t="s">
        <v>901</v>
      </c>
      <c r="G1168" t="s">
        <v>676</v>
      </c>
    </row>
    <row r="1169" spans="1:7" hidden="1" x14ac:dyDescent="0.25">
      <c r="A1169" t="s">
        <v>2477</v>
      </c>
      <c r="B1169" t="s">
        <v>16</v>
      </c>
      <c r="C1169" t="s">
        <v>2477</v>
      </c>
      <c r="D1169" t="s">
        <v>1238</v>
      </c>
      <c r="E1169" t="s">
        <v>644</v>
      </c>
      <c r="F1169" t="s">
        <v>901</v>
      </c>
      <c r="G1169" t="s">
        <v>676</v>
      </c>
    </row>
    <row r="1170" spans="1:7" hidden="1" x14ac:dyDescent="0.25">
      <c r="A1170" t="s">
        <v>2478</v>
      </c>
      <c r="B1170" t="s">
        <v>16</v>
      </c>
      <c r="C1170" t="s">
        <v>2478</v>
      </c>
      <c r="D1170" t="s">
        <v>1238</v>
      </c>
      <c r="E1170" t="s">
        <v>644</v>
      </c>
      <c r="F1170" t="s">
        <v>901</v>
      </c>
      <c r="G1170" t="s">
        <v>676</v>
      </c>
    </row>
    <row r="1171" spans="1:7" hidden="1" x14ac:dyDescent="0.25">
      <c r="A1171" t="s">
        <v>2479</v>
      </c>
      <c r="B1171" t="s">
        <v>16</v>
      </c>
      <c r="C1171" t="s">
        <v>2479</v>
      </c>
      <c r="D1171" t="s">
        <v>1238</v>
      </c>
      <c r="E1171" t="s">
        <v>644</v>
      </c>
      <c r="F1171" t="s">
        <v>901</v>
      </c>
      <c r="G1171" t="s">
        <v>676</v>
      </c>
    </row>
    <row r="1172" spans="1:7" hidden="1" x14ac:dyDescent="0.25">
      <c r="A1172" t="s">
        <v>135</v>
      </c>
      <c r="B1172" t="s">
        <v>135</v>
      </c>
      <c r="C1172" t="s">
        <v>134</v>
      </c>
      <c r="D1172" t="s">
        <v>1238</v>
      </c>
      <c r="E1172" t="s">
        <v>645</v>
      </c>
      <c r="F1172" t="s">
        <v>728</v>
      </c>
      <c r="G1172" t="s">
        <v>676</v>
      </c>
    </row>
    <row r="1173" spans="1:7" hidden="1" x14ac:dyDescent="0.25">
      <c r="A1173" t="s">
        <v>659</v>
      </c>
      <c r="B1173" t="s">
        <v>659</v>
      </c>
      <c r="C1173" t="s">
        <v>2480</v>
      </c>
      <c r="D1173" t="s">
        <v>1238</v>
      </c>
      <c r="E1173" t="s">
        <v>645</v>
      </c>
      <c r="F1173" t="s">
        <v>728</v>
      </c>
      <c r="G1173" t="s">
        <v>676</v>
      </c>
    </row>
    <row r="1174" spans="1:7" hidden="1" x14ac:dyDescent="0.25">
      <c r="A1174" s="126" t="s">
        <v>2481</v>
      </c>
      <c r="B1174" t="s">
        <v>16</v>
      </c>
      <c r="C1174" s="126" t="s">
        <v>2481</v>
      </c>
      <c r="D1174" t="s">
        <v>1238</v>
      </c>
      <c r="E1174" t="s">
        <v>644</v>
      </c>
      <c r="F1174" t="s">
        <v>901</v>
      </c>
      <c r="G1174" t="s">
        <v>676</v>
      </c>
    </row>
    <row r="1175" spans="1:7" hidden="1" x14ac:dyDescent="0.25">
      <c r="A1175" s="126" t="s">
        <v>2482</v>
      </c>
      <c r="B1175" t="s">
        <v>16</v>
      </c>
      <c r="C1175" s="126" t="s">
        <v>2482</v>
      </c>
      <c r="D1175" t="s">
        <v>1238</v>
      </c>
      <c r="E1175" t="s">
        <v>644</v>
      </c>
      <c r="F1175" t="s">
        <v>901</v>
      </c>
      <c r="G1175" t="s">
        <v>676</v>
      </c>
    </row>
    <row r="1176" spans="1:7" hidden="1" x14ac:dyDescent="0.25">
      <c r="A1176" s="294" t="s">
        <v>319</v>
      </c>
      <c r="B1176" t="s">
        <v>16</v>
      </c>
      <c r="C1176" s="294" t="s">
        <v>319</v>
      </c>
      <c r="D1176" t="s">
        <v>1238</v>
      </c>
      <c r="E1176" t="s">
        <v>644</v>
      </c>
      <c r="F1176" t="s">
        <v>901</v>
      </c>
      <c r="G1176" t="s">
        <v>676</v>
      </c>
    </row>
    <row r="1177" spans="1:7" hidden="1" x14ac:dyDescent="0.25">
      <c r="A1177" s="294" t="s">
        <v>320</v>
      </c>
      <c r="B1177" t="s">
        <v>16</v>
      </c>
      <c r="C1177" s="294" t="s">
        <v>320</v>
      </c>
      <c r="D1177" t="s">
        <v>1238</v>
      </c>
      <c r="E1177" t="s">
        <v>644</v>
      </c>
      <c r="F1177" t="s">
        <v>901</v>
      </c>
      <c r="G1177" t="s">
        <v>676</v>
      </c>
    </row>
    <row r="1178" spans="1:7" hidden="1" x14ac:dyDescent="0.25">
      <c r="A1178" s="294" t="s">
        <v>321</v>
      </c>
      <c r="B1178" t="s">
        <v>16</v>
      </c>
      <c r="C1178" s="294" t="s">
        <v>321</v>
      </c>
      <c r="D1178" t="s">
        <v>1238</v>
      </c>
      <c r="E1178" t="s">
        <v>644</v>
      </c>
      <c r="F1178" t="s">
        <v>901</v>
      </c>
      <c r="G1178" t="s">
        <v>676</v>
      </c>
    </row>
    <row r="1179" spans="1:7" hidden="1" x14ac:dyDescent="0.25">
      <c r="A1179" s="294" t="s">
        <v>322</v>
      </c>
      <c r="B1179" t="s">
        <v>16</v>
      </c>
      <c r="C1179" s="294" t="s">
        <v>322</v>
      </c>
      <c r="D1179" t="s">
        <v>1238</v>
      </c>
      <c r="E1179" t="s">
        <v>644</v>
      </c>
      <c r="F1179" t="s">
        <v>901</v>
      </c>
      <c r="G1179" t="s">
        <v>676</v>
      </c>
    </row>
    <row r="1180" spans="1:7" hidden="1" x14ac:dyDescent="0.25">
      <c r="A1180" s="294" t="s">
        <v>323</v>
      </c>
      <c r="B1180" t="s">
        <v>16</v>
      </c>
      <c r="C1180" s="294" t="s">
        <v>323</v>
      </c>
      <c r="D1180" t="s">
        <v>1238</v>
      </c>
      <c r="E1180" t="s">
        <v>644</v>
      </c>
      <c r="F1180" t="s">
        <v>901</v>
      </c>
      <c r="G1180" t="s">
        <v>676</v>
      </c>
    </row>
    <row r="1181" spans="1:7" hidden="1" x14ac:dyDescent="0.25">
      <c r="A1181" t="s">
        <v>448</v>
      </c>
      <c r="B1181" t="s">
        <v>432</v>
      </c>
      <c r="C1181" s="294" t="s">
        <v>447</v>
      </c>
      <c r="D1181" t="s">
        <v>1238</v>
      </c>
      <c r="E1181" t="s">
        <v>637</v>
      </c>
      <c r="F1181" t="s">
        <v>675</v>
      </c>
      <c r="G1181" t="s">
        <v>676</v>
      </c>
    </row>
    <row r="1182" spans="1:7" hidden="1" x14ac:dyDescent="0.25">
      <c r="A1182" t="s">
        <v>623</v>
      </c>
      <c r="B1182" t="s">
        <v>617</v>
      </c>
      <c r="C1182" s="294" t="s">
        <v>622</v>
      </c>
      <c r="D1182" t="s">
        <v>1238</v>
      </c>
      <c r="E1182" t="s">
        <v>637</v>
      </c>
      <c r="F1182" t="s">
        <v>675</v>
      </c>
      <c r="G1182" t="s">
        <v>676</v>
      </c>
    </row>
    <row r="1183" spans="1:7" hidden="1" x14ac:dyDescent="0.25">
      <c r="A1183" s="126" t="s">
        <v>344</v>
      </c>
      <c r="B1183" t="s">
        <v>16</v>
      </c>
      <c r="C1183" s="126" t="s">
        <v>344</v>
      </c>
      <c r="D1183" t="s">
        <v>1238</v>
      </c>
      <c r="E1183" t="s">
        <v>644</v>
      </c>
      <c r="F1183" t="s">
        <v>901</v>
      </c>
      <c r="G1183" t="s">
        <v>676</v>
      </c>
    </row>
    <row r="1184" spans="1:7" hidden="1" x14ac:dyDescent="0.25">
      <c r="A1184" s="126" t="s">
        <v>345</v>
      </c>
      <c r="B1184" t="s">
        <v>16</v>
      </c>
      <c r="C1184" s="126" t="s">
        <v>345</v>
      </c>
      <c r="D1184" t="s">
        <v>1238</v>
      </c>
      <c r="E1184" t="s">
        <v>644</v>
      </c>
      <c r="F1184" t="s">
        <v>901</v>
      </c>
      <c r="G1184" t="s">
        <v>676</v>
      </c>
    </row>
    <row r="1185" spans="1:7" hidden="1" x14ac:dyDescent="0.25">
      <c r="A1185" s="126" t="s">
        <v>360</v>
      </c>
      <c r="B1185" t="s">
        <v>16</v>
      </c>
      <c r="C1185" s="126" t="s">
        <v>360</v>
      </c>
      <c r="D1185" t="s">
        <v>1238</v>
      </c>
      <c r="E1185" t="s">
        <v>644</v>
      </c>
      <c r="F1185" t="s">
        <v>901</v>
      </c>
      <c r="G1185" t="s">
        <v>676</v>
      </c>
    </row>
    <row r="1186" spans="1:7" hidden="1" x14ac:dyDescent="0.25">
      <c r="A1186" s="294" t="s">
        <v>381</v>
      </c>
      <c r="B1186" t="s">
        <v>16</v>
      </c>
      <c r="C1186" s="294" t="s">
        <v>381</v>
      </c>
      <c r="D1186" t="s">
        <v>1238</v>
      </c>
      <c r="E1186" t="s">
        <v>644</v>
      </c>
      <c r="F1186" t="s">
        <v>901</v>
      </c>
      <c r="G1186" t="s">
        <v>676</v>
      </c>
    </row>
    <row r="1187" spans="1:7" hidden="1" x14ac:dyDescent="0.25">
      <c r="A1187" s="294" t="s">
        <v>382</v>
      </c>
      <c r="B1187" t="s">
        <v>16</v>
      </c>
      <c r="C1187" s="294" t="s">
        <v>382</v>
      </c>
      <c r="D1187" t="s">
        <v>1238</v>
      </c>
      <c r="E1187" t="s">
        <v>644</v>
      </c>
      <c r="F1187" t="s">
        <v>901</v>
      </c>
      <c r="G1187" t="s">
        <v>676</v>
      </c>
    </row>
    <row r="1188" spans="1:7" hidden="1" x14ac:dyDescent="0.25">
      <c r="A1188" s="294" t="s">
        <v>586</v>
      </c>
      <c r="B1188" t="s">
        <v>561</v>
      </c>
      <c r="C1188" s="294" t="s">
        <v>586</v>
      </c>
      <c r="D1188" t="s">
        <v>1238</v>
      </c>
      <c r="E1188" t="s">
        <v>637</v>
      </c>
      <c r="F1188" t="s">
        <v>675</v>
      </c>
      <c r="G1188" t="s">
        <v>676</v>
      </c>
    </row>
    <row r="1189" spans="1:7" hidden="1" x14ac:dyDescent="0.25">
      <c r="A1189" t="s">
        <v>15</v>
      </c>
      <c r="B1189" t="s">
        <v>16</v>
      </c>
      <c r="C1189" t="s">
        <v>15</v>
      </c>
      <c r="D1189" t="s">
        <v>1238</v>
      </c>
      <c r="E1189" t="s">
        <v>644</v>
      </c>
      <c r="F1189" t="s">
        <v>901</v>
      </c>
      <c r="G1189" t="s">
        <v>676</v>
      </c>
    </row>
    <row r="1190" spans="1:7" hidden="1" x14ac:dyDescent="0.25">
      <c r="A1190" t="s">
        <v>17</v>
      </c>
      <c r="B1190" t="s">
        <v>16</v>
      </c>
      <c r="C1190" t="s">
        <v>17</v>
      </c>
      <c r="D1190" t="s">
        <v>1238</v>
      </c>
      <c r="E1190" t="s">
        <v>644</v>
      </c>
      <c r="F1190" t="s">
        <v>901</v>
      </c>
      <c r="G1190" t="s">
        <v>676</v>
      </c>
    </row>
    <row r="1191" spans="1:7" hidden="1" x14ac:dyDescent="0.25">
      <c r="A1191" t="s">
        <v>2483</v>
      </c>
      <c r="B1191" t="s">
        <v>107</v>
      </c>
      <c r="C1191" t="s">
        <v>2484</v>
      </c>
      <c r="D1191" t="s">
        <v>1238</v>
      </c>
      <c r="E1191" t="s">
        <v>645</v>
      </c>
      <c r="F1191" t="s">
        <v>728</v>
      </c>
      <c r="G1191" t="s">
        <v>676</v>
      </c>
    </row>
    <row r="1192" spans="1:7" hidden="1" x14ac:dyDescent="0.25">
      <c r="A1192" s="126" t="s">
        <v>18</v>
      </c>
      <c r="B1192" t="s">
        <v>19</v>
      </c>
      <c r="C1192" s="126" t="s">
        <v>18</v>
      </c>
      <c r="D1192" t="s">
        <v>1238</v>
      </c>
      <c r="E1192" t="s">
        <v>645</v>
      </c>
      <c r="F1192" t="s">
        <v>728</v>
      </c>
      <c r="G1192" t="s">
        <v>676</v>
      </c>
    </row>
    <row r="1195" spans="1:7" x14ac:dyDescent="0.25">
      <c r="A1195" t="s">
        <v>2485</v>
      </c>
      <c r="C1195" t="s">
        <v>2485</v>
      </c>
    </row>
  </sheetData>
  <autoFilter ref="A1:J1192" xr:uid="{00000000-0009-0000-0000-000002000000}">
    <filterColumn colId="4">
      <filters>
        <filter val="VACANCY"/>
      </filters>
    </filterColumn>
  </autoFilter>
  <conditionalFormatting sqref="A31">
    <cfRule type="duplicateValues" dxfId="1153" priority="8"/>
  </conditionalFormatting>
  <conditionalFormatting sqref="A32:A57 B41 B43">
    <cfRule type="duplicateValues" dxfId="1152" priority="9"/>
  </conditionalFormatting>
  <conditionalFormatting sqref="A72:A77">
    <cfRule type="duplicateValues" dxfId="1151" priority="11"/>
  </conditionalFormatting>
  <conditionalFormatting sqref="A157">
    <cfRule type="duplicateValues" dxfId="1150" priority="122"/>
  </conditionalFormatting>
  <conditionalFormatting sqref="A161:A162">
    <cfRule type="duplicateValues" dxfId="1149" priority="131"/>
  </conditionalFormatting>
  <conditionalFormatting sqref="A179:A183">
    <cfRule type="duplicateValues" dxfId="1148" priority="32"/>
  </conditionalFormatting>
  <conditionalFormatting sqref="A191:A193">
    <cfRule type="duplicateValues" dxfId="1147" priority="182"/>
  </conditionalFormatting>
  <conditionalFormatting sqref="A235">
    <cfRule type="duplicateValues" dxfId="1146" priority="149"/>
  </conditionalFormatting>
  <conditionalFormatting sqref="A236">
    <cfRule type="duplicateValues" dxfId="1145" priority="99"/>
  </conditionalFormatting>
  <conditionalFormatting sqref="A237">
    <cfRule type="duplicateValues" dxfId="1144" priority="88"/>
  </conditionalFormatting>
  <conditionalFormatting sqref="A238:A257 A259:A288">
    <cfRule type="duplicateValues" dxfId="1143" priority="1414"/>
  </conditionalFormatting>
  <conditionalFormatting sqref="A258">
    <cfRule type="duplicateValues" dxfId="1142" priority="16"/>
  </conditionalFormatting>
  <conditionalFormatting sqref="A293">
    <cfRule type="duplicateValues" dxfId="1141" priority="180"/>
  </conditionalFormatting>
  <conditionalFormatting sqref="A303">
    <cfRule type="duplicateValues" dxfId="1140" priority="202"/>
  </conditionalFormatting>
  <conditionalFormatting sqref="A324">
    <cfRule type="duplicateValues" dxfId="1139" priority="178"/>
  </conditionalFormatting>
  <conditionalFormatting sqref="A342:A343">
    <cfRule type="duplicateValues" dxfId="1138" priority="44"/>
  </conditionalFormatting>
  <conditionalFormatting sqref="A344:A352 A354">
    <cfRule type="duplicateValues" dxfId="1137" priority="52"/>
  </conditionalFormatting>
  <conditionalFormatting sqref="A353">
    <cfRule type="duplicateValues" dxfId="1136" priority="34"/>
  </conditionalFormatting>
  <conditionalFormatting sqref="A420">
    <cfRule type="duplicateValues" dxfId="1135" priority="333"/>
  </conditionalFormatting>
  <conditionalFormatting sqref="A430">
    <cfRule type="duplicateValues" dxfId="1134" priority="153"/>
  </conditionalFormatting>
  <conditionalFormatting sqref="A431">
    <cfRule type="duplicateValues" dxfId="1133" priority="59"/>
  </conditionalFormatting>
  <conditionalFormatting sqref="A433">
    <cfRule type="duplicateValues" dxfId="1132" priority="200"/>
  </conditionalFormatting>
  <conditionalFormatting sqref="A438">
    <cfRule type="duplicateValues" dxfId="1131" priority="198"/>
  </conditionalFormatting>
  <conditionalFormatting sqref="A502:A505">
    <cfRule type="duplicateValues" dxfId="1130" priority="339"/>
  </conditionalFormatting>
  <conditionalFormatting sqref="A509">
    <cfRule type="duplicateValues" dxfId="1129" priority="56"/>
  </conditionalFormatting>
  <conditionalFormatting sqref="A594">
    <cfRule type="duplicateValues" dxfId="1128" priority="13"/>
  </conditionalFormatting>
  <conditionalFormatting sqref="A599:A600">
    <cfRule type="duplicateValues" dxfId="1127" priority="82"/>
  </conditionalFormatting>
  <conditionalFormatting sqref="A604">
    <cfRule type="duplicateValues" dxfId="1126" priority="106"/>
  </conditionalFormatting>
  <conditionalFormatting sqref="A605">
    <cfRule type="duplicateValues" dxfId="1125" priority="161"/>
  </conditionalFormatting>
  <conditionalFormatting sqref="A620:A642">
    <cfRule type="duplicateValues" dxfId="1124" priority="314"/>
  </conditionalFormatting>
  <conditionalFormatting sqref="A663">
    <cfRule type="duplicateValues" dxfId="1123" priority="76"/>
  </conditionalFormatting>
  <conditionalFormatting sqref="A745">
    <cfRule type="duplicateValues" dxfId="1122" priority="61"/>
  </conditionalFormatting>
  <conditionalFormatting sqref="A774">
    <cfRule type="duplicateValues" dxfId="1121" priority="312"/>
    <cfRule type="duplicateValues" dxfId="1120" priority="311"/>
    <cfRule type="duplicateValues" dxfId="1119" priority="309"/>
  </conditionalFormatting>
  <conditionalFormatting sqref="A854">
    <cfRule type="duplicateValues" dxfId="1118" priority="176"/>
  </conditionalFormatting>
  <conditionalFormatting sqref="A926">
    <cfRule type="duplicateValues" dxfId="1117" priority="239"/>
  </conditionalFormatting>
  <conditionalFormatting sqref="A958">
    <cfRule type="duplicateValues" dxfId="1116" priority="196"/>
  </conditionalFormatting>
  <conditionalFormatting sqref="A959">
    <cfRule type="duplicateValues" dxfId="1115" priority="73"/>
  </conditionalFormatting>
  <conditionalFormatting sqref="A1017">
    <cfRule type="duplicateValues" dxfId="1114" priority="189"/>
  </conditionalFormatting>
  <conditionalFormatting sqref="A1025">
    <cfRule type="duplicateValues" dxfId="1113" priority="204"/>
  </conditionalFormatting>
  <conditionalFormatting sqref="A1030:A1031">
    <cfRule type="duplicateValues" dxfId="1112" priority="228"/>
    <cfRule type="duplicateValues" dxfId="1111" priority="227"/>
    <cfRule type="duplicateValues" dxfId="1110" priority="229"/>
  </conditionalFormatting>
  <conditionalFormatting sqref="A1032">
    <cfRule type="duplicateValues" dxfId="1109" priority="219"/>
    <cfRule type="duplicateValues" dxfId="1108" priority="217"/>
    <cfRule type="duplicateValues" dxfId="1107" priority="211"/>
    <cfRule type="duplicateValues" dxfId="1106" priority="218"/>
  </conditionalFormatting>
  <conditionalFormatting sqref="A1035">
    <cfRule type="duplicateValues" dxfId="1105" priority="145"/>
  </conditionalFormatting>
  <conditionalFormatting sqref="A1036">
    <cfRule type="duplicateValues" dxfId="1104" priority="120"/>
  </conditionalFormatting>
  <conditionalFormatting sqref="A1037">
    <cfRule type="duplicateValues" dxfId="1103" priority="113"/>
  </conditionalFormatting>
  <conditionalFormatting sqref="A1040">
    <cfRule type="duplicateValues" dxfId="1102" priority="138"/>
  </conditionalFormatting>
  <conditionalFormatting sqref="A1053">
    <cfRule type="duplicateValues" dxfId="1101" priority="97"/>
  </conditionalFormatting>
  <conditionalFormatting sqref="A1056">
    <cfRule type="duplicateValues" dxfId="1100" priority="342"/>
  </conditionalFormatting>
  <conditionalFormatting sqref="A1068">
    <cfRule type="duplicateValues" dxfId="1099" priority="169"/>
  </conditionalFormatting>
  <conditionalFormatting sqref="A1076">
    <cfRule type="duplicateValues" dxfId="1098" priority="129"/>
  </conditionalFormatting>
  <conditionalFormatting sqref="A1122">
    <cfRule type="duplicateValues" dxfId="1097" priority="4"/>
  </conditionalFormatting>
  <conditionalFormatting sqref="A1123">
    <cfRule type="duplicateValues" dxfId="1096" priority="3"/>
  </conditionalFormatting>
  <conditionalFormatting sqref="A1134">
    <cfRule type="duplicateValues" dxfId="1095" priority="2"/>
  </conditionalFormatting>
  <conditionalFormatting sqref="B202:B204 B206 B209:B220 B223 B227:B228">
    <cfRule type="duplicateValues" dxfId="1094" priority="687"/>
  </conditionalFormatting>
  <conditionalFormatting sqref="B339:B340 B342:B343">
    <cfRule type="duplicateValues" dxfId="1093" priority="45"/>
  </conditionalFormatting>
  <conditionalFormatting sqref="B344:B345 B348:B352 B354">
    <cfRule type="duplicateValues" dxfId="1092" priority="53"/>
  </conditionalFormatting>
  <conditionalFormatting sqref="B353">
    <cfRule type="duplicateValues" dxfId="1091" priority="35"/>
  </conditionalFormatting>
  <conditionalFormatting sqref="B549:B550">
    <cfRule type="duplicateValues" dxfId="1090" priority="18"/>
  </conditionalFormatting>
  <conditionalFormatting sqref="B588:B589">
    <cfRule type="duplicateValues" dxfId="1089" priority="46"/>
  </conditionalFormatting>
  <conditionalFormatting sqref="C1">
    <cfRule type="duplicateValues" dxfId="1088" priority="336"/>
  </conditionalFormatting>
  <conditionalFormatting sqref="C1:C1156">
    <cfRule type="duplicateValues" dxfId="1087" priority="1"/>
  </conditionalFormatting>
  <conditionalFormatting sqref="C2:C31 C59:C60 C69:C71 C78:C83 C89:C90 C130:C575">
    <cfRule type="duplicateValues" dxfId="1086" priority="1731"/>
  </conditionalFormatting>
  <conditionalFormatting sqref="C32:C58">
    <cfRule type="duplicateValues" dxfId="1085" priority="10"/>
  </conditionalFormatting>
  <conditionalFormatting sqref="C68">
    <cfRule type="duplicateValues" dxfId="1084" priority="7"/>
    <cfRule type="duplicateValues" dxfId="1083" priority="6"/>
    <cfRule type="duplicateValues" dxfId="1082" priority="5"/>
  </conditionalFormatting>
  <conditionalFormatting sqref="C72:C77">
    <cfRule type="duplicateValues" dxfId="1081" priority="12"/>
  </conditionalFormatting>
  <conditionalFormatting sqref="C91:C129">
    <cfRule type="duplicateValues" dxfId="1080" priority="1689"/>
  </conditionalFormatting>
  <conditionalFormatting sqref="C1092">
    <cfRule type="duplicateValues" dxfId="1079" priority="15"/>
  </conditionalFormatting>
  <hyperlinks>
    <hyperlink ref="C2" r:id="rId1" xr:uid="{00000000-0004-0000-0200-000000000000}"/>
    <hyperlink ref="C11" r:id="rId2" xr:uid="{00000000-0004-0000-0200-000001000000}"/>
    <hyperlink ref="C12" r:id="rId3" xr:uid="{00000000-0004-0000-0200-000002000000}"/>
    <hyperlink ref="C22" r:id="rId4" xr:uid="{00000000-0004-0000-0200-000003000000}"/>
    <hyperlink ref="C48" r:id="rId5" xr:uid="{00000000-0004-0000-0200-000004000000}"/>
    <hyperlink ref="C49" r:id="rId6" xr:uid="{00000000-0004-0000-0200-000005000000}"/>
    <hyperlink ref="C51" r:id="rId7" xr:uid="{00000000-0004-0000-0200-000006000000}"/>
    <hyperlink ref="A53" r:id="rId8" display="SD_LBIEN" xr:uid="{00000000-0004-0000-0200-000007000000}"/>
    <hyperlink ref="C53" r:id="rId9" xr:uid="{00000000-0004-0000-0200-000008000000}"/>
    <hyperlink ref="C55" r:id="rId10" xr:uid="{00000000-0004-0000-0200-000009000000}"/>
    <hyperlink ref="C56" r:id="rId11" xr:uid="{00000000-0004-0000-0200-00000A000000}"/>
    <hyperlink ref="C57" r:id="rId12" xr:uid="{00000000-0004-0000-0200-00000B000000}"/>
    <hyperlink ref="C59" r:id="rId13" xr:uid="{00000000-0004-0000-0200-00000C000000}"/>
    <hyperlink ref="C60" r:id="rId14" xr:uid="{00000000-0004-0000-0200-00000D000000}"/>
    <hyperlink ref="C62" r:id="rId15" xr:uid="{00000000-0004-0000-0200-00000E000000}"/>
    <hyperlink ref="C63" r:id="rId16" xr:uid="{00000000-0004-0000-0200-00000F000000}"/>
    <hyperlink ref="C64" r:id="rId17" xr:uid="{00000000-0004-0000-0200-000010000000}"/>
    <hyperlink ref="C65" r:id="rId18" xr:uid="{00000000-0004-0000-0200-000011000000}"/>
    <hyperlink ref="C66" r:id="rId19" xr:uid="{00000000-0004-0000-0200-000012000000}"/>
    <hyperlink ref="C67" r:id="rId20" xr:uid="{00000000-0004-0000-0200-000013000000}"/>
    <hyperlink ref="C68" r:id="rId21" xr:uid="{00000000-0004-0000-0200-000014000000}"/>
    <hyperlink ref="C69" r:id="rId22" xr:uid="{00000000-0004-0000-0200-000015000000}"/>
    <hyperlink ref="C70" r:id="rId23" xr:uid="{00000000-0004-0000-0200-000016000000}"/>
    <hyperlink ref="A71" r:id="rId24" display="BHX_13628_TNINH" xr:uid="{00000000-0004-0000-0200-000017000000}"/>
    <hyperlink ref="C71" r:id="rId25" xr:uid="{00000000-0004-0000-0200-000018000000}"/>
    <hyperlink ref="C72" r:id="rId26" xr:uid="{00000000-0004-0000-0200-000019000000}"/>
    <hyperlink ref="C73" r:id="rId27" xr:uid="{00000000-0004-0000-0200-00001A000000}"/>
    <hyperlink ref="C74" r:id="rId28" xr:uid="{00000000-0004-0000-0200-00001B000000}"/>
    <hyperlink ref="C75" r:id="rId29" xr:uid="{00000000-0004-0000-0200-00001C000000}"/>
    <hyperlink ref="C76" r:id="rId30" xr:uid="{00000000-0004-0000-0200-00001D000000}"/>
    <hyperlink ref="C77" r:id="rId31" xr:uid="{00000000-0004-0000-0200-00001E000000}"/>
    <hyperlink ref="C78" r:id="rId32" xr:uid="{00000000-0004-0000-0200-00001F000000}"/>
    <hyperlink ref="C79" r:id="rId33" xr:uid="{00000000-0004-0000-0200-000020000000}"/>
    <hyperlink ref="C80" r:id="rId34" xr:uid="{00000000-0004-0000-0200-000021000000}"/>
    <hyperlink ref="C81" r:id="rId35" xr:uid="{00000000-0004-0000-0200-000022000000}"/>
    <hyperlink ref="C82" r:id="rId36" xr:uid="{00000000-0004-0000-0200-000023000000}"/>
    <hyperlink ref="C83" r:id="rId37" xr:uid="{00000000-0004-0000-0200-000024000000}"/>
    <hyperlink ref="C84" r:id="rId38" xr:uid="{00000000-0004-0000-0200-000025000000}"/>
    <hyperlink ref="C85" r:id="rId39" xr:uid="{00000000-0004-0000-0200-000026000000}"/>
    <hyperlink ref="C86" r:id="rId40" xr:uid="{00000000-0004-0000-0200-000027000000}"/>
    <hyperlink ref="C90" r:id="rId41" xr:uid="{00000000-0004-0000-0200-000028000000}"/>
    <hyperlink ref="C92" r:id="rId42" xr:uid="{00000000-0004-0000-0200-000029000000}"/>
    <hyperlink ref="C93" r:id="rId43" xr:uid="{00000000-0004-0000-0200-00002A000000}"/>
    <hyperlink ref="C95" r:id="rId44" xr:uid="{00000000-0004-0000-0200-00002B000000}"/>
    <hyperlink ref="C96" r:id="rId45" xr:uid="{00000000-0004-0000-0200-00002C000000}"/>
    <hyperlink ref="C97" r:id="rId46" xr:uid="{00000000-0004-0000-0200-00002D000000}"/>
    <hyperlink ref="C98" r:id="rId47" xr:uid="{00000000-0004-0000-0200-00002E000000}"/>
    <hyperlink ref="C100" r:id="rId48" xr:uid="{00000000-0004-0000-0200-00002F000000}"/>
    <hyperlink ref="C101" r:id="rId49" xr:uid="{00000000-0004-0000-0200-000030000000}"/>
    <hyperlink ref="C102" r:id="rId50" xr:uid="{00000000-0004-0000-0200-000031000000}"/>
    <hyperlink ref="C103" r:id="rId51" xr:uid="{00000000-0004-0000-0200-000032000000}"/>
    <hyperlink ref="C104" r:id="rId52" xr:uid="{00000000-0004-0000-0200-000033000000}"/>
    <hyperlink ref="C105" r:id="rId53" xr:uid="{00000000-0004-0000-0200-000034000000}"/>
    <hyperlink ref="C106" r:id="rId54" xr:uid="{00000000-0004-0000-0200-000035000000}"/>
    <hyperlink ref="A107" r:id="rId55" display="BIGC_ANNHON" xr:uid="{00000000-0004-0000-0200-000036000000}"/>
    <hyperlink ref="C107" r:id="rId56" xr:uid="{00000000-0004-0000-0200-000037000000}"/>
    <hyperlink ref="C108" r:id="rId57" xr:uid="{00000000-0004-0000-0200-000038000000}"/>
    <hyperlink ref="C109" r:id="rId58" xr:uid="{00000000-0004-0000-0200-000039000000}"/>
    <hyperlink ref="C110" r:id="rId59" xr:uid="{00000000-0004-0000-0200-00003A000000}"/>
    <hyperlink ref="A111" r:id="rId60" display="BIGC_DBAN" xr:uid="{00000000-0004-0000-0200-00003B000000}"/>
    <hyperlink ref="C111" r:id="rId61" xr:uid="{00000000-0004-0000-0200-00003C000000}"/>
    <hyperlink ref="C124" r:id="rId62" xr:uid="{00000000-0004-0000-0200-00003D000000}"/>
    <hyperlink ref="C126" r:id="rId63" xr:uid="{00000000-0004-0000-0200-00003E000000}"/>
    <hyperlink ref="C127" r:id="rId64" xr:uid="{00000000-0004-0000-0200-00003F000000}"/>
    <hyperlink ref="C128" r:id="rId65" xr:uid="{00000000-0004-0000-0200-000040000000}"/>
    <hyperlink ref="C129" r:id="rId66" xr:uid="{00000000-0004-0000-0200-000041000000}"/>
    <hyperlink ref="C131" r:id="rId67" xr:uid="{00000000-0004-0000-0200-000042000000}"/>
    <hyperlink ref="C142" r:id="rId68" xr:uid="{00000000-0004-0000-0200-000043000000}"/>
    <hyperlink ref="C148" r:id="rId69" xr:uid="{00000000-0004-0000-0200-000044000000}"/>
    <hyperlink ref="A149" r:id="rId70" display="BIGC_GO_PMY" xr:uid="{00000000-0004-0000-0200-000045000000}"/>
    <hyperlink ref="C149" r:id="rId71" xr:uid="{00000000-0004-0000-0200-000046000000}"/>
    <hyperlink ref="C155" r:id="rId72" xr:uid="{00000000-0004-0000-0200-000047000000}"/>
    <hyperlink ref="C156" r:id="rId73" xr:uid="{00000000-0004-0000-0200-000048000000}"/>
    <hyperlink ref="C160" r:id="rId74" xr:uid="{00000000-0004-0000-0200-000049000000}"/>
    <hyperlink ref="C166" r:id="rId75" xr:uid="{00000000-0004-0000-0200-00004A000000}"/>
    <hyperlink ref="C169" r:id="rId76" xr:uid="{00000000-0004-0000-0200-00004B000000}"/>
    <hyperlink ref="C176" r:id="rId77" xr:uid="{00000000-0004-0000-0200-00004C000000}"/>
    <hyperlink ref="C181" r:id="rId78" xr:uid="{00000000-0004-0000-0200-00004D000000}"/>
    <hyperlink ref="C182" r:id="rId79" xr:uid="{00000000-0004-0000-0200-00004E000000}"/>
    <hyperlink ref="C183" r:id="rId80" xr:uid="{00000000-0004-0000-0200-00004F000000}"/>
    <hyperlink ref="C184" r:id="rId81" xr:uid="{00000000-0004-0000-0200-000050000000}"/>
    <hyperlink ref="C185" r:id="rId82" xr:uid="{00000000-0004-0000-0200-000051000000}"/>
    <hyperlink ref="C186" r:id="rId83" xr:uid="{00000000-0004-0000-0200-000052000000}"/>
    <hyperlink ref="C187" r:id="rId84" xr:uid="{00000000-0004-0000-0200-000053000000}"/>
    <hyperlink ref="C188" r:id="rId85" xr:uid="{00000000-0004-0000-0200-000054000000}"/>
    <hyperlink ref="C189" r:id="rId86" xr:uid="{00000000-0004-0000-0200-000055000000}"/>
    <hyperlink ref="C190" r:id="rId87" xr:uid="{00000000-0004-0000-0200-000056000000}"/>
    <hyperlink ref="C191" r:id="rId88" xr:uid="{00000000-0004-0000-0200-000057000000}"/>
    <hyperlink ref="C192" r:id="rId89" xr:uid="{00000000-0004-0000-0200-000058000000}"/>
    <hyperlink ref="C193" r:id="rId90" xr:uid="{00000000-0004-0000-0200-000059000000}"/>
    <hyperlink ref="C194" r:id="rId91" xr:uid="{00000000-0004-0000-0200-00005A000000}"/>
    <hyperlink ref="C195" r:id="rId92" xr:uid="{00000000-0004-0000-0200-00005B000000}"/>
    <hyperlink ref="C196" r:id="rId93" xr:uid="{00000000-0004-0000-0200-00005C000000}"/>
    <hyperlink ref="C197" r:id="rId94" xr:uid="{00000000-0004-0000-0200-00005D000000}"/>
    <hyperlink ref="C198" r:id="rId95" xr:uid="{00000000-0004-0000-0200-00005E000000}"/>
    <hyperlink ref="C199" r:id="rId96" xr:uid="{00000000-0004-0000-0200-00005F000000}"/>
    <hyperlink ref="C200" r:id="rId97" xr:uid="{00000000-0004-0000-0200-000060000000}"/>
    <hyperlink ref="C201" r:id="rId98" xr:uid="{00000000-0004-0000-0200-000061000000}"/>
    <hyperlink ref="C202" r:id="rId99" xr:uid="{00000000-0004-0000-0200-000062000000}"/>
    <hyperlink ref="C203" r:id="rId100" xr:uid="{00000000-0004-0000-0200-000063000000}"/>
    <hyperlink ref="C204" r:id="rId101" xr:uid="{00000000-0004-0000-0200-000064000000}"/>
    <hyperlink ref="C205" r:id="rId102" xr:uid="{00000000-0004-0000-0200-000065000000}"/>
    <hyperlink ref="C206" r:id="rId103" xr:uid="{00000000-0004-0000-0200-000066000000}"/>
    <hyperlink ref="C207" r:id="rId104" xr:uid="{00000000-0004-0000-0200-000067000000}"/>
    <hyperlink ref="C208" r:id="rId105" xr:uid="{00000000-0004-0000-0200-000068000000}"/>
    <hyperlink ref="C209" r:id="rId106" xr:uid="{00000000-0004-0000-0200-000069000000}"/>
    <hyperlink ref="C210" r:id="rId107" xr:uid="{00000000-0004-0000-0200-00006A000000}"/>
    <hyperlink ref="C211" r:id="rId108" xr:uid="{00000000-0004-0000-0200-00006B000000}"/>
    <hyperlink ref="C212" r:id="rId109" xr:uid="{00000000-0004-0000-0200-00006C000000}"/>
    <hyperlink ref="C213" r:id="rId110" xr:uid="{00000000-0004-0000-0200-00006D000000}"/>
    <hyperlink ref="C214" r:id="rId111" xr:uid="{00000000-0004-0000-0200-00006E000000}"/>
    <hyperlink ref="C215" r:id="rId112" display="COOP_GDAU" xr:uid="{00000000-0004-0000-0200-00006F000000}"/>
    <hyperlink ref="C216" r:id="rId113" display="BIGC_MDONG" xr:uid="{00000000-0004-0000-0200-000070000000}"/>
    <hyperlink ref="C221" r:id="rId114" xr:uid="{00000000-0004-0000-0200-000071000000}"/>
    <hyperlink ref="C222" r:id="rId115" xr:uid="{00000000-0004-0000-0200-000072000000}"/>
    <hyperlink ref="C223" r:id="rId116" xr:uid="{00000000-0004-0000-0200-000073000000}"/>
    <hyperlink ref="C224" r:id="rId117" xr:uid="{00000000-0004-0000-0200-000074000000}"/>
    <hyperlink ref="C225" r:id="rId118" xr:uid="{00000000-0004-0000-0200-000075000000}"/>
    <hyperlink ref="C226" r:id="rId119" xr:uid="{00000000-0004-0000-0200-000076000000}"/>
    <hyperlink ref="C227" r:id="rId120" xr:uid="{00000000-0004-0000-0200-000077000000}"/>
    <hyperlink ref="C228" r:id="rId121" xr:uid="{00000000-0004-0000-0200-000078000000}"/>
    <hyperlink ref="C229" r:id="rId122" xr:uid="{00000000-0004-0000-0200-000079000000}"/>
    <hyperlink ref="C230" r:id="rId123" xr:uid="{00000000-0004-0000-0200-00007A000000}"/>
    <hyperlink ref="C231" r:id="rId124" xr:uid="{00000000-0004-0000-0200-00007B000000}"/>
    <hyperlink ref="C232" r:id="rId125" xr:uid="{00000000-0004-0000-0200-00007C000000}"/>
    <hyperlink ref="C233" r:id="rId126" xr:uid="{00000000-0004-0000-0200-00007D000000}"/>
    <hyperlink ref="C234" r:id="rId127" xr:uid="{00000000-0004-0000-0200-00007E000000}"/>
    <hyperlink ref="C235" r:id="rId128" xr:uid="{00000000-0004-0000-0200-00007F000000}"/>
    <hyperlink ref="C236" r:id="rId129" xr:uid="{00000000-0004-0000-0200-000080000000}"/>
    <hyperlink ref="C237" r:id="rId130" xr:uid="{00000000-0004-0000-0200-000081000000}"/>
    <hyperlink ref="C238" r:id="rId131" xr:uid="{00000000-0004-0000-0200-000082000000}"/>
    <hyperlink ref="C239" r:id="rId132" xr:uid="{00000000-0004-0000-0200-000083000000}"/>
    <hyperlink ref="C240" r:id="rId133" xr:uid="{00000000-0004-0000-0200-000084000000}"/>
    <hyperlink ref="C241" r:id="rId134" xr:uid="{00000000-0004-0000-0200-000085000000}"/>
    <hyperlink ref="A242" r:id="rId135" display="COOP_F_ROMAN" xr:uid="{00000000-0004-0000-0200-000086000000}"/>
    <hyperlink ref="C242" r:id="rId136" xr:uid="{00000000-0004-0000-0200-000087000000}"/>
    <hyperlink ref="C243" r:id="rId137" xr:uid="{00000000-0004-0000-0200-000088000000}"/>
    <hyperlink ref="C244" r:id="rId138" xr:uid="{00000000-0004-0000-0200-000089000000}"/>
    <hyperlink ref="C245" r:id="rId139" xr:uid="{00000000-0004-0000-0200-00008A000000}"/>
    <hyperlink ref="C246" r:id="rId140" xr:uid="{00000000-0004-0000-0200-00008B000000}"/>
    <hyperlink ref="C254" r:id="rId141" xr:uid="{00000000-0004-0000-0200-00008C000000}"/>
    <hyperlink ref="C255" r:id="rId142" xr:uid="{00000000-0004-0000-0200-00008D000000}"/>
    <hyperlink ref="C256" r:id="rId143" xr:uid="{00000000-0004-0000-0200-00008E000000}"/>
    <hyperlink ref="C257" r:id="rId144" xr:uid="{00000000-0004-0000-0200-00008F000000}"/>
    <hyperlink ref="C258" r:id="rId145" xr:uid="{00000000-0004-0000-0200-000090000000}"/>
    <hyperlink ref="C259" r:id="rId146" xr:uid="{00000000-0004-0000-0200-000091000000}"/>
    <hyperlink ref="C260" r:id="rId147" xr:uid="{00000000-0004-0000-0200-000092000000}"/>
    <hyperlink ref="C261" r:id="rId148" xr:uid="{00000000-0004-0000-0200-000093000000}"/>
    <hyperlink ref="C262" r:id="rId149" xr:uid="{00000000-0004-0000-0200-000094000000}"/>
    <hyperlink ref="C263" r:id="rId150" xr:uid="{00000000-0004-0000-0200-000095000000}"/>
    <hyperlink ref="C264" r:id="rId151" xr:uid="{00000000-0004-0000-0200-000096000000}"/>
    <hyperlink ref="C265" r:id="rId152" xr:uid="{00000000-0004-0000-0200-000097000000}"/>
    <hyperlink ref="C266" r:id="rId153" xr:uid="{00000000-0004-0000-0200-000098000000}"/>
    <hyperlink ref="C267" r:id="rId154" xr:uid="{00000000-0004-0000-0200-000099000000}"/>
    <hyperlink ref="C268" r:id="rId155" xr:uid="{00000000-0004-0000-0200-00009A000000}"/>
    <hyperlink ref="C269" r:id="rId156" xr:uid="{00000000-0004-0000-0200-00009B000000}"/>
    <hyperlink ref="C270" r:id="rId157" xr:uid="{00000000-0004-0000-0200-00009C000000}"/>
    <hyperlink ref="C271" r:id="rId158" xr:uid="{00000000-0004-0000-0200-00009D000000}"/>
    <hyperlink ref="C272" r:id="rId159" xr:uid="{00000000-0004-0000-0200-00009E000000}"/>
    <hyperlink ref="C273" r:id="rId160" xr:uid="{00000000-0004-0000-0200-00009F000000}"/>
    <hyperlink ref="C274" r:id="rId161" xr:uid="{00000000-0004-0000-0200-0000A0000000}"/>
    <hyperlink ref="C275" r:id="rId162" xr:uid="{00000000-0004-0000-0200-0000A1000000}"/>
    <hyperlink ref="C276" r:id="rId163" xr:uid="{00000000-0004-0000-0200-0000A2000000}"/>
    <hyperlink ref="C277" r:id="rId164" xr:uid="{00000000-0004-0000-0200-0000A3000000}"/>
    <hyperlink ref="C278" r:id="rId165" xr:uid="{00000000-0004-0000-0200-0000A4000000}"/>
    <hyperlink ref="C279" r:id="rId166" xr:uid="{00000000-0004-0000-0200-0000A5000000}"/>
    <hyperlink ref="C280" r:id="rId167" xr:uid="{00000000-0004-0000-0200-0000A6000000}"/>
    <hyperlink ref="C281" r:id="rId168" xr:uid="{00000000-0004-0000-0200-0000A7000000}"/>
    <hyperlink ref="C282" r:id="rId169" xr:uid="{00000000-0004-0000-0200-0000A8000000}"/>
    <hyperlink ref="C283" r:id="rId170" xr:uid="{00000000-0004-0000-0200-0000A9000000}"/>
    <hyperlink ref="C284" r:id="rId171" xr:uid="{00000000-0004-0000-0200-0000AA000000}"/>
    <hyperlink ref="C285" r:id="rId172" xr:uid="{00000000-0004-0000-0200-0000AB000000}"/>
    <hyperlink ref="C286" r:id="rId173" xr:uid="{00000000-0004-0000-0200-0000AC000000}"/>
    <hyperlink ref="C287" r:id="rId174" xr:uid="{00000000-0004-0000-0200-0000AD000000}"/>
    <hyperlink ref="C288" r:id="rId175" xr:uid="{00000000-0004-0000-0200-0000AE000000}"/>
    <hyperlink ref="C289" r:id="rId176" xr:uid="{00000000-0004-0000-0200-0000AF000000}"/>
    <hyperlink ref="C290" r:id="rId177" xr:uid="{00000000-0004-0000-0200-0000B0000000}"/>
    <hyperlink ref="C291" r:id="rId178" xr:uid="{00000000-0004-0000-0200-0000B1000000}"/>
    <hyperlink ref="C292" r:id="rId179" xr:uid="{00000000-0004-0000-0200-0000B2000000}"/>
    <hyperlink ref="C293" r:id="rId180" xr:uid="{00000000-0004-0000-0200-0000B3000000}"/>
    <hyperlink ref="C294" r:id="rId181" xr:uid="{00000000-0004-0000-0200-0000B4000000}"/>
    <hyperlink ref="C295" r:id="rId182" xr:uid="{00000000-0004-0000-0200-0000B5000000}"/>
    <hyperlink ref="C296" r:id="rId183" xr:uid="{00000000-0004-0000-0200-0000B6000000}"/>
    <hyperlink ref="C297" r:id="rId184" xr:uid="{00000000-0004-0000-0200-0000B7000000}"/>
    <hyperlink ref="C298" r:id="rId185" xr:uid="{00000000-0004-0000-0200-0000B8000000}"/>
    <hyperlink ref="C299" r:id="rId186" xr:uid="{00000000-0004-0000-0200-0000B9000000}"/>
    <hyperlink ref="C300" r:id="rId187" xr:uid="{00000000-0004-0000-0200-0000BA000000}"/>
    <hyperlink ref="C301" r:id="rId188" xr:uid="{00000000-0004-0000-0200-0000BB000000}"/>
    <hyperlink ref="C302" r:id="rId189" xr:uid="{00000000-0004-0000-0200-0000BC000000}"/>
    <hyperlink ref="C303" r:id="rId190" xr:uid="{00000000-0004-0000-0200-0000BD000000}"/>
    <hyperlink ref="C304" r:id="rId191" xr:uid="{00000000-0004-0000-0200-0000BE000000}"/>
    <hyperlink ref="C305" r:id="rId192" xr:uid="{00000000-0004-0000-0200-0000BF000000}"/>
    <hyperlink ref="C306" r:id="rId193" xr:uid="{00000000-0004-0000-0200-0000C0000000}"/>
    <hyperlink ref="C307" r:id="rId194" xr:uid="{00000000-0004-0000-0200-0000C1000000}"/>
    <hyperlink ref="C308" r:id="rId195" xr:uid="{00000000-0004-0000-0200-0000C2000000}"/>
    <hyperlink ref="C309" r:id="rId196" xr:uid="{00000000-0004-0000-0200-0000C3000000}"/>
    <hyperlink ref="C310" r:id="rId197" xr:uid="{00000000-0004-0000-0200-0000C4000000}"/>
    <hyperlink ref="C311" r:id="rId198" xr:uid="{00000000-0004-0000-0200-0000C5000000}"/>
    <hyperlink ref="C312" r:id="rId199" xr:uid="{00000000-0004-0000-0200-0000C6000000}"/>
    <hyperlink ref="C316" r:id="rId200" xr:uid="{00000000-0004-0000-0200-0000C7000000}"/>
    <hyperlink ref="C317" r:id="rId201" xr:uid="{00000000-0004-0000-0200-0000C8000000}"/>
    <hyperlink ref="C318" r:id="rId202" xr:uid="{00000000-0004-0000-0200-0000C9000000}"/>
    <hyperlink ref="C319" r:id="rId203" xr:uid="{00000000-0004-0000-0200-0000CA000000}"/>
    <hyperlink ref="C320" r:id="rId204" xr:uid="{00000000-0004-0000-0200-0000CB000000}"/>
    <hyperlink ref="C321" r:id="rId205" xr:uid="{00000000-0004-0000-0200-0000CC000000}"/>
    <hyperlink ref="C322" r:id="rId206" xr:uid="{00000000-0004-0000-0200-0000CD000000}"/>
    <hyperlink ref="C323" r:id="rId207" xr:uid="{00000000-0004-0000-0200-0000CE000000}"/>
    <hyperlink ref="C325" r:id="rId208" xr:uid="{00000000-0004-0000-0200-0000CF000000}"/>
    <hyperlink ref="C326" r:id="rId209" xr:uid="{00000000-0004-0000-0200-0000D0000000}"/>
    <hyperlink ref="C327" r:id="rId210" xr:uid="{00000000-0004-0000-0200-0000D1000000}"/>
    <hyperlink ref="C328" r:id="rId211" xr:uid="{00000000-0004-0000-0200-0000D2000000}"/>
    <hyperlink ref="C329" r:id="rId212" xr:uid="{00000000-0004-0000-0200-0000D3000000}"/>
    <hyperlink ref="C330" r:id="rId213" xr:uid="{00000000-0004-0000-0200-0000D4000000}"/>
    <hyperlink ref="C331" r:id="rId214" xr:uid="{00000000-0004-0000-0200-0000D5000000}"/>
    <hyperlink ref="C332" r:id="rId215" xr:uid="{00000000-0004-0000-0200-0000D6000000}"/>
    <hyperlink ref="C333" r:id="rId216" xr:uid="{00000000-0004-0000-0200-0000D7000000}"/>
    <hyperlink ref="C334" r:id="rId217" xr:uid="{00000000-0004-0000-0200-0000D8000000}"/>
    <hyperlink ref="A335" r:id="rId218" display="COOP_MDUC" xr:uid="{00000000-0004-0000-0200-0000D9000000}"/>
    <hyperlink ref="C335" r:id="rId219" display="COOP_MDUC" xr:uid="{00000000-0004-0000-0200-0000DA000000}"/>
    <hyperlink ref="A336" r:id="rId220" display="COOP_NLB" xr:uid="{00000000-0004-0000-0200-0000DB000000}"/>
    <hyperlink ref="C336" r:id="rId221" display="COOP_NLB" xr:uid="{00000000-0004-0000-0200-0000DC000000}"/>
    <hyperlink ref="C337" r:id="rId222" xr:uid="{00000000-0004-0000-0200-0000DD000000}"/>
    <hyperlink ref="C338" r:id="rId223" xr:uid="{00000000-0004-0000-0200-0000DE000000}"/>
    <hyperlink ref="C339" r:id="rId224" xr:uid="{00000000-0004-0000-0200-0000DF000000}"/>
    <hyperlink ref="C340" r:id="rId225" xr:uid="{00000000-0004-0000-0200-0000E0000000}"/>
    <hyperlink ref="C341" r:id="rId226" xr:uid="{00000000-0004-0000-0200-0000E1000000}"/>
    <hyperlink ref="C342" r:id="rId227" xr:uid="{00000000-0004-0000-0200-0000E2000000}"/>
    <hyperlink ref="C343" r:id="rId228" xr:uid="{00000000-0004-0000-0200-0000E3000000}"/>
    <hyperlink ref="C344" r:id="rId229" xr:uid="{00000000-0004-0000-0200-0000E4000000}"/>
    <hyperlink ref="C346" r:id="rId230" xr:uid="{00000000-0004-0000-0200-0000E5000000}"/>
    <hyperlink ref="C347" r:id="rId231" xr:uid="{00000000-0004-0000-0200-0000E6000000}"/>
    <hyperlink ref="C349" r:id="rId232" xr:uid="{00000000-0004-0000-0200-0000E7000000}"/>
    <hyperlink ref="C350" r:id="rId233" xr:uid="{00000000-0004-0000-0200-0000E8000000}"/>
    <hyperlink ref="C351" r:id="rId234" xr:uid="{00000000-0004-0000-0200-0000E9000000}"/>
    <hyperlink ref="C352" r:id="rId235" xr:uid="{00000000-0004-0000-0200-0000EA000000}"/>
    <hyperlink ref="C353" r:id="rId236" xr:uid="{00000000-0004-0000-0200-0000EB000000}"/>
    <hyperlink ref="C354" r:id="rId237" xr:uid="{00000000-0004-0000-0200-0000EC000000}"/>
    <hyperlink ref="C355" r:id="rId238" xr:uid="{00000000-0004-0000-0200-0000ED000000}"/>
    <hyperlink ref="C357" r:id="rId239" xr:uid="{00000000-0004-0000-0200-0000EE000000}"/>
    <hyperlink ref="C358" r:id="rId240" xr:uid="{00000000-0004-0000-0200-0000EF000000}"/>
    <hyperlink ref="C360" r:id="rId241" xr:uid="{00000000-0004-0000-0200-0000F0000000}"/>
    <hyperlink ref="C361" r:id="rId242" xr:uid="{00000000-0004-0000-0200-0000F1000000}"/>
    <hyperlink ref="C362" r:id="rId243" display="COOP_TLOC17" xr:uid="{00000000-0004-0000-0200-0000F2000000}"/>
    <hyperlink ref="C363" r:id="rId244" xr:uid="{00000000-0004-0000-0200-0000F3000000}"/>
    <hyperlink ref="C364" r:id="rId245" xr:uid="{00000000-0004-0000-0200-0000F4000000}"/>
    <hyperlink ref="C365" r:id="rId246" xr:uid="{00000000-0004-0000-0200-0000F5000000}"/>
    <hyperlink ref="C366" r:id="rId247" xr:uid="{00000000-0004-0000-0200-0000F6000000}"/>
    <hyperlink ref="C367" r:id="rId248" xr:uid="{00000000-0004-0000-0200-0000F7000000}"/>
    <hyperlink ref="C368" r:id="rId249" xr:uid="{00000000-0004-0000-0200-0000F8000000}"/>
    <hyperlink ref="C369" r:id="rId250" xr:uid="{00000000-0004-0000-0200-0000F9000000}"/>
    <hyperlink ref="C370" r:id="rId251" xr:uid="{00000000-0004-0000-0200-0000FA000000}"/>
    <hyperlink ref="C371" r:id="rId252" xr:uid="{00000000-0004-0000-0200-0000FB000000}"/>
    <hyperlink ref="C372" r:id="rId253" xr:uid="{00000000-0004-0000-0200-0000FC000000}"/>
    <hyperlink ref="C373" r:id="rId254" xr:uid="{00000000-0004-0000-0200-0000FD000000}"/>
    <hyperlink ref="A374" r:id="rId255" display="COOP_F_NXI" xr:uid="{00000000-0004-0000-0200-0000FE000000}"/>
    <hyperlink ref="C374" r:id="rId256" xr:uid="{00000000-0004-0000-0200-0000FF000000}"/>
    <hyperlink ref="C375" r:id="rId257" xr:uid="{00000000-0004-0000-0200-000000010000}"/>
    <hyperlink ref="C376" r:id="rId258" xr:uid="{00000000-0004-0000-0200-000001010000}"/>
    <hyperlink ref="C396" r:id="rId259" xr:uid="{00000000-0004-0000-0200-000002010000}"/>
    <hyperlink ref="C397" r:id="rId260" xr:uid="{00000000-0004-0000-0200-000003010000}"/>
    <hyperlink ref="C398" r:id="rId261" xr:uid="{00000000-0004-0000-0200-000004010000}"/>
    <hyperlink ref="C400" r:id="rId262" xr:uid="{00000000-0004-0000-0200-000005010000}"/>
    <hyperlink ref="C401" r:id="rId263" xr:uid="{00000000-0004-0000-0200-000006010000}"/>
    <hyperlink ref="C402" r:id="rId264" xr:uid="{00000000-0004-0000-0200-000007010000}"/>
    <hyperlink ref="C403" r:id="rId265" xr:uid="{00000000-0004-0000-0200-000008010000}"/>
    <hyperlink ref="C404" r:id="rId266" xr:uid="{00000000-0004-0000-0200-000009010000}"/>
    <hyperlink ref="C425" r:id="rId267" xr:uid="{00000000-0004-0000-0200-00000A010000}"/>
    <hyperlink ref="C431" r:id="rId268" xr:uid="{00000000-0004-0000-0200-00000B010000}"/>
    <hyperlink ref="C432" r:id="rId269" xr:uid="{00000000-0004-0000-0200-00000C010000}"/>
    <hyperlink ref="C452" r:id="rId270" xr:uid="{00000000-0004-0000-0200-00000D010000}"/>
    <hyperlink ref="A498" r:id="rId271" display="COOP_QLO50" xr:uid="{00000000-0004-0000-0200-00000E010000}"/>
    <hyperlink ref="C498" r:id="rId272" xr:uid="{00000000-0004-0000-0200-00000F010000}"/>
    <hyperlink ref="C513" r:id="rId273" xr:uid="{00000000-0004-0000-0200-000010010000}"/>
    <hyperlink ref="C515" r:id="rId274" xr:uid="{00000000-0004-0000-0200-000011010000}"/>
    <hyperlink ref="C519" r:id="rId275" display="COOP_TNHAU1" xr:uid="{00000000-0004-0000-0200-000012010000}"/>
    <hyperlink ref="C525" r:id="rId276" xr:uid="{00000000-0004-0000-0200-000013010000}"/>
    <hyperlink ref="C538" r:id="rId277" xr:uid="{00000000-0004-0000-0200-000014010000}"/>
    <hyperlink ref="C542" r:id="rId278" xr:uid="{00000000-0004-0000-0200-000015010000}"/>
    <hyperlink ref="C543" r:id="rId279" xr:uid="{00000000-0004-0000-0200-000016010000}"/>
    <hyperlink ref="C544" r:id="rId280" xr:uid="{00000000-0004-0000-0200-000017010000}"/>
    <hyperlink ref="C545" r:id="rId281" xr:uid="{00000000-0004-0000-0200-000018010000}"/>
    <hyperlink ref="C546" r:id="rId282" xr:uid="{00000000-0004-0000-0200-000019010000}"/>
    <hyperlink ref="C553" r:id="rId283" xr:uid="{00000000-0004-0000-0200-00001A010000}"/>
    <hyperlink ref="C554" r:id="rId284" xr:uid="{00000000-0004-0000-0200-00001B010000}"/>
    <hyperlink ref="C555" r:id="rId285" xr:uid="{00000000-0004-0000-0200-00001C010000}"/>
    <hyperlink ref="C559" r:id="rId286" xr:uid="{00000000-0004-0000-0200-00001D010000}"/>
    <hyperlink ref="C560" r:id="rId287" xr:uid="{00000000-0004-0000-0200-00001E010000}"/>
    <hyperlink ref="C561" r:id="rId288" xr:uid="{00000000-0004-0000-0200-00001F010000}"/>
    <hyperlink ref="C562" r:id="rId289" xr:uid="{00000000-0004-0000-0200-000020010000}"/>
    <hyperlink ref="A563" r:id="rId290" display="HD_RIVE" xr:uid="{00000000-0004-0000-0200-000021010000}"/>
    <hyperlink ref="C563" r:id="rId291" xr:uid="{00000000-0004-0000-0200-000022010000}"/>
    <hyperlink ref="C564" r:id="rId292" xr:uid="{00000000-0004-0000-0200-000023010000}"/>
    <hyperlink ref="A565" r:id="rId293" display="HD_AUCO" xr:uid="{00000000-0004-0000-0200-000024010000}"/>
    <hyperlink ref="C565" r:id="rId294" xr:uid="{00000000-0004-0000-0200-000025010000}"/>
    <hyperlink ref="C566" r:id="rId295" xr:uid="{00000000-0004-0000-0200-000026010000}"/>
    <hyperlink ref="C567" r:id="rId296" xr:uid="{00000000-0004-0000-0200-000027010000}"/>
    <hyperlink ref="C574" r:id="rId297" xr:uid="{00000000-0004-0000-0200-000028010000}"/>
    <hyperlink ref="C575" r:id="rId298" xr:uid="{00000000-0004-0000-0200-000029010000}"/>
    <hyperlink ref="C576" r:id="rId299" xr:uid="{00000000-0004-0000-0200-00002A010000}"/>
    <hyperlink ref="C579" r:id="rId300" xr:uid="{00000000-0004-0000-0200-00002B010000}"/>
    <hyperlink ref="C580" r:id="rId301" xr:uid="{00000000-0004-0000-0200-00002C010000}"/>
    <hyperlink ref="A594" r:id="rId302" display="6209_QL50" xr:uid="{00000000-0004-0000-0200-00002D010000}"/>
    <hyperlink ref="C594" r:id="rId303" xr:uid="{00000000-0004-0000-0200-00002E010000}"/>
    <hyperlink ref="C595" r:id="rId304" xr:uid="{00000000-0004-0000-0200-00002F010000}"/>
    <hyperlink ref="C596" r:id="rId305" xr:uid="{00000000-0004-0000-0200-000030010000}"/>
    <hyperlink ref="C598" r:id="rId306" xr:uid="{00000000-0004-0000-0200-000031010000}"/>
    <hyperlink ref="C599" r:id="rId307" xr:uid="{00000000-0004-0000-0200-000032010000}"/>
    <hyperlink ref="C600" r:id="rId308" xr:uid="{00000000-0004-0000-0200-000033010000}"/>
    <hyperlink ref="C601" r:id="rId309" xr:uid="{00000000-0004-0000-0200-000034010000}"/>
    <hyperlink ref="C603" r:id="rId310" xr:uid="{00000000-0004-0000-0200-000035010000}"/>
    <hyperlink ref="C607" r:id="rId311" xr:uid="{00000000-0004-0000-0200-000036010000}"/>
    <hyperlink ref="C609" r:id="rId312" xr:uid="{00000000-0004-0000-0200-000037010000}"/>
    <hyperlink ref="C610" r:id="rId313" xr:uid="{00000000-0004-0000-0200-000038010000}"/>
    <hyperlink ref="C612" r:id="rId314" xr:uid="{00000000-0004-0000-0200-000039010000}"/>
    <hyperlink ref="C613" r:id="rId315" xr:uid="{00000000-0004-0000-0200-00003A010000}"/>
    <hyperlink ref="C615" r:id="rId316" xr:uid="{00000000-0004-0000-0200-00003B010000}"/>
    <hyperlink ref="C619" r:id="rId317" xr:uid="{00000000-0004-0000-0200-00003C010000}"/>
    <hyperlink ref="C623" r:id="rId318" xr:uid="{00000000-0004-0000-0200-00003D010000}"/>
    <hyperlink ref="A624" r:id="rId319" display="KOHNAN_NTT" xr:uid="{00000000-0004-0000-0200-00003E010000}"/>
    <hyperlink ref="C624" r:id="rId320" xr:uid="{00000000-0004-0000-0200-00003F010000}"/>
    <hyperlink ref="C625" r:id="rId321" xr:uid="{00000000-0004-0000-0200-000040010000}"/>
    <hyperlink ref="C628" r:id="rId322" xr:uid="{00000000-0004-0000-0200-000041010000}"/>
    <hyperlink ref="A629" r:id="rId323" display="LC_HCM" xr:uid="{00000000-0004-0000-0200-000042010000}"/>
    <hyperlink ref="C629" r:id="rId324" xr:uid="{00000000-0004-0000-0200-000043010000}"/>
    <hyperlink ref="C645" r:id="rId325" xr:uid="{00000000-0004-0000-0200-000044010000}"/>
    <hyperlink ref="C647" r:id="rId326" xr:uid="{00000000-0004-0000-0200-000045010000}"/>
    <hyperlink ref="C686" r:id="rId327" xr:uid="{00000000-0004-0000-0200-000046010000}"/>
    <hyperlink ref="C763" r:id="rId328" xr:uid="{00000000-0004-0000-0200-000047010000}"/>
    <hyperlink ref="C766" r:id="rId329" xr:uid="{00000000-0004-0000-0200-000048010000}"/>
    <hyperlink ref="C772" r:id="rId330" xr:uid="{00000000-0004-0000-0200-000049010000}"/>
    <hyperlink ref="C986" r:id="rId331" xr:uid="{00000000-0004-0000-0200-00004A010000}"/>
    <hyperlink ref="C987" r:id="rId332" xr:uid="{00000000-0004-0000-0200-00004B010000}"/>
    <hyperlink ref="C988" r:id="rId333" xr:uid="{00000000-0004-0000-0200-00004C010000}"/>
    <hyperlink ref="C992" r:id="rId334" xr:uid="{00000000-0004-0000-0200-00004D010000}"/>
    <hyperlink ref="C993" r:id="rId335" xr:uid="{00000000-0004-0000-0200-00004E010000}"/>
    <hyperlink ref="C1001" r:id="rId336" xr:uid="{00000000-0004-0000-0200-00004F010000}"/>
    <hyperlink ref="C1048" r:id="rId337" xr:uid="{00000000-0004-0000-0200-000050010000}"/>
    <hyperlink ref="C1050" r:id="rId338" xr:uid="{00000000-0004-0000-0200-000051010000}"/>
    <hyperlink ref="C1054" r:id="rId339" xr:uid="{00000000-0004-0000-0200-000052010000}"/>
    <hyperlink ref="C1055" r:id="rId340" xr:uid="{00000000-0004-0000-0200-000053010000}"/>
    <hyperlink ref="C1059" r:id="rId341" xr:uid="{00000000-0004-0000-0200-000054010000}"/>
    <hyperlink ref="C1062" r:id="rId342" xr:uid="{00000000-0004-0000-0200-000055010000}"/>
    <hyperlink ref="C1064" r:id="rId343" xr:uid="{00000000-0004-0000-0200-000056010000}"/>
    <hyperlink ref="C1065" r:id="rId344" xr:uid="{00000000-0004-0000-0200-000057010000}"/>
    <hyperlink ref="C1067" r:id="rId345" xr:uid="{00000000-0004-0000-0200-000058010000}"/>
    <hyperlink ref="A1071" r:id="rId346" display="VIN_KHO_HTINH" xr:uid="{00000000-0004-0000-0200-000059010000}"/>
    <hyperlink ref="C1071" r:id="rId347" xr:uid="{00000000-0004-0000-0200-00005A010000}"/>
    <hyperlink ref="C1072" r:id="rId348" xr:uid="{00000000-0004-0000-0200-00005B010000}"/>
    <hyperlink ref="C1086" r:id="rId349" xr:uid="{00000000-0004-0000-0200-00005C010000}"/>
    <hyperlink ref="C1087" r:id="rId350" xr:uid="{00000000-0004-0000-0200-00005D010000}"/>
    <hyperlink ref="C1098" r:id="rId351" xr:uid="{00000000-0004-0000-0200-00005E010000}"/>
    <hyperlink ref="A1134" r:id="rId352" display="COOP_LTRUNG" xr:uid="{00000000-0004-0000-0200-00005F010000}"/>
    <hyperlink ref="C1134" r:id="rId353" display="COOP_LTRUNG" xr:uid="{00000000-0004-0000-0200-000060010000}"/>
    <hyperlink ref="A1177" r:id="rId354" xr:uid="{00000000-0004-0000-0200-000061010000}"/>
    <hyperlink ref="C1177" r:id="rId355" xr:uid="{00000000-0004-0000-0200-000062010000}"/>
    <hyperlink ref="A1178" r:id="rId356" xr:uid="{00000000-0004-0000-0200-000063010000}"/>
    <hyperlink ref="C1178" r:id="rId357" xr:uid="{00000000-0004-0000-0200-000064010000}"/>
    <hyperlink ref="A1179" r:id="rId358" xr:uid="{00000000-0004-0000-0200-000065010000}"/>
    <hyperlink ref="C1179" r:id="rId359" xr:uid="{00000000-0004-0000-0200-000066010000}"/>
    <hyperlink ref="A1180" r:id="rId360" xr:uid="{00000000-0004-0000-0200-000067010000}"/>
    <hyperlink ref="C1180" r:id="rId361" xr:uid="{00000000-0004-0000-0200-000068010000}"/>
    <hyperlink ref="A1181" r:id="rId362" xr:uid="{00000000-0004-0000-0200-000069010000}"/>
    <hyperlink ref="C1181" r:id="rId363" xr:uid="{00000000-0004-0000-0200-00006A010000}"/>
    <hyperlink ref="A1182" r:id="rId364" xr:uid="{00000000-0004-0000-0200-00006B010000}"/>
    <hyperlink ref="C1182" r:id="rId365" xr:uid="{00000000-0004-0000-0200-00006C010000}"/>
    <hyperlink ref="A1183" r:id="rId366" xr:uid="{00000000-0004-0000-0200-00006D010000}"/>
    <hyperlink ref="C1183" r:id="rId367" xr:uid="{00000000-0004-0000-0200-00006E010000}"/>
    <hyperlink ref="C1184" r:id="rId368" xr:uid="{00000000-0004-0000-0200-00006F010000}"/>
    <hyperlink ref="C1185" r:id="rId369" xr:uid="{00000000-0004-0000-0200-000070010000}"/>
    <hyperlink ref="A1186" r:id="rId370" xr:uid="{00000000-0004-0000-0200-000071010000}"/>
    <hyperlink ref="C1186" r:id="rId371" xr:uid="{00000000-0004-0000-0200-000072010000}"/>
    <hyperlink ref="A1187" r:id="rId372" xr:uid="{00000000-0004-0000-0200-000073010000}"/>
    <hyperlink ref="C1187" r:id="rId373" xr:uid="{00000000-0004-0000-0200-000074010000}"/>
    <hyperlink ref="A1188" r:id="rId374" xr:uid="{00000000-0004-0000-0200-000075010000}"/>
    <hyperlink ref="C1188" r:id="rId375" xr:uid="{00000000-0004-0000-0200-000076010000}"/>
    <hyperlink ref="A1189" r:id="rId376" xr:uid="{00000000-0004-0000-0200-000077010000}"/>
    <hyperlink ref="C1189" r:id="rId377" xr:uid="{00000000-0004-0000-0200-000078010000}"/>
    <hyperlink ref="A1190" r:id="rId378" xr:uid="{00000000-0004-0000-0200-000079010000}"/>
    <hyperlink ref="C1190" r:id="rId379" xr:uid="{00000000-0004-0000-0200-00007A010000}"/>
    <hyperlink ref="A1191" r:id="rId380" xr:uid="{00000000-0004-0000-0200-00007B010000}"/>
    <hyperlink ref="C1191" r:id="rId381" xr:uid="{00000000-0004-0000-0200-00007C010000}"/>
    <hyperlink ref="A1195" r:id="rId382" xr:uid="{00000000-0004-0000-0200-00007D010000}"/>
    <hyperlink ref="C1195" r:id="rId383" xr:uid="{00000000-0004-0000-0200-00007E010000}"/>
  </hyperlinks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/>
  <dimension ref="A1:G1098"/>
  <sheetViews>
    <sheetView topLeftCell="A22" workbookViewId="0">
      <selection activeCell="F45" sqref="F45"/>
    </sheetView>
  </sheetViews>
  <sheetFormatPr defaultRowHeight="15.75" x14ac:dyDescent="0.25"/>
  <cols>
    <col min="1" max="1" width="27.5703125" style="12" bestFit="1" customWidth="1"/>
    <col min="2" max="2" width="18.42578125" style="12" customWidth="1"/>
    <col min="3" max="3" width="28.5703125" style="12" customWidth="1"/>
  </cols>
  <sheetData>
    <row r="1" spans="1:3" ht="18.75" customHeight="1" x14ac:dyDescent="0.25">
      <c r="A1" s="26" t="s">
        <v>2</v>
      </c>
      <c r="B1" s="26" t="s">
        <v>2486</v>
      </c>
      <c r="C1" s="26" t="s">
        <v>2487</v>
      </c>
    </row>
    <row r="2" spans="1:3" x14ac:dyDescent="0.25">
      <c r="A2" s="12" t="s">
        <v>704</v>
      </c>
      <c r="B2" s="12" t="s">
        <v>617</v>
      </c>
      <c r="C2" s="13" t="s">
        <v>703</v>
      </c>
    </row>
    <row r="3" spans="1:3" x14ac:dyDescent="0.25">
      <c r="A3" s="12" t="s">
        <v>702</v>
      </c>
      <c r="B3" s="12" t="s">
        <v>617</v>
      </c>
      <c r="C3" s="13" t="s">
        <v>625</v>
      </c>
    </row>
    <row r="4" spans="1:3" x14ac:dyDescent="0.25">
      <c r="A4" s="18" t="s">
        <v>1398</v>
      </c>
      <c r="B4" s="12" t="s">
        <v>651</v>
      </c>
      <c r="C4" s="12" t="s">
        <v>651</v>
      </c>
    </row>
    <row r="5" spans="1:3" x14ac:dyDescent="0.25">
      <c r="A5" s="12" t="s">
        <v>707</v>
      </c>
      <c r="B5" s="12" t="s">
        <v>638</v>
      </c>
      <c r="C5" s="13" t="s">
        <v>706</v>
      </c>
    </row>
    <row r="6" spans="1:3" x14ac:dyDescent="0.25">
      <c r="A6" s="12" t="s">
        <v>711</v>
      </c>
      <c r="B6" s="12" t="s">
        <v>638</v>
      </c>
      <c r="C6" s="13" t="s">
        <v>710</v>
      </c>
    </row>
    <row r="7" spans="1:3" x14ac:dyDescent="0.25">
      <c r="A7" s="12" t="s">
        <v>713</v>
      </c>
      <c r="B7" s="12" t="s">
        <v>638</v>
      </c>
      <c r="C7" s="13" t="s">
        <v>712</v>
      </c>
    </row>
    <row r="8" spans="1:3" x14ac:dyDescent="0.25">
      <c r="A8" s="4" t="s">
        <v>718</v>
      </c>
      <c r="B8" s="12" t="s">
        <v>638</v>
      </c>
      <c r="C8" s="13" t="s">
        <v>717</v>
      </c>
    </row>
    <row r="9" spans="1:3" x14ac:dyDescent="0.25">
      <c r="A9" s="12" t="s">
        <v>721</v>
      </c>
      <c r="B9" s="12" t="s">
        <v>638</v>
      </c>
      <c r="C9" s="13" t="s">
        <v>720</v>
      </c>
    </row>
    <row r="10" spans="1:3" x14ac:dyDescent="0.25">
      <c r="A10" s="12" t="s">
        <v>725</v>
      </c>
      <c r="B10" s="12" t="s">
        <v>638</v>
      </c>
      <c r="C10" s="13" t="s">
        <v>724</v>
      </c>
    </row>
    <row r="11" spans="1:3" x14ac:dyDescent="0.25">
      <c r="A11" s="5" t="s">
        <v>723</v>
      </c>
      <c r="B11" s="12" t="s">
        <v>638</v>
      </c>
      <c r="C11" s="13" t="s">
        <v>722</v>
      </c>
    </row>
    <row r="12" spans="1:3" ht="15" customHeight="1" x14ac:dyDescent="0.25">
      <c r="A12" s="144" t="s">
        <v>780</v>
      </c>
      <c r="B12" s="7" t="s">
        <v>598</v>
      </c>
      <c r="C12" s="7" t="s">
        <v>779</v>
      </c>
    </row>
    <row r="13" spans="1:3" ht="15" customHeight="1" x14ac:dyDescent="0.25">
      <c r="A13" s="129" t="s">
        <v>1197</v>
      </c>
      <c r="B13" t="s">
        <v>2488</v>
      </c>
      <c r="C13" t="s">
        <v>1196</v>
      </c>
    </row>
    <row r="14" spans="1:3" ht="15" customHeight="1" x14ac:dyDescent="0.25">
      <c r="A14" s="129" t="s">
        <v>1199</v>
      </c>
      <c r="B14" t="s">
        <v>2488</v>
      </c>
      <c r="C14" t="s">
        <v>1198</v>
      </c>
    </row>
    <row r="15" spans="1:3" ht="15" customHeight="1" x14ac:dyDescent="0.25">
      <c r="A15" s="129" t="s">
        <v>385</v>
      </c>
      <c r="B15" t="s">
        <v>2488</v>
      </c>
      <c r="C15" t="s">
        <v>386</v>
      </c>
    </row>
    <row r="16" spans="1:3" ht="15" customHeight="1" x14ac:dyDescent="0.25">
      <c r="A16" s="259" t="s">
        <v>947</v>
      </c>
      <c r="B16" t="s">
        <v>2488</v>
      </c>
      <c r="C16" t="s">
        <v>946</v>
      </c>
    </row>
    <row r="17" spans="1:3" ht="15" customHeight="1" x14ac:dyDescent="0.25">
      <c r="A17" s="259" t="s">
        <v>626</v>
      </c>
      <c r="B17" t="s">
        <v>617</v>
      </c>
      <c r="C17" t="s">
        <v>2489</v>
      </c>
    </row>
    <row r="18" spans="1:3" ht="15" customHeight="1" x14ac:dyDescent="0.25">
      <c r="A18" s="132" t="s">
        <v>1732</v>
      </c>
      <c r="B18" s="9" t="s">
        <v>655</v>
      </c>
      <c r="C18" t="s">
        <v>1731</v>
      </c>
    </row>
    <row r="19" spans="1:3" ht="15" customHeight="1" x14ac:dyDescent="0.25">
      <c r="A19" s="258" t="s">
        <v>122</v>
      </c>
      <c r="B19" s="9" t="s">
        <v>124</v>
      </c>
      <c r="C19" t="s">
        <v>123</v>
      </c>
    </row>
    <row r="20" spans="1:3" ht="15" customHeight="1" x14ac:dyDescent="0.25">
      <c r="A20" s="3" t="s">
        <v>1488</v>
      </c>
      <c r="B20" t="s">
        <v>657</v>
      </c>
      <c r="C20" t="s">
        <v>657</v>
      </c>
    </row>
    <row r="21" spans="1:3" ht="15" customHeight="1" x14ac:dyDescent="0.25">
      <c r="A21" s="129" t="s">
        <v>1201</v>
      </c>
      <c r="B21" t="s">
        <v>2488</v>
      </c>
      <c r="C21" t="s">
        <v>1200</v>
      </c>
    </row>
    <row r="22" spans="1:3" ht="15" customHeight="1" x14ac:dyDescent="0.25">
      <c r="A22" s="129" t="s">
        <v>326</v>
      </c>
      <c r="B22" t="s">
        <v>2488</v>
      </c>
      <c r="C22" t="s">
        <v>327</v>
      </c>
    </row>
    <row r="23" spans="1:3" ht="15" customHeight="1" x14ac:dyDescent="0.25">
      <c r="A23" s="129" t="s">
        <v>363</v>
      </c>
      <c r="B23" t="s">
        <v>2488</v>
      </c>
      <c r="C23" t="s">
        <v>364</v>
      </c>
    </row>
    <row r="24" spans="1:3" ht="15" customHeight="1" x14ac:dyDescent="0.25">
      <c r="A24" s="130" t="s">
        <v>970</v>
      </c>
      <c r="B24" t="s">
        <v>16</v>
      </c>
      <c r="C24" t="s">
        <v>969</v>
      </c>
    </row>
    <row r="25" spans="1:3" ht="15" customHeight="1" x14ac:dyDescent="0.25">
      <c r="A25" s="130" t="s">
        <v>1237</v>
      </c>
      <c r="B25" t="s">
        <v>138</v>
      </c>
      <c r="C25" t="s">
        <v>1236</v>
      </c>
    </row>
    <row r="26" spans="1:3" ht="15" customHeight="1" x14ac:dyDescent="0.25">
      <c r="A26" s="130" t="s">
        <v>986</v>
      </c>
      <c r="B26" t="s">
        <v>16</v>
      </c>
      <c r="C26" t="s">
        <v>985</v>
      </c>
    </row>
    <row r="27" spans="1:3" ht="15" customHeight="1" x14ac:dyDescent="0.25">
      <c r="A27" s="130" t="s">
        <v>283</v>
      </c>
      <c r="B27" t="s">
        <v>138</v>
      </c>
      <c r="C27" t="s">
        <v>284</v>
      </c>
    </row>
    <row r="28" spans="1:3" ht="15" customHeight="1" x14ac:dyDescent="0.25">
      <c r="A28" s="130" t="s">
        <v>1062</v>
      </c>
      <c r="B28" t="s">
        <v>16</v>
      </c>
      <c r="C28" t="s">
        <v>1061</v>
      </c>
    </row>
    <row r="29" spans="1:3" ht="15" customHeight="1" x14ac:dyDescent="0.25">
      <c r="A29" s="130" t="s">
        <v>1066</v>
      </c>
      <c r="B29" t="s">
        <v>16</v>
      </c>
      <c r="C29" t="s">
        <v>1065</v>
      </c>
    </row>
    <row r="30" spans="1:3" ht="15" customHeight="1" x14ac:dyDescent="0.25">
      <c r="A30" s="144" t="s">
        <v>1130</v>
      </c>
      <c r="B30" t="s">
        <v>16</v>
      </c>
      <c r="C30" s="7" t="s">
        <v>1129</v>
      </c>
    </row>
    <row r="31" spans="1:3" ht="15" customHeight="1" x14ac:dyDescent="0.25">
      <c r="A31" s="129" t="s">
        <v>1240</v>
      </c>
      <c r="B31" t="s">
        <v>138</v>
      </c>
      <c r="C31" s="130" t="s">
        <v>1239</v>
      </c>
    </row>
    <row r="32" spans="1:3" ht="15" customHeight="1" x14ac:dyDescent="0.25">
      <c r="A32" s="129" t="s">
        <v>1040</v>
      </c>
      <c r="B32" t="s">
        <v>16</v>
      </c>
      <c r="C32" s="130" t="s">
        <v>1039</v>
      </c>
    </row>
    <row r="33" spans="1:3" ht="15" customHeight="1" x14ac:dyDescent="0.25">
      <c r="A33" s="126" t="s">
        <v>342</v>
      </c>
      <c r="B33" t="s">
        <v>16</v>
      </c>
      <c r="C33" t="s">
        <v>343</v>
      </c>
    </row>
    <row r="34" spans="1:3" ht="15" customHeight="1" x14ac:dyDescent="0.25">
      <c r="A34" s="126" t="s">
        <v>795</v>
      </c>
      <c r="B34" t="s">
        <v>593</v>
      </c>
      <c r="C34" t="s">
        <v>794</v>
      </c>
    </row>
    <row r="35" spans="1:3" ht="15" customHeight="1" x14ac:dyDescent="0.25">
      <c r="A35" s="126" t="s">
        <v>798</v>
      </c>
      <c r="B35" t="s">
        <v>593</v>
      </c>
      <c r="C35" t="s">
        <v>797</v>
      </c>
    </row>
    <row r="36" spans="1:3" ht="15" customHeight="1" x14ac:dyDescent="0.25">
      <c r="A36" s="126" t="s">
        <v>365</v>
      </c>
      <c r="B36" t="s">
        <v>16</v>
      </c>
      <c r="C36" t="s">
        <v>366</v>
      </c>
    </row>
    <row r="37" spans="1:3" ht="15" customHeight="1" x14ac:dyDescent="0.25">
      <c r="A37" s="126" t="s">
        <v>800</v>
      </c>
      <c r="B37" t="s">
        <v>593</v>
      </c>
      <c r="C37" t="s">
        <v>799</v>
      </c>
    </row>
    <row r="38" spans="1:3" ht="15" customHeight="1" x14ac:dyDescent="0.25">
      <c r="A38" s="126" t="s">
        <v>1205</v>
      </c>
      <c r="B38" t="s">
        <v>16</v>
      </c>
      <c r="C38" t="s">
        <v>1204</v>
      </c>
    </row>
    <row r="39" spans="1:3" ht="15" customHeight="1" x14ac:dyDescent="0.25">
      <c r="A39" s="126" t="s">
        <v>1207</v>
      </c>
      <c r="B39" t="s">
        <v>16</v>
      </c>
      <c r="C39" t="s">
        <v>1206</v>
      </c>
    </row>
    <row r="40" spans="1:3" ht="15" customHeight="1" x14ac:dyDescent="0.25">
      <c r="A40" s="126" t="s">
        <v>108</v>
      </c>
      <c r="B40" t="s">
        <v>107</v>
      </c>
      <c r="C40" t="s">
        <v>109</v>
      </c>
    </row>
    <row r="41" spans="1:3" ht="15" customHeight="1" x14ac:dyDescent="0.25">
      <c r="A41" s="272" t="s">
        <v>377</v>
      </c>
      <c r="B41" t="s">
        <v>16</v>
      </c>
      <c r="C41" t="s">
        <v>378</v>
      </c>
    </row>
    <row r="42" spans="1:3" ht="15" customHeight="1" x14ac:dyDescent="0.25">
      <c r="A42" s="126" t="s">
        <v>913</v>
      </c>
      <c r="B42" t="s">
        <v>16</v>
      </c>
      <c r="C42" t="s">
        <v>912</v>
      </c>
    </row>
    <row r="43" spans="1:3" ht="15" customHeight="1" x14ac:dyDescent="0.25">
      <c r="A43" s="126" t="s">
        <v>905</v>
      </c>
      <c r="B43" t="s">
        <v>16</v>
      </c>
      <c r="C43" t="s">
        <v>904</v>
      </c>
    </row>
    <row r="44" spans="1:3" ht="15" customHeight="1" x14ac:dyDescent="0.25">
      <c r="A44" s="126" t="s">
        <v>907</v>
      </c>
      <c r="B44" t="s">
        <v>16</v>
      </c>
      <c r="C44" t="s">
        <v>906</v>
      </c>
    </row>
    <row r="45" spans="1:3" ht="15" customHeight="1" x14ac:dyDescent="0.25">
      <c r="A45" s="126" t="s">
        <v>909</v>
      </c>
      <c r="B45" t="s">
        <v>16</v>
      </c>
      <c r="C45" t="s">
        <v>908</v>
      </c>
    </row>
    <row r="46" spans="1:3" ht="15" customHeight="1" x14ac:dyDescent="0.25">
      <c r="A46" s="126" t="s">
        <v>911</v>
      </c>
      <c r="B46" t="s">
        <v>16</v>
      </c>
      <c r="C46" t="s">
        <v>910</v>
      </c>
    </row>
    <row r="47" spans="1:3" ht="15" customHeight="1" x14ac:dyDescent="0.25">
      <c r="A47" s="126" t="s">
        <v>413</v>
      </c>
      <c r="B47" t="s">
        <v>16</v>
      </c>
      <c r="C47" t="s">
        <v>414</v>
      </c>
    </row>
    <row r="48" spans="1:3" ht="15" customHeight="1" x14ac:dyDescent="0.25">
      <c r="A48" s="126" t="s">
        <v>379</v>
      </c>
      <c r="B48" t="s">
        <v>16</v>
      </c>
      <c r="C48" t="s">
        <v>380</v>
      </c>
    </row>
    <row r="49" spans="1:3" ht="15" customHeight="1" x14ac:dyDescent="0.25">
      <c r="A49" s="126" t="s">
        <v>315</v>
      </c>
      <c r="B49" t="s">
        <v>16</v>
      </c>
      <c r="C49" t="s">
        <v>316</v>
      </c>
    </row>
    <row r="50" spans="1:3" ht="15" customHeight="1" x14ac:dyDescent="0.25">
      <c r="A50" s="126" t="s">
        <v>915</v>
      </c>
      <c r="B50" t="s">
        <v>16</v>
      </c>
      <c r="C50" t="s">
        <v>914</v>
      </c>
    </row>
    <row r="51" spans="1:3" ht="15" customHeight="1" x14ac:dyDescent="0.25">
      <c r="A51" s="126" t="s">
        <v>917</v>
      </c>
      <c r="B51" t="s">
        <v>16</v>
      </c>
      <c r="C51" t="s">
        <v>916</v>
      </c>
    </row>
    <row r="52" spans="1:3" ht="15" customHeight="1" x14ac:dyDescent="0.25">
      <c r="A52" s="126" t="s">
        <v>919</v>
      </c>
      <c r="B52" t="s">
        <v>16</v>
      </c>
      <c r="C52" t="s">
        <v>918</v>
      </c>
    </row>
    <row r="53" spans="1:3" ht="15" customHeight="1" x14ac:dyDescent="0.25">
      <c r="A53" s="126" t="s">
        <v>921</v>
      </c>
      <c r="B53" t="s">
        <v>16</v>
      </c>
      <c r="C53" t="s">
        <v>920</v>
      </c>
    </row>
    <row r="54" spans="1:3" ht="15" customHeight="1" x14ac:dyDescent="0.25">
      <c r="A54" s="126" t="s">
        <v>923</v>
      </c>
      <c r="B54" t="s">
        <v>16</v>
      </c>
      <c r="C54" t="s">
        <v>922</v>
      </c>
    </row>
    <row r="55" spans="1:3" ht="15" customHeight="1" x14ac:dyDescent="0.25">
      <c r="A55" s="126" t="s">
        <v>925</v>
      </c>
      <c r="B55" t="s">
        <v>16</v>
      </c>
      <c r="C55" t="s">
        <v>924</v>
      </c>
    </row>
    <row r="56" spans="1:3" ht="15" customHeight="1" x14ac:dyDescent="0.25">
      <c r="A56" s="126" t="s">
        <v>582</v>
      </c>
      <c r="B56" s="9" t="s">
        <v>561</v>
      </c>
      <c r="C56" t="s">
        <v>583</v>
      </c>
    </row>
    <row r="57" spans="1:3" ht="15" customHeight="1" x14ac:dyDescent="0.25">
      <c r="A57" s="126" t="s">
        <v>587</v>
      </c>
      <c r="B57" s="9" t="s">
        <v>561</v>
      </c>
      <c r="C57" t="s">
        <v>588</v>
      </c>
    </row>
    <row r="58" spans="1:3" ht="15" customHeight="1" x14ac:dyDescent="0.25">
      <c r="A58" s="126" t="s">
        <v>584</v>
      </c>
      <c r="B58" s="130" t="s">
        <v>561</v>
      </c>
      <c r="C58" t="s">
        <v>585</v>
      </c>
    </row>
    <row r="59" spans="1:3" ht="15" customHeight="1" x14ac:dyDescent="0.25">
      <c r="A59" s="126" t="s">
        <v>531</v>
      </c>
      <c r="B59" s="130" t="s">
        <v>432</v>
      </c>
      <c r="C59" t="s">
        <v>532</v>
      </c>
    </row>
    <row r="60" spans="1:3" ht="15" customHeight="1" x14ac:dyDescent="0.25">
      <c r="A60" s="126" t="s">
        <v>927</v>
      </c>
      <c r="B60" t="s">
        <v>16</v>
      </c>
      <c r="C60" t="s">
        <v>926</v>
      </c>
    </row>
    <row r="61" spans="1:3" ht="15" customHeight="1" x14ac:dyDescent="0.25">
      <c r="A61" s="126" t="s">
        <v>929</v>
      </c>
      <c r="B61" t="s">
        <v>16</v>
      </c>
      <c r="C61" t="s">
        <v>928</v>
      </c>
    </row>
    <row r="62" spans="1:3" ht="15" customHeight="1" x14ac:dyDescent="0.25">
      <c r="A62" s="126" t="s">
        <v>931</v>
      </c>
      <c r="B62" t="s">
        <v>16</v>
      </c>
      <c r="C62" t="s">
        <v>930</v>
      </c>
    </row>
    <row r="63" spans="1:3" ht="15" customHeight="1" x14ac:dyDescent="0.25">
      <c r="A63" s="215" t="s">
        <v>1203</v>
      </c>
      <c r="B63" t="s">
        <v>2488</v>
      </c>
      <c r="C63" s="215" t="s">
        <v>1202</v>
      </c>
    </row>
    <row r="64" spans="1:3" ht="15" customHeight="1" x14ac:dyDescent="0.25">
      <c r="A64" s="213" t="s">
        <v>994</v>
      </c>
      <c r="B64" t="s">
        <v>16</v>
      </c>
      <c r="C64" t="s">
        <v>993</v>
      </c>
    </row>
    <row r="65" spans="1:7" ht="15" customHeight="1" x14ac:dyDescent="0.25">
      <c r="A65" s="213" t="s">
        <v>361</v>
      </c>
      <c r="B65" t="s">
        <v>16</v>
      </c>
      <c r="C65" t="s">
        <v>362</v>
      </c>
    </row>
    <row r="66" spans="1:7" ht="15" customHeight="1" x14ac:dyDescent="0.25">
      <c r="A66" s="129" t="s">
        <v>996</v>
      </c>
      <c r="B66" t="s">
        <v>16</v>
      </c>
      <c r="C66" t="s">
        <v>995</v>
      </c>
    </row>
    <row r="67" spans="1:7" ht="15" customHeight="1" x14ac:dyDescent="0.25">
      <c r="A67" s="214" t="s">
        <v>972</v>
      </c>
      <c r="B67" t="s">
        <v>16</v>
      </c>
      <c r="C67" t="s">
        <v>971</v>
      </c>
    </row>
    <row r="68" spans="1:7" ht="15" customHeight="1" x14ac:dyDescent="0.25">
      <c r="A68" s="214" t="s">
        <v>974</v>
      </c>
      <c r="B68" t="s">
        <v>16</v>
      </c>
      <c r="C68" t="s">
        <v>973</v>
      </c>
    </row>
    <row r="69" spans="1:7" ht="15" customHeight="1" x14ac:dyDescent="0.25">
      <c r="A69" s="214" t="s">
        <v>976</v>
      </c>
      <c r="B69" t="s">
        <v>16</v>
      </c>
      <c r="C69" t="s">
        <v>975</v>
      </c>
    </row>
    <row r="70" spans="1:7" ht="15" customHeight="1" x14ac:dyDescent="0.25">
      <c r="A70" s="214" t="s">
        <v>978</v>
      </c>
      <c r="B70" t="s">
        <v>16</v>
      </c>
      <c r="C70" t="s">
        <v>977</v>
      </c>
    </row>
    <row r="71" spans="1:7" ht="15" customHeight="1" x14ac:dyDescent="0.25">
      <c r="A71" s="214" t="s">
        <v>980</v>
      </c>
      <c r="B71" t="s">
        <v>16</v>
      </c>
      <c r="C71" t="s">
        <v>979</v>
      </c>
    </row>
    <row r="72" spans="1:7" ht="15" customHeight="1" x14ac:dyDescent="0.25">
      <c r="A72" s="214" t="s">
        <v>982</v>
      </c>
      <c r="B72" t="s">
        <v>16</v>
      </c>
      <c r="C72" t="s">
        <v>981</v>
      </c>
    </row>
    <row r="73" spans="1:7" ht="15" customHeight="1" x14ac:dyDescent="0.25">
      <c r="A73" s="214" t="s">
        <v>984</v>
      </c>
      <c r="B73" t="s">
        <v>16</v>
      </c>
      <c r="C73" t="s">
        <v>983</v>
      </c>
    </row>
    <row r="74" spans="1:7" ht="15" customHeight="1" x14ac:dyDescent="0.25">
      <c r="A74" s="129" t="s">
        <v>1042</v>
      </c>
      <c r="B74" t="s">
        <v>16</v>
      </c>
      <c r="C74" s="130" t="s">
        <v>1041</v>
      </c>
    </row>
    <row r="75" spans="1:7" ht="15" customHeight="1" x14ac:dyDescent="0.25">
      <c r="A75" s="126" t="s">
        <v>943</v>
      </c>
      <c r="B75" t="s">
        <v>16</v>
      </c>
      <c r="C75" t="s">
        <v>942</v>
      </c>
    </row>
    <row r="76" spans="1:7" ht="15" customHeight="1" x14ac:dyDescent="0.25">
      <c r="A76" s="126" t="s">
        <v>945</v>
      </c>
      <c r="B76" t="s">
        <v>16</v>
      </c>
      <c r="C76" t="s">
        <v>944</v>
      </c>
    </row>
    <row r="77" spans="1:7" ht="15" customHeight="1" x14ac:dyDescent="0.25">
      <c r="A77" s="214" t="s">
        <v>700</v>
      </c>
      <c r="B77" t="s">
        <v>617</v>
      </c>
      <c r="C77" s="259" t="s">
        <v>699</v>
      </c>
    </row>
    <row r="78" spans="1:7" ht="15" customHeight="1" x14ac:dyDescent="0.25">
      <c r="A78" s="259" t="s">
        <v>618</v>
      </c>
      <c r="B78" t="s">
        <v>617</v>
      </c>
      <c r="C78" s="259" t="s">
        <v>699</v>
      </c>
      <c r="G78" s="259"/>
    </row>
    <row r="79" spans="1:7" ht="15" customHeight="1" x14ac:dyDescent="0.25">
      <c r="A79" s="129" t="s">
        <v>497</v>
      </c>
      <c r="B79" t="s">
        <v>432</v>
      </c>
      <c r="C79" t="s">
        <v>498</v>
      </c>
    </row>
    <row r="80" spans="1:7" ht="15" customHeight="1" x14ac:dyDescent="0.25">
      <c r="A80" s="129" t="s">
        <v>449</v>
      </c>
      <c r="B80" t="s">
        <v>432</v>
      </c>
      <c r="C80" t="s">
        <v>450</v>
      </c>
    </row>
    <row r="81" spans="1:3" ht="15" customHeight="1" x14ac:dyDescent="0.25">
      <c r="A81" s="129" t="s">
        <v>847</v>
      </c>
      <c r="B81" t="s">
        <v>432</v>
      </c>
      <c r="C81" t="s">
        <v>846</v>
      </c>
    </row>
    <row r="82" spans="1:3" ht="15" customHeight="1" x14ac:dyDescent="0.25">
      <c r="A82" s="213" t="s">
        <v>495</v>
      </c>
      <c r="B82" t="s">
        <v>432</v>
      </c>
      <c r="C82" t="s">
        <v>496</v>
      </c>
    </row>
    <row r="83" spans="1:3" ht="15" customHeight="1" x14ac:dyDescent="0.25">
      <c r="A83" s="129" t="s">
        <v>407</v>
      </c>
      <c r="B83" t="s">
        <v>16</v>
      </c>
      <c r="C83" t="s">
        <v>408</v>
      </c>
    </row>
    <row r="84" spans="1:3" ht="15" customHeight="1" x14ac:dyDescent="0.25">
      <c r="A84" s="144" t="s">
        <v>1132</v>
      </c>
      <c r="B84" t="s">
        <v>16</v>
      </c>
      <c r="C84" s="7" t="s">
        <v>1131</v>
      </c>
    </row>
    <row r="85" spans="1:3" ht="15" customHeight="1" x14ac:dyDescent="0.25">
      <c r="A85" s="129" t="s">
        <v>988</v>
      </c>
      <c r="B85" t="s">
        <v>16</v>
      </c>
      <c r="C85" t="s">
        <v>987</v>
      </c>
    </row>
    <row r="86" spans="1:3" ht="15" customHeight="1" x14ac:dyDescent="0.25">
      <c r="A86" s="129" t="s">
        <v>990</v>
      </c>
      <c r="B86" t="s">
        <v>16</v>
      </c>
      <c r="C86" t="s">
        <v>989</v>
      </c>
    </row>
    <row r="87" spans="1:3" ht="15" customHeight="1" x14ac:dyDescent="0.25">
      <c r="A87" s="129" t="s">
        <v>369</v>
      </c>
      <c r="B87" t="s">
        <v>16</v>
      </c>
      <c r="C87" t="s">
        <v>370</v>
      </c>
    </row>
    <row r="88" spans="1:3" ht="15" customHeight="1" x14ac:dyDescent="0.25">
      <c r="A88" s="129" t="s">
        <v>992</v>
      </c>
      <c r="B88" t="s">
        <v>16</v>
      </c>
      <c r="C88" t="s">
        <v>991</v>
      </c>
    </row>
    <row r="89" spans="1:3" ht="15" customHeight="1" x14ac:dyDescent="0.25">
      <c r="A89" s="129" t="s">
        <v>247</v>
      </c>
      <c r="B89" t="s">
        <v>138</v>
      </c>
      <c r="C89" t="s">
        <v>248</v>
      </c>
    </row>
    <row r="90" spans="1:3" ht="15" customHeight="1" x14ac:dyDescent="0.25">
      <c r="A90" s="126" t="s">
        <v>568</v>
      </c>
      <c r="B90" t="s">
        <v>561</v>
      </c>
      <c r="C90" s="130" t="s">
        <v>569</v>
      </c>
    </row>
    <row r="91" spans="1:3" ht="15" customHeight="1" x14ac:dyDescent="0.25">
      <c r="A91" s="126" t="s">
        <v>1000</v>
      </c>
      <c r="B91" t="s">
        <v>16</v>
      </c>
      <c r="C91" s="130" t="s">
        <v>999</v>
      </c>
    </row>
    <row r="92" spans="1:3" ht="15" customHeight="1" x14ac:dyDescent="0.25">
      <c r="A92" s="126" t="s">
        <v>1002</v>
      </c>
      <c r="B92" t="s">
        <v>16</v>
      </c>
      <c r="C92" s="130" t="s">
        <v>1001</v>
      </c>
    </row>
    <row r="93" spans="1:3" ht="15" customHeight="1" x14ac:dyDescent="0.25">
      <c r="A93" s="126" t="s">
        <v>503</v>
      </c>
      <c r="B93" t="s">
        <v>432</v>
      </c>
      <c r="C93" s="130" t="s">
        <v>504</v>
      </c>
    </row>
    <row r="94" spans="1:3" ht="15" customHeight="1" x14ac:dyDescent="0.25">
      <c r="A94" s="126" t="s">
        <v>1004</v>
      </c>
      <c r="B94" t="s">
        <v>16</v>
      </c>
      <c r="C94" s="130" t="s">
        <v>1003</v>
      </c>
    </row>
    <row r="95" spans="1:3" ht="15" customHeight="1" x14ac:dyDescent="0.25">
      <c r="A95" s="126" t="s">
        <v>1006</v>
      </c>
      <c r="B95" t="s">
        <v>16</v>
      </c>
      <c r="C95" s="130" t="s">
        <v>1005</v>
      </c>
    </row>
    <row r="96" spans="1:3" ht="15" customHeight="1" x14ac:dyDescent="0.25">
      <c r="A96" s="126" t="s">
        <v>1395</v>
      </c>
      <c r="B96" t="s">
        <v>652</v>
      </c>
      <c r="C96" s="126" t="s">
        <v>1394</v>
      </c>
    </row>
    <row r="97" spans="1:3" ht="15" customHeight="1" x14ac:dyDescent="0.25">
      <c r="A97" s="212" t="s">
        <v>1378</v>
      </c>
      <c r="B97" t="s">
        <v>648</v>
      </c>
      <c r="C97" s="129" t="s">
        <v>1377</v>
      </c>
    </row>
    <row r="98" spans="1:3" ht="15" customHeight="1" x14ac:dyDescent="0.25">
      <c r="A98" s="129" t="s">
        <v>1020</v>
      </c>
      <c r="B98" t="s">
        <v>16</v>
      </c>
      <c r="C98" s="130" t="s">
        <v>1019</v>
      </c>
    </row>
    <row r="99" spans="1:3" ht="15" customHeight="1" x14ac:dyDescent="0.25">
      <c r="A99" s="129" t="s">
        <v>1022</v>
      </c>
      <c r="B99" t="s">
        <v>16</v>
      </c>
      <c r="C99" s="130" t="s">
        <v>1021</v>
      </c>
    </row>
    <row r="100" spans="1:3" ht="15" customHeight="1" x14ac:dyDescent="0.25">
      <c r="A100" s="129" t="s">
        <v>1024</v>
      </c>
      <c r="B100" t="s">
        <v>16</v>
      </c>
      <c r="C100" s="130" t="s">
        <v>1023</v>
      </c>
    </row>
    <row r="101" spans="1:3" ht="15" customHeight="1" x14ac:dyDescent="0.25">
      <c r="A101" s="129" t="s">
        <v>1026</v>
      </c>
      <c r="B101" t="s">
        <v>16</v>
      </c>
      <c r="C101" s="130" t="s">
        <v>1025</v>
      </c>
    </row>
    <row r="102" spans="1:3" ht="15" customHeight="1" x14ac:dyDescent="0.25">
      <c r="A102" s="129" t="s">
        <v>136</v>
      </c>
      <c r="B102" t="s">
        <v>138</v>
      </c>
      <c r="C102" s="130" t="s">
        <v>137</v>
      </c>
    </row>
    <row r="103" spans="1:3" ht="15" customHeight="1" x14ac:dyDescent="0.25">
      <c r="A103" s="129" t="s">
        <v>1028</v>
      </c>
      <c r="B103" t="s">
        <v>16</v>
      </c>
      <c r="C103" s="130" t="s">
        <v>1027</v>
      </c>
    </row>
    <row r="104" spans="1:3" ht="15" customHeight="1" x14ac:dyDescent="0.25">
      <c r="A104" s="129" t="s">
        <v>352</v>
      </c>
      <c r="B104" t="s">
        <v>16</v>
      </c>
      <c r="C104" s="130" t="s">
        <v>353</v>
      </c>
    </row>
    <row r="105" spans="1:3" ht="15" customHeight="1" x14ac:dyDescent="0.25">
      <c r="A105" s="202" t="s">
        <v>338</v>
      </c>
      <c r="B105" t="s">
        <v>16</v>
      </c>
      <c r="C105" s="130" t="s">
        <v>339</v>
      </c>
    </row>
    <row r="106" spans="1:3" ht="15" customHeight="1" x14ac:dyDescent="0.25">
      <c r="A106" s="202" t="s">
        <v>1014</v>
      </c>
      <c r="B106" t="s">
        <v>16</v>
      </c>
      <c r="C106" s="130" t="s">
        <v>1013</v>
      </c>
    </row>
    <row r="107" spans="1:3" ht="15" customHeight="1" x14ac:dyDescent="0.25">
      <c r="A107" s="202" t="s">
        <v>1016</v>
      </c>
      <c r="B107" t="s">
        <v>16</v>
      </c>
      <c r="C107" s="130" t="s">
        <v>1015</v>
      </c>
    </row>
    <row r="108" spans="1:3" ht="15" customHeight="1" x14ac:dyDescent="0.25">
      <c r="A108" s="144" t="s">
        <v>1274</v>
      </c>
      <c r="B108" s="7" t="s">
        <v>138</v>
      </c>
      <c r="C108" s="7" t="s">
        <v>1273</v>
      </c>
    </row>
    <row r="109" spans="1:3" ht="15" customHeight="1" x14ac:dyDescent="0.25">
      <c r="A109" s="144" t="s">
        <v>1277</v>
      </c>
      <c r="B109" s="7" t="s">
        <v>138</v>
      </c>
      <c r="C109" s="7" t="s">
        <v>1276</v>
      </c>
    </row>
    <row r="110" spans="1:3" ht="15" customHeight="1" x14ac:dyDescent="0.25">
      <c r="A110" s="144" t="s">
        <v>1134</v>
      </c>
      <c r="B110" t="s">
        <v>16</v>
      </c>
      <c r="C110" s="7" t="s">
        <v>1133</v>
      </c>
    </row>
    <row r="111" spans="1:3" ht="15" customHeight="1" x14ac:dyDescent="0.25">
      <c r="A111" s="144" t="s">
        <v>1136</v>
      </c>
      <c r="B111" t="s">
        <v>16</v>
      </c>
      <c r="C111" s="7" t="s">
        <v>1135</v>
      </c>
    </row>
    <row r="112" spans="1:3" ht="15" customHeight="1" x14ac:dyDescent="0.25">
      <c r="A112" s="144" t="s">
        <v>1138</v>
      </c>
      <c r="B112" t="s">
        <v>16</v>
      </c>
      <c r="C112" s="7" t="s">
        <v>1137</v>
      </c>
    </row>
    <row r="113" spans="1:3" ht="15" customHeight="1" x14ac:dyDescent="0.25">
      <c r="A113" s="144" t="s">
        <v>1140</v>
      </c>
      <c r="B113" t="s">
        <v>16</v>
      </c>
      <c r="C113" s="7" t="s">
        <v>1139</v>
      </c>
    </row>
    <row r="114" spans="1:3" ht="15" customHeight="1" x14ac:dyDescent="0.25">
      <c r="A114" s="144" t="s">
        <v>1142</v>
      </c>
      <c r="B114" t="s">
        <v>16</v>
      </c>
      <c r="C114" s="7" t="s">
        <v>1141</v>
      </c>
    </row>
    <row r="115" spans="1:3" ht="15" customHeight="1" x14ac:dyDescent="0.25">
      <c r="A115" s="129" t="s">
        <v>1118</v>
      </c>
      <c r="B115" t="s">
        <v>16</v>
      </c>
      <c r="C115" t="s">
        <v>1117</v>
      </c>
    </row>
    <row r="116" spans="1:3" ht="15" customHeight="1" x14ac:dyDescent="0.25">
      <c r="A116" s="129" t="s">
        <v>1120</v>
      </c>
      <c r="B116" t="s">
        <v>16</v>
      </c>
      <c r="C116" t="s">
        <v>1119</v>
      </c>
    </row>
    <row r="117" spans="1:3" ht="15" customHeight="1" x14ac:dyDescent="0.25">
      <c r="A117" s="129" t="s">
        <v>1122</v>
      </c>
      <c r="B117" t="s">
        <v>16</v>
      </c>
      <c r="C117" t="s">
        <v>1121</v>
      </c>
    </row>
    <row r="118" spans="1:3" ht="15" customHeight="1" x14ac:dyDescent="0.25">
      <c r="A118" s="129" t="s">
        <v>1124</v>
      </c>
      <c r="B118" t="s">
        <v>16</v>
      </c>
      <c r="C118" t="s">
        <v>1123</v>
      </c>
    </row>
    <row r="119" spans="1:3" ht="15" customHeight="1" x14ac:dyDescent="0.25">
      <c r="A119" s="129" t="s">
        <v>1126</v>
      </c>
      <c r="B119" t="s">
        <v>16</v>
      </c>
      <c r="C119" t="s">
        <v>1125</v>
      </c>
    </row>
    <row r="120" spans="1:3" ht="15" customHeight="1" x14ac:dyDescent="0.25">
      <c r="A120" s="129" t="s">
        <v>1128</v>
      </c>
      <c r="B120" t="s">
        <v>16</v>
      </c>
      <c r="C120" t="s">
        <v>1127</v>
      </c>
    </row>
    <row r="121" spans="1:3" ht="15" customHeight="1" x14ac:dyDescent="0.25">
      <c r="A121" s="144" t="s">
        <v>389</v>
      </c>
      <c r="B121" t="s">
        <v>16</v>
      </c>
      <c r="C121" s="7" t="s">
        <v>390</v>
      </c>
    </row>
    <row r="122" spans="1:3" ht="15" customHeight="1" x14ac:dyDescent="0.25">
      <c r="A122" s="144" t="s">
        <v>1144</v>
      </c>
      <c r="B122" t="s">
        <v>16</v>
      </c>
      <c r="C122" s="7" t="s">
        <v>1143</v>
      </c>
    </row>
    <row r="123" spans="1:3" x14ac:dyDescent="0.25">
      <c r="A123" s="178" t="s">
        <v>1172</v>
      </c>
      <c r="B123" t="s">
        <v>16</v>
      </c>
      <c r="C123" s="178" t="s">
        <v>1171</v>
      </c>
    </row>
    <row r="124" spans="1:3" x14ac:dyDescent="0.25">
      <c r="A124" s="178" t="s">
        <v>1174</v>
      </c>
      <c r="B124" t="s">
        <v>16</v>
      </c>
      <c r="C124" s="178" t="s">
        <v>1173</v>
      </c>
    </row>
    <row r="125" spans="1:3" x14ac:dyDescent="0.25">
      <c r="A125" s="178" t="s">
        <v>1176</v>
      </c>
      <c r="B125" t="s">
        <v>16</v>
      </c>
      <c r="C125" s="178" t="s">
        <v>1175</v>
      </c>
    </row>
    <row r="126" spans="1:3" ht="15" customHeight="1" x14ac:dyDescent="0.25">
      <c r="A126" s="144" t="s">
        <v>1146</v>
      </c>
      <c r="B126" t="s">
        <v>16</v>
      </c>
      <c r="C126" s="7" t="s">
        <v>1145</v>
      </c>
    </row>
    <row r="127" spans="1:3" ht="15" customHeight="1" x14ac:dyDescent="0.25">
      <c r="A127" s="129" t="s">
        <v>1068</v>
      </c>
      <c r="B127" t="s">
        <v>16</v>
      </c>
      <c r="C127" t="s">
        <v>1067</v>
      </c>
    </row>
    <row r="128" spans="1:3" ht="15" customHeight="1" x14ac:dyDescent="0.25">
      <c r="A128" s="129" t="s">
        <v>1076</v>
      </c>
      <c r="B128" t="s">
        <v>16</v>
      </c>
      <c r="C128" t="s">
        <v>1075</v>
      </c>
    </row>
    <row r="129" spans="1:3" ht="15" customHeight="1" x14ac:dyDescent="0.25">
      <c r="A129" s="129" t="s">
        <v>1170</v>
      </c>
      <c r="B129" t="s">
        <v>16</v>
      </c>
      <c r="C129" s="130" t="s">
        <v>1169</v>
      </c>
    </row>
    <row r="130" spans="1:3" ht="15" customHeight="1" x14ac:dyDescent="0.25">
      <c r="A130" s="129" t="s">
        <v>399</v>
      </c>
      <c r="B130" t="s">
        <v>16</v>
      </c>
      <c r="C130" s="130" t="s">
        <v>400</v>
      </c>
    </row>
    <row r="131" spans="1:3" ht="15" customHeight="1" x14ac:dyDescent="0.25">
      <c r="A131" s="197" t="s">
        <v>1078</v>
      </c>
      <c r="B131" t="s">
        <v>16</v>
      </c>
      <c r="C131" t="s">
        <v>1077</v>
      </c>
    </row>
    <row r="132" spans="1:3" ht="15" customHeight="1" x14ac:dyDescent="0.25">
      <c r="A132" s="197" t="s">
        <v>1080</v>
      </c>
      <c r="B132" t="s">
        <v>16</v>
      </c>
      <c r="C132" t="s">
        <v>1079</v>
      </c>
    </row>
    <row r="133" spans="1:3" ht="15" customHeight="1" x14ac:dyDescent="0.25">
      <c r="A133" s="197" t="s">
        <v>1082</v>
      </c>
      <c r="B133" t="s">
        <v>16</v>
      </c>
      <c r="C133" t="s">
        <v>1081</v>
      </c>
    </row>
    <row r="134" spans="1:3" x14ac:dyDescent="0.25">
      <c r="A134" s="144" t="s">
        <v>1168</v>
      </c>
      <c r="B134" s="13" t="s">
        <v>16</v>
      </c>
      <c r="C134" s="7" t="s">
        <v>1167</v>
      </c>
    </row>
    <row r="135" spans="1:3" ht="15" customHeight="1" x14ac:dyDescent="0.25">
      <c r="A135" s="197" t="s">
        <v>403</v>
      </c>
      <c r="B135" s="9" t="s">
        <v>16</v>
      </c>
      <c r="C135" t="s">
        <v>404</v>
      </c>
    </row>
    <row r="136" spans="1:3" ht="15" customHeight="1" x14ac:dyDescent="0.25">
      <c r="A136" s="197" t="s">
        <v>350</v>
      </c>
      <c r="B136" s="9" t="s">
        <v>16</v>
      </c>
      <c r="C136" t="s">
        <v>351</v>
      </c>
    </row>
    <row r="137" spans="1:3" ht="15" customHeight="1" x14ac:dyDescent="0.25">
      <c r="A137" s="197" t="s">
        <v>120</v>
      </c>
      <c r="B137" s="9" t="s">
        <v>107</v>
      </c>
      <c r="C137" t="s">
        <v>121</v>
      </c>
    </row>
    <row r="138" spans="1:3" ht="15" customHeight="1" x14ac:dyDescent="0.25">
      <c r="A138" s="126" t="s">
        <v>2185</v>
      </c>
      <c r="B138" s="9" t="s">
        <v>2184</v>
      </c>
      <c r="C138" t="s">
        <v>2183</v>
      </c>
    </row>
    <row r="139" spans="1:3" x14ac:dyDescent="0.25">
      <c r="A139" t="s">
        <v>1148</v>
      </c>
      <c r="B139" s="13" t="s">
        <v>16</v>
      </c>
      <c r="C139" s="137" t="s">
        <v>1147</v>
      </c>
    </row>
    <row r="140" spans="1:3" ht="15" customHeight="1" x14ac:dyDescent="0.25">
      <c r="A140" s="129" t="s">
        <v>451</v>
      </c>
      <c r="B140" t="s">
        <v>432</v>
      </c>
      <c r="C140" t="s">
        <v>452</v>
      </c>
    </row>
    <row r="141" spans="1:3" ht="15" customHeight="1" x14ac:dyDescent="0.25">
      <c r="A141" s="202" t="s">
        <v>1008</v>
      </c>
      <c r="B141" t="s">
        <v>16</v>
      </c>
      <c r="C141" s="209" t="s">
        <v>1007</v>
      </c>
    </row>
    <row r="142" spans="1:3" ht="15" customHeight="1" x14ac:dyDescent="0.25">
      <c r="A142" s="202" t="s">
        <v>1010</v>
      </c>
      <c r="B142" t="s">
        <v>16</v>
      </c>
      <c r="C142" s="209" t="s">
        <v>1009</v>
      </c>
    </row>
    <row r="143" spans="1:3" ht="15" customHeight="1" x14ac:dyDescent="0.25">
      <c r="A143" s="202" t="s">
        <v>179</v>
      </c>
      <c r="B143" t="s">
        <v>138</v>
      </c>
      <c r="C143" s="209" t="s">
        <v>180</v>
      </c>
    </row>
    <row r="144" spans="1:3" ht="15" customHeight="1" x14ac:dyDescent="0.25">
      <c r="A144" s="202" t="s">
        <v>417</v>
      </c>
      <c r="B144" t="s">
        <v>16</v>
      </c>
      <c r="C144" s="209" t="s">
        <v>418</v>
      </c>
    </row>
    <row r="145" spans="1:6" ht="15" customHeight="1" x14ac:dyDescent="0.25">
      <c r="A145" s="202" t="s">
        <v>1012</v>
      </c>
      <c r="B145" t="s">
        <v>16</v>
      </c>
      <c r="C145" s="209" t="s">
        <v>1011</v>
      </c>
    </row>
    <row r="146" spans="1:6" ht="15" customHeight="1" x14ac:dyDescent="0.25">
      <c r="A146" s="129" t="s">
        <v>1030</v>
      </c>
      <c r="B146" t="s">
        <v>16</v>
      </c>
      <c r="C146" s="209" t="s">
        <v>1029</v>
      </c>
    </row>
    <row r="147" spans="1:6" ht="15" customHeight="1" x14ac:dyDescent="0.25">
      <c r="A147" s="129" t="s">
        <v>1032</v>
      </c>
      <c r="B147" t="s">
        <v>16</v>
      </c>
      <c r="C147" s="209" t="s">
        <v>1031</v>
      </c>
    </row>
    <row r="148" spans="1:6" ht="15" customHeight="1" x14ac:dyDescent="0.25">
      <c r="A148" s="129" t="s">
        <v>1034</v>
      </c>
      <c r="B148" t="s">
        <v>16</v>
      </c>
      <c r="C148" s="209" t="s">
        <v>1033</v>
      </c>
    </row>
    <row r="149" spans="1:6" ht="15" customHeight="1" x14ac:dyDescent="0.25">
      <c r="A149" s="129" t="s">
        <v>1036</v>
      </c>
      <c r="B149" t="s">
        <v>16</v>
      </c>
      <c r="C149" s="209" t="s">
        <v>1035</v>
      </c>
    </row>
    <row r="150" spans="1:6" ht="15" customHeight="1" x14ac:dyDescent="0.25">
      <c r="A150" s="129" t="s">
        <v>1038</v>
      </c>
      <c r="B150" t="s">
        <v>16</v>
      </c>
      <c r="C150" s="209" t="s">
        <v>1037</v>
      </c>
    </row>
    <row r="151" spans="1:6" ht="15" customHeight="1" x14ac:dyDescent="0.25">
      <c r="A151" s="202" t="s">
        <v>481</v>
      </c>
      <c r="B151" t="s">
        <v>432</v>
      </c>
      <c r="C151" s="202" t="s">
        <v>482</v>
      </c>
    </row>
    <row r="152" spans="1:6" ht="15" customHeight="1" x14ac:dyDescent="0.25">
      <c r="A152" s="202" t="s">
        <v>998</v>
      </c>
      <c r="B152" t="s">
        <v>16</v>
      </c>
      <c r="C152" s="202" t="s">
        <v>997</v>
      </c>
    </row>
    <row r="153" spans="1:6" ht="15" customHeight="1" x14ac:dyDescent="0.25">
      <c r="A153" s="202" t="s">
        <v>802</v>
      </c>
      <c r="B153" t="s">
        <v>561</v>
      </c>
      <c r="C153" s="202" t="s">
        <v>801</v>
      </c>
      <c r="F153" s="210"/>
    </row>
    <row r="154" spans="1:6" ht="15" customHeight="1" x14ac:dyDescent="0.25">
      <c r="A154" s="129" t="s">
        <v>1044</v>
      </c>
      <c r="B154" t="s">
        <v>16</v>
      </c>
      <c r="C154" t="s">
        <v>1043</v>
      </c>
    </row>
    <row r="155" spans="1:6" ht="15" customHeight="1" x14ac:dyDescent="0.25">
      <c r="A155" s="129" t="s">
        <v>1046</v>
      </c>
      <c r="B155" t="s">
        <v>16</v>
      </c>
      <c r="C155" t="s">
        <v>1045</v>
      </c>
    </row>
    <row r="156" spans="1:6" ht="15" customHeight="1" x14ac:dyDescent="0.25">
      <c r="A156" s="129" t="s">
        <v>1048</v>
      </c>
      <c r="B156" t="s">
        <v>16</v>
      </c>
      <c r="C156" t="s">
        <v>1047</v>
      </c>
    </row>
    <row r="157" spans="1:6" ht="15" customHeight="1" x14ac:dyDescent="0.25">
      <c r="A157" s="129" t="s">
        <v>1050</v>
      </c>
      <c r="B157" t="s">
        <v>16</v>
      </c>
      <c r="C157" t="s">
        <v>1049</v>
      </c>
    </row>
    <row r="158" spans="1:6" x14ac:dyDescent="0.25">
      <c r="A158" s="126" t="s">
        <v>1052</v>
      </c>
      <c r="B158" s="13" t="s">
        <v>16</v>
      </c>
      <c r="C158" t="s">
        <v>1051</v>
      </c>
    </row>
    <row r="159" spans="1:6" x14ac:dyDescent="0.25">
      <c r="A159" s="126" t="s">
        <v>354</v>
      </c>
      <c r="B159" s="13" t="s">
        <v>16</v>
      </c>
      <c r="C159" t="s">
        <v>1099</v>
      </c>
    </row>
    <row r="160" spans="1:6" x14ac:dyDescent="0.25">
      <c r="A160" s="126" t="s">
        <v>1054</v>
      </c>
      <c r="B160" s="13" t="s">
        <v>16</v>
      </c>
      <c r="C160" t="s">
        <v>1053</v>
      </c>
    </row>
    <row r="161" spans="1:3" x14ac:dyDescent="0.25">
      <c r="A161" s="126" t="s">
        <v>1056</v>
      </c>
      <c r="B161" s="13" t="s">
        <v>16</v>
      </c>
      <c r="C161" t="s">
        <v>1055</v>
      </c>
    </row>
    <row r="162" spans="1:3" x14ac:dyDescent="0.25">
      <c r="A162" s="126" t="s">
        <v>346</v>
      </c>
      <c r="B162" s="13" t="s">
        <v>16</v>
      </c>
      <c r="C162" t="s">
        <v>347</v>
      </c>
    </row>
    <row r="163" spans="1:3" ht="15" customHeight="1" x14ac:dyDescent="0.25">
      <c r="A163" s="129" t="s">
        <v>1058</v>
      </c>
      <c r="B163" t="s">
        <v>16</v>
      </c>
      <c r="C163" t="s">
        <v>1057</v>
      </c>
    </row>
    <row r="164" spans="1:3" ht="15" customHeight="1" x14ac:dyDescent="0.25">
      <c r="A164" s="138" t="s">
        <v>705</v>
      </c>
      <c r="B164" s="9" t="s">
        <v>617</v>
      </c>
      <c r="C164" t="s">
        <v>621</v>
      </c>
    </row>
    <row r="165" spans="1:3" x14ac:dyDescent="0.25">
      <c r="A165" s="138" t="s">
        <v>1114</v>
      </c>
      <c r="B165" s="13" t="s">
        <v>16</v>
      </c>
      <c r="C165" t="s">
        <v>1113</v>
      </c>
    </row>
    <row r="166" spans="1:3" x14ac:dyDescent="0.25">
      <c r="A166" s="138" t="s">
        <v>1116</v>
      </c>
      <c r="B166" s="13" t="s">
        <v>16</v>
      </c>
      <c r="C166" t="s">
        <v>1157</v>
      </c>
    </row>
    <row r="167" spans="1:3" x14ac:dyDescent="0.25">
      <c r="A167" s="138" t="s">
        <v>367</v>
      </c>
      <c r="B167" s="13" t="s">
        <v>16</v>
      </c>
      <c r="C167" t="s">
        <v>368</v>
      </c>
    </row>
    <row r="168" spans="1:3" ht="15" customHeight="1" x14ac:dyDescent="0.25">
      <c r="A168" s="138" t="s">
        <v>1457</v>
      </c>
      <c r="B168" s="9" t="s">
        <v>96</v>
      </c>
      <c r="C168" t="s">
        <v>2490</v>
      </c>
    </row>
    <row r="169" spans="1:3" x14ac:dyDescent="0.25">
      <c r="A169" s="138" t="s">
        <v>328</v>
      </c>
      <c r="B169" s="13" t="s">
        <v>16</v>
      </c>
      <c r="C169" t="s">
        <v>329</v>
      </c>
    </row>
    <row r="170" spans="1:3" x14ac:dyDescent="0.25">
      <c r="A170" s="146" t="s">
        <v>2491</v>
      </c>
      <c r="B170" s="13" t="s">
        <v>16</v>
      </c>
      <c r="C170" t="s">
        <v>1119</v>
      </c>
    </row>
    <row r="171" spans="1:3" ht="15" customHeight="1" x14ac:dyDescent="0.25">
      <c r="A171" s="160" t="s">
        <v>829</v>
      </c>
      <c r="B171" s="9" t="s">
        <v>561</v>
      </c>
      <c r="C171" t="s">
        <v>828</v>
      </c>
    </row>
    <row r="172" spans="1:3" ht="15" customHeight="1" x14ac:dyDescent="0.25">
      <c r="A172" s="126" t="s">
        <v>499</v>
      </c>
      <c r="B172" s="9" t="s">
        <v>432</v>
      </c>
      <c r="C172" t="s">
        <v>500</v>
      </c>
    </row>
    <row r="173" spans="1:3" ht="15" customHeight="1" x14ac:dyDescent="0.25">
      <c r="A173" s="144" t="s">
        <v>1382</v>
      </c>
      <c r="B173" s="7" t="s">
        <v>1381</v>
      </c>
      <c r="C173" s="7" t="s">
        <v>1381</v>
      </c>
    </row>
    <row r="174" spans="1:3" ht="15" customHeight="1" x14ac:dyDescent="0.25">
      <c r="A174" s="129" t="s">
        <v>785</v>
      </c>
      <c r="B174" s="7" t="s">
        <v>598</v>
      </c>
      <c r="C174" s="129" t="s">
        <v>784</v>
      </c>
    </row>
    <row r="175" spans="1:3" ht="15" customHeight="1" x14ac:dyDescent="0.25">
      <c r="A175" s="157" t="s">
        <v>1485</v>
      </c>
      <c r="B175" t="s">
        <v>96</v>
      </c>
      <c r="C175" s="7" t="s">
        <v>1484</v>
      </c>
    </row>
    <row r="176" spans="1:3" ht="15" customHeight="1" x14ac:dyDescent="0.25">
      <c r="A176" s="129" t="s">
        <v>1475</v>
      </c>
      <c r="B176" t="s">
        <v>96</v>
      </c>
      <c r="C176" t="s">
        <v>1474</v>
      </c>
    </row>
    <row r="177" spans="1:3" ht="15" customHeight="1" x14ac:dyDescent="0.25">
      <c r="A177" s="146" t="s">
        <v>191</v>
      </c>
      <c r="B177" s="7" t="s">
        <v>138</v>
      </c>
      <c r="C177" s="130" t="s">
        <v>192</v>
      </c>
    </row>
    <row r="178" spans="1:3" x14ac:dyDescent="0.25">
      <c r="A178" s="129" t="s">
        <v>1191</v>
      </c>
      <c r="B178" s="13" t="s">
        <v>16</v>
      </c>
      <c r="C178" s="130" t="s">
        <v>1190</v>
      </c>
    </row>
    <row r="179" spans="1:3" ht="15" customHeight="1" x14ac:dyDescent="0.25">
      <c r="A179" s="165" t="s">
        <v>371</v>
      </c>
      <c r="B179" t="s">
        <v>16</v>
      </c>
      <c r="C179" s="130" t="s">
        <v>372</v>
      </c>
    </row>
    <row r="180" spans="1:3" ht="15" customHeight="1" x14ac:dyDescent="0.25">
      <c r="A180" s="165" t="s">
        <v>1154</v>
      </c>
      <c r="B180" t="s">
        <v>16</v>
      </c>
      <c r="C180" s="130" t="s">
        <v>1153</v>
      </c>
    </row>
    <row r="181" spans="1:3" ht="15" customHeight="1" x14ac:dyDescent="0.25">
      <c r="A181" s="166" t="s">
        <v>1156</v>
      </c>
      <c r="B181" t="s">
        <v>16</v>
      </c>
      <c r="C181" s="130" t="s">
        <v>2492</v>
      </c>
    </row>
    <row r="182" spans="1:3" x14ac:dyDescent="0.25">
      <c r="A182" s="166" t="s">
        <v>1406</v>
      </c>
      <c r="B182" s="13" t="s">
        <v>107</v>
      </c>
      <c r="C182" s="130" t="s">
        <v>1405</v>
      </c>
    </row>
    <row r="183" spans="1:3" x14ac:dyDescent="0.25">
      <c r="A183" s="165" t="s">
        <v>1459</v>
      </c>
      <c r="B183" s="13" t="s">
        <v>96</v>
      </c>
      <c r="C183" s="130" t="s">
        <v>2493</v>
      </c>
    </row>
    <row r="184" spans="1:3" ht="15" customHeight="1" x14ac:dyDescent="0.25">
      <c r="A184" s="146" t="s">
        <v>837</v>
      </c>
      <c r="B184" s="7" t="s">
        <v>2494</v>
      </c>
      <c r="C184" s="130" t="s">
        <v>836</v>
      </c>
    </row>
    <row r="185" spans="1:3" ht="15" customHeight="1" x14ac:dyDescent="0.25">
      <c r="A185" s="129" t="s">
        <v>28</v>
      </c>
      <c r="B185" s="7" t="s">
        <v>19</v>
      </c>
      <c r="C185" s="130" t="s">
        <v>2495</v>
      </c>
    </row>
    <row r="186" spans="1:3" ht="15" customHeight="1" x14ac:dyDescent="0.25">
      <c r="A186" s="129" t="s">
        <v>2369</v>
      </c>
      <c r="B186" s="7" t="s">
        <v>19</v>
      </c>
      <c r="C186" s="130" t="s">
        <v>2368</v>
      </c>
    </row>
    <row r="187" spans="1:3" ht="15" customHeight="1" x14ac:dyDescent="0.25">
      <c r="A187" s="129" t="s">
        <v>1487</v>
      </c>
      <c r="B187" s="7" t="s">
        <v>96</v>
      </c>
      <c r="C187" s="130" t="s">
        <v>1486</v>
      </c>
    </row>
    <row r="188" spans="1:3" ht="15" customHeight="1" x14ac:dyDescent="0.25">
      <c r="A188" s="129" t="s">
        <v>2347</v>
      </c>
      <c r="B188" s="7" t="s">
        <v>19</v>
      </c>
      <c r="C188" s="130" t="s">
        <v>2346</v>
      </c>
    </row>
    <row r="189" spans="1:3" ht="15" customHeight="1" x14ac:dyDescent="0.25">
      <c r="A189" s="129" t="s">
        <v>20</v>
      </c>
      <c r="B189" s="7" t="s">
        <v>19</v>
      </c>
      <c r="C189" s="130" t="s">
        <v>21</v>
      </c>
    </row>
    <row r="190" spans="1:3" ht="15" customHeight="1" x14ac:dyDescent="0.25">
      <c r="A190" s="129" t="s">
        <v>555</v>
      </c>
      <c r="B190" s="7" t="s">
        <v>432</v>
      </c>
      <c r="C190" s="129" t="s">
        <v>556</v>
      </c>
    </row>
    <row r="191" spans="1:3" ht="15" customHeight="1" x14ac:dyDescent="0.25">
      <c r="A191" s="129" t="s">
        <v>1332</v>
      </c>
      <c r="B191" s="7" t="s">
        <v>138</v>
      </c>
      <c r="C191" s="129" t="s">
        <v>1331</v>
      </c>
    </row>
    <row r="192" spans="1:3" x14ac:dyDescent="0.25">
      <c r="A192" s="146" t="s">
        <v>1162</v>
      </c>
      <c r="B192" s="13" t="s">
        <v>16</v>
      </c>
      <c r="C192" s="130" t="s">
        <v>1161</v>
      </c>
    </row>
    <row r="193" spans="1:3" x14ac:dyDescent="0.25">
      <c r="A193" s="146" t="s">
        <v>1740</v>
      </c>
      <c r="B193" s="13" t="s">
        <v>656</v>
      </c>
      <c r="C193" s="146" t="s">
        <v>1739</v>
      </c>
    </row>
    <row r="194" spans="1:3" ht="15" customHeight="1" x14ac:dyDescent="0.25">
      <c r="A194" s="146" t="s">
        <v>1380</v>
      </c>
      <c r="B194" t="s">
        <v>131</v>
      </c>
      <c r="C194" s="132" t="s">
        <v>1379</v>
      </c>
    </row>
    <row r="195" spans="1:3" ht="15" customHeight="1" x14ac:dyDescent="0.25">
      <c r="A195" s="129" t="s">
        <v>1461</v>
      </c>
      <c r="B195" t="s">
        <v>96</v>
      </c>
      <c r="C195" t="s">
        <v>1460</v>
      </c>
    </row>
    <row r="196" spans="1:3" ht="15" customHeight="1" x14ac:dyDescent="0.25">
      <c r="A196" s="129" t="s">
        <v>1158</v>
      </c>
      <c r="B196" t="s">
        <v>16</v>
      </c>
      <c r="C196" t="s">
        <v>1157</v>
      </c>
    </row>
    <row r="197" spans="1:3" ht="15" customHeight="1" x14ac:dyDescent="0.25">
      <c r="A197" s="129" t="s">
        <v>1160</v>
      </c>
      <c r="B197" t="s">
        <v>16</v>
      </c>
      <c r="C197" t="s">
        <v>1159</v>
      </c>
    </row>
    <row r="198" spans="1:3" x14ac:dyDescent="0.25">
      <c r="A198" s="129" t="s">
        <v>473</v>
      </c>
      <c r="B198" s="13" t="s">
        <v>432</v>
      </c>
      <c r="C198" s="132" t="s">
        <v>474</v>
      </c>
    </row>
    <row r="199" spans="1:3" x14ac:dyDescent="0.25">
      <c r="A199" s="129" t="s">
        <v>566</v>
      </c>
      <c r="B199" s="13" t="s">
        <v>561</v>
      </c>
      <c r="C199" s="132" t="s">
        <v>567</v>
      </c>
    </row>
    <row r="200" spans="1:3" x14ac:dyDescent="0.25">
      <c r="A200" s="129" t="s">
        <v>1164</v>
      </c>
      <c r="B200" s="13" t="s">
        <v>16</v>
      </c>
      <c r="C200" s="132" t="s">
        <v>1163</v>
      </c>
    </row>
    <row r="201" spans="1:3" x14ac:dyDescent="0.25">
      <c r="A201" s="129" t="s">
        <v>356</v>
      </c>
      <c r="B201" s="13" t="s">
        <v>16</v>
      </c>
      <c r="C201" s="132" t="s">
        <v>357</v>
      </c>
    </row>
    <row r="202" spans="1:3" x14ac:dyDescent="0.25">
      <c r="A202" s="129" t="s">
        <v>1182</v>
      </c>
      <c r="B202" s="13" t="s">
        <v>16</v>
      </c>
      <c r="C202" s="132" t="s">
        <v>1181</v>
      </c>
    </row>
    <row r="203" spans="1:3" ht="15" customHeight="1" x14ac:dyDescent="0.25">
      <c r="A203" s="149" t="s">
        <v>1473</v>
      </c>
      <c r="B203" t="s">
        <v>2496</v>
      </c>
      <c r="C203" t="s">
        <v>1472</v>
      </c>
    </row>
    <row r="204" spans="1:3" ht="15" customHeight="1" x14ac:dyDescent="0.25">
      <c r="A204" s="149" t="s">
        <v>2175</v>
      </c>
      <c r="B204" t="s">
        <v>2172</v>
      </c>
      <c r="C204" t="s">
        <v>2174</v>
      </c>
    </row>
    <row r="205" spans="1:3" x14ac:dyDescent="0.25">
      <c r="A205" s="145" t="s">
        <v>1479</v>
      </c>
      <c r="B205" t="s">
        <v>96</v>
      </c>
      <c r="C205" t="s">
        <v>1478</v>
      </c>
    </row>
    <row r="206" spans="1:3" x14ac:dyDescent="0.25">
      <c r="A206" s="145" t="s">
        <v>1467</v>
      </c>
      <c r="B206" t="s">
        <v>96</v>
      </c>
      <c r="C206" t="s">
        <v>1466</v>
      </c>
    </row>
    <row r="207" spans="1:3" x14ac:dyDescent="0.25">
      <c r="A207" s="150" t="s">
        <v>1184</v>
      </c>
      <c r="B207" s="13" t="s">
        <v>16</v>
      </c>
      <c r="C207" t="s">
        <v>1183</v>
      </c>
    </row>
    <row r="208" spans="1:3" x14ac:dyDescent="0.25">
      <c r="A208" s="145" t="s">
        <v>1508</v>
      </c>
      <c r="B208" t="s">
        <v>1493</v>
      </c>
      <c r="C208" t="s">
        <v>1507</v>
      </c>
    </row>
    <row r="209" spans="1:3" x14ac:dyDescent="0.25">
      <c r="A209" s="146" t="s">
        <v>1166</v>
      </c>
      <c r="B209" s="13" t="s">
        <v>16</v>
      </c>
      <c r="C209" t="s">
        <v>1165</v>
      </c>
    </row>
    <row r="210" spans="1:3" ht="15" customHeight="1" x14ac:dyDescent="0.25">
      <c r="A210" s="146" t="s">
        <v>211</v>
      </c>
      <c r="B210" t="s">
        <v>138</v>
      </c>
      <c r="C210" t="s">
        <v>2497</v>
      </c>
    </row>
    <row r="211" spans="1:3" ht="15" customHeight="1" x14ac:dyDescent="0.25">
      <c r="A211" s="146" t="s">
        <v>605</v>
      </c>
      <c r="B211" t="s">
        <v>598</v>
      </c>
      <c r="C211" t="s">
        <v>606</v>
      </c>
    </row>
    <row r="212" spans="1:3" x14ac:dyDescent="0.25">
      <c r="A212" s="143" t="s">
        <v>375</v>
      </c>
      <c r="B212" s="13" t="s">
        <v>16</v>
      </c>
      <c r="C212" s="130" t="s">
        <v>376</v>
      </c>
    </row>
    <row r="213" spans="1:3" x14ac:dyDescent="0.25">
      <c r="A213" s="143" t="s">
        <v>1193</v>
      </c>
      <c r="B213" s="13" t="s">
        <v>16</v>
      </c>
      <c r="C213" s="143" t="s">
        <v>1192</v>
      </c>
    </row>
    <row r="214" spans="1:3" x14ac:dyDescent="0.25">
      <c r="A214" s="143" t="s">
        <v>2283</v>
      </c>
      <c r="B214" s="13" t="s">
        <v>2184</v>
      </c>
      <c r="C214" s="130" t="s">
        <v>2282</v>
      </c>
    </row>
    <row r="215" spans="1:3" x14ac:dyDescent="0.25">
      <c r="A215" s="143" t="s">
        <v>2287</v>
      </c>
      <c r="B215" s="13" t="s">
        <v>2184</v>
      </c>
      <c r="C215" s="130" t="s">
        <v>2286</v>
      </c>
    </row>
    <row r="216" spans="1:3" x14ac:dyDescent="0.25">
      <c r="A216" s="143" t="s">
        <v>1599</v>
      </c>
      <c r="B216" s="13" t="s">
        <v>654</v>
      </c>
      <c r="C216" s="130" t="s">
        <v>1598</v>
      </c>
    </row>
    <row r="217" spans="1:3" x14ac:dyDescent="0.25">
      <c r="A217" s="141" t="s">
        <v>1364</v>
      </c>
      <c r="B217" s="13" t="s">
        <v>138</v>
      </c>
      <c r="C217" s="142" t="s">
        <v>1363</v>
      </c>
    </row>
    <row r="218" spans="1:3" ht="15" customHeight="1" x14ac:dyDescent="0.25">
      <c r="A218" s="167" t="s">
        <v>475</v>
      </c>
      <c r="B218" s="9" t="s">
        <v>432</v>
      </c>
      <c r="C218" s="129" t="s">
        <v>476</v>
      </c>
    </row>
    <row r="219" spans="1:3" ht="15" customHeight="1" x14ac:dyDescent="0.25">
      <c r="A219" s="167" t="s">
        <v>1451</v>
      </c>
      <c r="B219" s="9" t="s">
        <v>96</v>
      </c>
      <c r="C219" s="129" t="s">
        <v>2498</v>
      </c>
    </row>
    <row r="220" spans="1:3" x14ac:dyDescent="0.25">
      <c r="A220" s="141" t="s">
        <v>1417</v>
      </c>
      <c r="B220" s="13" t="s">
        <v>1416</v>
      </c>
      <c r="C220" s="142" t="s">
        <v>1415</v>
      </c>
    </row>
    <row r="221" spans="1:3" ht="15" customHeight="1" x14ac:dyDescent="0.25">
      <c r="A221" s="129" t="s">
        <v>1453</v>
      </c>
      <c r="B221" s="9" t="s">
        <v>96</v>
      </c>
      <c r="C221" s="130" t="s">
        <v>2499</v>
      </c>
    </row>
    <row r="222" spans="1:3" ht="15" customHeight="1" x14ac:dyDescent="0.25">
      <c r="A222" s="129" t="s">
        <v>1092</v>
      </c>
      <c r="B222" s="9" t="s">
        <v>16</v>
      </c>
      <c r="C222" s="130" t="s">
        <v>1091</v>
      </c>
    </row>
    <row r="223" spans="1:3" x14ac:dyDescent="0.25">
      <c r="A223" s="141" t="s">
        <v>1188</v>
      </c>
      <c r="B223" s="13" t="s">
        <v>16</v>
      </c>
      <c r="C223" s="142" t="s">
        <v>1187</v>
      </c>
    </row>
    <row r="224" spans="1:3" x14ac:dyDescent="0.25">
      <c r="A224" s="133" t="s">
        <v>358</v>
      </c>
      <c r="B224" s="13" t="s">
        <v>16</v>
      </c>
      <c r="C224" s="130" t="s">
        <v>359</v>
      </c>
    </row>
    <row r="225" spans="1:3" x14ac:dyDescent="0.25">
      <c r="A225" s="133" t="s">
        <v>340</v>
      </c>
      <c r="B225" s="13" t="s">
        <v>16</v>
      </c>
      <c r="C225" s="130" t="s">
        <v>341</v>
      </c>
    </row>
    <row r="226" spans="1:3" ht="15" customHeight="1" x14ac:dyDescent="0.25">
      <c r="A226" s="133" t="s">
        <v>1152</v>
      </c>
      <c r="B226" t="s">
        <v>138</v>
      </c>
      <c r="C226" s="130" t="s">
        <v>2500</v>
      </c>
    </row>
    <row r="227" spans="1:3" ht="15" customHeight="1" x14ac:dyDescent="0.25">
      <c r="A227" s="167" t="s">
        <v>1455</v>
      </c>
      <c r="B227" s="9" t="s">
        <v>96</v>
      </c>
      <c r="C227" s="130" t="s">
        <v>2501</v>
      </c>
    </row>
    <row r="228" spans="1:3" ht="15" customHeight="1" x14ac:dyDescent="0.25">
      <c r="A228" s="167" t="s">
        <v>1090</v>
      </c>
      <c r="B228" s="9" t="s">
        <v>16</v>
      </c>
      <c r="C228" s="130" t="s">
        <v>1089</v>
      </c>
    </row>
    <row r="229" spans="1:3" x14ac:dyDescent="0.25">
      <c r="A229" s="133" t="s">
        <v>324</v>
      </c>
      <c r="B229" s="13" t="s">
        <v>16</v>
      </c>
      <c r="C229" s="130" t="s">
        <v>325</v>
      </c>
    </row>
    <row r="230" spans="1:3" x14ac:dyDescent="0.25">
      <c r="A230" s="140" t="s">
        <v>2502</v>
      </c>
      <c r="B230" s="13" t="s">
        <v>16</v>
      </c>
      <c r="C230" s="132" t="s">
        <v>1202</v>
      </c>
    </row>
    <row r="231" spans="1:3" x14ac:dyDescent="0.25">
      <c r="A231" s="211" t="s">
        <v>1018</v>
      </c>
      <c r="B231" s="13" t="s">
        <v>16</v>
      </c>
      <c r="C231" s="132" t="s">
        <v>1017</v>
      </c>
    </row>
    <row r="232" spans="1:3" x14ac:dyDescent="0.25">
      <c r="A232" s="140" t="s">
        <v>2503</v>
      </c>
      <c r="B232" s="13" t="s">
        <v>138</v>
      </c>
      <c r="C232" s="132" t="s">
        <v>2504</v>
      </c>
    </row>
    <row r="233" spans="1:3" ht="15" customHeight="1" x14ac:dyDescent="0.25">
      <c r="A233" s="133" t="s">
        <v>2314</v>
      </c>
      <c r="B233" t="s">
        <v>19</v>
      </c>
      <c r="C233" s="130" t="s">
        <v>2313</v>
      </c>
    </row>
    <row r="234" spans="1:3" x14ac:dyDescent="0.25">
      <c r="A234" s="133" t="s">
        <v>32</v>
      </c>
      <c r="B234" s="13" t="s">
        <v>19</v>
      </c>
      <c r="C234" s="130" t="s">
        <v>33</v>
      </c>
    </row>
    <row r="235" spans="1:3" x14ac:dyDescent="0.25">
      <c r="A235" s="126" t="s">
        <v>523</v>
      </c>
      <c r="B235" s="13" t="s">
        <v>432</v>
      </c>
      <c r="C235" s="126" t="s">
        <v>524</v>
      </c>
    </row>
    <row r="236" spans="1:3" x14ac:dyDescent="0.25">
      <c r="A236" s="126" t="s">
        <v>83</v>
      </c>
      <c r="B236" s="13" t="s">
        <v>60</v>
      </c>
      <c r="C236" s="126" t="s">
        <v>84</v>
      </c>
    </row>
    <row r="237" spans="1:3" x14ac:dyDescent="0.25">
      <c r="A237" s="126" t="s">
        <v>1180</v>
      </c>
      <c r="B237" s="13" t="s">
        <v>16</v>
      </c>
      <c r="C237" t="s">
        <v>1179</v>
      </c>
    </row>
    <row r="238" spans="1:3" x14ac:dyDescent="0.25">
      <c r="A238" s="141" t="s">
        <v>793</v>
      </c>
      <c r="B238" s="13" t="s">
        <v>598</v>
      </c>
      <c r="C238" s="13" t="s">
        <v>792</v>
      </c>
    </row>
    <row r="239" spans="1:3" x14ac:dyDescent="0.25">
      <c r="A239" s="141" t="s">
        <v>613</v>
      </c>
      <c r="B239" s="13" t="s">
        <v>598</v>
      </c>
      <c r="C239" s="13" t="s">
        <v>614</v>
      </c>
    </row>
    <row r="240" spans="1:3" x14ac:dyDescent="0.25">
      <c r="A240" s="141" t="s">
        <v>1178</v>
      </c>
      <c r="B240" s="13" t="s">
        <v>16</v>
      </c>
      <c r="C240" s="13" t="s">
        <v>1177</v>
      </c>
    </row>
    <row r="241" spans="1:3" x14ac:dyDescent="0.25">
      <c r="A241" s="141" t="s">
        <v>89</v>
      </c>
      <c r="B241" t="s">
        <v>91</v>
      </c>
      <c r="C241" s="13" t="s">
        <v>90</v>
      </c>
    </row>
    <row r="242" spans="1:3" x14ac:dyDescent="0.25">
      <c r="A242" s="141" t="s">
        <v>1408</v>
      </c>
      <c r="B242" s="13" t="s">
        <v>107</v>
      </c>
      <c r="C242" s="13" t="s">
        <v>1407</v>
      </c>
    </row>
    <row r="243" spans="1:3" x14ac:dyDescent="0.25">
      <c r="A243" s="141" t="s">
        <v>791</v>
      </c>
      <c r="B243" t="s">
        <v>598</v>
      </c>
      <c r="C243" s="13" t="s">
        <v>790</v>
      </c>
    </row>
    <row r="244" spans="1:3" x14ac:dyDescent="0.25">
      <c r="A244" s="141" t="s">
        <v>92</v>
      </c>
      <c r="B244" t="s">
        <v>91</v>
      </c>
      <c r="C244" s="13" t="s">
        <v>93</v>
      </c>
    </row>
    <row r="245" spans="1:3" x14ac:dyDescent="0.25">
      <c r="A245" s="141" t="s">
        <v>2505</v>
      </c>
      <c r="B245" s="13" t="s">
        <v>2184</v>
      </c>
      <c r="C245" s="13" t="s">
        <v>2282</v>
      </c>
    </row>
    <row r="246" spans="1:3" x14ac:dyDescent="0.25">
      <c r="A246" s="141" t="s">
        <v>1186</v>
      </c>
      <c r="B246" s="13" t="s">
        <v>16</v>
      </c>
      <c r="C246" s="141" t="s">
        <v>1185</v>
      </c>
    </row>
    <row r="247" spans="1:3" ht="15" customHeight="1" x14ac:dyDescent="0.25">
      <c r="A247" s="141" t="s">
        <v>1727</v>
      </c>
      <c r="B247" t="s">
        <v>1726</v>
      </c>
      <c r="C247" s="141" t="s">
        <v>1726</v>
      </c>
    </row>
    <row r="248" spans="1:3" ht="15" customHeight="1" x14ac:dyDescent="0.25">
      <c r="A248" s="141" t="s">
        <v>887</v>
      </c>
      <c r="B248" t="s">
        <v>886</v>
      </c>
      <c r="C248" s="142" t="s">
        <v>886</v>
      </c>
    </row>
    <row r="249" spans="1:3" ht="15" customHeight="1" x14ac:dyDescent="0.25">
      <c r="A249" s="212" t="s">
        <v>1490</v>
      </c>
      <c r="B249" t="s">
        <v>657</v>
      </c>
      <c r="C249" s="212" t="s">
        <v>1489</v>
      </c>
    </row>
    <row r="250" spans="1:3" ht="15" customHeight="1" x14ac:dyDescent="0.25">
      <c r="A250" s="141" t="s">
        <v>611</v>
      </c>
      <c r="B250" t="s">
        <v>598</v>
      </c>
      <c r="C250" s="141" t="s">
        <v>612</v>
      </c>
    </row>
    <row r="251" spans="1:3" x14ac:dyDescent="0.25">
      <c r="A251" s="141" t="s">
        <v>596</v>
      </c>
      <c r="B251" s="13" t="s">
        <v>598</v>
      </c>
      <c r="C251" s="142" t="s">
        <v>597</v>
      </c>
    </row>
    <row r="252" spans="1:3" ht="15" customHeight="1" x14ac:dyDescent="0.25">
      <c r="A252" s="5" t="s">
        <v>727</v>
      </c>
      <c r="B252" t="s">
        <v>643</v>
      </c>
      <c r="C252" t="s">
        <v>726</v>
      </c>
    </row>
    <row r="253" spans="1:3" ht="15" customHeight="1" x14ac:dyDescent="0.25">
      <c r="A253" s="5" t="s">
        <v>730</v>
      </c>
      <c r="B253" t="s">
        <v>643</v>
      </c>
      <c r="C253" t="s">
        <v>729</v>
      </c>
    </row>
    <row r="254" spans="1:3" x14ac:dyDescent="0.25">
      <c r="A254" s="125" t="s">
        <v>732</v>
      </c>
      <c r="B254" s="7" t="s">
        <v>643</v>
      </c>
      <c r="C254" s="7" t="s">
        <v>731</v>
      </c>
    </row>
    <row r="255" spans="1:3" x14ac:dyDescent="0.25">
      <c r="A255" s="5" t="s">
        <v>734</v>
      </c>
      <c r="B255" s="12" t="s">
        <v>643</v>
      </c>
      <c r="C255" s="7" t="s">
        <v>733</v>
      </c>
    </row>
    <row r="256" spans="1:3" x14ac:dyDescent="0.25">
      <c r="A256" s="126" t="s">
        <v>736</v>
      </c>
      <c r="B256" s="12" t="s">
        <v>643</v>
      </c>
      <c r="C256" s="7" t="s">
        <v>735</v>
      </c>
    </row>
    <row r="257" spans="1:3" x14ac:dyDescent="0.25">
      <c r="A257" s="12" t="s">
        <v>740</v>
      </c>
      <c r="B257" s="12" t="s">
        <v>643</v>
      </c>
      <c r="C257" s="13" t="s">
        <v>739</v>
      </c>
    </row>
    <row r="258" spans="1:3" x14ac:dyDescent="0.25">
      <c r="A258" s="12" t="s">
        <v>742</v>
      </c>
      <c r="B258" s="12" t="s">
        <v>643</v>
      </c>
      <c r="C258" s="13" t="s">
        <v>741</v>
      </c>
    </row>
    <row r="259" spans="1:3" x14ac:dyDescent="0.25">
      <c r="A259" s="12" t="s">
        <v>746</v>
      </c>
      <c r="B259" s="12" t="s">
        <v>643</v>
      </c>
      <c r="C259" s="13" t="s">
        <v>745</v>
      </c>
    </row>
    <row r="260" spans="1:3" x14ac:dyDescent="0.25">
      <c r="A260" s="12" t="s">
        <v>748</v>
      </c>
      <c r="B260" s="12" t="s">
        <v>643</v>
      </c>
      <c r="C260" s="13" t="s">
        <v>747</v>
      </c>
    </row>
    <row r="261" spans="1:3" x14ac:dyDescent="0.25">
      <c r="A261" s="12" t="s">
        <v>750</v>
      </c>
      <c r="B261" s="12" t="s">
        <v>643</v>
      </c>
      <c r="C261" s="13" t="s">
        <v>749</v>
      </c>
    </row>
    <row r="262" spans="1:3" x14ac:dyDescent="0.25">
      <c r="A262" s="12" t="s">
        <v>754</v>
      </c>
      <c r="B262" s="12" t="s">
        <v>643</v>
      </c>
      <c r="C262" s="13" t="s">
        <v>753</v>
      </c>
    </row>
    <row r="263" spans="1:3" x14ac:dyDescent="0.25">
      <c r="A263" s="12" t="s">
        <v>756</v>
      </c>
      <c r="B263" s="12" t="s">
        <v>643</v>
      </c>
      <c r="C263" s="13" t="s">
        <v>755</v>
      </c>
    </row>
    <row r="264" spans="1:3" x14ac:dyDescent="0.25">
      <c r="A264" s="12" t="s">
        <v>758</v>
      </c>
      <c r="B264" s="12" t="s">
        <v>643</v>
      </c>
      <c r="C264" s="13" t="s">
        <v>757</v>
      </c>
    </row>
    <row r="265" spans="1:3" x14ac:dyDescent="0.25">
      <c r="A265" s="12" t="s">
        <v>760</v>
      </c>
      <c r="B265" s="12" t="s">
        <v>643</v>
      </c>
      <c r="C265" s="13" t="s">
        <v>759</v>
      </c>
    </row>
    <row r="266" spans="1:3" x14ac:dyDescent="0.25">
      <c r="A266" s="12" t="s">
        <v>764</v>
      </c>
      <c r="B266" s="12" t="s">
        <v>643</v>
      </c>
      <c r="C266" s="13" t="s">
        <v>763</v>
      </c>
    </row>
    <row r="267" spans="1:3" x14ac:dyDescent="0.25">
      <c r="A267" s="12" t="s">
        <v>766</v>
      </c>
      <c r="B267" s="12" t="s">
        <v>643</v>
      </c>
      <c r="C267" s="13" t="s">
        <v>765</v>
      </c>
    </row>
    <row r="268" spans="1:3" x14ac:dyDescent="0.25">
      <c r="A268" s="12" t="s">
        <v>768</v>
      </c>
      <c r="B268" s="12" t="s">
        <v>643</v>
      </c>
      <c r="C268" s="13" t="s">
        <v>767</v>
      </c>
    </row>
    <row r="269" spans="1:3" x14ac:dyDescent="0.25">
      <c r="A269" s="12" t="s">
        <v>770</v>
      </c>
      <c r="B269" s="12" t="s">
        <v>643</v>
      </c>
      <c r="C269" s="13" t="s">
        <v>769</v>
      </c>
    </row>
    <row r="270" spans="1:3" x14ac:dyDescent="0.25">
      <c r="A270" s="12" t="s">
        <v>772</v>
      </c>
      <c r="B270" s="12" t="s">
        <v>643</v>
      </c>
      <c r="C270" s="13" t="s">
        <v>771</v>
      </c>
    </row>
    <row r="271" spans="1:3" x14ac:dyDescent="0.25">
      <c r="A271" s="12" t="s">
        <v>774</v>
      </c>
      <c r="B271" s="12" t="s">
        <v>643</v>
      </c>
      <c r="C271" s="13" t="s">
        <v>773</v>
      </c>
    </row>
    <row r="272" spans="1:3" x14ac:dyDescent="0.25">
      <c r="A272" s="12" t="s">
        <v>776</v>
      </c>
      <c r="B272" s="12" t="s">
        <v>643</v>
      </c>
      <c r="C272" s="13" t="s">
        <v>775</v>
      </c>
    </row>
    <row r="273" spans="1:3" x14ac:dyDescent="0.25">
      <c r="A273" s="12" t="s">
        <v>744</v>
      </c>
      <c r="B273" s="12" t="s">
        <v>643</v>
      </c>
      <c r="C273" s="13" t="s">
        <v>743</v>
      </c>
    </row>
    <row r="274" spans="1:3" x14ac:dyDescent="0.25">
      <c r="A274" s="12" t="s">
        <v>752</v>
      </c>
      <c r="B274" s="12" t="s">
        <v>643</v>
      </c>
      <c r="C274" s="13" t="s">
        <v>751</v>
      </c>
    </row>
    <row r="275" spans="1:3" x14ac:dyDescent="0.25">
      <c r="A275" s="12" t="s">
        <v>738</v>
      </c>
      <c r="B275" s="12" t="s">
        <v>643</v>
      </c>
      <c r="C275" s="13" t="s">
        <v>737</v>
      </c>
    </row>
    <row r="276" spans="1:3" x14ac:dyDescent="0.25">
      <c r="A276" s="12" t="s">
        <v>783</v>
      </c>
      <c r="B276" s="12" t="s">
        <v>598</v>
      </c>
      <c r="C276" s="13" t="s">
        <v>782</v>
      </c>
    </row>
    <row r="277" spans="1:3" x14ac:dyDescent="0.25">
      <c r="A277" s="12" t="s">
        <v>607</v>
      </c>
      <c r="B277" s="12" t="s">
        <v>598</v>
      </c>
      <c r="C277" s="13" t="s">
        <v>608</v>
      </c>
    </row>
    <row r="278" spans="1:3" x14ac:dyDescent="0.25">
      <c r="A278" s="12" t="s">
        <v>787</v>
      </c>
      <c r="B278" s="12" t="s">
        <v>598</v>
      </c>
      <c r="C278" s="13" t="s">
        <v>786</v>
      </c>
    </row>
    <row r="279" spans="1:3" x14ac:dyDescent="0.25">
      <c r="A279" s="12" t="s">
        <v>603</v>
      </c>
      <c r="B279" s="12" t="s">
        <v>598</v>
      </c>
      <c r="C279" s="13" t="s">
        <v>604</v>
      </c>
    </row>
    <row r="280" spans="1:3" x14ac:dyDescent="0.25">
      <c r="A280" s="12" t="s">
        <v>601</v>
      </c>
      <c r="B280" s="12" t="s">
        <v>598</v>
      </c>
      <c r="C280" s="13" t="s">
        <v>602</v>
      </c>
    </row>
    <row r="281" spans="1:3" x14ac:dyDescent="0.25">
      <c r="A281" s="12" t="s">
        <v>789</v>
      </c>
      <c r="B281" s="12" t="s">
        <v>598</v>
      </c>
      <c r="C281" s="13" t="s">
        <v>788</v>
      </c>
    </row>
    <row r="282" spans="1:3" x14ac:dyDescent="0.25">
      <c r="A282" s="12" t="s">
        <v>1397</v>
      </c>
      <c r="B282" s="12" t="s">
        <v>1396</v>
      </c>
      <c r="C282" s="13" t="s">
        <v>1396</v>
      </c>
    </row>
    <row r="283" spans="1:3" x14ac:dyDescent="0.25">
      <c r="A283" s="12" t="s">
        <v>1427</v>
      </c>
      <c r="B283" s="12" t="s">
        <v>1426</v>
      </c>
      <c r="C283" s="13" t="s">
        <v>1425</v>
      </c>
    </row>
    <row r="284" spans="1:3" ht="15" customHeight="1" x14ac:dyDescent="0.25">
      <c r="A284" s="149" t="s">
        <v>1481</v>
      </c>
      <c r="B284" t="s">
        <v>96</v>
      </c>
      <c r="C284" t="s">
        <v>1480</v>
      </c>
    </row>
    <row r="285" spans="1:3" ht="15" customHeight="1" x14ac:dyDescent="0.25">
      <c r="A285" s="129" t="s">
        <v>1108</v>
      </c>
      <c r="B285" s="9" t="s">
        <v>16</v>
      </c>
      <c r="C285" s="130" t="s">
        <v>1107</v>
      </c>
    </row>
    <row r="286" spans="1:3" ht="15" customHeight="1" x14ac:dyDescent="0.25">
      <c r="A286" s="129" t="s">
        <v>1110</v>
      </c>
      <c r="B286" s="9" t="s">
        <v>16</v>
      </c>
      <c r="C286" s="130" t="s">
        <v>1109</v>
      </c>
    </row>
    <row r="287" spans="1:3" ht="15" customHeight="1" x14ac:dyDescent="0.25">
      <c r="A287" s="129" t="s">
        <v>1112</v>
      </c>
      <c r="B287" s="9" t="s">
        <v>16</v>
      </c>
      <c r="C287" s="130" t="s">
        <v>1111</v>
      </c>
    </row>
    <row r="288" spans="1:3" x14ac:dyDescent="0.25">
      <c r="A288" s="12" t="s">
        <v>22</v>
      </c>
      <c r="B288" s="12" t="s">
        <v>19</v>
      </c>
      <c r="C288" s="13" t="s">
        <v>23</v>
      </c>
    </row>
    <row r="289" spans="1:3" x14ac:dyDescent="0.25">
      <c r="A289" s="12" t="s">
        <v>527</v>
      </c>
      <c r="B289" s="12" t="s">
        <v>432</v>
      </c>
      <c r="C289" s="13" t="s">
        <v>528</v>
      </c>
    </row>
    <row r="290" spans="1:3" ht="15" customHeight="1" x14ac:dyDescent="0.25">
      <c r="A290" s="129" t="s">
        <v>816</v>
      </c>
      <c r="B290" s="7" t="s">
        <v>561</v>
      </c>
      <c r="C290" s="7" t="s">
        <v>815</v>
      </c>
    </row>
    <row r="291" spans="1:3" ht="15" customHeight="1" x14ac:dyDescent="0.25">
      <c r="A291" s="129" t="s">
        <v>1510</v>
      </c>
      <c r="B291" s="129" t="s">
        <v>1493</v>
      </c>
      <c r="C291" s="129" t="s">
        <v>1509</v>
      </c>
    </row>
    <row r="292" spans="1:3" x14ac:dyDescent="0.25">
      <c r="A292" s="5" t="s">
        <v>570</v>
      </c>
      <c r="B292" s="13" t="s">
        <v>561</v>
      </c>
      <c r="C292" s="13" t="s">
        <v>571</v>
      </c>
    </row>
    <row r="293" spans="1:3" ht="15" customHeight="1" x14ac:dyDescent="0.25">
      <c r="A293" s="126" t="s">
        <v>804</v>
      </c>
      <c r="B293" s="130" t="s">
        <v>561</v>
      </c>
      <c r="C293" s="130" t="s">
        <v>803</v>
      </c>
    </row>
    <row r="294" spans="1:3" ht="15" customHeight="1" x14ac:dyDescent="0.25">
      <c r="A294" s="126" t="s">
        <v>806</v>
      </c>
      <c r="B294" s="130" t="s">
        <v>561</v>
      </c>
      <c r="C294" s="130" t="s">
        <v>805</v>
      </c>
    </row>
    <row r="295" spans="1:3" ht="15" customHeight="1" x14ac:dyDescent="0.25">
      <c r="A295" s="126" t="s">
        <v>824</v>
      </c>
      <c r="B295" s="130" t="s">
        <v>561</v>
      </c>
      <c r="C295" s="130" t="s">
        <v>823</v>
      </c>
    </row>
    <row r="296" spans="1:3" x14ac:dyDescent="0.25">
      <c r="A296" s="131" t="s">
        <v>826</v>
      </c>
      <c r="B296" s="13" t="s">
        <v>561</v>
      </c>
      <c r="C296" t="s">
        <v>825</v>
      </c>
    </row>
    <row r="297" spans="1:3" x14ac:dyDescent="0.25">
      <c r="A297" s="5" t="s">
        <v>814</v>
      </c>
      <c r="B297" s="13" t="s">
        <v>561</v>
      </c>
      <c r="C297" t="s">
        <v>813</v>
      </c>
    </row>
    <row r="298" spans="1:3" x14ac:dyDescent="0.25">
      <c r="A298" s="5" t="s">
        <v>833</v>
      </c>
      <c r="B298" s="13" t="s">
        <v>561</v>
      </c>
      <c r="C298" t="s">
        <v>832</v>
      </c>
    </row>
    <row r="299" spans="1:3" x14ac:dyDescent="0.25">
      <c r="A299" s="5" t="s">
        <v>845</v>
      </c>
      <c r="B299" s="13" t="s">
        <v>561</v>
      </c>
      <c r="C299" t="s">
        <v>844</v>
      </c>
    </row>
    <row r="300" spans="1:3" x14ac:dyDescent="0.25">
      <c r="A300" s="5" t="s">
        <v>818</v>
      </c>
      <c r="B300" s="13" t="s">
        <v>561</v>
      </c>
      <c r="C300" t="s">
        <v>817</v>
      </c>
    </row>
    <row r="301" spans="1:3" x14ac:dyDescent="0.25">
      <c r="A301" s="5" t="s">
        <v>809</v>
      </c>
      <c r="B301" s="13" t="s">
        <v>561</v>
      </c>
      <c r="C301" s="13" t="s">
        <v>808</v>
      </c>
    </row>
    <row r="302" spans="1:3" x14ac:dyDescent="0.25">
      <c r="A302" s="8" t="s">
        <v>839</v>
      </c>
      <c r="B302" s="13" t="s">
        <v>561</v>
      </c>
      <c r="C302" s="13" t="s">
        <v>838</v>
      </c>
    </row>
    <row r="303" spans="1:3" x14ac:dyDescent="0.25">
      <c r="A303" s="8" t="s">
        <v>841</v>
      </c>
      <c r="B303" s="13" t="s">
        <v>561</v>
      </c>
      <c r="C303" s="13" t="s">
        <v>840</v>
      </c>
    </row>
    <row r="304" spans="1:3" x14ac:dyDescent="0.25">
      <c r="A304" s="5" t="s">
        <v>580</v>
      </c>
      <c r="B304" s="13" t="s">
        <v>561</v>
      </c>
      <c r="C304" s="13" t="s">
        <v>581</v>
      </c>
    </row>
    <row r="305" spans="1:3" x14ac:dyDescent="0.25">
      <c r="A305" s="5" t="s">
        <v>559</v>
      </c>
      <c r="B305" s="13" t="s">
        <v>561</v>
      </c>
      <c r="C305" s="13" t="s">
        <v>560</v>
      </c>
    </row>
    <row r="306" spans="1:3" x14ac:dyDescent="0.25">
      <c r="A306" s="12" t="s">
        <v>574</v>
      </c>
      <c r="B306" s="13" t="s">
        <v>561</v>
      </c>
      <c r="C306" s="13" t="s">
        <v>575</v>
      </c>
    </row>
    <row r="307" spans="1:3" x14ac:dyDescent="0.25">
      <c r="A307" s="12" t="s">
        <v>835</v>
      </c>
      <c r="B307" s="13" t="s">
        <v>561</v>
      </c>
      <c r="C307" s="13" t="s">
        <v>834</v>
      </c>
    </row>
    <row r="308" spans="1:3" x14ac:dyDescent="0.25">
      <c r="A308" s="12" t="s">
        <v>562</v>
      </c>
      <c r="B308" s="13" t="s">
        <v>561</v>
      </c>
      <c r="C308" s="13" t="s">
        <v>563</v>
      </c>
    </row>
    <row r="309" spans="1:3" x14ac:dyDescent="0.25">
      <c r="A309" s="12" t="s">
        <v>811</v>
      </c>
      <c r="B309" s="12" t="s">
        <v>561</v>
      </c>
      <c r="C309" s="13" t="s">
        <v>810</v>
      </c>
    </row>
    <row r="310" spans="1:3" x14ac:dyDescent="0.25">
      <c r="A310" s="12" t="s">
        <v>564</v>
      </c>
      <c r="B310" s="12" t="s">
        <v>561</v>
      </c>
      <c r="C310" s="13" t="s">
        <v>565</v>
      </c>
    </row>
    <row r="311" spans="1:3" x14ac:dyDescent="0.25">
      <c r="A311" s="12" t="s">
        <v>843</v>
      </c>
      <c r="B311" s="12" t="s">
        <v>561</v>
      </c>
      <c r="C311" s="13" t="s">
        <v>2506</v>
      </c>
    </row>
    <row r="312" spans="1:3" x14ac:dyDescent="0.25">
      <c r="A312" s="10" t="s">
        <v>1732</v>
      </c>
      <c r="B312" s="12" t="s">
        <v>655</v>
      </c>
      <c r="C312" s="13" t="s">
        <v>1731</v>
      </c>
    </row>
    <row r="313" spans="1:3" x14ac:dyDescent="0.25">
      <c r="A313" s="12" t="s">
        <v>812</v>
      </c>
      <c r="B313" s="12" t="s">
        <v>561</v>
      </c>
      <c r="C313" s="13" t="s">
        <v>567</v>
      </c>
    </row>
    <row r="314" spans="1:3" x14ac:dyDescent="0.25">
      <c r="A314" s="11" t="s">
        <v>821</v>
      </c>
      <c r="B314" s="12" t="s">
        <v>561</v>
      </c>
      <c r="C314" t="s">
        <v>820</v>
      </c>
    </row>
    <row r="315" spans="1:3" x14ac:dyDescent="0.25">
      <c r="A315" s="11" t="s">
        <v>572</v>
      </c>
      <c r="B315" s="12" t="s">
        <v>561</v>
      </c>
      <c r="C315" t="s">
        <v>573</v>
      </c>
    </row>
    <row r="316" spans="1:3" x14ac:dyDescent="0.25">
      <c r="A316" s="12" t="s">
        <v>831</v>
      </c>
      <c r="B316" s="12" t="s">
        <v>561</v>
      </c>
      <c r="C316" s="13" t="s">
        <v>830</v>
      </c>
    </row>
    <row r="317" spans="1:3" x14ac:dyDescent="0.25">
      <c r="A317" s="11" t="s">
        <v>1424</v>
      </c>
      <c r="B317" s="12" t="s">
        <v>1423</v>
      </c>
      <c r="C317" t="s">
        <v>1423</v>
      </c>
    </row>
    <row r="318" spans="1:3" x14ac:dyDescent="0.25">
      <c r="A318" s="11" t="s">
        <v>1447</v>
      </c>
      <c r="B318" s="12" t="s">
        <v>649</v>
      </c>
      <c r="C318" t="s">
        <v>649</v>
      </c>
    </row>
    <row r="319" spans="1:3" x14ac:dyDescent="0.25">
      <c r="A319" s="5" t="s">
        <v>533</v>
      </c>
      <c r="B319" s="12" t="s">
        <v>432</v>
      </c>
      <c r="C319" t="s">
        <v>534</v>
      </c>
    </row>
    <row r="320" spans="1:3" x14ac:dyDescent="0.25">
      <c r="A320" s="5" t="s">
        <v>487</v>
      </c>
      <c r="B320" s="12" t="s">
        <v>432</v>
      </c>
      <c r="C320" t="s">
        <v>488</v>
      </c>
    </row>
    <row r="321" spans="1:3" x14ac:dyDescent="0.25">
      <c r="A321" s="5" t="s">
        <v>525</v>
      </c>
      <c r="B321" s="12" t="s">
        <v>432</v>
      </c>
      <c r="C321" t="s">
        <v>526</v>
      </c>
    </row>
    <row r="322" spans="1:3" x14ac:dyDescent="0.25">
      <c r="A322" s="15" t="s">
        <v>443</v>
      </c>
      <c r="B322" s="12" t="s">
        <v>432</v>
      </c>
      <c r="C322" s="13" t="s">
        <v>444</v>
      </c>
    </row>
    <row r="323" spans="1:3" x14ac:dyDescent="0.25">
      <c r="A323" s="3" t="s">
        <v>537</v>
      </c>
      <c r="B323" s="12" t="s">
        <v>432</v>
      </c>
      <c r="C323" s="13" t="s">
        <v>538</v>
      </c>
    </row>
    <row r="324" spans="1:3" x14ac:dyDescent="0.25">
      <c r="A324" s="5" t="s">
        <v>521</v>
      </c>
      <c r="B324" s="12" t="s">
        <v>432</v>
      </c>
      <c r="C324" s="7" t="s">
        <v>522</v>
      </c>
    </row>
    <row r="325" spans="1:3" x14ac:dyDescent="0.25">
      <c r="A325" s="12" t="s">
        <v>491</v>
      </c>
      <c r="B325" s="12" t="s">
        <v>432</v>
      </c>
      <c r="C325" s="13" t="s">
        <v>492</v>
      </c>
    </row>
    <row r="326" spans="1:3" x14ac:dyDescent="0.25">
      <c r="A326" s="12" t="s">
        <v>465</v>
      </c>
      <c r="B326" s="12" t="s">
        <v>432</v>
      </c>
      <c r="C326" s="13" t="s">
        <v>466</v>
      </c>
    </row>
    <row r="327" spans="1:3" x14ac:dyDescent="0.25">
      <c r="A327" s="12" t="s">
        <v>463</v>
      </c>
      <c r="B327" s="12" t="s">
        <v>432</v>
      </c>
      <c r="C327" s="13" t="s">
        <v>464</v>
      </c>
    </row>
    <row r="328" spans="1:3" x14ac:dyDescent="0.25">
      <c r="A328" s="12" t="s">
        <v>517</v>
      </c>
      <c r="B328" s="12" t="s">
        <v>432</v>
      </c>
      <c r="C328" s="13" t="s">
        <v>518</v>
      </c>
    </row>
    <row r="329" spans="1:3" x14ac:dyDescent="0.25">
      <c r="A329" s="12" t="s">
        <v>437</v>
      </c>
      <c r="B329" s="12" t="s">
        <v>432</v>
      </c>
      <c r="C329" s="13" t="s">
        <v>438</v>
      </c>
    </row>
    <row r="330" spans="1:3" x14ac:dyDescent="0.25">
      <c r="A330" s="12" t="s">
        <v>445</v>
      </c>
      <c r="B330" s="12" t="s">
        <v>432</v>
      </c>
      <c r="C330" s="13" t="s">
        <v>446</v>
      </c>
    </row>
    <row r="331" spans="1:3" x14ac:dyDescent="0.25">
      <c r="A331" s="12" t="s">
        <v>543</v>
      </c>
      <c r="B331" s="12" t="s">
        <v>432</v>
      </c>
      <c r="C331" s="13" t="s">
        <v>544</v>
      </c>
    </row>
    <row r="332" spans="1:3" x14ac:dyDescent="0.25">
      <c r="A332" s="12" t="s">
        <v>489</v>
      </c>
      <c r="B332" s="12" t="s">
        <v>432</v>
      </c>
      <c r="C332" s="13" t="s">
        <v>490</v>
      </c>
    </row>
    <row r="333" spans="1:3" x14ac:dyDescent="0.25">
      <c r="A333" s="149" t="s">
        <v>876</v>
      </c>
      <c r="B333" s="12" t="s">
        <v>432</v>
      </c>
      <c r="C333" s="7" t="s">
        <v>875</v>
      </c>
    </row>
    <row r="334" spans="1:3" x14ac:dyDescent="0.25">
      <c r="A334" s="12" t="s">
        <v>485</v>
      </c>
      <c r="B334" s="12" t="s">
        <v>432</v>
      </c>
      <c r="C334" s="13" t="s">
        <v>486</v>
      </c>
    </row>
    <row r="335" spans="1:3" x14ac:dyDescent="0.25">
      <c r="A335" s="184" t="s">
        <v>551</v>
      </c>
      <c r="B335" s="12" t="s">
        <v>432</v>
      </c>
      <c r="C335" t="s">
        <v>552</v>
      </c>
    </row>
    <row r="336" spans="1:3" ht="15" customHeight="1" x14ac:dyDescent="0.25">
      <c r="A336" s="184" t="s">
        <v>1094</v>
      </c>
      <c r="B336" s="9" t="s">
        <v>16</v>
      </c>
      <c r="C336" s="130" t="s">
        <v>1093</v>
      </c>
    </row>
    <row r="337" spans="1:3" ht="15" customHeight="1" x14ac:dyDescent="0.25">
      <c r="A337" s="184" t="s">
        <v>1096</v>
      </c>
      <c r="B337" s="9" t="s">
        <v>16</v>
      </c>
      <c r="C337" s="130" t="s">
        <v>1095</v>
      </c>
    </row>
    <row r="338" spans="1:3" ht="15" customHeight="1" x14ac:dyDescent="0.25">
      <c r="A338" s="184" t="s">
        <v>332</v>
      </c>
      <c r="B338" s="9" t="s">
        <v>16</v>
      </c>
      <c r="C338" s="130" t="s">
        <v>333</v>
      </c>
    </row>
    <row r="339" spans="1:3" ht="15" customHeight="1" x14ac:dyDescent="0.25">
      <c r="A339" s="184" t="s">
        <v>1098</v>
      </c>
      <c r="B339" s="9" t="s">
        <v>16</v>
      </c>
      <c r="C339" s="130" t="s">
        <v>1097</v>
      </c>
    </row>
    <row r="340" spans="1:3" ht="15" customHeight="1" x14ac:dyDescent="0.25">
      <c r="A340" s="184" t="s">
        <v>1100</v>
      </c>
      <c r="B340" s="9" t="s">
        <v>16</v>
      </c>
      <c r="C340" s="130" t="s">
        <v>1099</v>
      </c>
    </row>
    <row r="341" spans="1:3" ht="15" customHeight="1" x14ac:dyDescent="0.25">
      <c r="A341" s="184" t="s">
        <v>1102</v>
      </c>
      <c r="B341" s="9" t="s">
        <v>16</v>
      </c>
      <c r="C341" s="130" t="s">
        <v>1101</v>
      </c>
    </row>
    <row r="342" spans="1:3" ht="15" customHeight="1" x14ac:dyDescent="0.25">
      <c r="A342" s="184" t="s">
        <v>330</v>
      </c>
      <c r="B342" s="9" t="s">
        <v>16</v>
      </c>
      <c r="C342" s="130" t="s">
        <v>331</v>
      </c>
    </row>
    <row r="343" spans="1:3" ht="15" customHeight="1" x14ac:dyDescent="0.25">
      <c r="A343" s="184" t="s">
        <v>1104</v>
      </c>
      <c r="B343" s="9" t="s">
        <v>16</v>
      </c>
      <c r="C343" s="130" t="s">
        <v>1129</v>
      </c>
    </row>
    <row r="344" spans="1:3" ht="15" customHeight="1" x14ac:dyDescent="0.25">
      <c r="A344" s="184" t="s">
        <v>1106</v>
      </c>
      <c r="B344" s="9" t="s">
        <v>16</v>
      </c>
      <c r="C344" s="130" t="s">
        <v>1105</v>
      </c>
    </row>
    <row r="345" spans="1:3" ht="15" customHeight="1" x14ac:dyDescent="0.25">
      <c r="A345" s="184" t="s">
        <v>1242</v>
      </c>
      <c r="B345" s="9" t="s">
        <v>138</v>
      </c>
      <c r="C345" t="s">
        <v>1241</v>
      </c>
    </row>
    <row r="346" spans="1:3" ht="15" customHeight="1" x14ac:dyDescent="0.25">
      <c r="A346" s="184" t="s">
        <v>1244</v>
      </c>
      <c r="B346" s="9" t="s">
        <v>138</v>
      </c>
      <c r="C346" t="s">
        <v>1243</v>
      </c>
    </row>
    <row r="347" spans="1:3" ht="15" customHeight="1" x14ac:dyDescent="0.25">
      <c r="A347" s="184" t="s">
        <v>391</v>
      </c>
      <c r="B347" t="s">
        <v>16</v>
      </c>
      <c r="C347" t="s">
        <v>392</v>
      </c>
    </row>
    <row r="348" spans="1:3" ht="15" customHeight="1" x14ac:dyDescent="0.25">
      <c r="A348" s="184" t="s">
        <v>1084</v>
      </c>
      <c r="B348" t="s">
        <v>16</v>
      </c>
      <c r="C348" t="s">
        <v>1083</v>
      </c>
    </row>
    <row r="349" spans="1:3" ht="15" customHeight="1" x14ac:dyDescent="0.25">
      <c r="A349" s="184" t="s">
        <v>132</v>
      </c>
      <c r="B349" s="9" t="s">
        <v>131</v>
      </c>
      <c r="C349" t="s">
        <v>133</v>
      </c>
    </row>
    <row r="350" spans="1:3" ht="15" customHeight="1" x14ac:dyDescent="0.25">
      <c r="A350" s="129" t="s">
        <v>1402</v>
      </c>
      <c r="B350" t="s">
        <v>107</v>
      </c>
      <c r="C350" t="s">
        <v>1401</v>
      </c>
    </row>
    <row r="351" spans="1:3" ht="15" customHeight="1" x14ac:dyDescent="0.25">
      <c r="A351" s="129" t="s">
        <v>949</v>
      </c>
      <c r="B351" t="s">
        <v>16</v>
      </c>
      <c r="C351" t="s">
        <v>948</v>
      </c>
    </row>
    <row r="352" spans="1:3" ht="15" customHeight="1" x14ac:dyDescent="0.25">
      <c r="A352" s="129" t="s">
        <v>951</v>
      </c>
      <c r="B352" t="s">
        <v>16</v>
      </c>
      <c r="C352" t="s">
        <v>950</v>
      </c>
    </row>
    <row r="353" spans="1:3" ht="15" customHeight="1" x14ac:dyDescent="0.25">
      <c r="A353" s="126" t="s">
        <v>941</v>
      </c>
      <c r="B353" t="s">
        <v>16</v>
      </c>
      <c r="C353" t="s">
        <v>940</v>
      </c>
    </row>
    <row r="354" spans="1:3" ht="15" customHeight="1" x14ac:dyDescent="0.25">
      <c r="A354" s="126" t="s">
        <v>383</v>
      </c>
      <c r="B354" t="s">
        <v>16</v>
      </c>
      <c r="C354" t="s">
        <v>384</v>
      </c>
    </row>
    <row r="355" spans="1:3" ht="15" customHeight="1" x14ac:dyDescent="0.25">
      <c r="A355" s="126" t="s">
        <v>348</v>
      </c>
      <c r="B355" t="s">
        <v>16</v>
      </c>
      <c r="C355" t="s">
        <v>349</v>
      </c>
    </row>
    <row r="356" spans="1:3" ht="15" customHeight="1" x14ac:dyDescent="0.25">
      <c r="A356" s="126" t="s">
        <v>125</v>
      </c>
      <c r="B356" t="s">
        <v>126</v>
      </c>
      <c r="C356" t="s">
        <v>126</v>
      </c>
    </row>
    <row r="357" spans="1:3" ht="15" customHeight="1" x14ac:dyDescent="0.25">
      <c r="A357" s="220" t="s">
        <v>955</v>
      </c>
      <c r="B357" t="s">
        <v>16</v>
      </c>
      <c r="C357" t="s">
        <v>954</v>
      </c>
    </row>
    <row r="358" spans="1:3" ht="15" customHeight="1" x14ac:dyDescent="0.25">
      <c r="A358" s="220" t="s">
        <v>957</v>
      </c>
      <c r="B358" t="s">
        <v>16</v>
      </c>
      <c r="C358" t="s">
        <v>956</v>
      </c>
    </row>
    <row r="359" spans="1:3" ht="15" customHeight="1" x14ac:dyDescent="0.25">
      <c r="A359" s="129" t="s">
        <v>953</v>
      </c>
      <c r="B359" t="s">
        <v>16</v>
      </c>
      <c r="C359" t="s">
        <v>952</v>
      </c>
    </row>
    <row r="360" spans="1:3" ht="15" customHeight="1" x14ac:dyDescent="0.25">
      <c r="A360" s="129" t="s">
        <v>958</v>
      </c>
      <c r="B360" t="s">
        <v>16</v>
      </c>
      <c r="C360" t="s">
        <v>364</v>
      </c>
    </row>
    <row r="361" spans="1:3" ht="15" customHeight="1" x14ac:dyDescent="0.25">
      <c r="A361" s="129" t="s">
        <v>960</v>
      </c>
      <c r="B361" t="s">
        <v>16</v>
      </c>
      <c r="C361" t="s">
        <v>959</v>
      </c>
    </row>
    <row r="362" spans="1:3" ht="15" customHeight="1" x14ac:dyDescent="0.25">
      <c r="A362" s="129" t="s">
        <v>401</v>
      </c>
      <c r="B362" t="s">
        <v>16</v>
      </c>
      <c r="C362" t="s">
        <v>402</v>
      </c>
    </row>
    <row r="363" spans="1:3" ht="15" customHeight="1" x14ac:dyDescent="0.25">
      <c r="A363" s="129" t="s">
        <v>962</v>
      </c>
      <c r="B363" t="s">
        <v>16</v>
      </c>
      <c r="C363" t="s">
        <v>961</v>
      </c>
    </row>
    <row r="364" spans="1:3" ht="15" customHeight="1" x14ac:dyDescent="0.25">
      <c r="A364" s="129" t="s">
        <v>964</v>
      </c>
      <c r="B364" t="s">
        <v>16</v>
      </c>
      <c r="C364" t="s">
        <v>963</v>
      </c>
    </row>
    <row r="365" spans="1:3" ht="15" customHeight="1" x14ac:dyDescent="0.25">
      <c r="A365" s="129" t="s">
        <v>966</v>
      </c>
      <c r="B365" t="s">
        <v>16</v>
      </c>
      <c r="C365" t="s">
        <v>965</v>
      </c>
    </row>
    <row r="366" spans="1:3" ht="15" customHeight="1" x14ac:dyDescent="0.25">
      <c r="A366" s="129" t="s">
        <v>968</v>
      </c>
      <c r="B366" t="s">
        <v>16</v>
      </c>
      <c r="C366" t="s">
        <v>967</v>
      </c>
    </row>
    <row r="367" spans="1:3" ht="15" customHeight="1" x14ac:dyDescent="0.25">
      <c r="A367" s="129" t="s">
        <v>405</v>
      </c>
      <c r="B367" t="s">
        <v>16</v>
      </c>
      <c r="C367" t="s">
        <v>406</v>
      </c>
    </row>
    <row r="368" spans="1:3" ht="15" customHeight="1" x14ac:dyDescent="0.25">
      <c r="A368" s="129" t="s">
        <v>933</v>
      </c>
      <c r="B368" t="s">
        <v>16</v>
      </c>
      <c r="C368" t="s">
        <v>932</v>
      </c>
    </row>
    <row r="369" spans="1:3" ht="15" customHeight="1" x14ac:dyDescent="0.25">
      <c r="A369" s="129" t="s">
        <v>935</v>
      </c>
      <c r="B369" t="s">
        <v>16</v>
      </c>
      <c r="C369" t="s">
        <v>934</v>
      </c>
    </row>
    <row r="370" spans="1:3" ht="15" customHeight="1" x14ac:dyDescent="0.25">
      <c r="A370" s="129" t="s">
        <v>937</v>
      </c>
      <c r="B370" t="s">
        <v>16</v>
      </c>
      <c r="C370" t="s">
        <v>936</v>
      </c>
    </row>
    <row r="371" spans="1:3" ht="15" customHeight="1" x14ac:dyDescent="0.25">
      <c r="A371" s="129" t="s">
        <v>939</v>
      </c>
      <c r="B371" t="s">
        <v>16</v>
      </c>
      <c r="C371" t="s">
        <v>938</v>
      </c>
    </row>
    <row r="372" spans="1:3" ht="15" customHeight="1" x14ac:dyDescent="0.25">
      <c r="A372" s="184" t="s">
        <v>1086</v>
      </c>
      <c r="B372" t="s">
        <v>16</v>
      </c>
      <c r="C372" t="s">
        <v>1085</v>
      </c>
    </row>
    <row r="373" spans="1:3" ht="15" customHeight="1" x14ac:dyDescent="0.25">
      <c r="A373" s="184" t="s">
        <v>395</v>
      </c>
      <c r="B373" t="s">
        <v>16</v>
      </c>
      <c r="C373" t="s">
        <v>396</v>
      </c>
    </row>
    <row r="374" spans="1:3" ht="15" customHeight="1" x14ac:dyDescent="0.25">
      <c r="A374" s="184" t="s">
        <v>1088</v>
      </c>
      <c r="B374" t="s">
        <v>16</v>
      </c>
      <c r="C374" t="s">
        <v>1087</v>
      </c>
    </row>
    <row r="375" spans="1:3" ht="15" customHeight="1" x14ac:dyDescent="0.25">
      <c r="A375" s="184" t="s">
        <v>233</v>
      </c>
      <c r="B375" s="9" t="s">
        <v>138</v>
      </c>
      <c r="C375" t="s">
        <v>234</v>
      </c>
    </row>
    <row r="376" spans="1:3" ht="15" customHeight="1" x14ac:dyDescent="0.25">
      <c r="A376" s="126" t="s">
        <v>477</v>
      </c>
      <c r="B376" s="9" t="s">
        <v>432</v>
      </c>
      <c r="C376" s="7" t="s">
        <v>478</v>
      </c>
    </row>
    <row r="377" spans="1:3" ht="15" customHeight="1" x14ac:dyDescent="0.25">
      <c r="A377" s="126" t="s">
        <v>114</v>
      </c>
      <c r="B377" s="9" t="s">
        <v>107</v>
      </c>
      <c r="C377" s="126" t="s">
        <v>115</v>
      </c>
    </row>
    <row r="378" spans="1:3" x14ac:dyDescent="0.25">
      <c r="A378" s="12" t="s">
        <v>483</v>
      </c>
      <c r="B378" s="12" t="s">
        <v>432</v>
      </c>
      <c r="C378" s="13" t="s">
        <v>484</v>
      </c>
    </row>
    <row r="379" spans="1:3" x14ac:dyDescent="0.25">
      <c r="A379" s="12" t="s">
        <v>509</v>
      </c>
      <c r="B379" s="12" t="s">
        <v>432</v>
      </c>
      <c r="C379" s="13" t="s">
        <v>510</v>
      </c>
    </row>
    <row r="380" spans="1:3" x14ac:dyDescent="0.25">
      <c r="A380" s="12" t="s">
        <v>519</v>
      </c>
      <c r="B380" s="12" t="s">
        <v>432</v>
      </c>
      <c r="C380" s="13" t="s">
        <v>520</v>
      </c>
    </row>
    <row r="381" spans="1:3" x14ac:dyDescent="0.25">
      <c r="A381" s="12" t="s">
        <v>535</v>
      </c>
      <c r="B381" s="12" t="s">
        <v>432</v>
      </c>
      <c r="C381" s="13" t="s">
        <v>536</v>
      </c>
    </row>
    <row r="382" spans="1:3" x14ac:dyDescent="0.25">
      <c r="A382" s="12" t="s">
        <v>515</v>
      </c>
      <c r="B382" s="12" t="s">
        <v>432</v>
      </c>
      <c r="C382" s="13" t="s">
        <v>516</v>
      </c>
    </row>
    <row r="383" spans="1:3" x14ac:dyDescent="0.25">
      <c r="A383" s="12" t="s">
        <v>869</v>
      </c>
      <c r="B383" s="12" t="s">
        <v>432</v>
      </c>
      <c r="C383" s="13" t="s">
        <v>868</v>
      </c>
    </row>
    <row r="384" spans="1:3" x14ac:dyDescent="0.25">
      <c r="A384" s="12" t="s">
        <v>549</v>
      </c>
      <c r="B384" s="12" t="s">
        <v>432</v>
      </c>
      <c r="C384" s="13" t="s">
        <v>550</v>
      </c>
    </row>
    <row r="385" spans="1:3" x14ac:dyDescent="0.25">
      <c r="A385" s="129" t="s">
        <v>553</v>
      </c>
      <c r="B385" s="12" t="s">
        <v>432</v>
      </c>
      <c r="C385" t="s">
        <v>554</v>
      </c>
    </row>
    <row r="386" spans="1:3" x14ac:dyDescent="0.25">
      <c r="A386" s="12" t="s">
        <v>511</v>
      </c>
      <c r="B386" s="12" t="s">
        <v>432</v>
      </c>
      <c r="C386" s="13" t="s">
        <v>512</v>
      </c>
    </row>
    <row r="387" spans="1:3" x14ac:dyDescent="0.25">
      <c r="A387" s="12" t="s">
        <v>545</v>
      </c>
      <c r="B387" s="12" t="s">
        <v>432</v>
      </c>
      <c r="C387" s="13" t="s">
        <v>546</v>
      </c>
    </row>
    <row r="388" spans="1:3" x14ac:dyDescent="0.25">
      <c r="A388" s="12" t="s">
        <v>430</v>
      </c>
      <c r="B388" s="12" t="s">
        <v>432</v>
      </c>
      <c r="C388" s="13" t="s">
        <v>431</v>
      </c>
    </row>
    <row r="389" spans="1:3" x14ac:dyDescent="0.25">
      <c r="A389" s="12" t="s">
        <v>459</v>
      </c>
      <c r="B389" s="12" t="s">
        <v>432</v>
      </c>
      <c r="C389" s="13" t="s">
        <v>460</v>
      </c>
    </row>
    <row r="390" spans="1:3" x14ac:dyDescent="0.25">
      <c r="A390" s="12" t="s">
        <v>453</v>
      </c>
      <c r="B390" s="12" t="s">
        <v>432</v>
      </c>
      <c r="C390" s="13" t="s">
        <v>454</v>
      </c>
    </row>
    <row r="391" spans="1:3" x14ac:dyDescent="0.25">
      <c r="A391" s="12" t="s">
        <v>541</v>
      </c>
      <c r="B391" s="12" t="s">
        <v>432</v>
      </c>
      <c r="C391" s="13" t="s">
        <v>542</v>
      </c>
    </row>
    <row r="392" spans="1:3" x14ac:dyDescent="0.25">
      <c r="A392" s="12" t="s">
        <v>873</v>
      </c>
      <c r="B392" s="12" t="s">
        <v>432</v>
      </c>
      <c r="C392" s="13" t="s">
        <v>872</v>
      </c>
    </row>
    <row r="393" spans="1:3" x14ac:dyDescent="0.25">
      <c r="A393" s="12" t="s">
        <v>461</v>
      </c>
      <c r="B393" s="12" t="s">
        <v>432</v>
      </c>
      <c r="C393" s="13" t="s">
        <v>462</v>
      </c>
    </row>
    <row r="394" spans="1:3" x14ac:dyDescent="0.25">
      <c r="A394" s="12" t="s">
        <v>547</v>
      </c>
      <c r="B394" s="12" t="s">
        <v>432</v>
      </c>
      <c r="C394" s="13" t="s">
        <v>548</v>
      </c>
    </row>
    <row r="395" spans="1:3" x14ac:dyDescent="0.25">
      <c r="A395" s="5" t="s">
        <v>493</v>
      </c>
      <c r="B395" s="12" t="s">
        <v>432</v>
      </c>
      <c r="C395" s="13" t="s">
        <v>494</v>
      </c>
    </row>
    <row r="396" spans="1:3" x14ac:dyDescent="0.25">
      <c r="A396" s="12" t="s">
        <v>439</v>
      </c>
      <c r="B396" s="12" t="s">
        <v>432</v>
      </c>
      <c r="C396" s="13" t="s">
        <v>440</v>
      </c>
    </row>
    <row r="397" spans="1:3" x14ac:dyDescent="0.25">
      <c r="A397" s="12" t="s">
        <v>457</v>
      </c>
      <c r="B397" s="12" t="s">
        <v>432</v>
      </c>
      <c r="C397" s="13" t="s">
        <v>458</v>
      </c>
    </row>
    <row r="398" spans="1:3" x14ac:dyDescent="0.25">
      <c r="A398" s="12" t="s">
        <v>505</v>
      </c>
      <c r="B398" s="12" t="s">
        <v>432</v>
      </c>
      <c r="C398" s="13" t="s">
        <v>506</v>
      </c>
    </row>
    <row r="399" spans="1:3" x14ac:dyDescent="0.25">
      <c r="A399" s="12" t="s">
        <v>433</v>
      </c>
      <c r="B399" s="12" t="s">
        <v>432</v>
      </c>
      <c r="C399" s="13" t="s">
        <v>434</v>
      </c>
    </row>
    <row r="400" spans="1:3" x14ac:dyDescent="0.25">
      <c r="A400" s="129" t="s">
        <v>479</v>
      </c>
      <c r="B400" s="12" t="s">
        <v>432</v>
      </c>
      <c r="C400" s="13" t="s">
        <v>480</v>
      </c>
    </row>
    <row r="401" spans="1:3" x14ac:dyDescent="0.25">
      <c r="A401" s="12" t="s">
        <v>469</v>
      </c>
      <c r="B401" s="12" t="s">
        <v>432</v>
      </c>
      <c r="C401" s="13" t="s">
        <v>470</v>
      </c>
    </row>
    <row r="402" spans="1:3" x14ac:dyDescent="0.25">
      <c r="A402" s="12" t="s">
        <v>507</v>
      </c>
      <c r="B402" s="12" t="s">
        <v>432</v>
      </c>
      <c r="C402" s="13" t="s">
        <v>508</v>
      </c>
    </row>
    <row r="403" spans="1:3" x14ac:dyDescent="0.25">
      <c r="A403" s="12" t="s">
        <v>441</v>
      </c>
      <c r="B403" s="12" t="s">
        <v>432</v>
      </c>
      <c r="C403" s="13" t="s">
        <v>442</v>
      </c>
    </row>
    <row r="404" spans="1:3" x14ac:dyDescent="0.25">
      <c r="A404" s="12" t="s">
        <v>557</v>
      </c>
      <c r="B404" s="12" t="s">
        <v>432</v>
      </c>
      <c r="C404" s="13" t="s">
        <v>558</v>
      </c>
    </row>
    <row r="405" spans="1:3" x14ac:dyDescent="0.25">
      <c r="A405" s="12" t="s">
        <v>435</v>
      </c>
      <c r="B405" s="12" t="s">
        <v>432</v>
      </c>
      <c r="C405" s="13" t="s">
        <v>436</v>
      </c>
    </row>
    <row r="406" spans="1:3" x14ac:dyDescent="0.25">
      <c r="A406" s="12" t="s">
        <v>539</v>
      </c>
      <c r="B406" s="12" t="s">
        <v>432</v>
      </c>
      <c r="C406" s="13" t="s">
        <v>540</v>
      </c>
    </row>
    <row r="407" spans="1:3" x14ac:dyDescent="0.25">
      <c r="A407" s="12" t="s">
        <v>513</v>
      </c>
      <c r="B407" s="12" t="s">
        <v>432</v>
      </c>
      <c r="C407" s="13" t="s">
        <v>514</v>
      </c>
    </row>
    <row r="408" spans="1:3" x14ac:dyDescent="0.25">
      <c r="A408" s="12" t="s">
        <v>467</v>
      </c>
      <c r="B408" s="12" t="s">
        <v>432</v>
      </c>
      <c r="C408" s="13" t="s">
        <v>468</v>
      </c>
    </row>
    <row r="409" spans="1:3" x14ac:dyDescent="0.25">
      <c r="A409" s="12" t="s">
        <v>455</v>
      </c>
      <c r="B409" s="12" t="s">
        <v>432</v>
      </c>
      <c r="C409" s="13" t="s">
        <v>456</v>
      </c>
    </row>
    <row r="410" spans="1:3" x14ac:dyDescent="0.25">
      <c r="A410" s="12" t="s">
        <v>471</v>
      </c>
      <c r="B410" s="12" t="s">
        <v>432</v>
      </c>
      <c r="C410" s="13" t="s">
        <v>472</v>
      </c>
    </row>
    <row r="411" spans="1:3" x14ac:dyDescent="0.25">
      <c r="A411" s="12" t="s">
        <v>1420</v>
      </c>
      <c r="B411" s="12" t="s">
        <v>1419</v>
      </c>
      <c r="C411" s="13" t="s">
        <v>1418</v>
      </c>
    </row>
    <row r="412" spans="1:3" x14ac:dyDescent="0.25">
      <c r="A412" s="12" t="s">
        <v>1422</v>
      </c>
      <c r="B412" s="12" t="s">
        <v>1419</v>
      </c>
      <c r="C412" s="13" t="s">
        <v>1421</v>
      </c>
    </row>
    <row r="413" spans="1:3" x14ac:dyDescent="0.25">
      <c r="A413" s="12" t="s">
        <v>1429</v>
      </c>
      <c r="B413" s="12" t="s">
        <v>1426</v>
      </c>
      <c r="C413" s="13" t="s">
        <v>1428</v>
      </c>
    </row>
    <row r="414" spans="1:3" ht="15" customHeight="1" x14ac:dyDescent="0.25">
      <c r="A414" s="5">
        <v>4317</v>
      </c>
      <c r="B414" s="9" t="s">
        <v>432</v>
      </c>
      <c r="C414" s="7" t="s">
        <v>888</v>
      </c>
    </row>
    <row r="415" spans="1:3" ht="15" customHeight="1" x14ac:dyDescent="0.25">
      <c r="A415" s="5" t="s">
        <v>2299</v>
      </c>
      <c r="B415" s="9" t="s">
        <v>2298</v>
      </c>
      <c r="C415" s="7" t="s">
        <v>2297</v>
      </c>
    </row>
    <row r="416" spans="1:3" ht="15" customHeight="1" x14ac:dyDescent="0.25">
      <c r="A416" s="5" t="s">
        <v>892</v>
      </c>
      <c r="B416" s="7" t="s">
        <v>891</v>
      </c>
      <c r="C416" s="7" t="s">
        <v>890</v>
      </c>
    </row>
    <row r="417" spans="1:3" ht="15" customHeight="1" x14ac:dyDescent="0.25">
      <c r="A417" s="5" t="s">
        <v>894</v>
      </c>
      <c r="B417" s="7" t="s">
        <v>891</v>
      </c>
      <c r="C417" s="7" t="s">
        <v>893</v>
      </c>
    </row>
    <row r="418" spans="1:3" ht="15" customHeight="1" x14ac:dyDescent="0.25">
      <c r="A418" s="132" t="s">
        <v>896</v>
      </c>
      <c r="B418" s="7" t="s">
        <v>891</v>
      </c>
      <c r="C418" s="7" t="s">
        <v>895</v>
      </c>
    </row>
    <row r="419" spans="1:3" x14ac:dyDescent="0.25">
      <c r="A419" s="12" t="s">
        <v>898</v>
      </c>
      <c r="B419" s="12" t="s">
        <v>891</v>
      </c>
      <c r="C419" s="13" t="s">
        <v>897</v>
      </c>
    </row>
    <row r="420" spans="1:3" x14ac:dyDescent="0.25">
      <c r="A420" s="126" t="s">
        <v>900</v>
      </c>
      <c r="B420" s="13" t="s">
        <v>891</v>
      </c>
      <c r="C420" s="126" t="s">
        <v>899</v>
      </c>
    </row>
    <row r="421" spans="1:3" x14ac:dyDescent="0.25">
      <c r="A421" s="12" t="s">
        <v>1266</v>
      </c>
      <c r="B421" s="12" t="s">
        <v>138</v>
      </c>
      <c r="C421" s="13" t="s">
        <v>1265</v>
      </c>
    </row>
    <row r="422" spans="1:3" x14ac:dyDescent="0.25">
      <c r="A422" s="12" t="s">
        <v>2507</v>
      </c>
      <c r="B422" s="12" t="s">
        <v>138</v>
      </c>
      <c r="C422" s="13" t="s">
        <v>2508</v>
      </c>
    </row>
    <row r="423" spans="1:3" x14ac:dyDescent="0.25">
      <c r="A423" s="12" t="s">
        <v>1339</v>
      </c>
      <c r="B423" s="12" t="s">
        <v>138</v>
      </c>
      <c r="C423" s="13" t="s">
        <v>1338</v>
      </c>
    </row>
    <row r="424" spans="1:3" x14ac:dyDescent="0.25">
      <c r="A424" s="12" t="s">
        <v>426</v>
      </c>
      <c r="B424" s="12" t="s">
        <v>421</v>
      </c>
      <c r="C424" s="13" t="s">
        <v>427</v>
      </c>
    </row>
    <row r="425" spans="1:3" x14ac:dyDescent="0.25">
      <c r="A425" s="12" t="s">
        <v>424</v>
      </c>
      <c r="B425" s="12" t="s">
        <v>421</v>
      </c>
      <c r="C425" s="13" t="s">
        <v>425</v>
      </c>
    </row>
    <row r="426" spans="1:3" x14ac:dyDescent="0.25">
      <c r="A426" s="5" t="s">
        <v>419</v>
      </c>
      <c r="B426" s="12" t="s">
        <v>421</v>
      </c>
      <c r="C426" s="13" t="s">
        <v>420</v>
      </c>
    </row>
    <row r="427" spans="1:3" ht="15" customHeight="1" x14ac:dyDescent="0.25">
      <c r="A427" s="126" t="s">
        <v>422</v>
      </c>
      <c r="B427" t="s">
        <v>421</v>
      </c>
      <c r="C427" s="126" t="s">
        <v>423</v>
      </c>
    </row>
    <row r="428" spans="1:3" ht="15" customHeight="1" x14ac:dyDescent="0.25">
      <c r="A428" s="126" t="s">
        <v>428</v>
      </c>
      <c r="B428" t="s">
        <v>429</v>
      </c>
      <c r="C428" s="126" t="s">
        <v>429</v>
      </c>
    </row>
    <row r="429" spans="1:3" x14ac:dyDescent="0.25">
      <c r="A429" s="12" t="s">
        <v>1246</v>
      </c>
      <c r="B429" s="12" t="s">
        <v>138</v>
      </c>
      <c r="C429" s="13" t="s">
        <v>1245</v>
      </c>
    </row>
    <row r="430" spans="1:3" x14ac:dyDescent="0.25">
      <c r="A430" s="12" t="s">
        <v>2509</v>
      </c>
      <c r="B430" s="12" t="s">
        <v>138</v>
      </c>
      <c r="C430" s="13" t="s">
        <v>2510</v>
      </c>
    </row>
    <row r="431" spans="1:3" x14ac:dyDescent="0.25">
      <c r="A431" s="12" t="s">
        <v>287</v>
      </c>
      <c r="B431" s="12" t="s">
        <v>138</v>
      </c>
      <c r="C431" s="13" t="s">
        <v>288</v>
      </c>
    </row>
    <row r="432" spans="1:3" x14ac:dyDescent="0.25">
      <c r="A432" s="12" t="s">
        <v>1249</v>
      </c>
      <c r="B432" s="12" t="s">
        <v>138</v>
      </c>
      <c r="C432" s="13" t="s">
        <v>1248</v>
      </c>
    </row>
    <row r="433" spans="1:3" x14ac:dyDescent="0.25">
      <c r="A433" s="5" t="s">
        <v>229</v>
      </c>
      <c r="B433" s="12" t="s">
        <v>138</v>
      </c>
      <c r="C433" s="13" t="s">
        <v>230</v>
      </c>
    </row>
    <row r="434" spans="1:3" x14ac:dyDescent="0.25">
      <c r="A434" s="12" t="s">
        <v>197</v>
      </c>
      <c r="B434" s="12" t="s">
        <v>138</v>
      </c>
      <c r="C434" s="13" t="s">
        <v>198</v>
      </c>
    </row>
    <row r="435" spans="1:3" x14ac:dyDescent="0.25">
      <c r="A435" s="12" t="s">
        <v>265</v>
      </c>
      <c r="B435" s="12" t="s">
        <v>138</v>
      </c>
      <c r="C435" s="13" t="s">
        <v>266</v>
      </c>
    </row>
    <row r="436" spans="1:3" x14ac:dyDescent="0.25">
      <c r="A436" s="12" t="s">
        <v>1253</v>
      </c>
      <c r="B436" s="12" t="s">
        <v>138</v>
      </c>
      <c r="C436" s="13" t="s">
        <v>1252</v>
      </c>
    </row>
    <row r="437" spans="1:3" x14ac:dyDescent="0.25">
      <c r="A437" s="12" t="s">
        <v>303</v>
      </c>
      <c r="B437" s="12" t="s">
        <v>138</v>
      </c>
      <c r="C437" s="13" t="s">
        <v>304</v>
      </c>
    </row>
    <row r="438" spans="1:3" x14ac:dyDescent="0.25">
      <c r="A438" s="12" t="s">
        <v>251</v>
      </c>
      <c r="B438" s="12" t="s">
        <v>138</v>
      </c>
      <c r="C438" s="13" t="s">
        <v>252</v>
      </c>
    </row>
    <row r="439" spans="1:3" x14ac:dyDescent="0.25">
      <c r="A439" s="12" t="s">
        <v>1255</v>
      </c>
      <c r="B439" s="12" t="s">
        <v>138</v>
      </c>
      <c r="C439" s="13" t="s">
        <v>1254</v>
      </c>
    </row>
    <row r="440" spans="1:3" x14ac:dyDescent="0.25">
      <c r="A440" s="12" t="s">
        <v>227</v>
      </c>
      <c r="B440" s="12" t="s">
        <v>138</v>
      </c>
      <c r="C440" s="13" t="s">
        <v>228</v>
      </c>
    </row>
    <row r="441" spans="1:3" x14ac:dyDescent="0.25">
      <c r="A441" s="12" t="s">
        <v>259</v>
      </c>
      <c r="B441" s="12" t="s">
        <v>138</v>
      </c>
      <c r="C441" s="13" t="s">
        <v>260</v>
      </c>
    </row>
    <row r="442" spans="1:3" x14ac:dyDescent="0.25">
      <c r="A442" s="12" t="s">
        <v>1257</v>
      </c>
      <c r="B442" s="12" t="s">
        <v>138</v>
      </c>
      <c r="C442" s="13" t="s">
        <v>1256</v>
      </c>
    </row>
    <row r="443" spans="1:3" x14ac:dyDescent="0.25">
      <c r="A443" s="12" t="s">
        <v>1259</v>
      </c>
      <c r="B443" s="12" t="s">
        <v>138</v>
      </c>
      <c r="C443" s="13" t="s">
        <v>1258</v>
      </c>
    </row>
    <row r="444" spans="1:3" x14ac:dyDescent="0.25">
      <c r="A444" s="12" t="s">
        <v>275</v>
      </c>
      <c r="B444" s="12" t="s">
        <v>138</v>
      </c>
      <c r="C444" s="13" t="s">
        <v>276</v>
      </c>
    </row>
    <row r="445" spans="1:3" x14ac:dyDescent="0.25">
      <c r="A445" s="12" t="s">
        <v>201</v>
      </c>
      <c r="B445" s="12" t="s">
        <v>138</v>
      </c>
      <c r="C445" s="13" t="s">
        <v>202</v>
      </c>
    </row>
    <row r="446" spans="1:3" x14ac:dyDescent="0.25">
      <c r="A446" s="12" t="s">
        <v>249</v>
      </c>
      <c r="B446" s="12" t="s">
        <v>138</v>
      </c>
      <c r="C446" s="13" t="s">
        <v>250</v>
      </c>
    </row>
    <row r="447" spans="1:3" x14ac:dyDescent="0.25">
      <c r="A447" s="12" t="s">
        <v>199</v>
      </c>
      <c r="B447" s="12" t="s">
        <v>138</v>
      </c>
      <c r="C447" s="13" t="s">
        <v>200</v>
      </c>
    </row>
    <row r="448" spans="1:3" x14ac:dyDescent="0.25">
      <c r="A448" s="12" t="s">
        <v>1263</v>
      </c>
      <c r="B448" s="12" t="s">
        <v>138</v>
      </c>
      <c r="C448" s="13" t="s">
        <v>1262</v>
      </c>
    </row>
    <row r="449" spans="1:3" x14ac:dyDescent="0.25">
      <c r="A449" s="12" t="s">
        <v>271</v>
      </c>
      <c r="B449" s="12" t="s">
        <v>138</v>
      </c>
      <c r="C449" s="13" t="s">
        <v>272</v>
      </c>
    </row>
    <row r="450" spans="1:3" x14ac:dyDescent="0.25">
      <c r="A450" s="12" t="s">
        <v>2511</v>
      </c>
      <c r="B450" s="12" t="s">
        <v>138</v>
      </c>
      <c r="C450" s="13" t="s">
        <v>2512</v>
      </c>
    </row>
    <row r="451" spans="1:3" x14ac:dyDescent="0.25">
      <c r="A451" s="12" t="s">
        <v>243</v>
      </c>
      <c r="B451" s="12" t="s">
        <v>138</v>
      </c>
      <c r="C451" s="13" t="s">
        <v>244</v>
      </c>
    </row>
    <row r="452" spans="1:3" x14ac:dyDescent="0.25">
      <c r="A452" s="12" t="s">
        <v>267</v>
      </c>
      <c r="B452" s="12" t="s">
        <v>138</v>
      </c>
      <c r="C452" s="13" t="s">
        <v>268</v>
      </c>
    </row>
    <row r="453" spans="1:3" x14ac:dyDescent="0.25">
      <c r="A453" s="12" t="s">
        <v>149</v>
      </c>
      <c r="B453" s="12" t="s">
        <v>138</v>
      </c>
      <c r="C453" s="13" t="s">
        <v>150</v>
      </c>
    </row>
    <row r="454" spans="1:3" x14ac:dyDescent="0.25">
      <c r="A454" s="12" t="s">
        <v>1269</v>
      </c>
      <c r="B454" s="12" t="s">
        <v>138</v>
      </c>
      <c r="C454" s="13" t="s">
        <v>1268</v>
      </c>
    </row>
    <row r="455" spans="1:3" x14ac:dyDescent="0.25">
      <c r="A455" s="12" t="s">
        <v>1271</v>
      </c>
      <c r="B455" s="12" t="s">
        <v>138</v>
      </c>
      <c r="C455" s="13" t="s">
        <v>1270</v>
      </c>
    </row>
    <row r="456" spans="1:3" x14ac:dyDescent="0.25">
      <c r="A456" s="12" t="s">
        <v>255</v>
      </c>
      <c r="B456" s="12" t="s">
        <v>138</v>
      </c>
      <c r="C456" s="13" t="s">
        <v>256</v>
      </c>
    </row>
    <row r="457" spans="1:3" x14ac:dyDescent="0.25">
      <c r="A457" s="12" t="s">
        <v>153</v>
      </c>
      <c r="B457" s="12" t="s">
        <v>138</v>
      </c>
      <c r="C457" s="13" t="s">
        <v>154</v>
      </c>
    </row>
    <row r="458" spans="1:3" x14ac:dyDescent="0.25">
      <c r="A458" s="12" t="s">
        <v>207</v>
      </c>
      <c r="B458" s="12" t="s">
        <v>138</v>
      </c>
      <c r="C458" s="13" t="s">
        <v>208</v>
      </c>
    </row>
    <row r="459" spans="1:3" x14ac:dyDescent="0.25">
      <c r="A459" s="12" t="s">
        <v>2513</v>
      </c>
      <c r="B459" s="12" t="s">
        <v>138</v>
      </c>
      <c r="C459" s="13" t="s">
        <v>2514</v>
      </c>
    </row>
    <row r="460" spans="1:3" x14ac:dyDescent="0.25">
      <c r="A460" s="12" t="s">
        <v>277</v>
      </c>
      <c r="B460" s="12" t="s">
        <v>138</v>
      </c>
      <c r="C460" s="13" t="s">
        <v>278</v>
      </c>
    </row>
    <row r="461" spans="1:3" x14ac:dyDescent="0.25">
      <c r="A461" s="12" t="s">
        <v>205</v>
      </c>
      <c r="B461" s="12" t="s">
        <v>138</v>
      </c>
      <c r="C461" s="13" t="s">
        <v>206</v>
      </c>
    </row>
    <row r="462" spans="1:3" x14ac:dyDescent="0.25">
      <c r="A462" s="12" t="s">
        <v>189</v>
      </c>
      <c r="B462" s="12" t="s">
        <v>138</v>
      </c>
      <c r="C462" s="13" t="s">
        <v>190</v>
      </c>
    </row>
    <row r="463" spans="1:3" x14ac:dyDescent="0.25">
      <c r="A463" s="12" t="s">
        <v>163</v>
      </c>
      <c r="B463" s="12" t="s">
        <v>138</v>
      </c>
      <c r="C463" s="13" t="s">
        <v>164</v>
      </c>
    </row>
    <row r="464" spans="1:3" x14ac:dyDescent="0.25">
      <c r="A464" s="12" t="s">
        <v>1282</v>
      </c>
      <c r="B464" s="12" t="s">
        <v>138</v>
      </c>
      <c r="C464" s="13" t="s">
        <v>1281</v>
      </c>
    </row>
    <row r="465" spans="1:3" x14ac:dyDescent="0.25">
      <c r="A465" s="12" t="s">
        <v>1284</v>
      </c>
      <c r="B465" s="12" t="s">
        <v>138</v>
      </c>
      <c r="C465" s="13" t="s">
        <v>1283</v>
      </c>
    </row>
    <row r="466" spans="1:3" x14ac:dyDescent="0.25">
      <c r="A466" s="12" t="s">
        <v>1287</v>
      </c>
      <c r="B466" s="12" t="s">
        <v>138</v>
      </c>
      <c r="C466" s="13" t="s">
        <v>1286</v>
      </c>
    </row>
    <row r="467" spans="1:3" x14ac:dyDescent="0.25">
      <c r="A467" s="12" t="s">
        <v>157</v>
      </c>
      <c r="B467" s="12" t="s">
        <v>138</v>
      </c>
      <c r="C467" s="13" t="s">
        <v>158</v>
      </c>
    </row>
    <row r="468" spans="1:3" x14ac:dyDescent="0.25">
      <c r="A468" s="12" t="s">
        <v>139</v>
      </c>
      <c r="B468" s="12" t="s">
        <v>138</v>
      </c>
      <c r="C468" s="13" t="s">
        <v>140</v>
      </c>
    </row>
    <row r="469" spans="1:3" x14ac:dyDescent="0.25">
      <c r="A469" s="12" t="s">
        <v>1290</v>
      </c>
      <c r="B469" s="12" t="s">
        <v>138</v>
      </c>
      <c r="C469" s="13" t="s">
        <v>1289</v>
      </c>
    </row>
    <row r="470" spans="1:3" x14ac:dyDescent="0.25">
      <c r="A470" s="12" t="s">
        <v>1292</v>
      </c>
      <c r="B470" s="12" t="s">
        <v>138</v>
      </c>
      <c r="C470" s="13" t="s">
        <v>1291</v>
      </c>
    </row>
    <row r="471" spans="1:3" x14ac:dyDescent="0.25">
      <c r="A471" s="12" t="s">
        <v>1294</v>
      </c>
      <c r="B471" s="12" t="s">
        <v>138</v>
      </c>
      <c r="C471" s="13" t="s">
        <v>1293</v>
      </c>
    </row>
    <row r="472" spans="1:3" x14ac:dyDescent="0.25">
      <c r="A472" s="12" t="s">
        <v>215</v>
      </c>
      <c r="B472" s="12" t="s">
        <v>138</v>
      </c>
      <c r="C472" s="13" t="s">
        <v>216</v>
      </c>
    </row>
    <row r="473" spans="1:3" x14ac:dyDescent="0.25">
      <c r="A473" s="12" t="s">
        <v>209</v>
      </c>
      <c r="B473" s="12" t="s">
        <v>138</v>
      </c>
      <c r="C473" s="13" t="s">
        <v>210</v>
      </c>
    </row>
    <row r="474" spans="1:3" x14ac:dyDescent="0.25">
      <c r="A474" s="12" t="s">
        <v>1298</v>
      </c>
      <c r="B474" s="12" t="s">
        <v>138</v>
      </c>
      <c r="C474" s="13" t="s">
        <v>1297</v>
      </c>
    </row>
    <row r="475" spans="1:3" x14ac:dyDescent="0.25">
      <c r="A475" s="12" t="s">
        <v>1296</v>
      </c>
      <c r="B475" s="12" t="s">
        <v>138</v>
      </c>
      <c r="C475" s="13" t="s">
        <v>1295</v>
      </c>
    </row>
    <row r="476" spans="1:3" x14ac:dyDescent="0.25">
      <c r="A476" s="12" t="s">
        <v>175</v>
      </c>
      <c r="B476" s="12" t="s">
        <v>138</v>
      </c>
      <c r="C476" s="13" t="s">
        <v>176</v>
      </c>
    </row>
    <row r="477" spans="1:3" x14ac:dyDescent="0.25">
      <c r="A477" s="12" t="s">
        <v>155</v>
      </c>
      <c r="B477" s="12" t="s">
        <v>138</v>
      </c>
      <c r="C477" s="13" t="s">
        <v>156</v>
      </c>
    </row>
    <row r="478" spans="1:3" x14ac:dyDescent="0.25">
      <c r="A478" s="12" t="s">
        <v>1300</v>
      </c>
      <c r="B478" s="12" t="s">
        <v>138</v>
      </c>
      <c r="C478" s="13" t="s">
        <v>1299</v>
      </c>
    </row>
    <row r="479" spans="1:3" x14ac:dyDescent="0.25">
      <c r="A479" s="12" t="s">
        <v>1302</v>
      </c>
      <c r="B479" s="12" t="s">
        <v>138</v>
      </c>
      <c r="C479" s="13" t="s">
        <v>1301</v>
      </c>
    </row>
    <row r="480" spans="1:3" x14ac:dyDescent="0.25">
      <c r="A480" s="12" t="s">
        <v>1304</v>
      </c>
      <c r="B480" s="12" t="s">
        <v>138</v>
      </c>
      <c r="C480" s="13" t="s">
        <v>1303</v>
      </c>
    </row>
    <row r="481" spans="1:3" x14ac:dyDescent="0.25">
      <c r="A481" s="5" t="s">
        <v>173</v>
      </c>
      <c r="B481" s="12" t="s">
        <v>138</v>
      </c>
      <c r="C481" s="13" t="s">
        <v>174</v>
      </c>
    </row>
    <row r="482" spans="1:3" x14ac:dyDescent="0.25">
      <c r="A482" s="12" t="s">
        <v>235</v>
      </c>
      <c r="B482" s="12" t="s">
        <v>138</v>
      </c>
      <c r="C482" s="13" t="s">
        <v>236</v>
      </c>
    </row>
    <row r="483" spans="1:3" x14ac:dyDescent="0.25">
      <c r="A483" s="12" t="s">
        <v>1306</v>
      </c>
      <c r="B483" s="12" t="s">
        <v>138</v>
      </c>
      <c r="C483" s="13" t="s">
        <v>1305</v>
      </c>
    </row>
    <row r="484" spans="1:3" x14ac:dyDescent="0.25">
      <c r="A484" s="12" t="s">
        <v>1309</v>
      </c>
      <c r="B484" s="12" t="s">
        <v>138</v>
      </c>
      <c r="C484" s="13" t="s">
        <v>1308</v>
      </c>
    </row>
    <row r="485" spans="1:3" x14ac:dyDescent="0.25">
      <c r="A485" s="12" t="s">
        <v>309</v>
      </c>
      <c r="B485" s="12" t="s">
        <v>138</v>
      </c>
      <c r="C485" s="13" t="s">
        <v>310</v>
      </c>
    </row>
    <row r="486" spans="1:3" x14ac:dyDescent="0.25">
      <c r="A486" s="12" t="s">
        <v>225</v>
      </c>
      <c r="B486" s="12" t="s">
        <v>138</v>
      </c>
      <c r="C486" s="13" t="s">
        <v>226</v>
      </c>
    </row>
    <row r="487" spans="1:3" x14ac:dyDescent="0.25">
      <c r="A487" s="12" t="s">
        <v>253</v>
      </c>
      <c r="B487" s="12" t="s">
        <v>138</v>
      </c>
      <c r="C487" s="13" t="s">
        <v>254</v>
      </c>
    </row>
    <row r="488" spans="1:3" x14ac:dyDescent="0.25">
      <c r="A488" s="12" t="s">
        <v>151</v>
      </c>
      <c r="B488" s="12" t="s">
        <v>138</v>
      </c>
      <c r="C488" s="13" t="s">
        <v>152</v>
      </c>
    </row>
    <row r="489" spans="1:3" x14ac:dyDescent="0.25">
      <c r="A489" s="12" t="s">
        <v>2515</v>
      </c>
      <c r="B489" s="12" t="s">
        <v>138</v>
      </c>
      <c r="C489" s="13" t="s">
        <v>2516</v>
      </c>
    </row>
    <row r="490" spans="1:3" x14ac:dyDescent="0.25">
      <c r="A490" s="12" t="s">
        <v>1312</v>
      </c>
      <c r="B490" s="12" t="s">
        <v>138</v>
      </c>
      <c r="C490" s="13" t="s">
        <v>1311</v>
      </c>
    </row>
    <row r="491" spans="1:3" x14ac:dyDescent="0.25">
      <c r="A491" s="12" t="s">
        <v>1314</v>
      </c>
      <c r="B491" s="12" t="s">
        <v>138</v>
      </c>
      <c r="C491" s="13" t="s">
        <v>1313</v>
      </c>
    </row>
    <row r="492" spans="1:3" x14ac:dyDescent="0.25">
      <c r="A492" s="12" t="s">
        <v>241</v>
      </c>
      <c r="B492" s="12" t="s">
        <v>138</v>
      </c>
      <c r="C492" s="13" t="s">
        <v>242</v>
      </c>
    </row>
    <row r="493" spans="1:3" x14ac:dyDescent="0.25">
      <c r="A493" s="12" t="s">
        <v>285</v>
      </c>
      <c r="B493" s="12" t="s">
        <v>138</v>
      </c>
      <c r="C493" s="13" t="s">
        <v>286</v>
      </c>
    </row>
    <row r="494" spans="1:3" x14ac:dyDescent="0.25">
      <c r="A494" s="12" t="s">
        <v>193</v>
      </c>
      <c r="B494" s="12" t="s">
        <v>138</v>
      </c>
      <c r="C494" s="13" t="s">
        <v>194</v>
      </c>
    </row>
    <row r="495" spans="1:3" x14ac:dyDescent="0.25">
      <c r="A495" s="12" t="s">
        <v>1316</v>
      </c>
      <c r="B495" s="12" t="s">
        <v>138</v>
      </c>
      <c r="C495" s="13" t="s">
        <v>1315</v>
      </c>
    </row>
    <row r="496" spans="1:3" x14ac:dyDescent="0.25">
      <c r="A496" s="12" t="s">
        <v>293</v>
      </c>
      <c r="B496" s="12" t="s">
        <v>138</v>
      </c>
      <c r="C496" s="13" t="s">
        <v>294</v>
      </c>
    </row>
    <row r="497" spans="1:3" x14ac:dyDescent="0.25">
      <c r="A497" s="12" t="s">
        <v>159</v>
      </c>
      <c r="B497" s="12" t="s">
        <v>138</v>
      </c>
      <c r="C497" s="13" t="s">
        <v>160</v>
      </c>
    </row>
    <row r="498" spans="1:3" x14ac:dyDescent="0.25">
      <c r="A498" s="12" t="s">
        <v>1319</v>
      </c>
      <c r="B498" s="12" t="s">
        <v>138</v>
      </c>
      <c r="C498" s="13" t="s">
        <v>1318</v>
      </c>
    </row>
    <row r="499" spans="1:3" x14ac:dyDescent="0.25">
      <c r="A499" s="12" t="s">
        <v>295</v>
      </c>
      <c r="B499" s="12" t="s">
        <v>138</v>
      </c>
      <c r="C499" s="13" t="s">
        <v>296</v>
      </c>
    </row>
    <row r="500" spans="1:3" x14ac:dyDescent="0.25">
      <c r="A500" s="12" t="s">
        <v>1322</v>
      </c>
      <c r="B500" s="12" t="s">
        <v>138</v>
      </c>
      <c r="C500" s="13" t="s">
        <v>1321</v>
      </c>
    </row>
    <row r="501" spans="1:3" x14ac:dyDescent="0.25">
      <c r="A501" s="12" t="s">
        <v>1323</v>
      </c>
      <c r="B501" s="12" t="s">
        <v>138</v>
      </c>
      <c r="C501" s="13" t="s">
        <v>234</v>
      </c>
    </row>
    <row r="502" spans="1:3" x14ac:dyDescent="0.25">
      <c r="A502" s="12" t="s">
        <v>301</v>
      </c>
      <c r="B502" s="12" t="s">
        <v>138</v>
      </c>
      <c r="C502" s="13" t="s">
        <v>302</v>
      </c>
    </row>
    <row r="503" spans="1:3" x14ac:dyDescent="0.25">
      <c r="A503" s="12" t="s">
        <v>1325</v>
      </c>
      <c r="B503" s="12" t="s">
        <v>138</v>
      </c>
      <c r="C503" s="13" t="s">
        <v>1324</v>
      </c>
    </row>
    <row r="504" spans="1:3" x14ac:dyDescent="0.25">
      <c r="A504" s="12" t="s">
        <v>1327</v>
      </c>
      <c r="B504" s="12" t="s">
        <v>138</v>
      </c>
      <c r="C504" s="13" t="s">
        <v>1326</v>
      </c>
    </row>
    <row r="505" spans="1:3" x14ac:dyDescent="0.25">
      <c r="A505" s="12" t="s">
        <v>239</v>
      </c>
      <c r="B505" s="12" t="s">
        <v>138</v>
      </c>
      <c r="C505" s="13" t="s">
        <v>240</v>
      </c>
    </row>
    <row r="506" spans="1:3" x14ac:dyDescent="0.25">
      <c r="A506" s="12" t="s">
        <v>1330</v>
      </c>
      <c r="B506" s="12" t="s">
        <v>138</v>
      </c>
      <c r="C506" s="13" t="s">
        <v>1329</v>
      </c>
    </row>
    <row r="507" spans="1:3" x14ac:dyDescent="0.25">
      <c r="A507" s="12" t="s">
        <v>223</v>
      </c>
      <c r="B507" s="12" t="s">
        <v>138</v>
      </c>
      <c r="C507" s="13" t="s">
        <v>224</v>
      </c>
    </row>
    <row r="508" spans="1:3" x14ac:dyDescent="0.25">
      <c r="A508" s="12" t="s">
        <v>221</v>
      </c>
      <c r="B508" s="12" t="s">
        <v>138</v>
      </c>
      <c r="C508" s="13" t="s">
        <v>222</v>
      </c>
    </row>
    <row r="509" spans="1:3" x14ac:dyDescent="0.25">
      <c r="A509" s="12" t="s">
        <v>281</v>
      </c>
      <c r="B509" s="12" t="s">
        <v>138</v>
      </c>
      <c r="C509" s="13" t="s">
        <v>282</v>
      </c>
    </row>
    <row r="510" spans="1:3" x14ac:dyDescent="0.25">
      <c r="A510" s="12" t="s">
        <v>141</v>
      </c>
      <c r="B510" s="12" t="s">
        <v>138</v>
      </c>
      <c r="C510" s="13" t="s">
        <v>142</v>
      </c>
    </row>
    <row r="511" spans="1:3" x14ac:dyDescent="0.25">
      <c r="A511" s="12" t="s">
        <v>2517</v>
      </c>
      <c r="B511" s="12" t="s">
        <v>138</v>
      </c>
      <c r="C511" s="13" t="s">
        <v>2518</v>
      </c>
    </row>
    <row r="512" spans="1:3" x14ac:dyDescent="0.25">
      <c r="A512" s="12" t="s">
        <v>185</v>
      </c>
      <c r="B512" s="12" t="s">
        <v>138</v>
      </c>
      <c r="C512" s="13" t="s">
        <v>186</v>
      </c>
    </row>
    <row r="513" spans="1:3" x14ac:dyDescent="0.25">
      <c r="A513" s="12" t="s">
        <v>257</v>
      </c>
      <c r="B513" s="12" t="s">
        <v>138</v>
      </c>
      <c r="C513" s="13" t="s">
        <v>258</v>
      </c>
    </row>
    <row r="514" spans="1:3" x14ac:dyDescent="0.25">
      <c r="A514" s="12" t="s">
        <v>1334</v>
      </c>
      <c r="B514" s="12" t="s">
        <v>138</v>
      </c>
      <c r="C514" s="13" t="s">
        <v>1333</v>
      </c>
    </row>
    <row r="515" spans="1:3" x14ac:dyDescent="0.25">
      <c r="A515" s="12" t="s">
        <v>237</v>
      </c>
      <c r="B515" s="12" t="s">
        <v>138</v>
      </c>
      <c r="C515" s="13" t="s">
        <v>238</v>
      </c>
    </row>
    <row r="516" spans="1:3" x14ac:dyDescent="0.25">
      <c r="A516" s="12" t="s">
        <v>145</v>
      </c>
      <c r="B516" s="12" t="s">
        <v>138</v>
      </c>
      <c r="C516" s="13" t="s">
        <v>146</v>
      </c>
    </row>
    <row r="517" spans="1:3" x14ac:dyDescent="0.25">
      <c r="A517" s="12" t="s">
        <v>2519</v>
      </c>
      <c r="B517" s="12" t="s">
        <v>138</v>
      </c>
      <c r="C517" s="13" t="s">
        <v>2520</v>
      </c>
    </row>
    <row r="518" spans="1:3" x14ac:dyDescent="0.25">
      <c r="A518" s="12" t="s">
        <v>1336</v>
      </c>
      <c r="B518" s="12" t="s">
        <v>138</v>
      </c>
      <c r="C518" s="13" t="s">
        <v>1335</v>
      </c>
    </row>
    <row r="519" spans="1:3" x14ac:dyDescent="0.25">
      <c r="A519" s="12" t="s">
        <v>269</v>
      </c>
      <c r="B519" s="12" t="s">
        <v>138</v>
      </c>
      <c r="C519" s="13" t="s">
        <v>270</v>
      </c>
    </row>
    <row r="520" spans="1:3" x14ac:dyDescent="0.25">
      <c r="A520" s="12" t="s">
        <v>203</v>
      </c>
      <c r="B520" s="12" t="s">
        <v>138</v>
      </c>
      <c r="C520" s="13" t="s">
        <v>204</v>
      </c>
    </row>
    <row r="521" spans="1:3" x14ac:dyDescent="0.25">
      <c r="A521" s="12" t="s">
        <v>217</v>
      </c>
      <c r="B521" s="12" t="s">
        <v>138</v>
      </c>
      <c r="C521" s="13" t="s">
        <v>218</v>
      </c>
    </row>
    <row r="522" spans="1:3" x14ac:dyDescent="0.25">
      <c r="A522" s="12" t="s">
        <v>165</v>
      </c>
      <c r="B522" s="12" t="s">
        <v>138</v>
      </c>
      <c r="C522" s="13" t="s">
        <v>166</v>
      </c>
    </row>
    <row r="523" spans="1:3" x14ac:dyDescent="0.25">
      <c r="A523" s="12" t="s">
        <v>305</v>
      </c>
      <c r="B523" s="12" t="s">
        <v>138</v>
      </c>
      <c r="C523" s="13" t="s">
        <v>306</v>
      </c>
    </row>
    <row r="524" spans="1:3" x14ac:dyDescent="0.25">
      <c r="A524" s="12" t="s">
        <v>1341</v>
      </c>
      <c r="B524" s="12" t="s">
        <v>138</v>
      </c>
      <c r="C524" s="13" t="s">
        <v>1340</v>
      </c>
    </row>
    <row r="525" spans="1:3" x14ac:dyDescent="0.25">
      <c r="A525" s="12" t="s">
        <v>167</v>
      </c>
      <c r="B525" s="12" t="s">
        <v>138</v>
      </c>
      <c r="C525" s="13" t="s">
        <v>168</v>
      </c>
    </row>
    <row r="526" spans="1:3" x14ac:dyDescent="0.25">
      <c r="A526" s="12" t="s">
        <v>195</v>
      </c>
      <c r="B526" s="12" t="s">
        <v>138</v>
      </c>
      <c r="C526" s="13" t="s">
        <v>196</v>
      </c>
    </row>
    <row r="527" spans="1:3" x14ac:dyDescent="0.25">
      <c r="A527" s="12" t="s">
        <v>143</v>
      </c>
      <c r="B527" s="12" t="s">
        <v>138</v>
      </c>
      <c r="C527" s="13" t="s">
        <v>144</v>
      </c>
    </row>
    <row r="528" spans="1:3" x14ac:dyDescent="0.25">
      <c r="A528" s="12" t="s">
        <v>181</v>
      </c>
      <c r="B528" s="12" t="s">
        <v>138</v>
      </c>
      <c r="C528" s="13" t="s">
        <v>182</v>
      </c>
    </row>
    <row r="529" spans="1:3" x14ac:dyDescent="0.25">
      <c r="A529" s="12" t="s">
        <v>169</v>
      </c>
      <c r="B529" s="12" t="s">
        <v>138</v>
      </c>
      <c r="C529" s="13" t="s">
        <v>170</v>
      </c>
    </row>
    <row r="530" spans="1:3" x14ac:dyDescent="0.25">
      <c r="A530" s="12" t="s">
        <v>261</v>
      </c>
      <c r="B530" s="12" t="s">
        <v>138</v>
      </c>
      <c r="C530" s="13" t="s">
        <v>262</v>
      </c>
    </row>
    <row r="531" spans="1:3" x14ac:dyDescent="0.25">
      <c r="A531" s="12" t="s">
        <v>291</v>
      </c>
      <c r="B531" s="12" t="s">
        <v>138</v>
      </c>
      <c r="C531" s="13" t="s">
        <v>292</v>
      </c>
    </row>
    <row r="532" spans="1:3" ht="15" customHeight="1" x14ac:dyDescent="0.25">
      <c r="A532" s="202" t="s">
        <v>393</v>
      </c>
      <c r="B532" t="s">
        <v>16</v>
      </c>
      <c r="C532" t="s">
        <v>394</v>
      </c>
    </row>
    <row r="533" spans="1:3" ht="15" customHeight="1" x14ac:dyDescent="0.25">
      <c r="A533" s="202" t="s">
        <v>1060</v>
      </c>
      <c r="B533" t="s">
        <v>16</v>
      </c>
      <c r="C533" t="s">
        <v>1059</v>
      </c>
    </row>
    <row r="534" spans="1:3" x14ac:dyDescent="0.25">
      <c r="A534" s="12" t="s">
        <v>1345</v>
      </c>
      <c r="B534" s="12" t="s">
        <v>138</v>
      </c>
      <c r="C534" s="13" t="s">
        <v>1344</v>
      </c>
    </row>
    <row r="535" spans="1:3" ht="15" customHeight="1" x14ac:dyDescent="0.25">
      <c r="A535" s="202" t="s">
        <v>903</v>
      </c>
      <c r="B535" t="s">
        <v>2521</v>
      </c>
      <c r="C535" t="s">
        <v>902</v>
      </c>
    </row>
    <row r="536" spans="1:3" ht="15" customHeight="1" x14ac:dyDescent="0.25">
      <c r="A536" s="202" t="s">
        <v>1404</v>
      </c>
      <c r="B536" t="s">
        <v>107</v>
      </c>
      <c r="C536" t="s">
        <v>1403</v>
      </c>
    </row>
    <row r="537" spans="1:3" x14ac:dyDescent="0.25">
      <c r="A537" s="202" t="s">
        <v>1070</v>
      </c>
      <c r="B537" s="12" t="s">
        <v>138</v>
      </c>
      <c r="C537" t="s">
        <v>1069</v>
      </c>
    </row>
    <row r="538" spans="1:3" x14ac:dyDescent="0.25">
      <c r="A538" s="202" t="s">
        <v>1072</v>
      </c>
      <c r="B538" s="12" t="s">
        <v>138</v>
      </c>
      <c r="C538" t="s">
        <v>1071</v>
      </c>
    </row>
    <row r="539" spans="1:3" ht="15" customHeight="1" x14ac:dyDescent="0.25">
      <c r="A539" s="129" t="s">
        <v>1074</v>
      </c>
      <c r="B539" t="s">
        <v>16</v>
      </c>
      <c r="C539" t="s">
        <v>1073</v>
      </c>
    </row>
    <row r="540" spans="1:3" ht="15" customHeight="1" x14ac:dyDescent="0.25">
      <c r="A540" s="129" t="s">
        <v>411</v>
      </c>
      <c r="B540" t="s">
        <v>16</v>
      </c>
      <c r="C540" t="s">
        <v>412</v>
      </c>
    </row>
    <row r="541" spans="1:3" x14ac:dyDescent="0.25">
      <c r="A541" s="129" t="s">
        <v>1064</v>
      </c>
      <c r="B541" s="178" t="s">
        <v>16</v>
      </c>
      <c r="C541" t="s">
        <v>1063</v>
      </c>
    </row>
    <row r="542" spans="1:3" x14ac:dyDescent="0.25">
      <c r="A542" s="129" t="s">
        <v>334</v>
      </c>
      <c r="B542" s="178" t="s">
        <v>16</v>
      </c>
      <c r="C542" t="s">
        <v>335</v>
      </c>
    </row>
    <row r="543" spans="1:3" x14ac:dyDescent="0.25">
      <c r="A543" s="129" t="s">
        <v>317</v>
      </c>
      <c r="B543" s="178" t="s">
        <v>16</v>
      </c>
      <c r="C543" t="s">
        <v>318</v>
      </c>
    </row>
    <row r="544" spans="1:3" x14ac:dyDescent="0.25">
      <c r="A544" s="12" t="s">
        <v>213</v>
      </c>
      <c r="B544" s="12" t="s">
        <v>138</v>
      </c>
      <c r="C544" s="13" t="s">
        <v>214</v>
      </c>
    </row>
    <row r="545" spans="1:3" x14ac:dyDescent="0.25">
      <c r="A545" s="12" t="s">
        <v>1347</v>
      </c>
      <c r="B545" s="12" t="s">
        <v>138</v>
      </c>
      <c r="C545" s="13" t="s">
        <v>1346</v>
      </c>
    </row>
    <row r="546" spans="1:3" x14ac:dyDescent="0.25">
      <c r="A546" s="12" t="s">
        <v>263</v>
      </c>
      <c r="B546" s="12" t="s">
        <v>138</v>
      </c>
      <c r="C546" s="13" t="s">
        <v>264</v>
      </c>
    </row>
    <row r="547" spans="1:3" x14ac:dyDescent="0.25">
      <c r="A547" s="12" t="s">
        <v>1349</v>
      </c>
      <c r="B547" s="12" t="s">
        <v>138</v>
      </c>
      <c r="C547" s="13" t="s">
        <v>1348</v>
      </c>
    </row>
    <row r="548" spans="1:3" x14ac:dyDescent="0.25">
      <c r="A548" s="12" t="s">
        <v>147</v>
      </c>
      <c r="B548" s="12" t="s">
        <v>138</v>
      </c>
      <c r="C548" s="13" t="s">
        <v>148</v>
      </c>
    </row>
    <row r="549" spans="1:3" x14ac:dyDescent="0.25">
      <c r="A549" s="12" t="s">
        <v>297</v>
      </c>
      <c r="B549" s="12" t="s">
        <v>138</v>
      </c>
      <c r="C549" s="13" t="s">
        <v>298</v>
      </c>
    </row>
    <row r="550" spans="1:3" x14ac:dyDescent="0.25">
      <c r="A550" s="12" t="s">
        <v>177</v>
      </c>
      <c r="B550" s="12" t="s">
        <v>138</v>
      </c>
      <c r="C550" s="13" t="s">
        <v>178</v>
      </c>
    </row>
    <row r="551" spans="1:3" x14ac:dyDescent="0.25">
      <c r="A551" s="12" t="s">
        <v>1352</v>
      </c>
      <c r="B551" s="12" t="s">
        <v>138</v>
      </c>
      <c r="C551" s="13" t="s">
        <v>1351</v>
      </c>
    </row>
    <row r="552" spans="1:3" x14ac:dyDescent="0.25">
      <c r="A552" s="12" t="s">
        <v>1354</v>
      </c>
      <c r="B552" s="12" t="s">
        <v>138</v>
      </c>
      <c r="C552" s="13" t="s">
        <v>1353</v>
      </c>
    </row>
    <row r="553" spans="1:3" x14ac:dyDescent="0.25">
      <c r="A553" s="5" t="s">
        <v>1358</v>
      </c>
      <c r="B553" s="12" t="s">
        <v>138</v>
      </c>
      <c r="C553" s="13" t="s">
        <v>1357</v>
      </c>
    </row>
    <row r="554" spans="1:3" x14ac:dyDescent="0.25">
      <c r="A554" s="12" t="s">
        <v>245</v>
      </c>
      <c r="B554" s="12" t="s">
        <v>138</v>
      </c>
      <c r="C554" s="13" t="s">
        <v>246</v>
      </c>
    </row>
    <row r="555" spans="1:3" x14ac:dyDescent="0.25">
      <c r="A555" s="12" t="s">
        <v>1360</v>
      </c>
      <c r="B555" s="12" t="s">
        <v>138</v>
      </c>
      <c r="C555" s="13" t="s">
        <v>1359</v>
      </c>
    </row>
    <row r="556" spans="1:3" x14ac:dyDescent="0.25">
      <c r="A556" s="12" t="s">
        <v>1362</v>
      </c>
      <c r="B556" s="12" t="s">
        <v>138</v>
      </c>
      <c r="C556" s="13" t="s">
        <v>1361</v>
      </c>
    </row>
    <row r="557" spans="1:3" x14ac:dyDescent="0.25">
      <c r="A557" s="12" t="s">
        <v>183</v>
      </c>
      <c r="B557" s="12" t="s">
        <v>138</v>
      </c>
      <c r="C557" s="13" t="s">
        <v>184</v>
      </c>
    </row>
    <row r="558" spans="1:3" x14ac:dyDescent="0.25">
      <c r="A558" s="12" t="s">
        <v>273</v>
      </c>
      <c r="B558" s="12" t="s">
        <v>138</v>
      </c>
      <c r="C558" s="13" t="s">
        <v>274</v>
      </c>
    </row>
    <row r="559" spans="1:3" x14ac:dyDescent="0.25">
      <c r="A559" s="12" t="s">
        <v>171</v>
      </c>
      <c r="B559" s="12" t="s">
        <v>138</v>
      </c>
      <c r="C559" s="13" t="s">
        <v>172</v>
      </c>
    </row>
    <row r="560" spans="1:3" x14ac:dyDescent="0.25">
      <c r="A560" s="12" t="s">
        <v>219</v>
      </c>
      <c r="B560" s="12" t="s">
        <v>138</v>
      </c>
      <c r="C560" s="13" t="s">
        <v>220</v>
      </c>
    </row>
    <row r="561" spans="1:3" x14ac:dyDescent="0.25">
      <c r="A561" s="12" t="s">
        <v>231</v>
      </c>
      <c r="B561" s="12" t="s">
        <v>138</v>
      </c>
      <c r="C561" s="13" t="s">
        <v>232</v>
      </c>
    </row>
    <row r="562" spans="1:3" x14ac:dyDescent="0.25">
      <c r="A562" s="12" t="s">
        <v>289</v>
      </c>
      <c r="B562" s="12" t="s">
        <v>138</v>
      </c>
      <c r="C562" s="13" t="s">
        <v>290</v>
      </c>
    </row>
    <row r="563" spans="1:3" x14ac:dyDescent="0.25">
      <c r="A563" s="12" t="s">
        <v>1367</v>
      </c>
      <c r="B563" s="12" t="s">
        <v>138</v>
      </c>
      <c r="C563" s="13" t="s">
        <v>1366</v>
      </c>
    </row>
    <row r="564" spans="1:3" x14ac:dyDescent="0.25">
      <c r="A564" s="12" t="s">
        <v>187</v>
      </c>
      <c r="B564" s="12" t="s">
        <v>138</v>
      </c>
      <c r="C564" s="13" t="s">
        <v>188</v>
      </c>
    </row>
    <row r="565" spans="1:3" x14ac:dyDescent="0.25">
      <c r="A565" s="12" t="s">
        <v>1369</v>
      </c>
      <c r="B565" s="12" t="s">
        <v>138</v>
      </c>
      <c r="C565" s="13" t="s">
        <v>1236</v>
      </c>
    </row>
    <row r="566" spans="1:3" x14ac:dyDescent="0.25">
      <c r="A566" s="12" t="s">
        <v>161</v>
      </c>
      <c r="B566" s="12" t="s">
        <v>138</v>
      </c>
      <c r="C566" s="13" t="s">
        <v>162</v>
      </c>
    </row>
    <row r="567" spans="1:3" x14ac:dyDescent="0.25">
      <c r="A567" s="12" t="s">
        <v>1372</v>
      </c>
      <c r="B567" s="12" t="s">
        <v>138</v>
      </c>
      <c r="C567" s="13" t="s">
        <v>1371</v>
      </c>
    </row>
    <row r="568" spans="1:3" x14ac:dyDescent="0.25">
      <c r="A568" s="12" t="s">
        <v>307</v>
      </c>
      <c r="B568" s="12" t="s">
        <v>138</v>
      </c>
      <c r="C568" s="13" t="s">
        <v>308</v>
      </c>
    </row>
    <row r="569" spans="1:3" x14ac:dyDescent="0.25">
      <c r="A569" s="12" t="s">
        <v>279</v>
      </c>
      <c r="B569" s="12" t="s">
        <v>138</v>
      </c>
      <c r="C569" s="13" t="s">
        <v>280</v>
      </c>
    </row>
    <row r="570" spans="1:3" x14ac:dyDescent="0.25">
      <c r="A570" s="12" t="s">
        <v>1227</v>
      </c>
      <c r="B570" s="13" t="s">
        <v>16</v>
      </c>
      <c r="C570" s="13" t="s">
        <v>325</v>
      </c>
    </row>
    <row r="571" spans="1:3" x14ac:dyDescent="0.25">
      <c r="A571" s="12" t="s">
        <v>1195</v>
      </c>
      <c r="B571" s="13" t="s">
        <v>16</v>
      </c>
      <c r="C571" s="13" t="s">
        <v>1194</v>
      </c>
    </row>
    <row r="572" spans="1:3" x14ac:dyDescent="0.25">
      <c r="A572" s="12" t="s">
        <v>1376</v>
      </c>
      <c r="B572" s="12" t="s">
        <v>647</v>
      </c>
      <c r="C572" s="13" t="s">
        <v>647</v>
      </c>
    </row>
    <row r="573" spans="1:3" x14ac:dyDescent="0.25">
      <c r="A573" s="12" t="s">
        <v>129</v>
      </c>
      <c r="B573" s="12" t="s">
        <v>131</v>
      </c>
      <c r="C573" s="13" t="s">
        <v>130</v>
      </c>
    </row>
    <row r="574" spans="1:3" x14ac:dyDescent="0.25">
      <c r="A574" s="12" t="s">
        <v>127</v>
      </c>
      <c r="B574" s="12" t="s">
        <v>128</v>
      </c>
      <c r="C574" s="13" t="s">
        <v>128</v>
      </c>
    </row>
    <row r="575" spans="1:3" x14ac:dyDescent="0.25">
      <c r="A575" s="12" t="s">
        <v>1400</v>
      </c>
      <c r="B575" s="12" t="s">
        <v>1399</v>
      </c>
      <c r="C575" s="13" t="s">
        <v>1399</v>
      </c>
    </row>
    <row r="576" spans="1:3" x14ac:dyDescent="0.25">
      <c r="A576" s="5" t="s">
        <v>118</v>
      </c>
      <c r="B576" s="12" t="s">
        <v>107</v>
      </c>
      <c r="C576" s="5" t="s">
        <v>119</v>
      </c>
    </row>
    <row r="577" spans="1:3" x14ac:dyDescent="0.25">
      <c r="A577" s="12" t="s">
        <v>1412</v>
      </c>
      <c r="B577" s="12" t="s">
        <v>107</v>
      </c>
      <c r="C577" s="13" t="s">
        <v>1411</v>
      </c>
    </row>
    <row r="578" spans="1:3" x14ac:dyDescent="0.25">
      <c r="A578" s="12" t="s">
        <v>110</v>
      </c>
      <c r="B578" s="12" t="s">
        <v>107</v>
      </c>
      <c r="C578" s="13" t="s">
        <v>111</v>
      </c>
    </row>
    <row r="579" spans="1:3" x14ac:dyDescent="0.25">
      <c r="A579" s="12" t="s">
        <v>116</v>
      </c>
      <c r="B579" s="12" t="s">
        <v>107</v>
      </c>
      <c r="C579" s="13" t="s">
        <v>117</v>
      </c>
    </row>
    <row r="580" spans="1:3" x14ac:dyDescent="0.25">
      <c r="A580" s="12" t="s">
        <v>105</v>
      </c>
      <c r="B580" s="12" t="s">
        <v>107</v>
      </c>
      <c r="C580" s="13" t="s">
        <v>106</v>
      </c>
    </row>
    <row r="581" spans="1:3" x14ac:dyDescent="0.25">
      <c r="A581" s="12" t="s">
        <v>112</v>
      </c>
      <c r="B581" s="12" t="s">
        <v>107</v>
      </c>
      <c r="C581" s="13" t="s">
        <v>113</v>
      </c>
    </row>
    <row r="582" spans="1:3" x14ac:dyDescent="0.25">
      <c r="A582" s="12" t="s">
        <v>1410</v>
      </c>
      <c r="B582" s="12" t="s">
        <v>107</v>
      </c>
      <c r="C582" s="13" t="s">
        <v>1409</v>
      </c>
    </row>
    <row r="583" spans="1:3" x14ac:dyDescent="0.25">
      <c r="A583" s="12" t="s">
        <v>599</v>
      </c>
      <c r="B583" s="12" t="s">
        <v>598</v>
      </c>
      <c r="C583" s="13" t="s">
        <v>600</v>
      </c>
    </row>
    <row r="584" spans="1:3" x14ac:dyDescent="0.25">
      <c r="A584" s="5" t="s">
        <v>609</v>
      </c>
      <c r="B584" s="12" t="s">
        <v>598</v>
      </c>
      <c r="C584" s="13" t="s">
        <v>2522</v>
      </c>
    </row>
    <row r="585" spans="1:3" x14ac:dyDescent="0.25">
      <c r="A585" s="129" t="s">
        <v>102</v>
      </c>
      <c r="B585" s="12" t="s">
        <v>104</v>
      </c>
      <c r="C585" t="s">
        <v>103</v>
      </c>
    </row>
    <row r="586" spans="1:3" ht="15" customHeight="1" x14ac:dyDescent="0.25">
      <c r="A586" s="5" t="s">
        <v>1433</v>
      </c>
      <c r="B586" s="5" t="s">
        <v>1432</v>
      </c>
      <c r="C586" t="s">
        <v>1431</v>
      </c>
    </row>
    <row r="587" spans="1:3" ht="15" customHeight="1" x14ac:dyDescent="0.25">
      <c r="A587" s="5" t="s">
        <v>1435</v>
      </c>
      <c r="B587" s="5" t="s">
        <v>1432</v>
      </c>
      <c r="C587" s="5" t="s">
        <v>1434</v>
      </c>
    </row>
    <row r="588" spans="1:3" ht="15" customHeight="1" x14ac:dyDescent="0.25">
      <c r="A588" t="s">
        <v>1436</v>
      </c>
      <c r="B588" t="s">
        <v>646</v>
      </c>
      <c r="C588" t="s">
        <v>646</v>
      </c>
    </row>
    <row r="589" spans="1:3" x14ac:dyDescent="0.25">
      <c r="A589" s="12" t="s">
        <v>1438</v>
      </c>
      <c r="B589" s="12" t="s">
        <v>640</v>
      </c>
      <c r="C589" s="13" t="s">
        <v>1437</v>
      </c>
    </row>
    <row r="590" spans="1:3" x14ac:dyDescent="0.25">
      <c r="A590" s="12" t="s">
        <v>1440</v>
      </c>
      <c r="B590" s="12" t="s">
        <v>640</v>
      </c>
      <c r="C590" s="13" t="s">
        <v>1439</v>
      </c>
    </row>
    <row r="591" spans="1:3" x14ac:dyDescent="0.25">
      <c r="A591" s="12" t="s">
        <v>1442</v>
      </c>
      <c r="B591" s="12" t="s">
        <v>640</v>
      </c>
      <c r="C591" s="13" t="s">
        <v>1441</v>
      </c>
    </row>
    <row r="592" spans="1:3" x14ac:dyDescent="0.25">
      <c r="A592" s="12">
        <v>0</v>
      </c>
      <c r="B592" s="12" t="s">
        <v>640</v>
      </c>
      <c r="C592" s="13" t="s">
        <v>1443</v>
      </c>
    </row>
    <row r="593" spans="1:3" x14ac:dyDescent="0.25">
      <c r="A593" s="12">
        <v>0</v>
      </c>
      <c r="B593" s="12" t="s">
        <v>640</v>
      </c>
      <c r="C593" s="13" t="s">
        <v>1444</v>
      </c>
    </row>
    <row r="594" spans="1:3" x14ac:dyDescent="0.25">
      <c r="A594" s="12" t="s">
        <v>397</v>
      </c>
      <c r="B594" s="13" t="s">
        <v>16</v>
      </c>
      <c r="C594" s="13" t="s">
        <v>398</v>
      </c>
    </row>
    <row r="595" spans="1:3" x14ac:dyDescent="0.25">
      <c r="A595" s="12" t="s">
        <v>2363</v>
      </c>
      <c r="B595" s="12" t="s">
        <v>19</v>
      </c>
      <c r="C595" s="13" t="s">
        <v>2362</v>
      </c>
    </row>
    <row r="596" spans="1:3" x14ac:dyDescent="0.25">
      <c r="A596" s="12" t="s">
        <v>2355</v>
      </c>
      <c r="B596" s="12" t="s">
        <v>19</v>
      </c>
      <c r="C596" s="13" t="s">
        <v>2354</v>
      </c>
    </row>
    <row r="597" spans="1:3" x14ac:dyDescent="0.25">
      <c r="A597" s="12" t="s">
        <v>2365</v>
      </c>
      <c r="B597" s="12" t="s">
        <v>19</v>
      </c>
      <c r="C597" s="13" t="s">
        <v>2364</v>
      </c>
    </row>
    <row r="598" spans="1:3" x14ac:dyDescent="0.25">
      <c r="A598" s="12" t="s">
        <v>2361</v>
      </c>
      <c r="B598" s="12" t="s">
        <v>19</v>
      </c>
      <c r="C598" s="13" t="s">
        <v>2360</v>
      </c>
    </row>
    <row r="599" spans="1:3" x14ac:dyDescent="0.25">
      <c r="A599" s="12" t="s">
        <v>2353</v>
      </c>
      <c r="B599" s="12" t="s">
        <v>19</v>
      </c>
      <c r="C599" s="13" t="s">
        <v>2352</v>
      </c>
    </row>
    <row r="600" spans="1:3" x14ac:dyDescent="0.25">
      <c r="A600" s="12" t="s">
        <v>2359</v>
      </c>
      <c r="B600" s="12" t="s">
        <v>19</v>
      </c>
      <c r="C600" s="13" t="s">
        <v>2358</v>
      </c>
    </row>
    <row r="601" spans="1:3" x14ac:dyDescent="0.25">
      <c r="A601" s="12" t="s">
        <v>2357</v>
      </c>
      <c r="B601" s="12" t="s">
        <v>19</v>
      </c>
      <c r="C601" s="13" t="s">
        <v>2356</v>
      </c>
    </row>
    <row r="602" spans="1:3" x14ac:dyDescent="0.25">
      <c r="A602" s="12" t="s">
        <v>1414</v>
      </c>
      <c r="B602" s="12" t="s">
        <v>107</v>
      </c>
      <c r="C602" s="13" t="s">
        <v>1413</v>
      </c>
    </row>
    <row r="603" spans="1:3" x14ac:dyDescent="0.25">
      <c r="A603" s="12" t="s">
        <v>1446</v>
      </c>
      <c r="B603" s="12" t="s">
        <v>640</v>
      </c>
      <c r="C603" s="13" t="s">
        <v>1445</v>
      </c>
    </row>
    <row r="604" spans="1:3" x14ac:dyDescent="0.25">
      <c r="A604" s="12" t="s">
        <v>100</v>
      </c>
      <c r="B604" s="12" t="s">
        <v>101</v>
      </c>
      <c r="C604" s="13" t="s">
        <v>101</v>
      </c>
    </row>
    <row r="605" spans="1:3" x14ac:dyDescent="0.25">
      <c r="A605" s="4" t="s">
        <v>97</v>
      </c>
      <c r="B605" s="12" t="s">
        <v>99</v>
      </c>
      <c r="C605" s="13" t="s">
        <v>98</v>
      </c>
    </row>
    <row r="606" spans="1:3" x14ac:dyDescent="0.25">
      <c r="A606" s="12" t="s">
        <v>1449</v>
      </c>
      <c r="B606" s="12" t="s">
        <v>99</v>
      </c>
      <c r="C606" s="13" t="s">
        <v>1448</v>
      </c>
    </row>
    <row r="607" spans="1:3" x14ac:dyDescent="0.25">
      <c r="A607" s="12" t="s">
        <v>94</v>
      </c>
      <c r="B607" s="12" t="s">
        <v>96</v>
      </c>
      <c r="C607" s="13" t="s">
        <v>95</v>
      </c>
    </row>
    <row r="608" spans="1:3" x14ac:dyDescent="0.25">
      <c r="A608" s="12" t="s">
        <v>1471</v>
      </c>
      <c r="B608" s="12" t="s">
        <v>96</v>
      </c>
      <c r="C608" s="13" t="s">
        <v>1470</v>
      </c>
    </row>
    <row r="609" spans="1:3" x14ac:dyDescent="0.25">
      <c r="A609" s="12" t="s">
        <v>1483</v>
      </c>
      <c r="B609" s="12" t="s">
        <v>96</v>
      </c>
      <c r="C609" s="13" t="s">
        <v>1482</v>
      </c>
    </row>
    <row r="610" spans="1:3" x14ac:dyDescent="0.25">
      <c r="A610" s="12" t="s">
        <v>1469</v>
      </c>
      <c r="B610" s="12" t="s">
        <v>96</v>
      </c>
      <c r="C610" s="13" t="s">
        <v>1468</v>
      </c>
    </row>
    <row r="611" spans="1:3" x14ac:dyDescent="0.25">
      <c r="A611" s="12" t="s">
        <v>1477</v>
      </c>
      <c r="B611" s="12" t="s">
        <v>96</v>
      </c>
      <c r="C611" s="13" t="s">
        <v>1476</v>
      </c>
    </row>
    <row r="612" spans="1:3" x14ac:dyDescent="0.25">
      <c r="A612" s="12" t="s">
        <v>1494</v>
      </c>
      <c r="B612" s="12" t="s">
        <v>1493</v>
      </c>
      <c r="C612" s="13" t="s">
        <v>1492</v>
      </c>
    </row>
    <row r="613" spans="1:3" x14ac:dyDescent="0.25">
      <c r="A613" s="8" t="s">
        <v>1496</v>
      </c>
      <c r="B613" s="12" t="s">
        <v>1493</v>
      </c>
      <c r="C613" s="13" t="s">
        <v>1495</v>
      </c>
    </row>
    <row r="614" spans="1:3" x14ac:dyDescent="0.25">
      <c r="A614" s="5" t="s">
        <v>1500</v>
      </c>
      <c r="B614" s="12" t="s">
        <v>1493</v>
      </c>
      <c r="C614" s="13" t="s">
        <v>1499</v>
      </c>
    </row>
    <row r="615" spans="1:3" x14ac:dyDescent="0.25">
      <c r="A615" s="12" t="s">
        <v>1502</v>
      </c>
      <c r="B615" s="12" t="s">
        <v>1493</v>
      </c>
      <c r="C615" s="13" t="s">
        <v>1501</v>
      </c>
    </row>
    <row r="616" spans="1:3" x14ac:dyDescent="0.25">
      <c r="A616" s="12" t="s">
        <v>1504</v>
      </c>
      <c r="B616" s="12" t="s">
        <v>1493</v>
      </c>
      <c r="C616" s="13" t="s">
        <v>1503</v>
      </c>
    </row>
    <row r="617" spans="1:3" x14ac:dyDescent="0.25">
      <c r="A617" s="12" t="s">
        <v>1512</v>
      </c>
      <c r="B617" s="12" t="s">
        <v>1493</v>
      </c>
      <c r="C617" s="13" t="s">
        <v>1511</v>
      </c>
    </row>
    <row r="618" spans="1:3" x14ac:dyDescent="0.25">
      <c r="A618" s="12" t="s">
        <v>1514</v>
      </c>
      <c r="B618" s="12" t="s">
        <v>1493</v>
      </c>
      <c r="C618" s="13" t="s">
        <v>1513</v>
      </c>
    </row>
    <row r="619" spans="1:3" x14ac:dyDescent="0.25">
      <c r="A619" s="12" t="s">
        <v>1498</v>
      </c>
      <c r="B619" s="12" t="s">
        <v>1493</v>
      </c>
      <c r="C619" s="13" t="s">
        <v>1497</v>
      </c>
    </row>
    <row r="620" spans="1:3" x14ac:dyDescent="0.25">
      <c r="A620" s="12" t="s">
        <v>1506</v>
      </c>
      <c r="B620" s="12" t="s">
        <v>1493</v>
      </c>
      <c r="C620" s="13" t="s">
        <v>1505</v>
      </c>
    </row>
    <row r="621" spans="1:3" x14ac:dyDescent="0.25">
      <c r="A621" s="12" t="s">
        <v>67</v>
      </c>
      <c r="B621" s="12" t="s">
        <v>60</v>
      </c>
      <c r="C621" s="13" t="s">
        <v>68</v>
      </c>
    </row>
    <row r="622" spans="1:3" x14ac:dyDescent="0.25">
      <c r="A622" s="12" t="s">
        <v>61</v>
      </c>
      <c r="B622" s="12" t="s">
        <v>60</v>
      </c>
      <c r="C622" s="13" t="s">
        <v>62</v>
      </c>
    </row>
    <row r="623" spans="1:3" x14ac:dyDescent="0.25">
      <c r="A623" s="12" t="s">
        <v>73</v>
      </c>
      <c r="B623" s="12" t="s">
        <v>60</v>
      </c>
      <c r="C623" s="13" t="s">
        <v>74</v>
      </c>
    </row>
    <row r="624" spans="1:3" x14ac:dyDescent="0.25">
      <c r="A624" s="12" t="s">
        <v>69</v>
      </c>
      <c r="B624" s="12" t="s">
        <v>60</v>
      </c>
      <c r="C624" s="13" t="s">
        <v>70</v>
      </c>
    </row>
    <row r="625" spans="1:3" x14ac:dyDescent="0.25">
      <c r="A625" s="12" t="s">
        <v>1516</v>
      </c>
      <c r="B625" s="12" t="s">
        <v>60</v>
      </c>
      <c r="C625" s="13" t="s">
        <v>1515</v>
      </c>
    </row>
    <row r="626" spans="1:3" x14ac:dyDescent="0.25">
      <c r="A626" s="12" t="s">
        <v>87</v>
      </c>
      <c r="B626" s="12" t="s">
        <v>60</v>
      </c>
      <c r="C626" s="13" t="s">
        <v>88</v>
      </c>
    </row>
    <row r="627" spans="1:3" x14ac:dyDescent="0.25">
      <c r="A627" s="12" t="s">
        <v>1518</v>
      </c>
      <c r="B627" s="12" t="s">
        <v>60</v>
      </c>
      <c r="C627" s="13" t="s">
        <v>1517</v>
      </c>
    </row>
    <row r="628" spans="1:3" x14ac:dyDescent="0.25">
      <c r="A628" s="12" t="s">
        <v>75</v>
      </c>
      <c r="B628" s="12" t="s">
        <v>60</v>
      </c>
      <c r="C628" s="13" t="s">
        <v>76</v>
      </c>
    </row>
    <row r="629" spans="1:3" x14ac:dyDescent="0.25">
      <c r="A629" s="12" t="s">
        <v>58</v>
      </c>
      <c r="B629" s="12" t="s">
        <v>60</v>
      </c>
      <c r="C629" s="13" t="s">
        <v>59</v>
      </c>
    </row>
    <row r="630" spans="1:3" x14ac:dyDescent="0.25">
      <c r="A630" s="12" t="s">
        <v>63</v>
      </c>
      <c r="B630" s="12" t="s">
        <v>60</v>
      </c>
      <c r="C630" s="13" t="s">
        <v>64</v>
      </c>
    </row>
    <row r="631" spans="1:3" x14ac:dyDescent="0.25">
      <c r="A631" s="12" t="s">
        <v>71</v>
      </c>
      <c r="B631" s="12" t="s">
        <v>60</v>
      </c>
      <c r="C631" s="13" t="s">
        <v>72</v>
      </c>
    </row>
    <row r="632" spans="1:3" x14ac:dyDescent="0.25">
      <c r="A632" s="12" t="s">
        <v>65</v>
      </c>
      <c r="B632" s="12" t="s">
        <v>60</v>
      </c>
      <c r="C632" s="13" t="s">
        <v>66</v>
      </c>
    </row>
    <row r="633" spans="1:3" x14ac:dyDescent="0.25">
      <c r="A633" s="12" t="s">
        <v>77</v>
      </c>
      <c r="B633" s="12" t="s">
        <v>60</v>
      </c>
      <c r="C633" s="13" t="s">
        <v>78</v>
      </c>
    </row>
    <row r="634" spans="1:3" x14ac:dyDescent="0.25">
      <c r="A634" s="12" t="s">
        <v>1520</v>
      </c>
      <c r="B634" s="12" t="s">
        <v>60</v>
      </c>
      <c r="C634" s="13" t="s">
        <v>1519</v>
      </c>
    </row>
    <row r="635" spans="1:3" x14ac:dyDescent="0.25">
      <c r="A635" s="12" t="s">
        <v>81</v>
      </c>
      <c r="B635" s="12" t="s">
        <v>60</v>
      </c>
      <c r="C635" s="13" t="s">
        <v>82</v>
      </c>
    </row>
    <row r="636" spans="1:3" x14ac:dyDescent="0.25">
      <c r="A636" s="12" t="s">
        <v>79</v>
      </c>
      <c r="B636" s="12" t="s">
        <v>60</v>
      </c>
      <c r="C636" s="13" t="s">
        <v>80</v>
      </c>
    </row>
    <row r="637" spans="1:3" x14ac:dyDescent="0.25">
      <c r="A637" s="167" t="s">
        <v>85</v>
      </c>
      <c r="B637" s="12" t="s">
        <v>60</v>
      </c>
      <c r="C637" t="s">
        <v>86</v>
      </c>
    </row>
    <row r="638" spans="1:3" ht="15" customHeight="1" x14ac:dyDescent="0.25">
      <c r="A638" s="167" t="s">
        <v>1463</v>
      </c>
      <c r="B638" t="s">
        <v>96</v>
      </c>
      <c r="C638" t="s">
        <v>2523</v>
      </c>
    </row>
    <row r="639" spans="1:3" ht="15" customHeight="1" x14ac:dyDescent="0.25">
      <c r="A639" s="167" t="s">
        <v>1465</v>
      </c>
      <c r="B639" t="s">
        <v>96</v>
      </c>
      <c r="C639" t="s">
        <v>2524</v>
      </c>
    </row>
    <row r="640" spans="1:3" x14ac:dyDescent="0.25">
      <c r="A640" s="167" t="s">
        <v>778</v>
      </c>
      <c r="B640" s="12" t="s">
        <v>643</v>
      </c>
      <c r="C640" t="s">
        <v>2525</v>
      </c>
    </row>
    <row r="641" spans="1:3" x14ac:dyDescent="0.25">
      <c r="A641" s="12" t="s">
        <v>1522</v>
      </c>
      <c r="B641" s="12" t="s">
        <v>654</v>
      </c>
      <c r="C641" s="13" t="s">
        <v>1521</v>
      </c>
    </row>
    <row r="642" spans="1:3" x14ac:dyDescent="0.25">
      <c r="A642" s="12" t="s">
        <v>1524</v>
      </c>
      <c r="B642" s="12" t="s">
        <v>654</v>
      </c>
      <c r="C642" s="13" t="s">
        <v>1523</v>
      </c>
    </row>
    <row r="643" spans="1:3" x14ac:dyDescent="0.25">
      <c r="A643" s="12" t="s">
        <v>1526</v>
      </c>
      <c r="B643" s="12" t="s">
        <v>654</v>
      </c>
      <c r="C643" s="13" t="s">
        <v>1525</v>
      </c>
    </row>
    <row r="644" spans="1:3" x14ac:dyDescent="0.25">
      <c r="A644" s="12" t="s">
        <v>1528</v>
      </c>
      <c r="B644" s="12" t="s">
        <v>654</v>
      </c>
      <c r="C644" s="13" t="s">
        <v>1527</v>
      </c>
    </row>
    <row r="645" spans="1:3" x14ac:dyDescent="0.25">
      <c r="A645" s="12" t="s">
        <v>1530</v>
      </c>
      <c r="B645" s="12" t="s">
        <v>654</v>
      </c>
      <c r="C645" s="13" t="s">
        <v>1529</v>
      </c>
    </row>
    <row r="646" spans="1:3" x14ac:dyDescent="0.25">
      <c r="A646" s="12" t="s">
        <v>1532</v>
      </c>
      <c r="B646" s="12" t="s">
        <v>654</v>
      </c>
      <c r="C646" s="13" t="s">
        <v>1531</v>
      </c>
    </row>
    <row r="647" spans="1:3" x14ac:dyDescent="0.25">
      <c r="A647" s="12" t="s">
        <v>1534</v>
      </c>
      <c r="B647" s="12" t="s">
        <v>654</v>
      </c>
      <c r="C647" s="13" t="s">
        <v>1533</v>
      </c>
    </row>
    <row r="648" spans="1:3" x14ac:dyDescent="0.25">
      <c r="A648" s="12" t="s">
        <v>1536</v>
      </c>
      <c r="B648" s="12" t="s">
        <v>654</v>
      </c>
      <c r="C648" s="13" t="s">
        <v>1535</v>
      </c>
    </row>
    <row r="649" spans="1:3" x14ac:dyDescent="0.25">
      <c r="A649" s="12" t="s">
        <v>1538</v>
      </c>
      <c r="B649" s="12" t="s">
        <v>654</v>
      </c>
      <c r="C649" s="13" t="s">
        <v>1537</v>
      </c>
    </row>
    <row r="650" spans="1:3" x14ac:dyDescent="0.25">
      <c r="A650" s="12" t="s">
        <v>1540</v>
      </c>
      <c r="B650" s="12" t="s">
        <v>654</v>
      </c>
      <c r="C650" s="13" t="s">
        <v>1539</v>
      </c>
    </row>
    <row r="651" spans="1:3" x14ac:dyDescent="0.25">
      <c r="A651" s="12" t="s">
        <v>1542</v>
      </c>
      <c r="B651" s="12" t="s">
        <v>654</v>
      </c>
      <c r="C651" s="13" t="s">
        <v>1541</v>
      </c>
    </row>
    <row r="652" spans="1:3" x14ac:dyDescent="0.25">
      <c r="A652" s="12" t="s">
        <v>1544</v>
      </c>
      <c r="B652" s="12" t="s">
        <v>654</v>
      </c>
      <c r="C652" s="13" t="s">
        <v>1543</v>
      </c>
    </row>
    <row r="653" spans="1:3" x14ac:dyDescent="0.25">
      <c r="A653" s="12" t="s">
        <v>1546</v>
      </c>
      <c r="B653" s="12" t="s">
        <v>654</v>
      </c>
      <c r="C653" s="13" t="s">
        <v>1545</v>
      </c>
    </row>
    <row r="654" spans="1:3" x14ac:dyDescent="0.25">
      <c r="A654" s="12" t="s">
        <v>1549</v>
      </c>
      <c r="B654" s="12" t="s">
        <v>654</v>
      </c>
      <c r="C654" s="13" t="s">
        <v>1548</v>
      </c>
    </row>
    <row r="655" spans="1:3" x14ac:dyDescent="0.25">
      <c r="A655" s="12" t="s">
        <v>1551</v>
      </c>
      <c r="B655" s="12" t="s">
        <v>654</v>
      </c>
      <c r="C655" s="13" t="s">
        <v>1550</v>
      </c>
    </row>
    <row r="656" spans="1:3" x14ac:dyDescent="0.25">
      <c r="A656" s="12" t="s">
        <v>1553</v>
      </c>
      <c r="B656" s="12" t="s">
        <v>654</v>
      </c>
      <c r="C656" s="13" t="s">
        <v>1552</v>
      </c>
    </row>
    <row r="657" spans="1:3" x14ac:dyDescent="0.25">
      <c r="A657" s="12" t="s">
        <v>1555</v>
      </c>
      <c r="B657" s="12" t="s">
        <v>654</v>
      </c>
      <c r="C657" s="13" t="s">
        <v>1554</v>
      </c>
    </row>
    <row r="658" spans="1:3" x14ac:dyDescent="0.25">
      <c r="A658" s="12" t="s">
        <v>1557</v>
      </c>
      <c r="B658" s="12" t="s">
        <v>654</v>
      </c>
      <c r="C658" s="13" t="s">
        <v>1556</v>
      </c>
    </row>
    <row r="659" spans="1:3" x14ac:dyDescent="0.25">
      <c r="A659" s="12" t="s">
        <v>1559</v>
      </c>
      <c r="B659" s="12" t="s">
        <v>654</v>
      </c>
      <c r="C659" s="13" t="s">
        <v>1558</v>
      </c>
    </row>
    <row r="660" spans="1:3" x14ac:dyDescent="0.25">
      <c r="A660" s="12" t="s">
        <v>1561</v>
      </c>
      <c r="B660" s="12" t="s">
        <v>654</v>
      </c>
      <c r="C660" s="13" t="s">
        <v>1560</v>
      </c>
    </row>
    <row r="661" spans="1:3" x14ac:dyDescent="0.25">
      <c r="A661" s="12" t="s">
        <v>1563</v>
      </c>
      <c r="B661" s="12" t="s">
        <v>654</v>
      </c>
      <c r="C661" s="13" t="s">
        <v>1562</v>
      </c>
    </row>
    <row r="662" spans="1:3" x14ac:dyDescent="0.25">
      <c r="A662" s="12" t="s">
        <v>1565</v>
      </c>
      <c r="B662" s="12" t="s">
        <v>654</v>
      </c>
      <c r="C662" s="13" t="s">
        <v>1564</v>
      </c>
    </row>
    <row r="663" spans="1:3" x14ac:dyDescent="0.25">
      <c r="A663" s="12" t="s">
        <v>1567</v>
      </c>
      <c r="B663" s="12" t="s">
        <v>654</v>
      </c>
      <c r="C663" s="13" t="s">
        <v>1566</v>
      </c>
    </row>
    <row r="664" spans="1:3" x14ac:dyDescent="0.25">
      <c r="A664" s="12" t="s">
        <v>1569</v>
      </c>
      <c r="B664" s="12" t="s">
        <v>654</v>
      </c>
      <c r="C664" s="13" t="s">
        <v>1568</v>
      </c>
    </row>
    <row r="665" spans="1:3" x14ac:dyDescent="0.25">
      <c r="A665" s="12" t="s">
        <v>1571</v>
      </c>
      <c r="B665" s="12" t="s">
        <v>654</v>
      </c>
      <c r="C665" s="13" t="s">
        <v>1570</v>
      </c>
    </row>
    <row r="666" spans="1:3" x14ac:dyDescent="0.25">
      <c r="A666" s="12" t="s">
        <v>1573</v>
      </c>
      <c r="B666" s="12" t="s">
        <v>654</v>
      </c>
      <c r="C666" s="13" t="s">
        <v>1572</v>
      </c>
    </row>
    <row r="667" spans="1:3" x14ac:dyDescent="0.25">
      <c r="A667" s="12" t="s">
        <v>1575</v>
      </c>
      <c r="B667" s="12" t="s">
        <v>654</v>
      </c>
      <c r="C667" s="13" t="s">
        <v>1574</v>
      </c>
    </row>
    <row r="668" spans="1:3" x14ac:dyDescent="0.25">
      <c r="A668" s="12" t="s">
        <v>1577</v>
      </c>
      <c r="B668" s="12" t="s">
        <v>654</v>
      </c>
      <c r="C668" s="13" t="s">
        <v>1576</v>
      </c>
    </row>
    <row r="669" spans="1:3" x14ac:dyDescent="0.25">
      <c r="A669" s="12" t="s">
        <v>1579</v>
      </c>
      <c r="B669" s="12" t="s">
        <v>654</v>
      </c>
      <c r="C669" s="13" t="s">
        <v>1578</v>
      </c>
    </row>
    <row r="670" spans="1:3" x14ac:dyDescent="0.25">
      <c r="A670" s="12" t="s">
        <v>1581</v>
      </c>
      <c r="B670" s="12" t="s">
        <v>654</v>
      </c>
      <c r="C670" s="13" t="s">
        <v>1580</v>
      </c>
    </row>
    <row r="671" spans="1:3" x14ac:dyDescent="0.25">
      <c r="A671" s="12" t="s">
        <v>1583</v>
      </c>
      <c r="B671" s="12" t="s">
        <v>654</v>
      </c>
      <c r="C671" s="13" t="s">
        <v>1582</v>
      </c>
    </row>
    <row r="672" spans="1:3" x14ac:dyDescent="0.25">
      <c r="A672" s="12" t="s">
        <v>1585</v>
      </c>
      <c r="B672" s="12" t="s">
        <v>654</v>
      </c>
      <c r="C672" s="13" t="s">
        <v>1584</v>
      </c>
    </row>
    <row r="673" spans="1:3" x14ac:dyDescent="0.25">
      <c r="A673" s="12" t="s">
        <v>1587</v>
      </c>
      <c r="B673" s="12" t="s">
        <v>654</v>
      </c>
      <c r="C673" s="13" t="s">
        <v>1586</v>
      </c>
    </row>
    <row r="674" spans="1:3" x14ac:dyDescent="0.25">
      <c r="A674" s="12" t="s">
        <v>1589</v>
      </c>
      <c r="B674" s="12" t="s">
        <v>654</v>
      </c>
      <c r="C674" s="13" t="s">
        <v>1588</v>
      </c>
    </row>
    <row r="675" spans="1:3" x14ac:dyDescent="0.25">
      <c r="A675" s="12" t="s">
        <v>1591</v>
      </c>
      <c r="B675" s="12" t="s">
        <v>654</v>
      </c>
      <c r="C675" s="13" t="s">
        <v>1590</v>
      </c>
    </row>
    <row r="676" spans="1:3" x14ac:dyDescent="0.25">
      <c r="A676" s="12" t="s">
        <v>1595</v>
      </c>
      <c r="B676" s="12" t="s">
        <v>654</v>
      </c>
      <c r="C676" s="13" t="s">
        <v>1594</v>
      </c>
    </row>
    <row r="677" spans="1:3" x14ac:dyDescent="0.25">
      <c r="A677" s="12" t="s">
        <v>1593</v>
      </c>
      <c r="B677" s="12" t="s">
        <v>654</v>
      </c>
      <c r="C677" s="13" t="s">
        <v>1592</v>
      </c>
    </row>
    <row r="678" spans="1:3" x14ac:dyDescent="0.25">
      <c r="A678" s="12" t="s">
        <v>1597</v>
      </c>
      <c r="B678" s="12" t="s">
        <v>654</v>
      </c>
      <c r="C678" s="13" t="s">
        <v>1596</v>
      </c>
    </row>
    <row r="679" spans="1:3" x14ac:dyDescent="0.25">
      <c r="A679" s="12" t="s">
        <v>1601</v>
      </c>
      <c r="B679" s="12" t="s">
        <v>654</v>
      </c>
      <c r="C679" s="13" t="s">
        <v>1600</v>
      </c>
    </row>
    <row r="680" spans="1:3" x14ac:dyDescent="0.25">
      <c r="A680" s="12" t="s">
        <v>1603</v>
      </c>
      <c r="B680" s="12" t="s">
        <v>654</v>
      </c>
      <c r="C680" s="13" t="s">
        <v>1602</v>
      </c>
    </row>
    <row r="681" spans="1:3" x14ac:dyDescent="0.25">
      <c r="A681" s="12" t="s">
        <v>1605</v>
      </c>
      <c r="B681" s="12" t="s">
        <v>654</v>
      </c>
      <c r="C681" s="13" t="s">
        <v>1604</v>
      </c>
    </row>
    <row r="682" spans="1:3" x14ac:dyDescent="0.25">
      <c r="A682" s="12" t="s">
        <v>1607</v>
      </c>
      <c r="B682" s="12" t="s">
        <v>654</v>
      </c>
      <c r="C682" s="13" t="s">
        <v>1606</v>
      </c>
    </row>
    <row r="683" spans="1:3" x14ac:dyDescent="0.25">
      <c r="A683" s="12" t="s">
        <v>1609</v>
      </c>
      <c r="B683" s="12" t="s">
        <v>654</v>
      </c>
      <c r="C683" s="13" t="s">
        <v>1608</v>
      </c>
    </row>
    <row r="684" spans="1:3" x14ac:dyDescent="0.25">
      <c r="A684" s="12" t="s">
        <v>1612</v>
      </c>
      <c r="B684" s="12" t="s">
        <v>654</v>
      </c>
      <c r="C684" s="13" t="s">
        <v>1611</v>
      </c>
    </row>
    <row r="685" spans="1:3" x14ac:dyDescent="0.25">
      <c r="A685" s="12" t="s">
        <v>1614</v>
      </c>
      <c r="B685" s="12" t="s">
        <v>654</v>
      </c>
      <c r="C685" s="13" t="s">
        <v>1613</v>
      </c>
    </row>
    <row r="686" spans="1:3" x14ac:dyDescent="0.25">
      <c r="A686" s="12" t="s">
        <v>1617</v>
      </c>
      <c r="B686" s="12" t="s">
        <v>654</v>
      </c>
      <c r="C686" s="13" t="s">
        <v>1616</v>
      </c>
    </row>
    <row r="687" spans="1:3" x14ac:dyDescent="0.25">
      <c r="A687" s="12" t="s">
        <v>1619</v>
      </c>
      <c r="B687" s="12" t="s">
        <v>654</v>
      </c>
      <c r="C687" s="13" t="s">
        <v>1618</v>
      </c>
    </row>
    <row r="688" spans="1:3" x14ac:dyDescent="0.25">
      <c r="A688" s="12" t="s">
        <v>1621</v>
      </c>
      <c r="B688" s="12" t="s">
        <v>654</v>
      </c>
      <c r="C688" s="13" t="s">
        <v>1620</v>
      </c>
    </row>
    <row r="689" spans="1:3" x14ac:dyDescent="0.25">
      <c r="A689" s="12" t="s">
        <v>1623</v>
      </c>
      <c r="B689" s="12" t="s">
        <v>654</v>
      </c>
      <c r="C689" s="13" t="s">
        <v>1622</v>
      </c>
    </row>
    <row r="690" spans="1:3" x14ac:dyDescent="0.25">
      <c r="A690" s="12" t="s">
        <v>1625</v>
      </c>
      <c r="B690" s="12" t="s">
        <v>654</v>
      </c>
      <c r="C690" s="13" t="s">
        <v>1624</v>
      </c>
    </row>
    <row r="691" spans="1:3" x14ac:dyDescent="0.25">
      <c r="A691" s="12" t="s">
        <v>1627</v>
      </c>
      <c r="B691" s="12" t="s">
        <v>654</v>
      </c>
      <c r="C691" s="13" t="s">
        <v>1626</v>
      </c>
    </row>
    <row r="692" spans="1:3" x14ac:dyDescent="0.25">
      <c r="A692" s="12" t="s">
        <v>1629</v>
      </c>
      <c r="B692" s="12" t="s">
        <v>654</v>
      </c>
      <c r="C692" s="13" t="s">
        <v>1628</v>
      </c>
    </row>
    <row r="693" spans="1:3" x14ac:dyDescent="0.25">
      <c r="A693" s="12" t="s">
        <v>1631</v>
      </c>
      <c r="B693" s="12" t="s">
        <v>654</v>
      </c>
      <c r="C693" s="13" t="s">
        <v>1630</v>
      </c>
    </row>
    <row r="694" spans="1:3" x14ac:dyDescent="0.25">
      <c r="A694" s="12" t="s">
        <v>1633</v>
      </c>
      <c r="B694" s="12" t="s">
        <v>654</v>
      </c>
      <c r="C694" s="13" t="s">
        <v>1632</v>
      </c>
    </row>
    <row r="695" spans="1:3" x14ac:dyDescent="0.25">
      <c r="A695" s="12" t="s">
        <v>1635</v>
      </c>
      <c r="B695" s="12" t="s">
        <v>654</v>
      </c>
      <c r="C695" s="13" t="s">
        <v>1634</v>
      </c>
    </row>
    <row r="696" spans="1:3" x14ac:dyDescent="0.25">
      <c r="A696" s="12" t="s">
        <v>1637</v>
      </c>
      <c r="B696" s="12" t="s">
        <v>654</v>
      </c>
      <c r="C696" s="13" t="s">
        <v>1636</v>
      </c>
    </row>
    <row r="697" spans="1:3" x14ac:dyDescent="0.25">
      <c r="A697" s="12">
        <v>0</v>
      </c>
      <c r="B697" s="12" t="s">
        <v>654</v>
      </c>
      <c r="C697" s="13" t="s">
        <v>1640</v>
      </c>
    </row>
    <row r="698" spans="1:3" x14ac:dyDescent="0.25">
      <c r="A698" s="12">
        <v>0</v>
      </c>
      <c r="B698" s="12" t="s">
        <v>654</v>
      </c>
      <c r="C698" s="13" t="s">
        <v>1641</v>
      </c>
    </row>
    <row r="699" spans="1:3" x14ac:dyDescent="0.25">
      <c r="A699" s="12">
        <v>0</v>
      </c>
      <c r="B699" s="12" t="s">
        <v>654</v>
      </c>
      <c r="C699" s="13" t="s">
        <v>1642</v>
      </c>
    </row>
    <row r="700" spans="1:3" x14ac:dyDescent="0.25">
      <c r="A700" s="12" t="s">
        <v>1644</v>
      </c>
      <c r="B700" s="12" t="s">
        <v>654</v>
      </c>
      <c r="C700" s="13" t="s">
        <v>1643</v>
      </c>
    </row>
    <row r="701" spans="1:3" x14ac:dyDescent="0.25">
      <c r="A701" s="12" t="s">
        <v>1646</v>
      </c>
      <c r="B701" s="12" t="s">
        <v>654</v>
      </c>
      <c r="C701" s="13" t="s">
        <v>1645</v>
      </c>
    </row>
    <row r="702" spans="1:3" x14ac:dyDescent="0.25">
      <c r="A702" s="12">
        <v>0</v>
      </c>
      <c r="B702" s="12" t="s">
        <v>654</v>
      </c>
      <c r="C702" s="13" t="s">
        <v>1648</v>
      </c>
    </row>
    <row r="703" spans="1:3" x14ac:dyDescent="0.25">
      <c r="A703" s="12" t="s">
        <v>1650</v>
      </c>
      <c r="B703" s="12" t="s">
        <v>654</v>
      </c>
      <c r="C703" s="13" t="s">
        <v>1649</v>
      </c>
    </row>
    <row r="704" spans="1:3" x14ac:dyDescent="0.25">
      <c r="A704" s="12">
        <v>0</v>
      </c>
      <c r="B704" s="12" t="s">
        <v>654</v>
      </c>
      <c r="C704" s="13" t="s">
        <v>1651</v>
      </c>
    </row>
    <row r="705" spans="1:3" x14ac:dyDescent="0.25">
      <c r="A705" s="12">
        <v>0</v>
      </c>
      <c r="B705" s="12" t="s">
        <v>654</v>
      </c>
      <c r="C705" s="13" t="s">
        <v>1653</v>
      </c>
    </row>
    <row r="706" spans="1:3" x14ac:dyDescent="0.25">
      <c r="A706" s="12" t="s">
        <v>1656</v>
      </c>
      <c r="B706" s="12" t="s">
        <v>654</v>
      </c>
      <c r="C706" s="13" t="s">
        <v>1655</v>
      </c>
    </row>
    <row r="707" spans="1:3" x14ac:dyDescent="0.25">
      <c r="A707" s="12" t="s">
        <v>1658</v>
      </c>
      <c r="B707" s="12" t="s">
        <v>654</v>
      </c>
      <c r="C707" s="13" t="s">
        <v>1657</v>
      </c>
    </row>
    <row r="708" spans="1:3" x14ac:dyDescent="0.25">
      <c r="A708" s="12" t="s">
        <v>1660</v>
      </c>
      <c r="B708" s="12" t="s">
        <v>654</v>
      </c>
      <c r="C708" s="13" t="s">
        <v>1659</v>
      </c>
    </row>
    <row r="709" spans="1:3" x14ac:dyDescent="0.25">
      <c r="A709" s="12" t="s">
        <v>1662</v>
      </c>
      <c r="B709" s="12" t="s">
        <v>654</v>
      </c>
      <c r="C709" s="13" t="s">
        <v>1661</v>
      </c>
    </row>
    <row r="710" spans="1:3" x14ac:dyDescent="0.25">
      <c r="A710" s="12" t="s">
        <v>1664</v>
      </c>
      <c r="B710" s="12" t="s">
        <v>654</v>
      </c>
      <c r="C710" s="13" t="s">
        <v>1663</v>
      </c>
    </row>
    <row r="711" spans="1:3" x14ac:dyDescent="0.25">
      <c r="A711" s="12" t="s">
        <v>1666</v>
      </c>
      <c r="B711" s="12" t="s">
        <v>654</v>
      </c>
      <c r="C711" s="13" t="s">
        <v>1665</v>
      </c>
    </row>
    <row r="712" spans="1:3" x14ac:dyDescent="0.25">
      <c r="A712" s="12" t="s">
        <v>1669</v>
      </c>
      <c r="B712" s="12" t="s">
        <v>654</v>
      </c>
      <c r="C712" s="13" t="s">
        <v>1668</v>
      </c>
    </row>
    <row r="713" spans="1:3" x14ac:dyDescent="0.25">
      <c r="A713" s="12" t="s">
        <v>1671</v>
      </c>
      <c r="B713" s="12" t="s">
        <v>654</v>
      </c>
      <c r="C713" s="13" t="s">
        <v>1670</v>
      </c>
    </row>
    <row r="714" spans="1:3" x14ac:dyDescent="0.25">
      <c r="A714" s="12" t="s">
        <v>1673</v>
      </c>
      <c r="B714" s="12" t="s">
        <v>654</v>
      </c>
      <c r="C714" s="13" t="s">
        <v>1672</v>
      </c>
    </row>
    <row r="715" spans="1:3" x14ac:dyDescent="0.25">
      <c r="A715" s="12">
        <v>0</v>
      </c>
      <c r="B715" s="12" t="s">
        <v>654</v>
      </c>
      <c r="C715" s="13" t="s">
        <v>1674</v>
      </c>
    </row>
    <row r="716" spans="1:3" x14ac:dyDescent="0.25">
      <c r="A716" s="12">
        <v>0</v>
      </c>
      <c r="B716" s="12" t="s">
        <v>654</v>
      </c>
      <c r="C716" s="13" t="s">
        <v>1675</v>
      </c>
    </row>
    <row r="717" spans="1:3" x14ac:dyDescent="0.25">
      <c r="A717" s="12">
        <v>0</v>
      </c>
      <c r="B717" s="12" t="s">
        <v>654</v>
      </c>
      <c r="C717" s="13" t="s">
        <v>1676</v>
      </c>
    </row>
    <row r="718" spans="1:3" x14ac:dyDescent="0.25">
      <c r="A718" s="12">
        <v>0</v>
      </c>
      <c r="B718" s="12" t="s">
        <v>654</v>
      </c>
      <c r="C718" s="13" t="s">
        <v>1677</v>
      </c>
    </row>
    <row r="719" spans="1:3" x14ac:dyDescent="0.25">
      <c r="A719" s="12">
        <v>0</v>
      </c>
      <c r="B719" s="12" t="s">
        <v>654</v>
      </c>
      <c r="C719" s="13" t="s">
        <v>1679</v>
      </c>
    </row>
    <row r="720" spans="1:3" x14ac:dyDescent="0.25">
      <c r="A720" s="12">
        <v>0</v>
      </c>
      <c r="B720" s="12" t="s">
        <v>654</v>
      </c>
      <c r="C720" s="13" t="s">
        <v>1680</v>
      </c>
    </row>
    <row r="721" spans="1:3" x14ac:dyDescent="0.25">
      <c r="A721" s="12">
        <v>0</v>
      </c>
      <c r="B721" s="12" t="s">
        <v>654</v>
      </c>
      <c r="C721" s="13" t="s">
        <v>1681</v>
      </c>
    </row>
    <row r="722" spans="1:3" x14ac:dyDescent="0.25">
      <c r="A722" s="12" t="s">
        <v>1683</v>
      </c>
      <c r="B722" s="12" t="s">
        <v>654</v>
      </c>
      <c r="C722" s="13" t="s">
        <v>1682</v>
      </c>
    </row>
    <row r="723" spans="1:3" x14ac:dyDescent="0.25">
      <c r="A723" s="12">
        <v>0</v>
      </c>
      <c r="B723" s="12" t="s">
        <v>654</v>
      </c>
      <c r="C723" s="13" t="s">
        <v>1684</v>
      </c>
    </row>
    <row r="724" spans="1:3" x14ac:dyDescent="0.25">
      <c r="A724" s="12">
        <v>0</v>
      </c>
      <c r="B724" s="12" t="s">
        <v>654</v>
      </c>
      <c r="C724" s="13" t="s">
        <v>1685</v>
      </c>
    </row>
    <row r="725" spans="1:3" x14ac:dyDescent="0.25">
      <c r="A725" s="12">
        <v>0</v>
      </c>
      <c r="B725" s="12" t="s">
        <v>654</v>
      </c>
      <c r="C725" s="13" t="s">
        <v>1686</v>
      </c>
    </row>
    <row r="726" spans="1:3" x14ac:dyDescent="0.25">
      <c r="A726" s="12">
        <v>0</v>
      </c>
      <c r="B726" s="12" t="s">
        <v>654</v>
      </c>
      <c r="C726" s="13" t="s">
        <v>1687</v>
      </c>
    </row>
    <row r="727" spans="1:3" x14ac:dyDescent="0.25">
      <c r="A727" s="12">
        <v>0</v>
      </c>
      <c r="B727" s="12" t="s">
        <v>654</v>
      </c>
      <c r="C727" s="13" t="s">
        <v>1688</v>
      </c>
    </row>
    <row r="728" spans="1:3" x14ac:dyDescent="0.25">
      <c r="A728" s="12">
        <v>0</v>
      </c>
      <c r="B728" s="12" t="s">
        <v>654</v>
      </c>
      <c r="C728" s="13" t="s">
        <v>1690</v>
      </c>
    </row>
    <row r="729" spans="1:3" x14ac:dyDescent="0.25">
      <c r="A729" s="12">
        <v>0</v>
      </c>
      <c r="B729" s="12" t="s">
        <v>654</v>
      </c>
      <c r="C729" s="13" t="s">
        <v>1692</v>
      </c>
    </row>
    <row r="730" spans="1:3" x14ac:dyDescent="0.25">
      <c r="A730" s="12">
        <v>0</v>
      </c>
      <c r="B730" s="12" t="s">
        <v>654</v>
      </c>
      <c r="C730" s="13" t="s">
        <v>1693</v>
      </c>
    </row>
    <row r="731" spans="1:3" x14ac:dyDescent="0.25">
      <c r="A731" s="12">
        <v>0</v>
      </c>
      <c r="B731" s="12" t="s">
        <v>654</v>
      </c>
      <c r="C731" s="13" t="s">
        <v>1694</v>
      </c>
    </row>
    <row r="732" spans="1:3" x14ac:dyDescent="0.25">
      <c r="A732" s="12" t="s">
        <v>54</v>
      </c>
      <c r="B732" s="12" t="s">
        <v>43</v>
      </c>
      <c r="C732" s="13" t="s">
        <v>55</v>
      </c>
    </row>
    <row r="733" spans="1:3" x14ac:dyDescent="0.25">
      <c r="A733" s="12" t="s">
        <v>1697</v>
      </c>
      <c r="B733" s="12" t="s">
        <v>43</v>
      </c>
      <c r="C733" s="13" t="s">
        <v>1696</v>
      </c>
    </row>
    <row r="734" spans="1:3" x14ac:dyDescent="0.25">
      <c r="A734" s="12" t="s">
        <v>1699</v>
      </c>
      <c r="B734" s="12" t="s">
        <v>43</v>
      </c>
      <c r="C734" s="13" t="s">
        <v>1698</v>
      </c>
    </row>
    <row r="735" spans="1:3" x14ac:dyDescent="0.25">
      <c r="A735" s="12" t="s">
        <v>52</v>
      </c>
      <c r="B735" s="12" t="s">
        <v>43</v>
      </c>
      <c r="C735" s="13" t="s">
        <v>53</v>
      </c>
    </row>
    <row r="736" spans="1:3" x14ac:dyDescent="0.25">
      <c r="A736" s="12" t="s">
        <v>1701</v>
      </c>
      <c r="B736" s="12" t="s">
        <v>43</v>
      </c>
      <c r="C736" s="13" t="s">
        <v>1700</v>
      </c>
    </row>
    <row r="737" spans="1:3" x14ac:dyDescent="0.25">
      <c r="A737" s="12" t="s">
        <v>46</v>
      </c>
      <c r="B737" s="12" t="s">
        <v>43</v>
      </c>
      <c r="C737" s="13" t="s">
        <v>47</v>
      </c>
    </row>
    <row r="738" spans="1:3" x14ac:dyDescent="0.25">
      <c r="A738" s="12" t="s">
        <v>1703</v>
      </c>
      <c r="B738" s="12" t="s">
        <v>43</v>
      </c>
      <c r="C738" s="13" t="s">
        <v>1702</v>
      </c>
    </row>
    <row r="739" spans="1:3" x14ac:dyDescent="0.25">
      <c r="A739" s="12" t="s">
        <v>1705</v>
      </c>
      <c r="B739" s="12" t="s">
        <v>43</v>
      </c>
      <c r="C739" s="13" t="s">
        <v>1704</v>
      </c>
    </row>
    <row r="740" spans="1:3" x14ac:dyDescent="0.25">
      <c r="A740" s="12" t="s">
        <v>44</v>
      </c>
      <c r="B740" s="12" t="s">
        <v>43</v>
      </c>
      <c r="C740" s="13" t="s">
        <v>45</v>
      </c>
    </row>
    <row r="741" spans="1:3" x14ac:dyDescent="0.25">
      <c r="A741" s="12" t="s">
        <v>1707</v>
      </c>
      <c r="B741" s="12" t="s">
        <v>43</v>
      </c>
      <c r="C741" s="13" t="s">
        <v>1706</v>
      </c>
    </row>
    <row r="742" spans="1:3" x14ac:dyDescent="0.25">
      <c r="A742" s="12" t="s">
        <v>1709</v>
      </c>
      <c r="B742" s="12" t="s">
        <v>43</v>
      </c>
      <c r="C742" s="13" t="s">
        <v>1708</v>
      </c>
    </row>
    <row r="743" spans="1:3" x14ac:dyDescent="0.25">
      <c r="A743" s="12" t="s">
        <v>1711</v>
      </c>
      <c r="B743" s="12" t="s">
        <v>43</v>
      </c>
      <c r="C743" s="13" t="s">
        <v>1710</v>
      </c>
    </row>
    <row r="744" spans="1:3" x14ac:dyDescent="0.25">
      <c r="A744" s="12" t="s">
        <v>48</v>
      </c>
      <c r="B744" s="12" t="s">
        <v>43</v>
      </c>
      <c r="C744" s="13" t="s">
        <v>49</v>
      </c>
    </row>
    <row r="745" spans="1:3" x14ac:dyDescent="0.25">
      <c r="A745" s="12" t="s">
        <v>1713</v>
      </c>
      <c r="B745" s="12" t="s">
        <v>43</v>
      </c>
      <c r="C745" s="13" t="s">
        <v>1712</v>
      </c>
    </row>
    <row r="746" spans="1:3" x14ac:dyDescent="0.25">
      <c r="A746" s="12" t="s">
        <v>50</v>
      </c>
      <c r="B746" s="12" t="s">
        <v>43</v>
      </c>
      <c r="C746" s="13" t="s">
        <v>51</v>
      </c>
    </row>
    <row r="747" spans="1:3" x14ac:dyDescent="0.25">
      <c r="A747" s="12" t="s">
        <v>56</v>
      </c>
      <c r="B747" s="12" t="s">
        <v>43</v>
      </c>
      <c r="C747" s="13" t="s">
        <v>57</v>
      </c>
    </row>
    <row r="748" spans="1:3" x14ac:dyDescent="0.25">
      <c r="A748" s="18" t="s">
        <v>1715</v>
      </c>
      <c r="B748" s="12" t="s">
        <v>43</v>
      </c>
      <c r="C748" s="13" t="s">
        <v>1714</v>
      </c>
    </row>
    <row r="749" spans="1:3" x14ac:dyDescent="0.25">
      <c r="A749" s="12" t="s">
        <v>1717</v>
      </c>
      <c r="B749" s="12" t="s">
        <v>43</v>
      </c>
      <c r="C749" s="13" t="s">
        <v>1716</v>
      </c>
    </row>
    <row r="750" spans="1:3" x14ac:dyDescent="0.25">
      <c r="A750" s="12" t="s">
        <v>41</v>
      </c>
      <c r="B750" s="12" t="s">
        <v>43</v>
      </c>
      <c r="C750" s="13" t="s">
        <v>42</v>
      </c>
    </row>
    <row r="751" spans="1:3" x14ac:dyDescent="0.25">
      <c r="A751" s="12" t="s">
        <v>1719</v>
      </c>
      <c r="B751" s="12" t="s">
        <v>43</v>
      </c>
      <c r="C751" s="13" t="s">
        <v>1718</v>
      </c>
    </row>
    <row r="752" spans="1:3" x14ac:dyDescent="0.25">
      <c r="A752" s="12" t="s">
        <v>1721</v>
      </c>
      <c r="B752" s="12" t="s">
        <v>43</v>
      </c>
      <c r="C752" s="13" t="s">
        <v>1720</v>
      </c>
    </row>
    <row r="753" spans="1:3" x14ac:dyDescent="0.25">
      <c r="A753" s="12" t="s">
        <v>1723</v>
      </c>
      <c r="B753" s="13" t="s">
        <v>43</v>
      </c>
      <c r="C753" s="13" t="s">
        <v>1722</v>
      </c>
    </row>
    <row r="754" spans="1:3" x14ac:dyDescent="0.25">
      <c r="A754" s="12" t="s">
        <v>2526</v>
      </c>
      <c r="B754" s="12" t="s">
        <v>1730</v>
      </c>
      <c r="C754" s="13" t="s">
        <v>1730</v>
      </c>
    </row>
    <row r="755" spans="1:3" x14ac:dyDescent="0.25">
      <c r="A755" s="12" t="s">
        <v>1725</v>
      </c>
      <c r="B755" s="12" t="s">
        <v>650</v>
      </c>
      <c r="C755" s="13" t="s">
        <v>1724</v>
      </c>
    </row>
    <row r="756" spans="1:3" x14ac:dyDescent="0.25">
      <c r="A756" s="12" t="s">
        <v>1729</v>
      </c>
      <c r="B756" s="12" t="s">
        <v>1728</v>
      </c>
      <c r="C756" s="13" t="s">
        <v>1728</v>
      </c>
    </row>
    <row r="757" spans="1:3" x14ac:dyDescent="0.25">
      <c r="A757" s="12" t="s">
        <v>1742</v>
      </c>
      <c r="B757" s="12" t="s">
        <v>1741</v>
      </c>
      <c r="C757" s="13" t="s">
        <v>1741</v>
      </c>
    </row>
    <row r="758" spans="1:3" x14ac:dyDescent="0.25">
      <c r="A758" s="12" t="s">
        <v>1744</v>
      </c>
      <c r="B758" s="12" t="s">
        <v>1743</v>
      </c>
      <c r="C758" s="13" t="s">
        <v>1743</v>
      </c>
    </row>
    <row r="759" spans="1:3" x14ac:dyDescent="0.25">
      <c r="A759" s="12" t="s">
        <v>2177</v>
      </c>
      <c r="B759" s="12" t="s">
        <v>653</v>
      </c>
      <c r="C759" s="13" t="s">
        <v>653</v>
      </c>
    </row>
    <row r="760" spans="1:3" x14ac:dyDescent="0.25">
      <c r="A760" s="12" t="s">
        <v>1747</v>
      </c>
      <c r="B760" s="12" t="s">
        <v>1746</v>
      </c>
      <c r="C760" s="13" t="s">
        <v>1745</v>
      </c>
    </row>
    <row r="761" spans="1:3" x14ac:dyDescent="0.25">
      <c r="A761" s="12" t="s">
        <v>1749</v>
      </c>
      <c r="B761" s="12" t="s">
        <v>1746</v>
      </c>
      <c r="C761" s="13" t="s">
        <v>1748</v>
      </c>
    </row>
    <row r="762" spans="1:3" x14ac:dyDescent="0.25">
      <c r="A762" s="12" t="s">
        <v>1751</v>
      </c>
      <c r="B762" s="12" t="s">
        <v>1746</v>
      </c>
      <c r="C762" s="13" t="s">
        <v>1750</v>
      </c>
    </row>
    <row r="763" spans="1:3" x14ac:dyDescent="0.25">
      <c r="A763" s="12" t="s">
        <v>1753</v>
      </c>
      <c r="B763" s="12" t="s">
        <v>1746</v>
      </c>
      <c r="C763" s="13" t="s">
        <v>1752</v>
      </c>
    </row>
    <row r="764" spans="1:3" x14ac:dyDescent="0.25">
      <c r="A764" s="12" t="s">
        <v>1756</v>
      </c>
      <c r="B764" s="12" t="s">
        <v>1755</v>
      </c>
      <c r="C764" s="13" t="s">
        <v>1754</v>
      </c>
    </row>
    <row r="765" spans="1:3" x14ac:dyDescent="0.25">
      <c r="A765" s="12" t="s">
        <v>1758</v>
      </c>
      <c r="B765" s="12" t="s">
        <v>1755</v>
      </c>
      <c r="C765" s="13" t="s">
        <v>1757</v>
      </c>
    </row>
    <row r="766" spans="1:3" x14ac:dyDescent="0.25">
      <c r="A766" s="12" t="s">
        <v>1760</v>
      </c>
      <c r="B766" s="12" t="s">
        <v>1755</v>
      </c>
      <c r="C766" s="13" t="s">
        <v>1759</v>
      </c>
    </row>
    <row r="767" spans="1:3" x14ac:dyDescent="0.25">
      <c r="A767" s="12" t="s">
        <v>1762</v>
      </c>
      <c r="B767" s="12" t="s">
        <v>1755</v>
      </c>
      <c r="C767" s="13" t="s">
        <v>1761</v>
      </c>
    </row>
    <row r="768" spans="1:3" x14ac:dyDescent="0.25">
      <c r="A768" s="12" t="s">
        <v>1764</v>
      </c>
      <c r="B768" s="12" t="s">
        <v>1755</v>
      </c>
      <c r="C768" s="13" t="s">
        <v>1763</v>
      </c>
    </row>
    <row r="769" spans="1:3" x14ac:dyDescent="0.25">
      <c r="A769" s="12" t="s">
        <v>1766</v>
      </c>
      <c r="B769" s="12" t="s">
        <v>1755</v>
      </c>
      <c r="C769" s="13" t="s">
        <v>1765</v>
      </c>
    </row>
    <row r="770" spans="1:3" x14ac:dyDescent="0.25">
      <c r="A770" s="12" t="s">
        <v>1768</v>
      </c>
      <c r="B770" s="12" t="s">
        <v>1755</v>
      </c>
      <c r="C770" s="13" t="s">
        <v>1767</v>
      </c>
    </row>
    <row r="771" spans="1:3" x14ac:dyDescent="0.25">
      <c r="A771" s="5" t="s">
        <v>1770</v>
      </c>
      <c r="B771" s="12" t="s">
        <v>1755</v>
      </c>
      <c r="C771" s="13" t="s">
        <v>1769</v>
      </c>
    </row>
    <row r="772" spans="1:3" x14ac:dyDescent="0.25">
      <c r="A772" s="12" t="s">
        <v>1772</v>
      </c>
      <c r="B772" s="12" t="s">
        <v>1755</v>
      </c>
      <c r="C772" s="13" t="s">
        <v>1771</v>
      </c>
    </row>
    <row r="773" spans="1:3" x14ac:dyDescent="0.25">
      <c r="A773" s="12" t="s">
        <v>1774</v>
      </c>
      <c r="B773" s="12" t="s">
        <v>1755</v>
      </c>
      <c r="C773" s="13" t="s">
        <v>1773</v>
      </c>
    </row>
    <row r="774" spans="1:3" x14ac:dyDescent="0.25">
      <c r="A774" s="12" t="s">
        <v>1776</v>
      </c>
      <c r="B774" s="12" t="s">
        <v>1755</v>
      </c>
      <c r="C774" s="13" t="s">
        <v>1775</v>
      </c>
    </row>
    <row r="775" spans="1:3" x14ac:dyDescent="0.25">
      <c r="A775" s="12" t="s">
        <v>1778</v>
      </c>
      <c r="B775" s="12" t="s">
        <v>1755</v>
      </c>
      <c r="C775" s="13" t="s">
        <v>1777</v>
      </c>
    </row>
    <row r="776" spans="1:3" x14ac:dyDescent="0.25">
      <c r="A776" s="12" t="s">
        <v>1780</v>
      </c>
      <c r="B776" s="12" t="s">
        <v>1755</v>
      </c>
      <c r="C776" s="13" t="s">
        <v>1779</v>
      </c>
    </row>
    <row r="777" spans="1:3" x14ac:dyDescent="0.25">
      <c r="A777" s="12" t="s">
        <v>2173</v>
      </c>
      <c r="B777" s="12" t="s">
        <v>1755</v>
      </c>
      <c r="C777" s="13" t="s">
        <v>2171</v>
      </c>
    </row>
    <row r="778" spans="1:3" x14ac:dyDescent="0.25">
      <c r="A778" s="12" t="s">
        <v>1782</v>
      </c>
      <c r="B778" s="12" t="s">
        <v>1755</v>
      </c>
      <c r="C778" s="13" t="s">
        <v>1781</v>
      </c>
    </row>
    <row r="779" spans="1:3" x14ac:dyDescent="0.25">
      <c r="A779" s="12" t="s">
        <v>1784</v>
      </c>
      <c r="B779" s="12" t="s">
        <v>1755</v>
      </c>
      <c r="C779" s="13" t="s">
        <v>1783</v>
      </c>
    </row>
    <row r="780" spans="1:3" x14ac:dyDescent="0.25">
      <c r="A780" s="12" t="s">
        <v>1786</v>
      </c>
      <c r="B780" s="12" t="s">
        <v>1755</v>
      </c>
      <c r="C780" s="13" t="s">
        <v>1785</v>
      </c>
    </row>
    <row r="781" spans="1:3" x14ac:dyDescent="0.25">
      <c r="A781" s="12" t="s">
        <v>1788</v>
      </c>
      <c r="B781" s="12" t="s">
        <v>1755</v>
      </c>
      <c r="C781" s="13" t="s">
        <v>1787</v>
      </c>
    </row>
    <row r="782" spans="1:3" x14ac:dyDescent="0.25">
      <c r="A782" s="12" t="s">
        <v>1790</v>
      </c>
      <c r="B782" s="12" t="s">
        <v>1755</v>
      </c>
      <c r="C782" s="13" t="s">
        <v>1789</v>
      </c>
    </row>
    <row r="783" spans="1:3" x14ac:dyDescent="0.25">
      <c r="A783" s="12" t="s">
        <v>1792</v>
      </c>
      <c r="B783" s="12" t="s">
        <v>1755</v>
      </c>
      <c r="C783" s="13" t="s">
        <v>1791</v>
      </c>
    </row>
    <row r="784" spans="1:3" x14ac:dyDescent="0.25">
      <c r="A784" s="12" t="s">
        <v>1794</v>
      </c>
      <c r="B784" s="12" t="s">
        <v>1755</v>
      </c>
      <c r="C784" s="13" t="s">
        <v>1793</v>
      </c>
    </row>
    <row r="785" spans="1:3" x14ac:dyDescent="0.25">
      <c r="A785" s="125" t="s">
        <v>1796</v>
      </c>
      <c r="B785" s="12" t="s">
        <v>1755</v>
      </c>
      <c r="C785" t="s">
        <v>1795</v>
      </c>
    </row>
    <row r="786" spans="1:3" x14ac:dyDescent="0.25">
      <c r="A786" s="12" t="s">
        <v>1798</v>
      </c>
      <c r="B786" s="12" t="s">
        <v>1755</v>
      </c>
      <c r="C786" s="13" t="s">
        <v>1797</v>
      </c>
    </row>
    <row r="787" spans="1:3" x14ac:dyDescent="0.25">
      <c r="A787" s="12" t="s">
        <v>1800</v>
      </c>
      <c r="B787" s="12" t="s">
        <v>1755</v>
      </c>
      <c r="C787" s="13" t="s">
        <v>1799</v>
      </c>
    </row>
    <row r="788" spans="1:3" x14ac:dyDescent="0.25">
      <c r="A788" s="12" t="s">
        <v>1802</v>
      </c>
      <c r="B788" s="12" t="s">
        <v>1755</v>
      </c>
      <c r="C788" s="13" t="s">
        <v>1801</v>
      </c>
    </row>
    <row r="789" spans="1:3" x14ac:dyDescent="0.25">
      <c r="A789" s="12" t="s">
        <v>1804</v>
      </c>
      <c r="B789" s="12" t="s">
        <v>1755</v>
      </c>
      <c r="C789" s="13" t="s">
        <v>1803</v>
      </c>
    </row>
    <row r="790" spans="1:3" x14ac:dyDescent="0.25">
      <c r="A790" s="12" t="s">
        <v>1806</v>
      </c>
      <c r="B790" s="12" t="s">
        <v>1755</v>
      </c>
      <c r="C790" s="13" t="s">
        <v>1805</v>
      </c>
    </row>
    <row r="791" spans="1:3" x14ac:dyDescent="0.25">
      <c r="A791" s="12" t="s">
        <v>2170</v>
      </c>
      <c r="B791" s="12" t="s">
        <v>1755</v>
      </c>
      <c r="C791" s="13" t="s">
        <v>2169</v>
      </c>
    </row>
    <row r="792" spans="1:3" x14ac:dyDescent="0.25">
      <c r="A792" s="12" t="s">
        <v>1808</v>
      </c>
      <c r="B792" s="12" t="s">
        <v>1755</v>
      </c>
      <c r="C792" s="13" t="s">
        <v>1807</v>
      </c>
    </row>
    <row r="793" spans="1:3" x14ac:dyDescent="0.25">
      <c r="A793" s="12" t="s">
        <v>1810</v>
      </c>
      <c r="B793" s="12" t="s">
        <v>1755</v>
      </c>
      <c r="C793" s="13" t="s">
        <v>1809</v>
      </c>
    </row>
    <row r="794" spans="1:3" x14ac:dyDescent="0.25">
      <c r="A794" s="12" t="s">
        <v>1812</v>
      </c>
      <c r="B794" s="12" t="s">
        <v>1755</v>
      </c>
      <c r="C794" s="13" t="s">
        <v>1811</v>
      </c>
    </row>
    <row r="795" spans="1:3" x14ac:dyDescent="0.25">
      <c r="A795" s="12" t="s">
        <v>1814</v>
      </c>
      <c r="B795" s="12" t="s">
        <v>1755</v>
      </c>
      <c r="C795" s="13" t="s">
        <v>1813</v>
      </c>
    </row>
    <row r="796" spans="1:3" x14ac:dyDescent="0.25">
      <c r="A796" s="12" t="s">
        <v>1816</v>
      </c>
      <c r="B796" s="12" t="s">
        <v>1755</v>
      </c>
      <c r="C796" s="13" t="s">
        <v>1815</v>
      </c>
    </row>
    <row r="797" spans="1:3" x14ac:dyDescent="0.25">
      <c r="A797" s="12" t="s">
        <v>1818</v>
      </c>
      <c r="B797" s="12" t="s">
        <v>1755</v>
      </c>
      <c r="C797" s="13" t="s">
        <v>1817</v>
      </c>
    </row>
    <row r="798" spans="1:3" x14ac:dyDescent="0.25">
      <c r="A798" s="12" t="s">
        <v>1820</v>
      </c>
      <c r="B798" s="12" t="s">
        <v>1755</v>
      </c>
      <c r="C798" s="13" t="s">
        <v>1819</v>
      </c>
    </row>
    <row r="799" spans="1:3" x14ac:dyDescent="0.25">
      <c r="A799" s="12" t="s">
        <v>1822</v>
      </c>
      <c r="B799" s="12" t="s">
        <v>1755</v>
      </c>
      <c r="C799" s="13" t="s">
        <v>1821</v>
      </c>
    </row>
    <row r="800" spans="1:3" x14ac:dyDescent="0.25">
      <c r="A800" s="12" t="s">
        <v>1824</v>
      </c>
      <c r="B800" s="12" t="s">
        <v>1755</v>
      </c>
      <c r="C800" s="13" t="s">
        <v>1823</v>
      </c>
    </row>
    <row r="801" spans="1:3" x14ac:dyDescent="0.25">
      <c r="A801" s="12" t="s">
        <v>1826</v>
      </c>
      <c r="B801" s="12" t="s">
        <v>1755</v>
      </c>
      <c r="C801" s="13" t="s">
        <v>1825</v>
      </c>
    </row>
    <row r="802" spans="1:3" x14ac:dyDescent="0.25">
      <c r="A802" s="12" t="s">
        <v>1828</v>
      </c>
      <c r="B802" s="12" t="s">
        <v>1755</v>
      </c>
      <c r="C802" s="13" t="s">
        <v>1827</v>
      </c>
    </row>
    <row r="803" spans="1:3" x14ac:dyDescent="0.25">
      <c r="A803" s="12" t="s">
        <v>1830</v>
      </c>
      <c r="B803" s="12" t="s">
        <v>1755</v>
      </c>
      <c r="C803" s="13" t="s">
        <v>1829</v>
      </c>
    </row>
    <row r="804" spans="1:3" x14ac:dyDescent="0.25">
      <c r="A804" s="12" t="s">
        <v>1832</v>
      </c>
      <c r="B804" s="12" t="s">
        <v>1755</v>
      </c>
      <c r="C804" s="13" t="s">
        <v>1831</v>
      </c>
    </row>
    <row r="805" spans="1:3" x14ac:dyDescent="0.25">
      <c r="A805" s="12" t="s">
        <v>1834</v>
      </c>
      <c r="B805" s="12" t="s">
        <v>1755</v>
      </c>
      <c r="C805" s="13" t="s">
        <v>1833</v>
      </c>
    </row>
    <row r="806" spans="1:3" ht="15" customHeight="1" x14ac:dyDescent="0.25">
      <c r="A806" s="4" t="s">
        <v>1836</v>
      </c>
      <c r="B806" t="s">
        <v>1755</v>
      </c>
      <c r="C806" t="s">
        <v>1835</v>
      </c>
    </row>
    <row r="807" spans="1:3" x14ac:dyDescent="0.25">
      <c r="A807" s="12" t="s">
        <v>1838</v>
      </c>
      <c r="B807" s="12" t="s">
        <v>1755</v>
      </c>
      <c r="C807" s="13" t="s">
        <v>1837</v>
      </c>
    </row>
    <row r="808" spans="1:3" x14ac:dyDescent="0.25">
      <c r="A808" s="12" t="s">
        <v>1840</v>
      </c>
      <c r="B808" s="12" t="s">
        <v>1755</v>
      </c>
      <c r="C808" s="13" t="s">
        <v>1839</v>
      </c>
    </row>
    <row r="809" spans="1:3" x14ac:dyDescent="0.25">
      <c r="A809" s="12" t="s">
        <v>1842</v>
      </c>
      <c r="B809" s="12" t="s">
        <v>1755</v>
      </c>
      <c r="C809" s="13" t="s">
        <v>1841</v>
      </c>
    </row>
    <row r="810" spans="1:3" x14ac:dyDescent="0.25">
      <c r="A810" s="12" t="s">
        <v>1844</v>
      </c>
      <c r="B810" s="12" t="s">
        <v>1755</v>
      </c>
      <c r="C810" s="13" t="s">
        <v>1843</v>
      </c>
    </row>
    <row r="811" spans="1:3" x14ac:dyDescent="0.25">
      <c r="A811" s="12" t="s">
        <v>1846</v>
      </c>
      <c r="B811" s="12" t="s">
        <v>1755</v>
      </c>
      <c r="C811" s="13" t="s">
        <v>1845</v>
      </c>
    </row>
    <row r="812" spans="1:3" x14ac:dyDescent="0.25">
      <c r="A812" s="12" t="s">
        <v>2168</v>
      </c>
      <c r="B812" s="12" t="s">
        <v>1755</v>
      </c>
      <c r="C812" s="13" t="s">
        <v>2167</v>
      </c>
    </row>
    <row r="813" spans="1:3" x14ac:dyDescent="0.25">
      <c r="A813" s="12" t="s">
        <v>1848</v>
      </c>
      <c r="B813" s="12" t="s">
        <v>1755</v>
      </c>
      <c r="C813" s="13" t="s">
        <v>1847</v>
      </c>
    </row>
    <row r="814" spans="1:3" x14ac:dyDescent="0.25">
      <c r="A814" s="12" t="s">
        <v>1850</v>
      </c>
      <c r="B814" s="12" t="s">
        <v>1755</v>
      </c>
      <c r="C814" s="13" t="s">
        <v>1849</v>
      </c>
    </row>
    <row r="815" spans="1:3" x14ac:dyDescent="0.25">
      <c r="A815" s="12" t="s">
        <v>1852</v>
      </c>
      <c r="B815" s="12" t="s">
        <v>1755</v>
      </c>
      <c r="C815" s="13" t="s">
        <v>1851</v>
      </c>
    </row>
    <row r="816" spans="1:3" x14ac:dyDescent="0.25">
      <c r="A816" s="12" t="s">
        <v>1854</v>
      </c>
      <c r="B816" s="12" t="s">
        <v>1755</v>
      </c>
      <c r="C816" s="13" t="s">
        <v>1853</v>
      </c>
    </row>
    <row r="817" spans="1:3" x14ac:dyDescent="0.25">
      <c r="A817" s="12" t="s">
        <v>1856</v>
      </c>
      <c r="B817" s="12" t="s">
        <v>1755</v>
      </c>
      <c r="C817" s="13" t="s">
        <v>1855</v>
      </c>
    </row>
    <row r="818" spans="1:3" x14ac:dyDescent="0.25">
      <c r="A818" s="12" t="s">
        <v>1858</v>
      </c>
      <c r="B818" s="12" t="s">
        <v>1755</v>
      </c>
      <c r="C818" s="13" t="s">
        <v>1857</v>
      </c>
    </row>
    <row r="819" spans="1:3" x14ac:dyDescent="0.25">
      <c r="A819" s="12" t="s">
        <v>1860</v>
      </c>
      <c r="B819" s="12" t="s">
        <v>1755</v>
      </c>
      <c r="C819" s="13" t="s">
        <v>1859</v>
      </c>
    </row>
    <row r="820" spans="1:3" x14ac:dyDescent="0.25">
      <c r="A820" s="12" t="s">
        <v>1862</v>
      </c>
      <c r="B820" s="12" t="s">
        <v>1755</v>
      </c>
      <c r="C820" s="12" t="s">
        <v>1861</v>
      </c>
    </row>
    <row r="821" spans="1:3" x14ac:dyDescent="0.25">
      <c r="A821" s="12" t="s">
        <v>1864</v>
      </c>
      <c r="B821" s="12" t="s">
        <v>1755</v>
      </c>
      <c r="C821" s="12" t="s">
        <v>1863</v>
      </c>
    </row>
    <row r="822" spans="1:3" x14ac:dyDescent="0.25">
      <c r="A822" s="12" t="s">
        <v>1866</v>
      </c>
      <c r="B822" s="12" t="s">
        <v>1755</v>
      </c>
      <c r="C822" s="12" t="s">
        <v>1865</v>
      </c>
    </row>
    <row r="823" spans="1:3" x14ac:dyDescent="0.25">
      <c r="A823" s="12" t="s">
        <v>1868</v>
      </c>
      <c r="B823" s="12" t="s">
        <v>1755</v>
      </c>
      <c r="C823" s="12" t="s">
        <v>1867</v>
      </c>
    </row>
    <row r="824" spans="1:3" x14ac:dyDescent="0.25">
      <c r="A824" s="12" t="s">
        <v>1870</v>
      </c>
      <c r="B824" s="12" t="s">
        <v>1755</v>
      </c>
      <c r="C824" s="12" t="s">
        <v>1869</v>
      </c>
    </row>
    <row r="825" spans="1:3" x14ac:dyDescent="0.25">
      <c r="A825" s="12" t="s">
        <v>1872</v>
      </c>
      <c r="B825" s="12" t="s">
        <v>1755</v>
      </c>
      <c r="C825" s="12" t="s">
        <v>1871</v>
      </c>
    </row>
    <row r="826" spans="1:3" x14ac:dyDescent="0.25">
      <c r="A826" s="12" t="s">
        <v>1874</v>
      </c>
      <c r="B826" s="12" t="s">
        <v>1755</v>
      </c>
      <c r="C826" s="12" t="s">
        <v>1873</v>
      </c>
    </row>
    <row r="827" spans="1:3" x14ac:dyDescent="0.25">
      <c r="A827" s="12" t="s">
        <v>1876</v>
      </c>
      <c r="B827" s="12" t="s">
        <v>1755</v>
      </c>
      <c r="C827" s="12" t="s">
        <v>1875</v>
      </c>
    </row>
    <row r="828" spans="1:3" x14ac:dyDescent="0.25">
      <c r="A828" s="12" t="s">
        <v>1878</v>
      </c>
      <c r="B828" s="12" t="s">
        <v>1755</v>
      </c>
      <c r="C828" s="12" t="s">
        <v>1877</v>
      </c>
    </row>
    <row r="829" spans="1:3" x14ac:dyDescent="0.25">
      <c r="A829" s="12" t="s">
        <v>1880</v>
      </c>
      <c r="B829" s="12" t="s">
        <v>1755</v>
      </c>
      <c r="C829" s="12" t="s">
        <v>1879</v>
      </c>
    </row>
    <row r="830" spans="1:3" x14ac:dyDescent="0.25">
      <c r="A830" s="12" t="s">
        <v>1882</v>
      </c>
      <c r="B830" s="12" t="s">
        <v>1755</v>
      </c>
      <c r="C830" s="12" t="s">
        <v>1881</v>
      </c>
    </row>
    <row r="831" spans="1:3" x14ac:dyDescent="0.25">
      <c r="A831" s="12" t="s">
        <v>1884</v>
      </c>
      <c r="B831" s="12" t="s">
        <v>1755</v>
      </c>
      <c r="C831" s="12" t="s">
        <v>1883</v>
      </c>
    </row>
    <row r="832" spans="1:3" x14ac:dyDescent="0.25">
      <c r="A832" s="12" t="s">
        <v>1886</v>
      </c>
      <c r="B832" s="12" t="s">
        <v>1755</v>
      </c>
      <c r="C832" s="12" t="s">
        <v>1885</v>
      </c>
    </row>
    <row r="833" spans="1:3" x14ac:dyDescent="0.25">
      <c r="A833" s="12" t="s">
        <v>1888</v>
      </c>
      <c r="B833" s="12" t="s">
        <v>1755</v>
      </c>
      <c r="C833" s="12" t="s">
        <v>1887</v>
      </c>
    </row>
    <row r="834" spans="1:3" x14ac:dyDescent="0.25">
      <c r="A834" s="12" t="s">
        <v>1890</v>
      </c>
      <c r="B834" s="12" t="s">
        <v>1755</v>
      </c>
      <c r="C834" s="12" t="s">
        <v>1889</v>
      </c>
    </row>
    <row r="835" spans="1:3" x14ac:dyDescent="0.25">
      <c r="A835" s="12" t="s">
        <v>1892</v>
      </c>
      <c r="B835" s="12" t="s">
        <v>1755</v>
      </c>
      <c r="C835" s="12" t="s">
        <v>1891</v>
      </c>
    </row>
    <row r="836" spans="1:3" x14ac:dyDescent="0.25">
      <c r="A836" s="12" t="s">
        <v>1894</v>
      </c>
      <c r="B836" s="12" t="s">
        <v>1755</v>
      </c>
      <c r="C836" s="12" t="s">
        <v>1893</v>
      </c>
    </row>
    <row r="837" spans="1:3" x14ac:dyDescent="0.25">
      <c r="A837" s="12" t="s">
        <v>1896</v>
      </c>
      <c r="B837" s="12" t="s">
        <v>1755</v>
      </c>
      <c r="C837" s="12" t="s">
        <v>1895</v>
      </c>
    </row>
    <row r="838" spans="1:3" x14ac:dyDescent="0.25">
      <c r="A838" s="12" t="s">
        <v>1898</v>
      </c>
      <c r="B838" s="12" t="s">
        <v>1755</v>
      </c>
      <c r="C838" s="12" t="s">
        <v>1897</v>
      </c>
    </row>
    <row r="839" spans="1:3" x14ac:dyDescent="0.25">
      <c r="A839" s="12" t="s">
        <v>1900</v>
      </c>
      <c r="B839" s="12" t="s">
        <v>1755</v>
      </c>
      <c r="C839" s="12" t="s">
        <v>1899</v>
      </c>
    </row>
    <row r="840" spans="1:3" x14ac:dyDescent="0.25">
      <c r="A840" s="12" t="s">
        <v>1902</v>
      </c>
      <c r="B840" s="12" t="s">
        <v>1755</v>
      </c>
      <c r="C840" s="12" t="s">
        <v>1901</v>
      </c>
    </row>
    <row r="841" spans="1:3" x14ac:dyDescent="0.25">
      <c r="A841" s="12" t="s">
        <v>1904</v>
      </c>
      <c r="B841" s="12" t="s">
        <v>1755</v>
      </c>
      <c r="C841" s="12" t="s">
        <v>1903</v>
      </c>
    </row>
    <row r="842" spans="1:3" x14ac:dyDescent="0.25">
      <c r="A842" s="12" t="s">
        <v>1906</v>
      </c>
      <c r="B842" s="12" t="s">
        <v>1755</v>
      </c>
      <c r="C842" s="12" t="s">
        <v>1905</v>
      </c>
    </row>
    <row r="843" spans="1:3" x14ac:dyDescent="0.25">
      <c r="A843" s="12" t="s">
        <v>1908</v>
      </c>
      <c r="B843" s="12" t="s">
        <v>1755</v>
      </c>
      <c r="C843" s="12" t="s">
        <v>1907</v>
      </c>
    </row>
    <row r="844" spans="1:3" x14ac:dyDescent="0.25">
      <c r="A844" s="12" t="s">
        <v>1910</v>
      </c>
      <c r="B844" s="12" t="s">
        <v>1755</v>
      </c>
      <c r="C844" s="12" t="s">
        <v>1909</v>
      </c>
    </row>
    <row r="845" spans="1:3" x14ac:dyDescent="0.25">
      <c r="A845" s="12" t="s">
        <v>1912</v>
      </c>
      <c r="B845" s="12" t="s">
        <v>1755</v>
      </c>
      <c r="C845" s="12" t="s">
        <v>1911</v>
      </c>
    </row>
    <row r="846" spans="1:3" x14ac:dyDescent="0.25">
      <c r="A846" s="12" t="s">
        <v>1914</v>
      </c>
      <c r="B846" s="12" t="s">
        <v>1755</v>
      </c>
      <c r="C846" s="12" t="s">
        <v>1913</v>
      </c>
    </row>
    <row r="847" spans="1:3" x14ac:dyDescent="0.25">
      <c r="A847" s="12" t="s">
        <v>1916</v>
      </c>
      <c r="B847" s="12" t="s">
        <v>1755</v>
      </c>
      <c r="C847" s="12" t="s">
        <v>1915</v>
      </c>
    </row>
    <row r="848" spans="1:3" x14ac:dyDescent="0.25">
      <c r="A848" s="12" t="s">
        <v>1918</v>
      </c>
      <c r="B848" s="12" t="s">
        <v>1755</v>
      </c>
      <c r="C848" s="12" t="s">
        <v>1917</v>
      </c>
    </row>
    <row r="849" spans="1:3" x14ac:dyDescent="0.25">
      <c r="A849" s="12" t="s">
        <v>1920</v>
      </c>
      <c r="B849" s="12" t="s">
        <v>1755</v>
      </c>
      <c r="C849" s="12" t="s">
        <v>1919</v>
      </c>
    </row>
    <row r="850" spans="1:3" x14ac:dyDescent="0.25">
      <c r="A850" s="12" t="s">
        <v>1922</v>
      </c>
      <c r="B850" s="12" t="s">
        <v>1755</v>
      </c>
      <c r="C850" s="12" t="s">
        <v>1921</v>
      </c>
    </row>
    <row r="851" spans="1:3" x14ac:dyDescent="0.25">
      <c r="A851" s="12" t="s">
        <v>1924</v>
      </c>
      <c r="B851" s="12" t="s">
        <v>1755</v>
      </c>
      <c r="C851" s="12" t="s">
        <v>1923</v>
      </c>
    </row>
    <row r="852" spans="1:3" x14ac:dyDescent="0.25">
      <c r="A852" s="12" t="s">
        <v>1926</v>
      </c>
      <c r="B852" s="12" t="s">
        <v>1755</v>
      </c>
      <c r="C852" s="12" t="s">
        <v>1925</v>
      </c>
    </row>
    <row r="853" spans="1:3" x14ac:dyDescent="0.25">
      <c r="A853" s="12" t="s">
        <v>1928</v>
      </c>
      <c r="B853" s="12" t="s">
        <v>1755</v>
      </c>
      <c r="C853" s="12" t="s">
        <v>1927</v>
      </c>
    </row>
    <row r="854" spans="1:3" x14ac:dyDescent="0.25">
      <c r="A854" s="12" t="s">
        <v>1930</v>
      </c>
      <c r="B854" s="12" t="s">
        <v>1755</v>
      </c>
      <c r="C854" s="12" t="s">
        <v>1929</v>
      </c>
    </row>
    <row r="855" spans="1:3" x14ac:dyDescent="0.25">
      <c r="A855" s="12" t="s">
        <v>1932</v>
      </c>
      <c r="B855" s="12" t="s">
        <v>1755</v>
      </c>
      <c r="C855" s="12" t="s">
        <v>1931</v>
      </c>
    </row>
    <row r="856" spans="1:3" x14ac:dyDescent="0.25">
      <c r="A856" s="12" t="s">
        <v>1934</v>
      </c>
      <c r="B856" s="12" t="s">
        <v>1755</v>
      </c>
      <c r="C856" s="12" t="s">
        <v>1933</v>
      </c>
    </row>
    <row r="857" spans="1:3" x14ac:dyDescent="0.25">
      <c r="A857" s="12" t="s">
        <v>1936</v>
      </c>
      <c r="B857" s="12" t="s">
        <v>1755</v>
      </c>
      <c r="C857" s="12" t="s">
        <v>1935</v>
      </c>
    </row>
    <row r="858" spans="1:3" x14ac:dyDescent="0.25">
      <c r="A858" s="12" t="s">
        <v>1938</v>
      </c>
      <c r="B858" s="12" t="s">
        <v>1755</v>
      </c>
      <c r="C858" s="12" t="s">
        <v>1937</v>
      </c>
    </row>
    <row r="859" spans="1:3" x14ac:dyDescent="0.25">
      <c r="A859" s="12" t="s">
        <v>1940</v>
      </c>
      <c r="B859" s="12" t="s">
        <v>1755</v>
      </c>
      <c r="C859" s="12" t="s">
        <v>1939</v>
      </c>
    </row>
    <row r="860" spans="1:3" x14ac:dyDescent="0.25">
      <c r="A860" s="12" t="s">
        <v>1942</v>
      </c>
      <c r="B860" s="12" t="s">
        <v>1755</v>
      </c>
      <c r="C860" s="12" t="s">
        <v>1941</v>
      </c>
    </row>
    <row r="861" spans="1:3" x14ac:dyDescent="0.25">
      <c r="A861" s="12" t="s">
        <v>1944</v>
      </c>
      <c r="B861" s="12" t="s">
        <v>1755</v>
      </c>
      <c r="C861" s="12" t="s">
        <v>1943</v>
      </c>
    </row>
    <row r="862" spans="1:3" x14ac:dyDescent="0.25">
      <c r="A862" s="12" t="s">
        <v>1946</v>
      </c>
      <c r="B862" s="12" t="s">
        <v>1755</v>
      </c>
      <c r="C862" s="12" t="s">
        <v>1945</v>
      </c>
    </row>
    <row r="863" spans="1:3" x14ac:dyDescent="0.25">
      <c r="A863" s="12" t="s">
        <v>1948</v>
      </c>
      <c r="B863" s="12" t="s">
        <v>1755</v>
      </c>
      <c r="C863" s="12" t="s">
        <v>1947</v>
      </c>
    </row>
    <row r="864" spans="1:3" x14ac:dyDescent="0.25">
      <c r="A864" s="12" t="s">
        <v>1950</v>
      </c>
      <c r="B864" s="12" t="s">
        <v>1755</v>
      </c>
      <c r="C864" s="12" t="s">
        <v>1949</v>
      </c>
    </row>
    <row r="865" spans="1:3" x14ac:dyDescent="0.25">
      <c r="A865" s="12" t="s">
        <v>1952</v>
      </c>
      <c r="B865" s="12" t="s">
        <v>1755</v>
      </c>
      <c r="C865" s="12" t="s">
        <v>1951</v>
      </c>
    </row>
    <row r="866" spans="1:3" x14ac:dyDescent="0.25">
      <c r="A866" s="12" t="s">
        <v>1954</v>
      </c>
      <c r="B866" s="12" t="s">
        <v>1755</v>
      </c>
      <c r="C866" s="12" t="s">
        <v>1953</v>
      </c>
    </row>
    <row r="867" spans="1:3" x14ac:dyDescent="0.25">
      <c r="A867" s="12" t="s">
        <v>1956</v>
      </c>
      <c r="B867" s="12" t="s">
        <v>1755</v>
      </c>
      <c r="C867" s="12" t="s">
        <v>1955</v>
      </c>
    </row>
    <row r="868" spans="1:3" x14ac:dyDescent="0.25">
      <c r="A868" s="12" t="s">
        <v>1958</v>
      </c>
      <c r="B868" s="12" t="s">
        <v>1755</v>
      </c>
      <c r="C868" s="12" t="s">
        <v>1957</v>
      </c>
    </row>
    <row r="869" spans="1:3" x14ac:dyDescent="0.25">
      <c r="A869" s="12" t="s">
        <v>1960</v>
      </c>
      <c r="B869" s="12" t="s">
        <v>1755</v>
      </c>
      <c r="C869" s="12" t="s">
        <v>1959</v>
      </c>
    </row>
    <row r="870" spans="1:3" x14ac:dyDescent="0.25">
      <c r="A870" s="12" t="s">
        <v>1962</v>
      </c>
      <c r="B870" s="12" t="s">
        <v>1755</v>
      </c>
      <c r="C870" s="12" t="s">
        <v>1961</v>
      </c>
    </row>
    <row r="871" spans="1:3" x14ac:dyDescent="0.25">
      <c r="A871" s="12" t="s">
        <v>1964</v>
      </c>
      <c r="B871" s="12" t="s">
        <v>1755</v>
      </c>
      <c r="C871" s="12" t="s">
        <v>1963</v>
      </c>
    </row>
    <row r="872" spans="1:3" x14ac:dyDescent="0.25">
      <c r="A872" s="12" t="s">
        <v>1966</v>
      </c>
      <c r="B872" s="12" t="s">
        <v>1755</v>
      </c>
      <c r="C872" s="12" t="s">
        <v>1965</v>
      </c>
    </row>
    <row r="873" spans="1:3" x14ac:dyDescent="0.25">
      <c r="A873" s="12" t="s">
        <v>1968</v>
      </c>
      <c r="B873" s="12" t="s">
        <v>1755</v>
      </c>
      <c r="C873" s="12" t="s">
        <v>1967</v>
      </c>
    </row>
    <row r="874" spans="1:3" x14ac:dyDescent="0.25">
      <c r="A874" s="12" t="s">
        <v>1970</v>
      </c>
      <c r="B874" s="12" t="s">
        <v>1755</v>
      </c>
      <c r="C874" s="12" t="s">
        <v>1969</v>
      </c>
    </row>
    <row r="875" spans="1:3" x14ac:dyDescent="0.25">
      <c r="A875" s="12" t="s">
        <v>1972</v>
      </c>
      <c r="B875" s="12" t="s">
        <v>1755</v>
      </c>
      <c r="C875" s="12" t="s">
        <v>1971</v>
      </c>
    </row>
    <row r="876" spans="1:3" x14ac:dyDescent="0.25">
      <c r="A876" s="12" t="s">
        <v>1974</v>
      </c>
      <c r="B876" s="12" t="s">
        <v>1755</v>
      </c>
      <c r="C876" s="12" t="s">
        <v>1973</v>
      </c>
    </row>
    <row r="877" spans="1:3" x14ac:dyDescent="0.25">
      <c r="A877" s="12" t="s">
        <v>1976</v>
      </c>
      <c r="B877" s="12" t="s">
        <v>1755</v>
      </c>
      <c r="C877" s="12" t="s">
        <v>1975</v>
      </c>
    </row>
    <row r="878" spans="1:3" x14ac:dyDescent="0.25">
      <c r="A878" s="12" t="s">
        <v>1978</v>
      </c>
      <c r="B878" s="12" t="s">
        <v>1755</v>
      </c>
      <c r="C878" s="12" t="s">
        <v>1977</v>
      </c>
    </row>
    <row r="879" spans="1:3" x14ac:dyDescent="0.25">
      <c r="A879" s="12" t="s">
        <v>1980</v>
      </c>
      <c r="B879" s="12" t="s">
        <v>1755</v>
      </c>
      <c r="C879" s="12" t="s">
        <v>1979</v>
      </c>
    </row>
    <row r="880" spans="1:3" x14ac:dyDescent="0.25">
      <c r="A880" s="12" t="s">
        <v>1982</v>
      </c>
      <c r="B880" s="12" t="s">
        <v>1755</v>
      </c>
      <c r="C880" s="12" t="s">
        <v>1981</v>
      </c>
    </row>
    <row r="881" spans="1:3" x14ac:dyDescent="0.25">
      <c r="A881" s="12" t="s">
        <v>1984</v>
      </c>
      <c r="B881" s="12" t="s">
        <v>1755</v>
      </c>
      <c r="C881" s="12" t="s">
        <v>1983</v>
      </c>
    </row>
    <row r="882" spans="1:3" x14ac:dyDescent="0.25">
      <c r="A882" s="12" t="s">
        <v>1986</v>
      </c>
      <c r="B882" s="12" t="s">
        <v>1755</v>
      </c>
      <c r="C882" s="12" t="s">
        <v>1985</v>
      </c>
    </row>
    <row r="883" spans="1:3" x14ac:dyDescent="0.25">
      <c r="A883" s="12" t="s">
        <v>1988</v>
      </c>
      <c r="B883" s="12" t="s">
        <v>1755</v>
      </c>
      <c r="C883" s="12" t="s">
        <v>1987</v>
      </c>
    </row>
    <row r="884" spans="1:3" x14ac:dyDescent="0.25">
      <c r="A884" s="12" t="s">
        <v>1990</v>
      </c>
      <c r="B884" s="12" t="s">
        <v>1755</v>
      </c>
      <c r="C884" s="12" t="s">
        <v>1989</v>
      </c>
    </row>
    <row r="885" spans="1:3" x14ac:dyDescent="0.25">
      <c r="A885" s="12" t="s">
        <v>1992</v>
      </c>
      <c r="B885" s="12" t="s">
        <v>1755</v>
      </c>
      <c r="C885" s="12" t="s">
        <v>1991</v>
      </c>
    </row>
    <row r="886" spans="1:3" x14ac:dyDescent="0.25">
      <c r="A886" s="12" t="s">
        <v>1994</v>
      </c>
      <c r="B886" s="12" t="s">
        <v>1755</v>
      </c>
      <c r="C886" s="12" t="s">
        <v>1993</v>
      </c>
    </row>
    <row r="887" spans="1:3" x14ac:dyDescent="0.25">
      <c r="A887" s="12" t="s">
        <v>1996</v>
      </c>
      <c r="B887" s="12" t="s">
        <v>1755</v>
      </c>
      <c r="C887" s="12" t="s">
        <v>1995</v>
      </c>
    </row>
    <row r="888" spans="1:3" x14ac:dyDescent="0.25">
      <c r="A888" s="12" t="s">
        <v>1998</v>
      </c>
      <c r="B888" s="12" t="s">
        <v>1755</v>
      </c>
      <c r="C888" s="12" t="s">
        <v>1997</v>
      </c>
    </row>
    <row r="889" spans="1:3" x14ac:dyDescent="0.25">
      <c r="A889" s="12" t="s">
        <v>2000</v>
      </c>
      <c r="B889" s="12" t="s">
        <v>1755</v>
      </c>
      <c r="C889" s="12" t="s">
        <v>1999</v>
      </c>
    </row>
    <row r="890" spans="1:3" x14ac:dyDescent="0.25">
      <c r="A890" s="12" t="s">
        <v>2002</v>
      </c>
      <c r="B890" s="12" t="s">
        <v>1755</v>
      </c>
      <c r="C890" s="12" t="s">
        <v>2001</v>
      </c>
    </row>
    <row r="891" spans="1:3" x14ac:dyDescent="0.25">
      <c r="A891" s="12" t="s">
        <v>2004</v>
      </c>
      <c r="B891" s="12" t="s">
        <v>1755</v>
      </c>
      <c r="C891" s="12" t="s">
        <v>2003</v>
      </c>
    </row>
    <row r="892" spans="1:3" x14ac:dyDescent="0.25">
      <c r="A892" s="12" t="s">
        <v>2006</v>
      </c>
      <c r="B892" s="12" t="s">
        <v>1755</v>
      </c>
      <c r="C892" s="12" t="s">
        <v>2005</v>
      </c>
    </row>
    <row r="893" spans="1:3" x14ac:dyDescent="0.25">
      <c r="A893" s="12" t="s">
        <v>2008</v>
      </c>
      <c r="B893" s="12" t="s">
        <v>1755</v>
      </c>
      <c r="C893" s="12" t="s">
        <v>2007</v>
      </c>
    </row>
    <row r="894" spans="1:3" x14ac:dyDescent="0.25">
      <c r="A894" s="12" t="s">
        <v>2010</v>
      </c>
      <c r="B894" s="12" t="s">
        <v>1755</v>
      </c>
      <c r="C894" s="12" t="s">
        <v>2009</v>
      </c>
    </row>
    <row r="895" spans="1:3" x14ac:dyDescent="0.25">
      <c r="A895" s="12" t="s">
        <v>2012</v>
      </c>
      <c r="B895" s="12" t="s">
        <v>1755</v>
      </c>
      <c r="C895" s="12" t="s">
        <v>2011</v>
      </c>
    </row>
    <row r="896" spans="1:3" x14ac:dyDescent="0.25">
      <c r="A896" s="12" t="s">
        <v>2014</v>
      </c>
      <c r="B896" s="12" t="s">
        <v>1755</v>
      </c>
      <c r="C896" s="12" t="s">
        <v>2013</v>
      </c>
    </row>
    <row r="897" spans="1:3" x14ac:dyDescent="0.25">
      <c r="A897" s="12" t="s">
        <v>2016</v>
      </c>
      <c r="B897" s="12" t="s">
        <v>1755</v>
      </c>
      <c r="C897" s="12" t="s">
        <v>2015</v>
      </c>
    </row>
    <row r="898" spans="1:3" x14ac:dyDescent="0.25">
      <c r="A898" s="12" t="s">
        <v>2018</v>
      </c>
      <c r="B898" s="12" t="s">
        <v>1755</v>
      </c>
      <c r="C898" s="12" t="s">
        <v>2017</v>
      </c>
    </row>
    <row r="899" spans="1:3" x14ac:dyDescent="0.25">
      <c r="A899" s="12" t="s">
        <v>2020</v>
      </c>
      <c r="B899" s="12" t="s">
        <v>1755</v>
      </c>
      <c r="C899" s="12" t="s">
        <v>2019</v>
      </c>
    </row>
    <row r="900" spans="1:3" x14ac:dyDescent="0.25">
      <c r="A900" s="12" t="s">
        <v>2022</v>
      </c>
      <c r="B900" s="12" t="s">
        <v>1755</v>
      </c>
      <c r="C900" s="12" t="s">
        <v>2021</v>
      </c>
    </row>
    <row r="901" spans="1:3" x14ac:dyDescent="0.25">
      <c r="A901" s="12" t="s">
        <v>2024</v>
      </c>
      <c r="B901" s="12" t="s">
        <v>1755</v>
      </c>
      <c r="C901" s="12" t="s">
        <v>2023</v>
      </c>
    </row>
    <row r="902" spans="1:3" x14ac:dyDescent="0.25">
      <c r="A902" s="12" t="s">
        <v>2026</v>
      </c>
      <c r="B902" s="12" t="s">
        <v>1755</v>
      </c>
      <c r="C902" s="12" t="s">
        <v>2025</v>
      </c>
    </row>
    <row r="903" spans="1:3" x14ac:dyDescent="0.25">
      <c r="A903" s="12" t="s">
        <v>2028</v>
      </c>
      <c r="B903" s="12" t="s">
        <v>1755</v>
      </c>
      <c r="C903" s="12" t="s">
        <v>2027</v>
      </c>
    </row>
    <row r="904" spans="1:3" x14ac:dyDescent="0.25">
      <c r="A904" s="12" t="s">
        <v>2030</v>
      </c>
      <c r="B904" s="12" t="s">
        <v>1755</v>
      </c>
      <c r="C904" s="12" t="s">
        <v>2029</v>
      </c>
    </row>
    <row r="905" spans="1:3" x14ac:dyDescent="0.25">
      <c r="A905" s="12" t="s">
        <v>2032</v>
      </c>
      <c r="B905" s="12" t="s">
        <v>1755</v>
      </c>
      <c r="C905" s="12" t="s">
        <v>2031</v>
      </c>
    </row>
    <row r="906" spans="1:3" x14ac:dyDescent="0.25">
      <c r="A906" s="12" t="s">
        <v>2034</v>
      </c>
      <c r="B906" s="12" t="s">
        <v>1755</v>
      </c>
      <c r="C906" s="12" t="s">
        <v>2033</v>
      </c>
    </row>
    <row r="907" spans="1:3" x14ac:dyDescent="0.25">
      <c r="A907" s="12" t="s">
        <v>2036</v>
      </c>
      <c r="B907" s="12" t="s">
        <v>1755</v>
      </c>
      <c r="C907" s="12" t="s">
        <v>2035</v>
      </c>
    </row>
    <row r="908" spans="1:3" x14ac:dyDescent="0.25">
      <c r="A908" s="12" t="s">
        <v>2038</v>
      </c>
      <c r="B908" s="12" t="s">
        <v>1755</v>
      </c>
      <c r="C908" s="12" t="s">
        <v>2037</v>
      </c>
    </row>
    <row r="909" spans="1:3" x14ac:dyDescent="0.25">
      <c r="A909" s="12" t="s">
        <v>2040</v>
      </c>
      <c r="B909" s="12" t="s">
        <v>1755</v>
      </c>
      <c r="C909" s="12" t="s">
        <v>2039</v>
      </c>
    </row>
    <row r="910" spans="1:3" x14ac:dyDescent="0.25">
      <c r="A910" s="12" t="s">
        <v>2042</v>
      </c>
      <c r="B910" s="12" t="s">
        <v>1755</v>
      </c>
      <c r="C910" s="12" t="s">
        <v>2041</v>
      </c>
    </row>
    <row r="911" spans="1:3" x14ac:dyDescent="0.25">
      <c r="A911" s="12" t="s">
        <v>2044</v>
      </c>
      <c r="B911" s="12" t="s">
        <v>1755</v>
      </c>
      <c r="C911" s="12" t="s">
        <v>2043</v>
      </c>
    </row>
    <row r="912" spans="1:3" x14ac:dyDescent="0.25">
      <c r="A912" s="12" t="s">
        <v>2046</v>
      </c>
      <c r="B912" s="12" t="s">
        <v>1755</v>
      </c>
      <c r="C912" s="12" t="s">
        <v>2045</v>
      </c>
    </row>
    <row r="913" spans="1:3" x14ac:dyDescent="0.25">
      <c r="A913" s="12" t="s">
        <v>2048</v>
      </c>
      <c r="B913" s="12" t="s">
        <v>1755</v>
      </c>
      <c r="C913" s="12" t="s">
        <v>2047</v>
      </c>
    </row>
    <row r="914" spans="1:3" x14ac:dyDescent="0.25">
      <c r="A914" s="12" t="s">
        <v>2050</v>
      </c>
      <c r="B914" s="12" t="s">
        <v>1755</v>
      </c>
      <c r="C914" s="12" t="s">
        <v>2049</v>
      </c>
    </row>
    <row r="915" spans="1:3" x14ac:dyDescent="0.25">
      <c r="A915" s="12" t="s">
        <v>2052</v>
      </c>
      <c r="B915" s="12" t="s">
        <v>1755</v>
      </c>
      <c r="C915" s="12" t="s">
        <v>2051</v>
      </c>
    </row>
    <row r="916" spans="1:3" x14ac:dyDescent="0.25">
      <c r="A916" s="12" t="s">
        <v>2054</v>
      </c>
      <c r="B916" s="12" t="s">
        <v>1755</v>
      </c>
      <c r="C916" s="12" t="s">
        <v>2053</v>
      </c>
    </row>
    <row r="917" spans="1:3" x14ac:dyDescent="0.25">
      <c r="A917" s="12" t="s">
        <v>2056</v>
      </c>
      <c r="B917" s="12" t="s">
        <v>1755</v>
      </c>
      <c r="C917" s="12" t="s">
        <v>2055</v>
      </c>
    </row>
    <row r="918" spans="1:3" x14ac:dyDescent="0.25">
      <c r="A918" s="12" t="s">
        <v>2058</v>
      </c>
      <c r="B918" s="12" t="s">
        <v>1755</v>
      </c>
      <c r="C918" s="12" t="s">
        <v>2057</v>
      </c>
    </row>
    <row r="919" spans="1:3" x14ac:dyDescent="0.25">
      <c r="A919" s="12" t="s">
        <v>2060</v>
      </c>
      <c r="B919" s="12" t="s">
        <v>1755</v>
      </c>
      <c r="C919" s="12" t="s">
        <v>2059</v>
      </c>
    </row>
    <row r="920" spans="1:3" x14ac:dyDescent="0.25">
      <c r="A920" s="12" t="s">
        <v>2062</v>
      </c>
      <c r="B920" s="12" t="s">
        <v>1755</v>
      </c>
      <c r="C920" s="12" t="s">
        <v>2061</v>
      </c>
    </row>
    <row r="921" spans="1:3" x14ac:dyDescent="0.25">
      <c r="A921" s="12" t="s">
        <v>2064</v>
      </c>
      <c r="B921" s="12" t="s">
        <v>1755</v>
      </c>
      <c r="C921" s="12" t="s">
        <v>2063</v>
      </c>
    </row>
    <row r="922" spans="1:3" x14ac:dyDescent="0.25">
      <c r="A922" s="12" t="s">
        <v>2066</v>
      </c>
      <c r="B922" s="12" t="s">
        <v>1755</v>
      </c>
      <c r="C922" s="12" t="s">
        <v>2065</v>
      </c>
    </row>
    <row r="923" spans="1:3" x14ac:dyDescent="0.25">
      <c r="A923" s="12" t="s">
        <v>2068</v>
      </c>
      <c r="B923" s="12" t="s">
        <v>1755</v>
      </c>
      <c r="C923" s="12" t="s">
        <v>2067</v>
      </c>
    </row>
    <row r="924" spans="1:3" x14ac:dyDescent="0.25">
      <c r="A924" s="12" t="s">
        <v>2070</v>
      </c>
      <c r="B924" s="12" t="s">
        <v>1755</v>
      </c>
      <c r="C924" s="12" t="s">
        <v>2069</v>
      </c>
    </row>
    <row r="925" spans="1:3" x14ac:dyDescent="0.25">
      <c r="A925" s="12" t="s">
        <v>2072</v>
      </c>
      <c r="B925" s="12" t="s">
        <v>1755</v>
      </c>
      <c r="C925" s="12" t="s">
        <v>2071</v>
      </c>
    </row>
    <row r="926" spans="1:3" x14ac:dyDescent="0.25">
      <c r="A926" s="12" t="s">
        <v>2074</v>
      </c>
      <c r="B926" s="12" t="s">
        <v>1755</v>
      </c>
      <c r="C926" s="12" t="s">
        <v>2073</v>
      </c>
    </row>
    <row r="927" spans="1:3" x14ac:dyDescent="0.25">
      <c r="A927" s="12" t="s">
        <v>2076</v>
      </c>
      <c r="B927" s="12" t="s">
        <v>1755</v>
      </c>
      <c r="C927" s="12" t="s">
        <v>2075</v>
      </c>
    </row>
    <row r="928" spans="1:3" x14ac:dyDescent="0.25">
      <c r="A928" s="12" t="s">
        <v>2078</v>
      </c>
      <c r="B928" s="12" t="s">
        <v>1755</v>
      </c>
      <c r="C928" s="12" t="s">
        <v>2077</v>
      </c>
    </row>
    <row r="929" spans="1:3" x14ac:dyDescent="0.25">
      <c r="A929" s="12" t="s">
        <v>2080</v>
      </c>
      <c r="B929" s="12" t="s">
        <v>1755</v>
      </c>
      <c r="C929" s="12" t="s">
        <v>2079</v>
      </c>
    </row>
    <row r="930" spans="1:3" x14ac:dyDescent="0.25">
      <c r="A930" s="12" t="s">
        <v>2082</v>
      </c>
      <c r="B930" s="12" t="s">
        <v>1755</v>
      </c>
      <c r="C930" s="12" t="s">
        <v>2081</v>
      </c>
    </row>
    <row r="931" spans="1:3" x14ac:dyDescent="0.25">
      <c r="A931" s="12" t="s">
        <v>2084</v>
      </c>
      <c r="B931" s="12" t="s">
        <v>1755</v>
      </c>
      <c r="C931" s="12" t="s">
        <v>2083</v>
      </c>
    </row>
    <row r="932" spans="1:3" x14ac:dyDescent="0.25">
      <c r="A932" s="12" t="s">
        <v>2086</v>
      </c>
      <c r="B932" s="12" t="s">
        <v>1755</v>
      </c>
      <c r="C932" s="12" t="s">
        <v>2085</v>
      </c>
    </row>
    <row r="933" spans="1:3" x14ac:dyDescent="0.25">
      <c r="A933" s="12" t="s">
        <v>2088</v>
      </c>
      <c r="B933" s="12" t="s">
        <v>1755</v>
      </c>
      <c r="C933" s="12" t="s">
        <v>2087</v>
      </c>
    </row>
    <row r="934" spans="1:3" x14ac:dyDescent="0.25">
      <c r="A934" s="12" t="s">
        <v>2090</v>
      </c>
      <c r="B934" s="12" t="s">
        <v>1755</v>
      </c>
      <c r="C934" s="12" t="s">
        <v>2089</v>
      </c>
    </row>
    <row r="935" spans="1:3" x14ac:dyDescent="0.25">
      <c r="A935" s="12" t="s">
        <v>2092</v>
      </c>
      <c r="B935" s="12" t="s">
        <v>1755</v>
      </c>
      <c r="C935" s="12" t="s">
        <v>2091</v>
      </c>
    </row>
    <row r="936" spans="1:3" x14ac:dyDescent="0.25">
      <c r="A936" s="12" t="s">
        <v>2094</v>
      </c>
      <c r="B936" s="12" t="s">
        <v>1755</v>
      </c>
      <c r="C936" s="12" t="s">
        <v>2093</v>
      </c>
    </row>
    <row r="937" spans="1:3" x14ac:dyDescent="0.25">
      <c r="A937" s="12" t="s">
        <v>2096</v>
      </c>
      <c r="B937" s="12" t="s">
        <v>1755</v>
      </c>
      <c r="C937" s="12" t="s">
        <v>2095</v>
      </c>
    </row>
    <row r="938" spans="1:3" x14ac:dyDescent="0.25">
      <c r="A938" s="12" t="s">
        <v>2098</v>
      </c>
      <c r="B938" s="12" t="s">
        <v>1755</v>
      </c>
      <c r="C938" s="12" t="s">
        <v>2097</v>
      </c>
    </row>
    <row r="939" spans="1:3" x14ac:dyDescent="0.25">
      <c r="A939" s="12" t="s">
        <v>2100</v>
      </c>
      <c r="B939" s="12" t="s">
        <v>1755</v>
      </c>
      <c r="C939" s="12" t="s">
        <v>2099</v>
      </c>
    </row>
    <row r="940" spans="1:3" x14ac:dyDescent="0.25">
      <c r="A940" s="12" t="s">
        <v>2102</v>
      </c>
      <c r="B940" s="12" t="s">
        <v>1755</v>
      </c>
      <c r="C940" s="12" t="s">
        <v>2101</v>
      </c>
    </row>
    <row r="941" spans="1:3" x14ac:dyDescent="0.25">
      <c r="A941" s="12" t="s">
        <v>2104</v>
      </c>
      <c r="B941" s="12" t="s">
        <v>1755</v>
      </c>
      <c r="C941" s="12" t="s">
        <v>2103</v>
      </c>
    </row>
    <row r="942" spans="1:3" x14ac:dyDescent="0.25">
      <c r="A942" s="12" t="s">
        <v>2106</v>
      </c>
      <c r="B942" s="12" t="s">
        <v>1755</v>
      </c>
      <c r="C942" s="12" t="s">
        <v>2105</v>
      </c>
    </row>
    <row r="943" spans="1:3" x14ac:dyDescent="0.25">
      <c r="A943" s="12" t="s">
        <v>2108</v>
      </c>
      <c r="B943" s="12" t="s">
        <v>1755</v>
      </c>
      <c r="C943" s="12" t="s">
        <v>2107</v>
      </c>
    </row>
    <row r="944" spans="1:3" x14ac:dyDescent="0.25">
      <c r="A944" s="12" t="s">
        <v>2110</v>
      </c>
      <c r="B944" s="12" t="s">
        <v>1755</v>
      </c>
      <c r="C944" s="12" t="s">
        <v>2109</v>
      </c>
    </row>
    <row r="945" spans="1:3" x14ac:dyDescent="0.25">
      <c r="A945" s="12" t="s">
        <v>2112</v>
      </c>
      <c r="B945" s="12" t="s">
        <v>1755</v>
      </c>
      <c r="C945" s="12" t="s">
        <v>2111</v>
      </c>
    </row>
    <row r="946" spans="1:3" x14ac:dyDescent="0.25">
      <c r="A946" s="12" t="s">
        <v>2114</v>
      </c>
      <c r="B946" s="12" t="s">
        <v>1755</v>
      </c>
      <c r="C946" s="12" t="s">
        <v>2113</v>
      </c>
    </row>
    <row r="947" spans="1:3" x14ac:dyDescent="0.25">
      <c r="A947" s="12" t="s">
        <v>2116</v>
      </c>
      <c r="B947" s="12" t="s">
        <v>1755</v>
      </c>
      <c r="C947" s="12" t="s">
        <v>2115</v>
      </c>
    </row>
    <row r="948" spans="1:3" x14ac:dyDescent="0.25">
      <c r="A948" s="12" t="s">
        <v>2118</v>
      </c>
      <c r="B948" s="12" t="s">
        <v>1755</v>
      </c>
      <c r="C948" s="12" t="s">
        <v>2117</v>
      </c>
    </row>
    <row r="949" spans="1:3" x14ac:dyDescent="0.25">
      <c r="A949" s="12" t="s">
        <v>2120</v>
      </c>
      <c r="B949" s="12" t="s">
        <v>1755</v>
      </c>
      <c r="C949" s="12" t="s">
        <v>2119</v>
      </c>
    </row>
    <row r="950" spans="1:3" x14ac:dyDescent="0.25">
      <c r="A950" s="12" t="s">
        <v>2122</v>
      </c>
      <c r="B950" s="12" t="s">
        <v>1755</v>
      </c>
      <c r="C950" s="12" t="s">
        <v>2121</v>
      </c>
    </row>
    <row r="951" spans="1:3" x14ac:dyDescent="0.25">
      <c r="A951" s="12" t="s">
        <v>2124</v>
      </c>
      <c r="B951" s="12" t="s">
        <v>1755</v>
      </c>
      <c r="C951" s="12" t="s">
        <v>2123</v>
      </c>
    </row>
    <row r="952" spans="1:3" x14ac:dyDescent="0.25">
      <c r="A952" s="12" t="s">
        <v>2170</v>
      </c>
      <c r="B952" s="12" t="s">
        <v>1755</v>
      </c>
      <c r="C952" s="12" t="s">
        <v>2125</v>
      </c>
    </row>
    <row r="953" spans="1:3" x14ac:dyDescent="0.25">
      <c r="A953" s="12" t="s">
        <v>2128</v>
      </c>
      <c r="B953" s="12" t="s">
        <v>1755</v>
      </c>
      <c r="C953" s="12" t="s">
        <v>2127</v>
      </c>
    </row>
    <row r="954" spans="1:3" x14ac:dyDescent="0.25">
      <c r="A954" s="12" t="s">
        <v>2130</v>
      </c>
      <c r="B954" s="12" t="s">
        <v>1755</v>
      </c>
      <c r="C954" s="12" t="s">
        <v>2129</v>
      </c>
    </row>
    <row r="955" spans="1:3" x14ac:dyDescent="0.25">
      <c r="A955" s="12" t="s">
        <v>2132</v>
      </c>
      <c r="B955" s="12" t="s">
        <v>1755</v>
      </c>
      <c r="C955" s="12" t="s">
        <v>2131</v>
      </c>
    </row>
    <row r="956" spans="1:3" x14ac:dyDescent="0.25">
      <c r="A956" s="12" t="s">
        <v>2134</v>
      </c>
      <c r="B956" s="12" t="s">
        <v>1755</v>
      </c>
      <c r="C956" s="12" t="s">
        <v>2133</v>
      </c>
    </row>
    <row r="957" spans="1:3" x14ac:dyDescent="0.25">
      <c r="A957" s="12" t="s">
        <v>2136</v>
      </c>
      <c r="B957" s="12" t="s">
        <v>1755</v>
      </c>
      <c r="C957" s="12" t="s">
        <v>2135</v>
      </c>
    </row>
    <row r="958" spans="1:3" x14ac:dyDescent="0.25">
      <c r="A958" s="12" t="s">
        <v>2138</v>
      </c>
      <c r="B958" s="12" t="s">
        <v>1755</v>
      </c>
      <c r="C958" s="12" t="s">
        <v>2137</v>
      </c>
    </row>
    <row r="959" spans="1:3" x14ac:dyDescent="0.25">
      <c r="A959" s="12" t="s">
        <v>2140</v>
      </c>
      <c r="B959" s="12" t="s">
        <v>1755</v>
      </c>
      <c r="C959" s="12" t="s">
        <v>2139</v>
      </c>
    </row>
    <row r="960" spans="1:3" x14ac:dyDescent="0.25">
      <c r="A960" s="12" t="s">
        <v>2142</v>
      </c>
      <c r="B960" s="12" t="s">
        <v>1755</v>
      </c>
      <c r="C960" s="12" t="s">
        <v>2141</v>
      </c>
    </row>
    <row r="961" spans="1:3" x14ac:dyDescent="0.25">
      <c r="A961" s="12" t="s">
        <v>2144</v>
      </c>
      <c r="B961" s="12" t="s">
        <v>1755</v>
      </c>
      <c r="C961" s="12" t="s">
        <v>2143</v>
      </c>
    </row>
    <row r="962" spans="1:3" x14ac:dyDescent="0.25">
      <c r="A962" s="12" t="s">
        <v>2146</v>
      </c>
      <c r="B962" s="12" t="s">
        <v>1755</v>
      </c>
      <c r="C962" s="12" t="s">
        <v>2145</v>
      </c>
    </row>
    <row r="963" spans="1:3" x14ac:dyDescent="0.25">
      <c r="A963" s="12" t="s">
        <v>2148</v>
      </c>
      <c r="B963" s="12" t="s">
        <v>1755</v>
      </c>
      <c r="C963" s="12" t="s">
        <v>2147</v>
      </c>
    </row>
    <row r="964" spans="1:3" x14ac:dyDescent="0.25">
      <c r="A964" s="12" t="s">
        <v>2150</v>
      </c>
      <c r="B964" s="12" t="s">
        <v>1755</v>
      </c>
      <c r="C964" s="12" t="s">
        <v>2149</v>
      </c>
    </row>
    <row r="965" spans="1:3" x14ac:dyDescent="0.25">
      <c r="A965" s="12" t="s">
        <v>2152</v>
      </c>
      <c r="B965" s="12" t="s">
        <v>1755</v>
      </c>
      <c r="C965" s="12" t="s">
        <v>2151</v>
      </c>
    </row>
    <row r="966" spans="1:3" x14ac:dyDescent="0.25">
      <c r="A966" s="12" t="s">
        <v>2154</v>
      </c>
      <c r="B966" s="12" t="s">
        <v>1755</v>
      </c>
      <c r="C966" s="12" t="s">
        <v>2153</v>
      </c>
    </row>
    <row r="967" spans="1:3" x14ac:dyDescent="0.25">
      <c r="A967" s="12" t="s">
        <v>2156</v>
      </c>
      <c r="B967" s="12" t="s">
        <v>1755</v>
      </c>
      <c r="C967" s="12" t="s">
        <v>2155</v>
      </c>
    </row>
    <row r="968" spans="1:3" x14ac:dyDescent="0.25">
      <c r="A968" s="12" t="s">
        <v>2158</v>
      </c>
      <c r="B968" s="12" t="s">
        <v>1755</v>
      </c>
      <c r="C968" s="12" t="s">
        <v>2157</v>
      </c>
    </row>
    <row r="969" spans="1:3" x14ac:dyDescent="0.25">
      <c r="A969" s="12" t="s">
        <v>2162</v>
      </c>
      <c r="B969" s="12" t="s">
        <v>1755</v>
      </c>
      <c r="C969" s="12" t="s">
        <v>2161</v>
      </c>
    </row>
    <row r="970" spans="1:3" x14ac:dyDescent="0.25">
      <c r="A970" s="12" t="s">
        <v>2160</v>
      </c>
      <c r="B970" s="12" t="s">
        <v>1755</v>
      </c>
      <c r="C970" s="12" t="s">
        <v>2159</v>
      </c>
    </row>
    <row r="971" spans="1:3" x14ac:dyDescent="0.25">
      <c r="A971" s="12" t="s">
        <v>2164</v>
      </c>
      <c r="B971" s="12" t="s">
        <v>1755</v>
      </c>
      <c r="C971" s="12" t="s">
        <v>2163</v>
      </c>
    </row>
    <row r="972" spans="1:3" x14ac:dyDescent="0.25">
      <c r="A972" s="12" t="s">
        <v>2166</v>
      </c>
      <c r="B972" s="12" t="s">
        <v>1755</v>
      </c>
      <c r="C972" s="12" t="s">
        <v>2165</v>
      </c>
    </row>
    <row r="973" spans="1:3" x14ac:dyDescent="0.25">
      <c r="A973" s="14" t="s">
        <v>2176</v>
      </c>
      <c r="B973" s="12" t="s">
        <v>641</v>
      </c>
      <c r="C973" s="12" t="s">
        <v>641</v>
      </c>
    </row>
    <row r="974" spans="1:3" x14ac:dyDescent="0.25">
      <c r="A974" s="12" t="s">
        <v>2179</v>
      </c>
      <c r="B974" s="12" t="s">
        <v>2178</v>
      </c>
      <c r="C974" s="12" t="s">
        <v>2178</v>
      </c>
    </row>
    <row r="975" spans="1:3" x14ac:dyDescent="0.25">
      <c r="A975" s="12" t="s">
        <v>2187</v>
      </c>
      <c r="B975" s="12" t="s">
        <v>2184</v>
      </c>
      <c r="C975" s="12" t="s">
        <v>2186</v>
      </c>
    </row>
    <row r="976" spans="1:3" x14ac:dyDescent="0.25">
      <c r="A976" s="12" t="s">
        <v>2189</v>
      </c>
      <c r="B976" s="12" t="s">
        <v>2184</v>
      </c>
      <c r="C976" s="12" t="s">
        <v>2188</v>
      </c>
    </row>
    <row r="977" spans="1:3" x14ac:dyDescent="0.25">
      <c r="A977" s="8" t="s">
        <v>2191</v>
      </c>
      <c r="B977" s="12" t="s">
        <v>2184</v>
      </c>
      <c r="C977" s="12" t="s">
        <v>2190</v>
      </c>
    </row>
    <row r="978" spans="1:3" ht="15" customHeight="1" x14ac:dyDescent="0.25">
      <c r="A978" s="126" t="s">
        <v>2193</v>
      </c>
      <c r="B978" t="s">
        <v>2184</v>
      </c>
      <c r="C978" t="s">
        <v>2192</v>
      </c>
    </row>
    <row r="979" spans="1:3" ht="15" customHeight="1" x14ac:dyDescent="0.25">
      <c r="A979" s="126" t="s">
        <v>2296</v>
      </c>
      <c r="B979" t="s">
        <v>2184</v>
      </c>
      <c r="C979" t="s">
        <v>2294</v>
      </c>
    </row>
    <row r="980" spans="1:3" ht="15" customHeight="1" x14ac:dyDescent="0.25">
      <c r="A980" s="126" t="s">
        <v>2195</v>
      </c>
      <c r="B980" t="s">
        <v>2184</v>
      </c>
      <c r="C980" t="s">
        <v>2194</v>
      </c>
    </row>
    <row r="981" spans="1:3" ht="15" customHeight="1" x14ac:dyDescent="0.25">
      <c r="A981" s="126" t="s">
        <v>2197</v>
      </c>
      <c r="B981" t="s">
        <v>2184</v>
      </c>
      <c r="C981" t="s">
        <v>2196</v>
      </c>
    </row>
    <row r="982" spans="1:3" x14ac:dyDescent="0.25">
      <c r="A982" s="12" t="s">
        <v>2199</v>
      </c>
      <c r="B982" s="12" t="s">
        <v>2184</v>
      </c>
      <c r="C982" s="12" t="s">
        <v>2198</v>
      </c>
    </row>
    <row r="983" spans="1:3" x14ac:dyDescent="0.25">
      <c r="A983" s="12" t="s">
        <v>2201</v>
      </c>
      <c r="B983" s="12" t="s">
        <v>2184</v>
      </c>
      <c r="C983" s="12" t="s">
        <v>2200</v>
      </c>
    </row>
    <row r="984" spans="1:3" x14ac:dyDescent="0.25">
      <c r="A984" s="12" t="s">
        <v>673</v>
      </c>
      <c r="B984" s="12" t="s">
        <v>672</v>
      </c>
      <c r="C984" s="12" t="s">
        <v>671</v>
      </c>
    </row>
    <row r="985" spans="1:3" x14ac:dyDescent="0.25">
      <c r="A985" s="12" t="s">
        <v>2182</v>
      </c>
      <c r="B985" s="12" t="s">
        <v>2181</v>
      </c>
      <c r="C985" s="12" t="s">
        <v>2180</v>
      </c>
    </row>
    <row r="986" spans="1:3" x14ac:dyDescent="0.25">
      <c r="A986" s="12" t="s">
        <v>299</v>
      </c>
      <c r="B986" s="12" t="s">
        <v>138</v>
      </c>
      <c r="C986" s="12" t="s">
        <v>300</v>
      </c>
    </row>
    <row r="987" spans="1:3" x14ac:dyDescent="0.25">
      <c r="A987" s="12" t="s">
        <v>501</v>
      </c>
      <c r="B987" s="12" t="s">
        <v>432</v>
      </c>
      <c r="C987" s="12" t="s">
        <v>502</v>
      </c>
    </row>
    <row r="988" spans="1:3" x14ac:dyDescent="0.25">
      <c r="A988" s="12">
        <v>0</v>
      </c>
      <c r="B988" s="12" t="s">
        <v>2184</v>
      </c>
      <c r="C988" s="12" t="s">
        <v>2206</v>
      </c>
    </row>
    <row r="989" spans="1:3" x14ac:dyDescent="0.25">
      <c r="A989" s="12" t="s">
        <v>2208</v>
      </c>
      <c r="B989" s="12" t="s">
        <v>2184</v>
      </c>
      <c r="C989" s="12" t="s">
        <v>2207</v>
      </c>
    </row>
    <row r="990" spans="1:3" x14ac:dyDescent="0.25">
      <c r="A990" s="12" t="s">
        <v>2210</v>
      </c>
      <c r="B990" s="12" t="s">
        <v>2184</v>
      </c>
      <c r="C990" s="12" t="s">
        <v>2209</v>
      </c>
    </row>
    <row r="991" spans="1:3" x14ac:dyDescent="0.25">
      <c r="A991" s="12">
        <v>0</v>
      </c>
      <c r="B991" s="12" t="s">
        <v>2184</v>
      </c>
      <c r="C991" s="12" t="s">
        <v>2211</v>
      </c>
    </row>
    <row r="992" spans="1:3" x14ac:dyDescent="0.25">
      <c r="A992" s="12" t="s">
        <v>2213</v>
      </c>
      <c r="B992" s="12" t="s">
        <v>2184</v>
      </c>
      <c r="C992" s="12" t="s">
        <v>2212</v>
      </c>
    </row>
    <row r="993" spans="1:3" x14ac:dyDescent="0.25">
      <c r="A993" s="12" t="s">
        <v>2215</v>
      </c>
      <c r="B993" s="12" t="s">
        <v>2184</v>
      </c>
      <c r="C993" s="12" t="s">
        <v>2214</v>
      </c>
    </row>
    <row r="994" spans="1:3" x14ac:dyDescent="0.25">
      <c r="A994" s="12" t="s">
        <v>2217</v>
      </c>
      <c r="B994" s="12" t="s">
        <v>2184</v>
      </c>
      <c r="C994" s="12" t="s">
        <v>2216</v>
      </c>
    </row>
    <row r="995" spans="1:3" x14ac:dyDescent="0.25">
      <c r="A995" s="12" t="s">
        <v>2219</v>
      </c>
      <c r="B995" s="12" t="s">
        <v>2184</v>
      </c>
      <c r="C995" s="12" t="s">
        <v>2218</v>
      </c>
    </row>
    <row r="996" spans="1:3" x14ac:dyDescent="0.25">
      <c r="A996" s="12" t="s">
        <v>2221</v>
      </c>
      <c r="B996" s="12" t="s">
        <v>2184</v>
      </c>
      <c r="C996" s="12" t="s">
        <v>2220</v>
      </c>
    </row>
    <row r="997" spans="1:3" x14ac:dyDescent="0.25">
      <c r="A997" s="12" t="s">
        <v>2223</v>
      </c>
      <c r="B997" s="12" t="s">
        <v>2184</v>
      </c>
      <c r="C997" s="12" t="s">
        <v>2222</v>
      </c>
    </row>
    <row r="998" spans="1:3" x14ac:dyDescent="0.25">
      <c r="A998" s="12" t="s">
        <v>2225</v>
      </c>
      <c r="B998" s="12" t="s">
        <v>2184</v>
      </c>
      <c r="C998" s="12" t="s">
        <v>2224</v>
      </c>
    </row>
    <row r="999" spans="1:3" x14ac:dyDescent="0.25">
      <c r="A999" s="12">
        <v>0</v>
      </c>
      <c r="B999" s="12" t="s">
        <v>2184</v>
      </c>
      <c r="C999" s="12" t="s">
        <v>2226</v>
      </c>
    </row>
    <row r="1000" spans="1:3" x14ac:dyDescent="0.25">
      <c r="A1000" s="12" t="s">
        <v>2228</v>
      </c>
      <c r="B1000" s="12" t="s">
        <v>2184</v>
      </c>
      <c r="C1000" s="12" t="s">
        <v>2227</v>
      </c>
    </row>
    <row r="1001" spans="1:3" x14ac:dyDescent="0.25">
      <c r="A1001" s="12" t="s">
        <v>2230</v>
      </c>
      <c r="B1001" s="12" t="s">
        <v>2184</v>
      </c>
      <c r="C1001" s="12" t="s">
        <v>2229</v>
      </c>
    </row>
    <row r="1002" spans="1:3" x14ac:dyDescent="0.25">
      <c r="A1002" s="12" t="s">
        <v>2232</v>
      </c>
      <c r="B1002" s="12" t="s">
        <v>2184</v>
      </c>
      <c r="C1002" s="12" t="s">
        <v>2231</v>
      </c>
    </row>
    <row r="1003" spans="1:3" x14ac:dyDescent="0.25">
      <c r="A1003" s="12">
        <v>0</v>
      </c>
      <c r="B1003" s="12" t="s">
        <v>2184</v>
      </c>
      <c r="C1003" s="12" t="s">
        <v>2233</v>
      </c>
    </row>
    <row r="1004" spans="1:3" x14ac:dyDescent="0.25">
      <c r="A1004" s="12" t="s">
        <v>2235</v>
      </c>
      <c r="B1004" s="12" t="s">
        <v>2184</v>
      </c>
      <c r="C1004" s="12" t="s">
        <v>2234</v>
      </c>
    </row>
    <row r="1005" spans="1:3" x14ac:dyDescent="0.25">
      <c r="A1005" s="12">
        <v>0</v>
      </c>
      <c r="B1005" s="12" t="s">
        <v>2184</v>
      </c>
      <c r="C1005" s="12" t="s">
        <v>2236</v>
      </c>
    </row>
    <row r="1006" spans="1:3" x14ac:dyDescent="0.25">
      <c r="A1006" s="12" t="s">
        <v>2238</v>
      </c>
      <c r="B1006" s="12" t="s">
        <v>2184</v>
      </c>
      <c r="C1006" s="12" t="s">
        <v>2237</v>
      </c>
    </row>
    <row r="1007" spans="1:3" x14ac:dyDescent="0.25">
      <c r="A1007" s="12" t="s">
        <v>2240</v>
      </c>
      <c r="B1007" s="12" t="s">
        <v>2184</v>
      </c>
      <c r="C1007" s="12" t="s">
        <v>2239</v>
      </c>
    </row>
    <row r="1008" spans="1:3" x14ac:dyDescent="0.25">
      <c r="A1008" s="12" t="s">
        <v>2242</v>
      </c>
      <c r="B1008" s="12" t="s">
        <v>2184</v>
      </c>
      <c r="C1008" s="12" t="s">
        <v>2241</v>
      </c>
    </row>
    <row r="1009" spans="1:3" x14ac:dyDescent="0.25">
      <c r="A1009" s="12" t="s">
        <v>2244</v>
      </c>
      <c r="B1009" s="12" t="s">
        <v>2184</v>
      </c>
      <c r="C1009" s="12" t="s">
        <v>2243</v>
      </c>
    </row>
    <row r="1010" spans="1:3" x14ac:dyDescent="0.25">
      <c r="A1010" s="12">
        <v>0</v>
      </c>
      <c r="B1010" s="12" t="s">
        <v>2184</v>
      </c>
      <c r="C1010" s="12" t="s">
        <v>2245</v>
      </c>
    </row>
    <row r="1011" spans="1:3" x14ac:dyDescent="0.25">
      <c r="A1011" s="12" t="s">
        <v>2247</v>
      </c>
      <c r="B1011" s="12" t="s">
        <v>2184</v>
      </c>
      <c r="C1011" s="12" t="s">
        <v>2246</v>
      </c>
    </row>
    <row r="1012" spans="1:3" x14ac:dyDescent="0.25">
      <c r="A1012" s="12" t="s">
        <v>2249</v>
      </c>
      <c r="B1012" s="12" t="s">
        <v>2184</v>
      </c>
      <c r="C1012" s="12" t="s">
        <v>2248</v>
      </c>
    </row>
    <row r="1013" spans="1:3" x14ac:dyDescent="0.25">
      <c r="A1013" s="12" t="s">
        <v>2251</v>
      </c>
      <c r="B1013" s="12" t="s">
        <v>2184</v>
      </c>
      <c r="C1013" s="12" t="s">
        <v>2250</v>
      </c>
    </row>
    <row r="1014" spans="1:3" x14ac:dyDescent="0.25">
      <c r="A1014" s="12" t="s">
        <v>2255</v>
      </c>
      <c r="B1014" s="12" t="s">
        <v>2184</v>
      </c>
      <c r="C1014" s="12" t="s">
        <v>2254</v>
      </c>
    </row>
    <row r="1015" spans="1:3" x14ac:dyDescent="0.25">
      <c r="A1015" s="12" t="s">
        <v>2257</v>
      </c>
      <c r="B1015" s="12" t="s">
        <v>2184</v>
      </c>
      <c r="C1015" s="12" t="s">
        <v>2256</v>
      </c>
    </row>
    <row r="1016" spans="1:3" x14ac:dyDescent="0.25">
      <c r="A1016" s="12">
        <v>0</v>
      </c>
      <c r="B1016" s="12" t="s">
        <v>2184</v>
      </c>
      <c r="C1016" s="12" t="s">
        <v>2258</v>
      </c>
    </row>
    <row r="1017" spans="1:3" x14ac:dyDescent="0.25">
      <c r="A1017" s="12" t="s">
        <v>2260</v>
      </c>
      <c r="B1017" s="12" t="s">
        <v>2184</v>
      </c>
      <c r="C1017" s="12" t="s">
        <v>2259</v>
      </c>
    </row>
    <row r="1018" spans="1:3" x14ac:dyDescent="0.25">
      <c r="A1018" s="12" t="s">
        <v>2262</v>
      </c>
      <c r="B1018" s="12" t="s">
        <v>2184</v>
      </c>
      <c r="C1018" s="12" t="s">
        <v>2261</v>
      </c>
    </row>
    <row r="1019" spans="1:3" x14ac:dyDescent="0.25">
      <c r="A1019" s="12" t="s">
        <v>2264</v>
      </c>
      <c r="B1019" s="12" t="s">
        <v>2184</v>
      </c>
      <c r="C1019" s="12" t="s">
        <v>2263</v>
      </c>
    </row>
    <row r="1020" spans="1:3" x14ac:dyDescent="0.25">
      <c r="A1020" s="12" t="s">
        <v>2266</v>
      </c>
      <c r="B1020" s="12" t="s">
        <v>2184</v>
      </c>
      <c r="C1020" s="12" t="s">
        <v>2265</v>
      </c>
    </row>
    <row r="1021" spans="1:3" x14ac:dyDescent="0.25">
      <c r="A1021" s="12" t="s">
        <v>2268</v>
      </c>
      <c r="B1021" s="12" t="s">
        <v>2184</v>
      </c>
      <c r="C1021" s="12" t="s">
        <v>2267</v>
      </c>
    </row>
    <row r="1022" spans="1:3" x14ac:dyDescent="0.25">
      <c r="A1022" s="12">
        <v>0</v>
      </c>
      <c r="B1022" s="12" t="s">
        <v>2184</v>
      </c>
      <c r="C1022" s="12" t="s">
        <v>2269</v>
      </c>
    </row>
    <row r="1023" spans="1:3" x14ac:dyDescent="0.25">
      <c r="A1023" s="12" t="s">
        <v>2271</v>
      </c>
      <c r="B1023" s="12" t="s">
        <v>2184</v>
      </c>
      <c r="C1023" s="12" t="s">
        <v>2270</v>
      </c>
    </row>
    <row r="1024" spans="1:3" x14ac:dyDescent="0.25">
      <c r="A1024" s="12" t="s">
        <v>2273</v>
      </c>
      <c r="B1024" s="12" t="s">
        <v>2184</v>
      </c>
      <c r="C1024" s="12" t="s">
        <v>2272</v>
      </c>
    </row>
    <row r="1025" spans="1:3" x14ac:dyDescent="0.25">
      <c r="A1025" s="12" t="s">
        <v>2275</v>
      </c>
      <c r="B1025" s="12" t="s">
        <v>2184</v>
      </c>
      <c r="C1025" s="12" t="s">
        <v>2274</v>
      </c>
    </row>
    <row r="1026" spans="1:3" x14ac:dyDescent="0.25">
      <c r="A1026" s="12" t="s">
        <v>2277</v>
      </c>
      <c r="B1026" s="12" t="s">
        <v>2184</v>
      </c>
      <c r="C1026" s="12" t="s">
        <v>2276</v>
      </c>
    </row>
    <row r="1027" spans="1:3" x14ac:dyDescent="0.25">
      <c r="A1027" s="12" t="s">
        <v>2279</v>
      </c>
      <c r="B1027" s="12" t="s">
        <v>2184</v>
      </c>
      <c r="C1027" s="12" t="s">
        <v>2278</v>
      </c>
    </row>
    <row r="1028" spans="1:3" x14ac:dyDescent="0.25">
      <c r="A1028" s="12" t="s">
        <v>2281</v>
      </c>
      <c r="B1028" s="12" t="s">
        <v>2184</v>
      </c>
      <c r="C1028" s="12" t="s">
        <v>2280</v>
      </c>
    </row>
    <row r="1029" spans="1:3" x14ac:dyDescent="0.25">
      <c r="A1029" s="12">
        <v>0</v>
      </c>
      <c r="B1029" s="12" t="s">
        <v>2184</v>
      </c>
      <c r="C1029" s="12" t="s">
        <v>2282</v>
      </c>
    </row>
    <row r="1030" spans="1:3" x14ac:dyDescent="0.25">
      <c r="A1030" s="12" t="s">
        <v>2285</v>
      </c>
      <c r="B1030" s="12" t="s">
        <v>2184</v>
      </c>
      <c r="C1030" s="12" t="s">
        <v>2284</v>
      </c>
    </row>
    <row r="1031" spans="1:3" x14ac:dyDescent="0.25">
      <c r="A1031" s="12" t="s">
        <v>2289</v>
      </c>
      <c r="B1031" s="12" t="s">
        <v>2184</v>
      </c>
      <c r="C1031" s="12" t="s">
        <v>2288</v>
      </c>
    </row>
    <row r="1032" spans="1:3" x14ac:dyDescent="0.25">
      <c r="A1032" s="12" t="s">
        <v>2291</v>
      </c>
      <c r="B1032" s="12" t="s">
        <v>2184</v>
      </c>
      <c r="C1032" s="12" t="s">
        <v>2290</v>
      </c>
    </row>
    <row r="1033" spans="1:3" x14ac:dyDescent="0.25">
      <c r="A1033" s="12" t="s">
        <v>2293</v>
      </c>
      <c r="B1033" s="12" t="s">
        <v>2184</v>
      </c>
      <c r="C1033" s="12" t="s">
        <v>2292</v>
      </c>
    </row>
    <row r="1034" spans="1:3" x14ac:dyDescent="0.25">
      <c r="A1034" s="128" t="s">
        <v>2253</v>
      </c>
      <c r="B1034" s="12" t="s">
        <v>2184</v>
      </c>
      <c r="C1034" t="s">
        <v>2252</v>
      </c>
    </row>
    <row r="1035" spans="1:3" x14ac:dyDescent="0.25">
      <c r="A1035" s="12" t="s">
        <v>2302</v>
      </c>
      <c r="B1035" s="12" t="s">
        <v>2301</v>
      </c>
      <c r="C1035" s="12" t="s">
        <v>2300</v>
      </c>
    </row>
    <row r="1036" spans="1:3" x14ac:dyDescent="0.25">
      <c r="A1036" s="12" t="s">
        <v>2304</v>
      </c>
      <c r="B1036" s="12" t="s">
        <v>2301</v>
      </c>
      <c r="C1036" s="12" t="s">
        <v>2303</v>
      </c>
    </row>
    <row r="1037" spans="1:3" x14ac:dyDescent="0.25">
      <c r="A1037" s="12" t="s">
        <v>2306</v>
      </c>
      <c r="B1037" s="12" t="s">
        <v>2301</v>
      </c>
      <c r="C1037" s="12" t="s">
        <v>2305</v>
      </c>
    </row>
    <row r="1038" spans="1:3" x14ac:dyDescent="0.25">
      <c r="A1038" s="12" t="s">
        <v>2377</v>
      </c>
      <c r="B1038" s="12" t="s">
        <v>19</v>
      </c>
      <c r="C1038" s="12" t="s">
        <v>2527</v>
      </c>
    </row>
    <row r="1039" spans="1:3" x14ac:dyDescent="0.25">
      <c r="A1039" s="12" t="s">
        <v>34</v>
      </c>
      <c r="B1039" s="12" t="s">
        <v>19</v>
      </c>
      <c r="C1039" s="12" t="s">
        <v>35</v>
      </c>
    </row>
    <row r="1040" spans="1:3" x14ac:dyDescent="0.25">
      <c r="A1040" s="12" t="s">
        <v>26</v>
      </c>
      <c r="B1040" s="12" t="s">
        <v>19</v>
      </c>
      <c r="C1040" s="12" t="s">
        <v>27</v>
      </c>
    </row>
    <row r="1041" spans="1:3" x14ac:dyDescent="0.25">
      <c r="A1041" s="12" t="s">
        <v>2331</v>
      </c>
      <c r="B1041" s="12" t="s">
        <v>19</v>
      </c>
      <c r="C1041" s="12" t="s">
        <v>35</v>
      </c>
    </row>
    <row r="1042" spans="1:3" x14ac:dyDescent="0.25">
      <c r="A1042" s="12" t="s">
        <v>2330</v>
      </c>
      <c r="B1042" s="12" t="s">
        <v>19</v>
      </c>
      <c r="C1042" s="12" t="s">
        <v>2329</v>
      </c>
    </row>
    <row r="1043" spans="1:3" x14ac:dyDescent="0.25">
      <c r="A1043" s="12" t="s">
        <v>30</v>
      </c>
      <c r="B1043" s="12" t="s">
        <v>19</v>
      </c>
      <c r="C1043" s="12" t="s">
        <v>31</v>
      </c>
    </row>
    <row r="1044" spans="1:3" x14ac:dyDescent="0.25">
      <c r="A1044" s="12" t="s">
        <v>2308</v>
      </c>
      <c r="B1044" s="12" t="s">
        <v>19</v>
      </c>
      <c r="C1044" s="12" t="s">
        <v>2307</v>
      </c>
    </row>
    <row r="1045" spans="1:3" x14ac:dyDescent="0.25">
      <c r="A1045" s="12" t="s">
        <v>2310</v>
      </c>
      <c r="B1045" s="12" t="s">
        <v>19</v>
      </c>
      <c r="C1045" s="12" t="s">
        <v>2309</v>
      </c>
    </row>
    <row r="1046" spans="1:3" x14ac:dyDescent="0.25">
      <c r="A1046" s="12" t="s">
        <v>2312</v>
      </c>
      <c r="B1046" s="12" t="s">
        <v>19</v>
      </c>
      <c r="C1046" s="12" t="s">
        <v>2311</v>
      </c>
    </row>
    <row r="1047" spans="1:3" x14ac:dyDescent="0.25">
      <c r="A1047" s="12" t="s">
        <v>2316</v>
      </c>
      <c r="B1047" s="12" t="s">
        <v>19</v>
      </c>
      <c r="C1047" s="12" t="s">
        <v>2315</v>
      </c>
    </row>
    <row r="1048" spans="1:3" x14ac:dyDescent="0.25">
      <c r="A1048" s="12" t="s">
        <v>2318</v>
      </c>
      <c r="B1048" s="12" t="s">
        <v>19</v>
      </c>
      <c r="C1048" s="12" t="s">
        <v>2317</v>
      </c>
    </row>
    <row r="1049" spans="1:3" x14ac:dyDescent="0.25">
      <c r="A1049" s="12" t="s">
        <v>2320</v>
      </c>
      <c r="B1049" s="12" t="s">
        <v>19</v>
      </c>
      <c r="C1049" s="12" t="s">
        <v>2319</v>
      </c>
    </row>
    <row r="1050" spans="1:3" x14ac:dyDescent="0.25">
      <c r="A1050" s="12" t="s">
        <v>2322</v>
      </c>
      <c r="B1050" s="12" t="s">
        <v>19</v>
      </c>
      <c r="C1050" s="12" t="s">
        <v>2321</v>
      </c>
    </row>
    <row r="1051" spans="1:3" x14ac:dyDescent="0.25">
      <c r="A1051" s="12" t="s">
        <v>2326</v>
      </c>
      <c r="B1051" s="12" t="s">
        <v>19</v>
      </c>
      <c r="C1051" s="12" t="s">
        <v>2325</v>
      </c>
    </row>
    <row r="1052" spans="1:3" x14ac:dyDescent="0.25">
      <c r="A1052" s="12" t="s">
        <v>2333</v>
      </c>
      <c r="B1052" s="12" t="s">
        <v>19</v>
      </c>
      <c r="C1052" s="12" t="s">
        <v>2332</v>
      </c>
    </row>
    <row r="1053" spans="1:3" x14ac:dyDescent="0.25">
      <c r="A1053" s="12" t="s">
        <v>2335</v>
      </c>
      <c r="B1053" s="12" t="s">
        <v>19</v>
      </c>
      <c r="C1053" s="12" t="s">
        <v>2334</v>
      </c>
    </row>
    <row r="1054" spans="1:3" x14ac:dyDescent="0.25">
      <c r="A1054" s="12" t="s">
        <v>2337</v>
      </c>
      <c r="B1054" s="12" t="s">
        <v>19</v>
      </c>
      <c r="C1054" s="12" t="s">
        <v>2336</v>
      </c>
    </row>
    <row r="1055" spans="1:3" x14ac:dyDescent="0.25">
      <c r="A1055" s="12" t="s">
        <v>2339</v>
      </c>
      <c r="B1055" s="12" t="s">
        <v>19</v>
      </c>
      <c r="C1055" s="12" t="s">
        <v>2338</v>
      </c>
    </row>
    <row r="1056" spans="1:3" x14ac:dyDescent="0.25">
      <c r="A1056" s="12" t="s">
        <v>2341</v>
      </c>
      <c r="B1056" s="12" t="s">
        <v>19</v>
      </c>
      <c r="C1056" s="12" t="s">
        <v>2340</v>
      </c>
    </row>
    <row r="1057" spans="1:3" x14ac:dyDescent="0.25">
      <c r="A1057" s="12" t="s">
        <v>2343</v>
      </c>
      <c r="B1057" s="12" t="s">
        <v>19</v>
      </c>
      <c r="C1057" s="12" t="s">
        <v>2342</v>
      </c>
    </row>
    <row r="1058" spans="1:3" x14ac:dyDescent="0.25">
      <c r="A1058" s="12" t="s">
        <v>2351</v>
      </c>
      <c r="B1058" s="12" t="s">
        <v>19</v>
      </c>
      <c r="C1058" s="12" t="s">
        <v>2350</v>
      </c>
    </row>
    <row r="1059" spans="1:3" x14ac:dyDescent="0.25">
      <c r="A1059" s="12" t="s">
        <v>2367</v>
      </c>
      <c r="B1059" s="12" t="s">
        <v>19</v>
      </c>
      <c r="C1059" s="12" t="s">
        <v>2366</v>
      </c>
    </row>
    <row r="1060" spans="1:3" x14ac:dyDescent="0.25">
      <c r="A1060" s="126" t="s">
        <v>2371</v>
      </c>
      <c r="B1060" s="12" t="s">
        <v>19</v>
      </c>
      <c r="C1060" s="12" t="s">
        <v>2370</v>
      </c>
    </row>
    <row r="1061" spans="1:3" x14ac:dyDescent="0.25">
      <c r="A1061" s="12" t="s">
        <v>2373</v>
      </c>
      <c r="B1061" s="12" t="s">
        <v>19</v>
      </c>
      <c r="C1061" s="12" t="s">
        <v>2372</v>
      </c>
    </row>
    <row r="1062" spans="1:3" x14ac:dyDescent="0.25">
      <c r="A1062" s="4" t="s">
        <v>2375</v>
      </c>
      <c r="B1062" s="12" t="s">
        <v>19</v>
      </c>
      <c r="C1062" t="s">
        <v>2374</v>
      </c>
    </row>
    <row r="1063" spans="1:3" x14ac:dyDescent="0.25">
      <c r="A1063" s="5" t="s">
        <v>2386</v>
      </c>
      <c r="B1063" s="12" t="s">
        <v>19</v>
      </c>
      <c r="C1063" s="12" t="s">
        <v>2385</v>
      </c>
    </row>
    <row r="1064" spans="1:3" x14ac:dyDescent="0.25">
      <c r="A1064" s="12" t="s">
        <v>2390</v>
      </c>
      <c r="B1064" s="12" t="s">
        <v>19</v>
      </c>
      <c r="C1064" s="12" t="s">
        <v>2389</v>
      </c>
    </row>
    <row r="1065" spans="1:3" x14ac:dyDescent="0.25">
      <c r="A1065" s="12" t="s">
        <v>2388</v>
      </c>
      <c r="B1065" s="12" t="s">
        <v>19</v>
      </c>
      <c r="C1065" s="12" t="s">
        <v>2387</v>
      </c>
    </row>
    <row r="1066" spans="1:3" x14ac:dyDescent="0.25">
      <c r="A1066" s="12" t="s">
        <v>24</v>
      </c>
      <c r="B1066" s="12" t="s">
        <v>19</v>
      </c>
      <c r="C1066" s="12" t="s">
        <v>25</v>
      </c>
    </row>
    <row r="1067" spans="1:3" x14ac:dyDescent="0.25">
      <c r="A1067" s="12" t="s">
        <v>2393</v>
      </c>
      <c r="B1067" s="12" t="s">
        <v>19</v>
      </c>
      <c r="C1067" s="12" t="s">
        <v>2392</v>
      </c>
    </row>
    <row r="1068" spans="1:3" x14ac:dyDescent="0.25">
      <c r="A1068" s="12" t="s">
        <v>2349</v>
      </c>
      <c r="B1068" s="12" t="s">
        <v>19</v>
      </c>
      <c r="C1068" s="12" t="s">
        <v>2348</v>
      </c>
    </row>
    <row r="1069" spans="1:3" x14ac:dyDescent="0.25">
      <c r="A1069" s="12" t="s">
        <v>2345</v>
      </c>
      <c r="B1069" s="12" t="s">
        <v>19</v>
      </c>
      <c r="C1069" s="12" t="s">
        <v>2344</v>
      </c>
    </row>
    <row r="1070" spans="1:3" x14ac:dyDescent="0.25">
      <c r="A1070" s="12" t="s">
        <v>2391</v>
      </c>
      <c r="B1070" s="12" t="s">
        <v>19</v>
      </c>
      <c r="C1070" s="12" t="s">
        <v>2389</v>
      </c>
    </row>
    <row r="1071" spans="1:3" x14ac:dyDescent="0.25">
      <c r="A1071" s="127" t="s">
        <v>2380</v>
      </c>
      <c r="B1071" s="12" t="s">
        <v>19</v>
      </c>
      <c r="C1071" t="s">
        <v>2378</v>
      </c>
    </row>
    <row r="1072" spans="1:3" x14ac:dyDescent="0.25">
      <c r="A1072" s="149" t="s">
        <v>2382</v>
      </c>
      <c r="B1072" s="12" t="s">
        <v>19</v>
      </c>
      <c r="C1072" s="129" t="s">
        <v>2381</v>
      </c>
    </row>
    <row r="1073" spans="1:3" x14ac:dyDescent="0.25">
      <c r="A1073" s="12" t="s">
        <v>2384</v>
      </c>
      <c r="B1073" s="12" t="s">
        <v>19</v>
      </c>
      <c r="C1073" s="12" t="s">
        <v>2383</v>
      </c>
    </row>
    <row r="1074" spans="1:3" x14ac:dyDescent="0.25">
      <c r="A1074" s="12" t="s">
        <v>2395</v>
      </c>
      <c r="B1074" s="12" t="s">
        <v>19</v>
      </c>
      <c r="C1074" s="12" t="s">
        <v>2394</v>
      </c>
    </row>
    <row r="1075" spans="1:3" x14ac:dyDescent="0.25">
      <c r="A1075" s="12" t="s">
        <v>2397</v>
      </c>
      <c r="B1075" s="12" t="s">
        <v>19</v>
      </c>
      <c r="C1075" s="12" t="s">
        <v>2396</v>
      </c>
    </row>
    <row r="1076" spans="1:3" x14ac:dyDescent="0.25">
      <c r="A1076" s="12" t="s">
        <v>2399</v>
      </c>
      <c r="B1076" s="12" t="s">
        <v>19</v>
      </c>
      <c r="C1076" s="12" t="s">
        <v>2398</v>
      </c>
    </row>
    <row r="1077" spans="1:3" x14ac:dyDescent="0.25">
      <c r="A1077" s="12" t="s">
        <v>2328</v>
      </c>
      <c r="B1077" s="12" t="s">
        <v>19</v>
      </c>
      <c r="C1077" s="12" t="s">
        <v>2327</v>
      </c>
    </row>
    <row r="1078" spans="1:3" x14ac:dyDescent="0.25">
      <c r="A1078" s="12" t="s">
        <v>2324</v>
      </c>
      <c r="B1078" s="12" t="s">
        <v>19</v>
      </c>
      <c r="C1078" s="12" t="s">
        <v>2323</v>
      </c>
    </row>
    <row r="1079" spans="1:3" x14ac:dyDescent="0.25">
      <c r="A1079" s="12" t="s">
        <v>2401</v>
      </c>
      <c r="B1079" s="12" t="s">
        <v>642</v>
      </c>
      <c r="C1079" s="12" t="s">
        <v>2400</v>
      </c>
    </row>
    <row r="1080" spans="1:3" x14ac:dyDescent="0.25">
      <c r="A1080" s="12" t="s">
        <v>2403</v>
      </c>
      <c r="B1080" s="12" t="s">
        <v>642</v>
      </c>
      <c r="C1080" s="12" t="s">
        <v>2402</v>
      </c>
    </row>
    <row r="1081" spans="1:3" x14ac:dyDescent="0.25">
      <c r="A1081" s="12" t="s">
        <v>2405</v>
      </c>
      <c r="B1081" s="12" t="s">
        <v>642</v>
      </c>
      <c r="C1081" s="12" t="s">
        <v>2404</v>
      </c>
    </row>
    <row r="1082" spans="1:3" x14ac:dyDescent="0.25">
      <c r="A1082" s="12" t="s">
        <v>2407</v>
      </c>
      <c r="B1082" s="12" t="s">
        <v>642</v>
      </c>
      <c r="C1082" s="12" t="s">
        <v>2406</v>
      </c>
    </row>
    <row r="1083" spans="1:3" x14ac:dyDescent="0.25">
      <c r="A1083" s="12" t="s">
        <v>2409</v>
      </c>
      <c r="B1083" s="12" t="s">
        <v>642</v>
      </c>
      <c r="C1083" s="12" t="s">
        <v>2408</v>
      </c>
    </row>
    <row r="1084" spans="1:3" x14ac:dyDescent="0.25">
      <c r="A1084" s="12" t="s">
        <v>2411</v>
      </c>
      <c r="B1084" s="12" t="s">
        <v>642</v>
      </c>
      <c r="C1084" s="12" t="s">
        <v>2410</v>
      </c>
    </row>
    <row r="1085" spans="1:3" x14ac:dyDescent="0.25">
      <c r="A1085" s="12" t="s">
        <v>2413</v>
      </c>
      <c r="B1085" s="12" t="s">
        <v>642</v>
      </c>
      <c r="C1085" s="12" t="s">
        <v>2412</v>
      </c>
    </row>
    <row r="1086" spans="1:3" x14ac:dyDescent="0.25">
      <c r="A1086" s="12" t="s">
        <v>2415</v>
      </c>
      <c r="B1086" s="12" t="s">
        <v>642</v>
      </c>
      <c r="C1086" s="12" t="s">
        <v>2414</v>
      </c>
    </row>
    <row r="1087" spans="1:3" x14ac:dyDescent="0.25">
      <c r="A1087" s="12" t="s">
        <v>1385</v>
      </c>
      <c r="B1087" s="12" t="s">
        <v>1384</v>
      </c>
      <c r="C1087" s="12" t="s">
        <v>1383</v>
      </c>
    </row>
    <row r="1088" spans="1:3" x14ac:dyDescent="0.25">
      <c r="A1088" s="12" t="s">
        <v>1387</v>
      </c>
      <c r="B1088" s="12" t="s">
        <v>1384</v>
      </c>
      <c r="C1088" s="12" t="s">
        <v>1386</v>
      </c>
    </row>
    <row r="1089" spans="1:3" x14ac:dyDescent="0.25">
      <c r="A1089" s="12" t="s">
        <v>1389</v>
      </c>
      <c r="B1089" s="12" t="s">
        <v>1384</v>
      </c>
      <c r="C1089" s="12" t="s">
        <v>1388</v>
      </c>
    </row>
    <row r="1090" spans="1:3" x14ac:dyDescent="0.25">
      <c r="A1090" s="12" t="s">
        <v>1391</v>
      </c>
      <c r="B1090" s="12" t="s">
        <v>1384</v>
      </c>
      <c r="C1090" s="12" t="s">
        <v>1390</v>
      </c>
    </row>
    <row r="1091" spans="1:3" x14ac:dyDescent="0.25">
      <c r="A1091" s="12" t="s">
        <v>1393</v>
      </c>
      <c r="B1091" s="12" t="s">
        <v>1384</v>
      </c>
      <c r="C1091" s="12" t="s">
        <v>1392</v>
      </c>
    </row>
    <row r="1092" spans="1:3" x14ac:dyDescent="0.25">
      <c r="A1092" s="12" t="s">
        <v>684</v>
      </c>
      <c r="B1092" s="12" t="s">
        <v>683</v>
      </c>
      <c r="C1092" s="12" t="s">
        <v>682</v>
      </c>
    </row>
    <row r="1093" spans="1:3" x14ac:dyDescent="0.25">
      <c r="A1093" s="12" t="s">
        <v>688</v>
      </c>
      <c r="B1093" s="12" t="s">
        <v>683</v>
      </c>
      <c r="C1093" s="12" t="s">
        <v>687</v>
      </c>
    </row>
    <row r="1094" spans="1:3" x14ac:dyDescent="0.25">
      <c r="A1094" s="12" t="s">
        <v>698</v>
      </c>
      <c r="B1094" s="12" t="s">
        <v>683</v>
      </c>
      <c r="C1094" s="12" t="s">
        <v>697</v>
      </c>
    </row>
    <row r="1095" spans="1:3" x14ac:dyDescent="0.25">
      <c r="A1095" s="12" t="s">
        <v>690</v>
      </c>
      <c r="B1095" s="12" t="s">
        <v>683</v>
      </c>
      <c r="C1095" s="12" t="s">
        <v>689</v>
      </c>
    </row>
    <row r="1096" spans="1:3" x14ac:dyDescent="0.25">
      <c r="A1096" s="12" t="s">
        <v>694</v>
      </c>
      <c r="B1096" s="12" t="s">
        <v>683</v>
      </c>
      <c r="C1096" s="12" t="s">
        <v>693</v>
      </c>
    </row>
    <row r="1097" spans="1:3" x14ac:dyDescent="0.25">
      <c r="A1097" s="12" t="s">
        <v>692</v>
      </c>
      <c r="B1097" s="12" t="s">
        <v>683</v>
      </c>
      <c r="C1097" s="12" t="s">
        <v>691</v>
      </c>
    </row>
    <row r="1098" spans="1:3" x14ac:dyDescent="0.25">
      <c r="A1098" s="12" t="s">
        <v>696</v>
      </c>
      <c r="B1098" s="12" t="s">
        <v>683</v>
      </c>
      <c r="C1098" s="12" t="s">
        <v>695</v>
      </c>
    </row>
  </sheetData>
  <autoFilter ref="A1:C1098" xr:uid="{00000000-0009-0000-0000-000003000000}"/>
  <conditionalFormatting sqref="A1:A2 A5:A7 A9:A11 A257:A277 A281:A283 A288:A289 A325:A328 A330:A332 A334 A378:A381 A383:A384 A386:A402 A404:A413 A419 A421:A426 A429:A476 A479 A482:A484 A487:A531 A534 A544:A552 A554:A556 A558:A575 A577:A581 A589:A603 A606:A608 A611:A612 A615:A636 A641:A670 A672:A752 A754:A784 A786:A805 A807:A860 A862:A964 A967:A972 A974:A977 A982:A1027 A1029:A1031 A1033 A1036:A1042 A1046:A1047 A1049:A1056 A1058:A1059 A1064:A1067 A1069:A1071 A1073:A1076 A1078:A1086 A1089:A1090 A1093:A1048576">
    <cfRule type="duplicateValues" dxfId="1078" priority="411"/>
  </conditionalFormatting>
  <conditionalFormatting sqref="A3:A4">
    <cfRule type="duplicateValues" dxfId="1077" priority="388"/>
  </conditionalFormatting>
  <conditionalFormatting sqref="A8">
    <cfRule type="duplicateValues" dxfId="1076" priority="390"/>
  </conditionalFormatting>
  <conditionalFormatting sqref="A12 A30 A84 A108:A114 A121:A122 A126 A134 A173">
    <cfRule type="duplicateValues" dxfId="1075" priority="200"/>
  </conditionalFormatting>
  <conditionalFormatting sqref="A13:A15 A21:A23">
    <cfRule type="duplicateValues" dxfId="1074" priority="41"/>
  </conditionalFormatting>
  <conditionalFormatting sqref="A16:A17">
    <cfRule type="duplicateValues" dxfId="1073" priority="26"/>
  </conditionalFormatting>
  <conditionalFormatting sqref="A18:A19">
    <cfRule type="duplicateValues" dxfId="1072" priority="39"/>
  </conditionalFormatting>
  <conditionalFormatting sqref="A20">
    <cfRule type="duplicateValues" dxfId="1071" priority="37"/>
  </conditionalFormatting>
  <conditionalFormatting sqref="A24:A29">
    <cfRule type="duplicateValues" dxfId="1070" priority="110"/>
  </conditionalFormatting>
  <conditionalFormatting sqref="A31">
    <cfRule type="duplicateValues" dxfId="1069" priority="48"/>
  </conditionalFormatting>
  <conditionalFormatting sqref="A32">
    <cfRule type="duplicateValues" dxfId="1068" priority="1749"/>
  </conditionalFormatting>
  <conditionalFormatting sqref="A33 A42 A49:A53 A60:A62">
    <cfRule type="duplicateValues" dxfId="1067" priority="16"/>
  </conditionalFormatting>
  <conditionalFormatting sqref="A34:A37">
    <cfRule type="duplicateValues" dxfId="1066" priority="8"/>
  </conditionalFormatting>
  <conditionalFormatting sqref="A38:A40">
    <cfRule type="duplicateValues" dxfId="1065" priority="5"/>
  </conditionalFormatting>
  <conditionalFormatting sqref="A41">
    <cfRule type="duplicateValues" dxfId="1064" priority="2"/>
  </conditionalFormatting>
  <conditionalFormatting sqref="A43:A48">
    <cfRule type="duplicateValues" dxfId="1063" priority="10"/>
  </conditionalFormatting>
  <conditionalFormatting sqref="A54:A59">
    <cfRule type="duplicateValues" dxfId="1062" priority="14"/>
  </conditionalFormatting>
  <conditionalFormatting sqref="A63">
    <cfRule type="duplicateValues" dxfId="1061" priority="42"/>
  </conditionalFormatting>
  <conditionalFormatting sqref="A64:A65">
    <cfRule type="duplicateValues" dxfId="1060" priority="56"/>
  </conditionalFormatting>
  <conditionalFormatting sqref="A74">
    <cfRule type="duplicateValues" dxfId="1059" priority="50"/>
  </conditionalFormatting>
  <conditionalFormatting sqref="A75:A76">
    <cfRule type="duplicateValues" dxfId="1058" priority="18"/>
  </conditionalFormatting>
  <conditionalFormatting sqref="A78">
    <cfRule type="duplicateValues" dxfId="1057" priority="19"/>
  </conditionalFormatting>
  <conditionalFormatting sqref="A82">
    <cfRule type="duplicateValues" dxfId="1056" priority="55"/>
  </conditionalFormatting>
  <conditionalFormatting sqref="A85:A89">
    <cfRule type="duplicateValues" dxfId="1055" priority="58"/>
  </conditionalFormatting>
  <conditionalFormatting sqref="A90:A95">
    <cfRule type="duplicateValues" dxfId="1054" priority="66"/>
  </conditionalFormatting>
  <conditionalFormatting sqref="A96">
    <cfRule type="duplicateValues" dxfId="1053" priority="64"/>
  </conditionalFormatting>
  <conditionalFormatting sqref="A97">
    <cfRule type="duplicateValues" dxfId="1052" priority="60"/>
  </conditionalFormatting>
  <conditionalFormatting sqref="A98:A104">
    <cfRule type="duplicateValues" dxfId="1051" priority="70"/>
  </conditionalFormatting>
  <conditionalFormatting sqref="A105:A107">
    <cfRule type="duplicateValues" dxfId="1050" priority="68"/>
  </conditionalFormatting>
  <conditionalFormatting sqref="A115:A120">
    <cfRule type="duplicateValues" dxfId="1049" priority="106"/>
  </conditionalFormatting>
  <conditionalFormatting sqref="A123:A125">
    <cfRule type="duplicateValues" dxfId="1048" priority="98"/>
  </conditionalFormatting>
  <conditionalFormatting sqref="A127:A128">
    <cfRule type="duplicateValues" dxfId="1047" priority="108"/>
  </conditionalFormatting>
  <conditionalFormatting sqref="A129:A130">
    <cfRule type="duplicateValues" dxfId="1046" priority="100"/>
  </conditionalFormatting>
  <conditionalFormatting sqref="A131:A133">
    <cfRule type="duplicateValues" dxfId="1045" priority="102"/>
  </conditionalFormatting>
  <conditionalFormatting sqref="A135:A137">
    <cfRule type="duplicateValues" dxfId="1044" priority="104"/>
  </conditionalFormatting>
  <conditionalFormatting sqref="A138 A172">
    <cfRule type="duplicateValues" dxfId="1043" priority="166"/>
  </conditionalFormatting>
  <conditionalFormatting sqref="A139">
    <cfRule type="duplicateValues" dxfId="1042" priority="82"/>
  </conditionalFormatting>
  <conditionalFormatting sqref="A140 A146:A150 A154:A157 A163">
    <cfRule type="duplicateValues" dxfId="1041" priority="80"/>
  </conditionalFormatting>
  <conditionalFormatting sqref="A141:A145">
    <cfRule type="duplicateValues" dxfId="1040" priority="73"/>
  </conditionalFormatting>
  <conditionalFormatting sqref="A151:A153">
    <cfRule type="duplicateValues" dxfId="1039" priority="76"/>
  </conditionalFormatting>
  <conditionalFormatting sqref="A158:A162">
    <cfRule type="duplicateValues" dxfId="1038" priority="78"/>
  </conditionalFormatting>
  <conditionalFormatting sqref="A164:A169">
    <cfRule type="duplicateValues" dxfId="1037" priority="161"/>
  </conditionalFormatting>
  <conditionalFormatting sqref="A170">
    <cfRule type="duplicateValues" dxfId="1036" priority="159"/>
  </conditionalFormatting>
  <conditionalFormatting sqref="A171">
    <cfRule type="duplicateValues" dxfId="1035" priority="163"/>
  </conditionalFormatting>
  <conditionalFormatting sqref="A174 A190:A191">
    <cfRule type="duplicateValues" dxfId="1034" priority="896"/>
  </conditionalFormatting>
  <conditionalFormatting sqref="A175">
    <cfRule type="duplicateValues" dxfId="1033" priority="168"/>
    <cfRule type="duplicateValues" dxfId="1032" priority="171"/>
    <cfRule type="duplicateValues" dxfId="1031" priority="170"/>
    <cfRule type="duplicateValues" dxfId="1030" priority="169"/>
    <cfRule type="duplicateValues" dxfId="1029" priority="172"/>
  </conditionalFormatting>
  <conditionalFormatting sqref="A176">
    <cfRule type="duplicateValues" dxfId="1028" priority="156"/>
    <cfRule type="duplicateValues" dxfId="1027" priority="157"/>
    <cfRule type="duplicateValues" dxfId="1026" priority="153"/>
    <cfRule type="duplicateValues" dxfId="1025" priority="154"/>
    <cfRule type="duplicateValues" dxfId="1024" priority="155"/>
  </conditionalFormatting>
  <conditionalFormatting sqref="A177:A178 A184:A189">
    <cfRule type="duplicateValues" dxfId="1023" priority="194"/>
  </conditionalFormatting>
  <conditionalFormatting sqref="A179:A180 A183">
    <cfRule type="duplicateValues" dxfId="1022" priority="151"/>
  </conditionalFormatting>
  <conditionalFormatting sqref="A181:A182">
    <cfRule type="duplicateValues" dxfId="1021" priority="149"/>
  </conditionalFormatting>
  <conditionalFormatting sqref="A192:A194 A198:A202">
    <cfRule type="duplicateValues" dxfId="1020" priority="1295"/>
  </conditionalFormatting>
  <conditionalFormatting sqref="A195:A197">
    <cfRule type="duplicateValues" dxfId="1019" priority="123"/>
  </conditionalFormatting>
  <conditionalFormatting sqref="A203:A204">
    <cfRule type="duplicateValues" dxfId="1018" priority="180"/>
  </conditionalFormatting>
  <conditionalFormatting sqref="A205:A206 A208">
    <cfRule type="duplicateValues" dxfId="1017" priority="190"/>
  </conditionalFormatting>
  <conditionalFormatting sqref="A207">
    <cfRule type="duplicateValues" dxfId="1016" priority="177"/>
  </conditionalFormatting>
  <conditionalFormatting sqref="A209:A211">
    <cfRule type="duplicateValues" dxfId="1015" priority="187"/>
  </conditionalFormatting>
  <conditionalFormatting sqref="A212:A216">
    <cfRule type="duplicateValues" dxfId="1014" priority="202"/>
  </conditionalFormatting>
  <conditionalFormatting sqref="A217 A220 A223">
    <cfRule type="duplicateValues" dxfId="1013" priority="1195"/>
  </conditionalFormatting>
  <conditionalFormatting sqref="A218:A219">
    <cfRule type="duplicateValues" dxfId="1012" priority="147"/>
  </conditionalFormatting>
  <conditionalFormatting sqref="A221:A222">
    <cfRule type="duplicateValues" dxfId="1011" priority="145"/>
  </conditionalFormatting>
  <conditionalFormatting sqref="A224:A226 A229 A233:A234">
    <cfRule type="duplicateValues" dxfId="1010" priority="234"/>
  </conditionalFormatting>
  <conditionalFormatting sqref="A227:A228">
    <cfRule type="duplicateValues" dxfId="1009" priority="143"/>
  </conditionalFormatting>
  <conditionalFormatting sqref="A230 A232">
    <cfRule type="duplicateValues" dxfId="1008" priority="229"/>
  </conditionalFormatting>
  <conditionalFormatting sqref="A231">
    <cfRule type="duplicateValues" dxfId="1007" priority="71"/>
  </conditionalFormatting>
  <conditionalFormatting sqref="A235:A236">
    <cfRule type="duplicateValues" dxfId="1006" priority="231"/>
  </conditionalFormatting>
  <conditionalFormatting sqref="A237 A241:A249">
    <cfRule type="duplicateValues" dxfId="1005" priority="227"/>
  </conditionalFormatting>
  <conditionalFormatting sqref="A238:A239">
    <cfRule type="duplicateValues" dxfId="1004" priority="223"/>
    <cfRule type="duplicateValues" dxfId="1003" priority="225"/>
    <cfRule type="duplicateValues" dxfId="1002" priority="224"/>
  </conditionalFormatting>
  <conditionalFormatting sqref="A240">
    <cfRule type="duplicateValues" dxfId="1001" priority="221"/>
    <cfRule type="duplicateValues" dxfId="1000" priority="219"/>
    <cfRule type="duplicateValues" dxfId="999" priority="220"/>
  </conditionalFormatting>
  <conditionalFormatting sqref="A250">
    <cfRule type="duplicateValues" dxfId="998" priority="208"/>
  </conditionalFormatting>
  <conditionalFormatting sqref="A251">
    <cfRule type="duplicateValues" dxfId="997" priority="206"/>
  </conditionalFormatting>
  <conditionalFormatting sqref="A252">
    <cfRule type="duplicateValues" dxfId="996" priority="308"/>
    <cfRule type="duplicateValues" dxfId="995" priority="305"/>
    <cfRule type="duplicateValues" dxfId="994" priority="304"/>
    <cfRule type="duplicateValues" dxfId="993" priority="306"/>
    <cfRule type="duplicateValues" dxfId="992" priority="307"/>
  </conditionalFormatting>
  <conditionalFormatting sqref="A253">
    <cfRule type="duplicateValues" dxfId="991" priority="298"/>
    <cfRule type="duplicateValues" dxfId="990" priority="300"/>
    <cfRule type="duplicateValues" dxfId="989" priority="301"/>
    <cfRule type="duplicateValues" dxfId="988" priority="302"/>
    <cfRule type="duplicateValues" dxfId="987" priority="299"/>
  </conditionalFormatting>
  <conditionalFormatting sqref="A254">
    <cfRule type="duplicateValues" dxfId="986" priority="276"/>
  </conditionalFormatting>
  <conditionalFormatting sqref="A255">
    <cfRule type="duplicateValues" dxfId="985" priority="294"/>
  </conditionalFormatting>
  <conditionalFormatting sqref="A256">
    <cfRule type="duplicateValues" dxfId="984" priority="236"/>
  </conditionalFormatting>
  <conditionalFormatting sqref="A278:A279">
    <cfRule type="duplicateValues" dxfId="983" priority="403"/>
  </conditionalFormatting>
  <conditionalFormatting sqref="A280">
    <cfRule type="duplicateValues" dxfId="982" priority="402"/>
  </conditionalFormatting>
  <conditionalFormatting sqref="A284">
    <cfRule type="duplicateValues" dxfId="981" priority="131"/>
    <cfRule type="duplicateValues" dxfId="980" priority="130"/>
    <cfRule type="duplicateValues" dxfId="979" priority="128"/>
    <cfRule type="duplicateValues" dxfId="978" priority="127"/>
    <cfRule type="duplicateValues" dxfId="977" priority="129"/>
  </conditionalFormatting>
  <conditionalFormatting sqref="A285:A287">
    <cfRule type="duplicateValues" dxfId="976" priority="125"/>
  </conditionalFormatting>
  <conditionalFormatting sqref="A290:A291">
    <cfRule type="duplicateValues" dxfId="975" priority="257"/>
  </conditionalFormatting>
  <conditionalFormatting sqref="A292 A305">
    <cfRule type="duplicateValues" dxfId="974" priority="366"/>
  </conditionalFormatting>
  <conditionalFormatting sqref="A293:A295">
    <cfRule type="duplicateValues" dxfId="973" priority="254"/>
  </conditionalFormatting>
  <conditionalFormatting sqref="A296">
    <cfRule type="duplicateValues" dxfId="972" priority="247"/>
    <cfRule type="duplicateValues" dxfId="971" priority="251"/>
    <cfRule type="duplicateValues" dxfId="970" priority="249"/>
    <cfRule type="duplicateValues" dxfId="969" priority="248"/>
    <cfRule type="duplicateValues" dxfId="968" priority="250"/>
  </conditionalFormatting>
  <conditionalFormatting sqref="A297:A300">
    <cfRule type="duplicateValues" dxfId="967" priority="354"/>
  </conditionalFormatting>
  <conditionalFormatting sqref="A301">
    <cfRule type="duplicateValues" dxfId="966" priority="363"/>
  </conditionalFormatting>
  <conditionalFormatting sqref="A302:A303">
    <cfRule type="duplicateValues" dxfId="965" priority="352"/>
  </conditionalFormatting>
  <conditionalFormatting sqref="A304">
    <cfRule type="duplicateValues" dxfId="964" priority="362"/>
  </conditionalFormatting>
  <conditionalFormatting sqref="A306">
    <cfRule type="duplicateValues" dxfId="963" priority="355"/>
  </conditionalFormatting>
  <conditionalFormatting sqref="A307:A308">
    <cfRule type="duplicateValues" dxfId="962" priority="356"/>
  </conditionalFormatting>
  <conditionalFormatting sqref="A309">
    <cfRule type="duplicateValues" dxfId="961" priority="393"/>
  </conditionalFormatting>
  <conditionalFormatting sqref="A310">
    <cfRule type="duplicateValues" dxfId="960" priority="384"/>
  </conditionalFormatting>
  <conditionalFormatting sqref="A311">
    <cfRule type="duplicateValues" dxfId="959" priority="381"/>
  </conditionalFormatting>
  <conditionalFormatting sqref="A312">
    <cfRule type="duplicateValues" dxfId="958" priority="351"/>
  </conditionalFormatting>
  <conditionalFormatting sqref="A313">
    <cfRule type="duplicateValues" dxfId="957" priority="377"/>
  </conditionalFormatting>
  <conditionalFormatting sqref="A314:A315 A317">
    <cfRule type="duplicateValues" dxfId="956" priority="349"/>
  </conditionalFormatting>
  <conditionalFormatting sqref="A316">
    <cfRule type="duplicateValues" dxfId="955" priority="313"/>
  </conditionalFormatting>
  <conditionalFormatting sqref="A318">
    <cfRule type="duplicateValues" dxfId="954" priority="350"/>
  </conditionalFormatting>
  <conditionalFormatting sqref="A319">
    <cfRule type="duplicateValues" dxfId="953" priority="312"/>
  </conditionalFormatting>
  <conditionalFormatting sqref="A320:A321">
    <cfRule type="duplicateValues" dxfId="952" priority="287"/>
  </conditionalFormatting>
  <conditionalFormatting sqref="A322">
    <cfRule type="duplicateValues" dxfId="951" priority="342"/>
    <cfRule type="duplicateValues" dxfId="950" priority="343"/>
    <cfRule type="duplicateValues" dxfId="949" priority="344"/>
    <cfRule type="duplicateValues" dxfId="948" priority="345"/>
    <cfRule type="duplicateValues" dxfId="947" priority="346"/>
  </conditionalFormatting>
  <conditionalFormatting sqref="A323:A324">
    <cfRule type="duplicateValues" dxfId="946" priority="347"/>
  </conditionalFormatting>
  <conditionalFormatting sqref="A329">
    <cfRule type="duplicateValues" dxfId="945" priority="401"/>
  </conditionalFormatting>
  <conditionalFormatting sqref="A333">
    <cfRule type="duplicateValues" dxfId="944" priority="112"/>
  </conditionalFormatting>
  <conditionalFormatting sqref="A335 A345:A349 A368:A375">
    <cfRule type="duplicateValues" dxfId="943" priority="118"/>
  </conditionalFormatting>
  <conditionalFormatting sqref="A336:A344">
    <cfRule type="duplicateValues" dxfId="942" priority="114"/>
  </conditionalFormatting>
  <conditionalFormatting sqref="A350:A352 A359">
    <cfRule type="duplicateValues" dxfId="941" priority="35"/>
  </conditionalFormatting>
  <conditionalFormatting sqref="A353:A356">
    <cfRule type="duplicateValues" dxfId="940" priority="28"/>
  </conditionalFormatting>
  <conditionalFormatting sqref="A357:A358">
    <cfRule type="duplicateValues" dxfId="939" priority="30"/>
  </conditionalFormatting>
  <conditionalFormatting sqref="A360:A363">
    <cfRule type="duplicateValues" dxfId="938" priority="32"/>
  </conditionalFormatting>
  <conditionalFormatting sqref="A364:A367">
    <cfRule type="duplicateValues" dxfId="937" priority="33"/>
  </conditionalFormatting>
  <conditionalFormatting sqref="A376:A377">
    <cfRule type="duplicateValues" dxfId="936" priority="120"/>
  </conditionalFormatting>
  <conditionalFormatting sqref="A382">
    <cfRule type="duplicateValues" dxfId="935" priority="408"/>
  </conditionalFormatting>
  <conditionalFormatting sqref="A385">
    <cfRule type="duplicateValues" dxfId="934" priority="122"/>
  </conditionalFormatting>
  <conditionalFormatting sqref="A403">
    <cfRule type="duplicateValues" dxfId="933" priority="400"/>
  </conditionalFormatting>
  <conditionalFormatting sqref="A414 A416:A418">
    <cfRule type="duplicateValues" dxfId="932" priority="293"/>
  </conditionalFormatting>
  <conditionalFormatting sqref="A415">
    <cfRule type="duplicateValues" dxfId="931" priority="289"/>
  </conditionalFormatting>
  <conditionalFormatting sqref="A420">
    <cfRule type="duplicateValues" dxfId="930" priority="266"/>
  </conditionalFormatting>
  <conditionalFormatting sqref="A427:A428">
    <cfRule type="duplicateValues" dxfId="929" priority="238"/>
  </conditionalFormatting>
  <conditionalFormatting sqref="A477">
    <cfRule type="duplicateValues" dxfId="928" priority="395"/>
  </conditionalFormatting>
  <conditionalFormatting sqref="A478">
    <cfRule type="duplicateValues" dxfId="927" priority="376"/>
  </conditionalFormatting>
  <conditionalFormatting sqref="A480">
    <cfRule type="duplicateValues" dxfId="926" priority="407"/>
  </conditionalFormatting>
  <conditionalFormatting sqref="A481">
    <cfRule type="duplicateValues" dxfId="925" priority="309"/>
  </conditionalFormatting>
  <conditionalFormatting sqref="A485">
    <cfRule type="duplicateValues" dxfId="924" priority="394"/>
  </conditionalFormatting>
  <conditionalFormatting sqref="A486">
    <cfRule type="duplicateValues" dxfId="923" priority="406"/>
  </conditionalFormatting>
  <conditionalFormatting sqref="A532">
    <cfRule type="duplicateValues" dxfId="922" priority="88"/>
  </conditionalFormatting>
  <conditionalFormatting sqref="A533">
    <cfRule type="duplicateValues" dxfId="921" priority="84"/>
  </conditionalFormatting>
  <conditionalFormatting sqref="A535:A536">
    <cfRule type="duplicateValues" dxfId="920" priority="90"/>
  </conditionalFormatting>
  <conditionalFormatting sqref="A537:A538">
    <cfRule type="duplicateValues" dxfId="919" priority="92"/>
  </conditionalFormatting>
  <conditionalFormatting sqref="A539:A540">
    <cfRule type="duplicateValues" dxfId="918" priority="94"/>
  </conditionalFormatting>
  <conditionalFormatting sqref="A541:A543">
    <cfRule type="duplicateValues" dxfId="917" priority="96"/>
  </conditionalFormatting>
  <conditionalFormatting sqref="A553">
    <cfRule type="duplicateValues" dxfId="916" priority="367"/>
  </conditionalFormatting>
  <conditionalFormatting sqref="A557">
    <cfRule type="duplicateValues" dxfId="915" priority="373"/>
  </conditionalFormatting>
  <conditionalFormatting sqref="A576">
    <cfRule type="duplicateValues" dxfId="914" priority="283"/>
  </conditionalFormatting>
  <conditionalFormatting sqref="A582">
    <cfRule type="duplicateValues" dxfId="913" priority="396"/>
  </conditionalFormatting>
  <conditionalFormatting sqref="A583:A585">
    <cfRule type="duplicateValues" dxfId="912" priority="374"/>
  </conditionalFormatting>
  <conditionalFormatting sqref="A586">
    <cfRule type="duplicateValues" dxfId="911" priority="278"/>
    <cfRule type="duplicateValues" dxfId="910" priority="279"/>
    <cfRule type="duplicateValues" dxfId="909" priority="280"/>
    <cfRule type="duplicateValues" dxfId="908" priority="281"/>
    <cfRule type="duplicateValues" dxfId="907" priority="282"/>
  </conditionalFormatting>
  <conditionalFormatting sqref="A588">
    <cfRule type="duplicateValues" dxfId="906" priority="284"/>
  </conditionalFormatting>
  <conditionalFormatting sqref="A604">
    <cfRule type="duplicateValues" dxfId="905" priority="380"/>
  </conditionalFormatting>
  <conditionalFormatting sqref="A605">
    <cfRule type="duplicateValues" dxfId="904" priority="323"/>
    <cfRule type="duplicateValues" dxfId="903" priority="324"/>
    <cfRule type="duplicateValues" dxfId="902" priority="322"/>
    <cfRule type="duplicateValues" dxfId="901" priority="320"/>
    <cfRule type="duplicateValues" dxfId="900" priority="321"/>
    <cfRule type="duplicateValues" dxfId="899" priority="319"/>
  </conditionalFormatting>
  <conditionalFormatting sqref="A609">
    <cfRule type="duplicateValues" dxfId="898" priority="385"/>
  </conditionalFormatting>
  <conditionalFormatting sqref="A610">
    <cfRule type="duplicateValues" dxfId="897" priority="397"/>
  </conditionalFormatting>
  <conditionalFormatting sqref="A613:A614">
    <cfRule type="duplicateValues" dxfId="896" priority="361"/>
    <cfRule type="duplicateValues" dxfId="895" priority="360"/>
    <cfRule type="duplicateValues" dxfId="894" priority="359"/>
    <cfRule type="duplicateValues" dxfId="893" priority="358"/>
    <cfRule type="duplicateValues" dxfId="892" priority="357"/>
  </conditionalFormatting>
  <conditionalFormatting sqref="A637">
    <cfRule type="duplicateValues" dxfId="891" priority="137"/>
    <cfRule type="duplicateValues" dxfId="890" priority="136"/>
    <cfRule type="duplicateValues" dxfId="889" priority="141"/>
    <cfRule type="duplicateValues" dxfId="888" priority="140"/>
    <cfRule type="duplicateValues" dxfId="887" priority="139"/>
    <cfRule type="duplicateValues" dxfId="886" priority="138"/>
  </conditionalFormatting>
  <conditionalFormatting sqref="A638:A640">
    <cfRule type="duplicateValues" dxfId="885" priority="134"/>
  </conditionalFormatting>
  <conditionalFormatting sqref="A671">
    <cfRule type="duplicateValues" dxfId="884" priority="379"/>
  </conditionalFormatting>
  <conditionalFormatting sqref="A753">
    <cfRule type="duplicateValues" dxfId="883" priority="375"/>
  </conditionalFormatting>
  <conditionalFormatting sqref="A785">
    <cfRule type="duplicateValues" dxfId="882" priority="273"/>
    <cfRule type="duplicateValues" dxfId="881" priority="272"/>
    <cfRule type="duplicateValues" dxfId="880" priority="271"/>
    <cfRule type="duplicateValues" dxfId="879" priority="270"/>
    <cfRule type="duplicateValues" dxfId="878" priority="269"/>
  </conditionalFormatting>
  <conditionalFormatting sqref="A806">
    <cfRule type="duplicateValues" dxfId="877" priority="341"/>
    <cfRule type="duplicateValues" dxfId="876" priority="340"/>
    <cfRule type="duplicateValues" dxfId="875" priority="339"/>
    <cfRule type="duplicateValues" dxfId="874" priority="338"/>
    <cfRule type="duplicateValues" dxfId="873" priority="337"/>
  </conditionalFormatting>
  <conditionalFormatting sqref="A861">
    <cfRule type="duplicateValues" dxfId="872" priority="409"/>
  </conditionalFormatting>
  <conditionalFormatting sqref="A965">
    <cfRule type="duplicateValues" dxfId="871" priority="405"/>
  </conditionalFormatting>
  <conditionalFormatting sqref="A966">
    <cfRule type="duplicateValues" dxfId="870" priority="378"/>
  </conditionalFormatting>
  <conditionalFormatting sqref="A973">
    <cfRule type="duplicateValues" dxfId="869" priority="370"/>
    <cfRule type="duplicateValues" dxfId="868" priority="372"/>
    <cfRule type="duplicateValues" dxfId="867" priority="371"/>
    <cfRule type="duplicateValues" dxfId="866" priority="368"/>
    <cfRule type="duplicateValues" dxfId="865" priority="369"/>
  </conditionalFormatting>
  <conditionalFormatting sqref="A978:A981">
    <cfRule type="duplicateValues" dxfId="864" priority="245"/>
  </conditionalFormatting>
  <conditionalFormatting sqref="A1028">
    <cfRule type="duplicateValues" dxfId="863" priority="404"/>
  </conditionalFormatting>
  <conditionalFormatting sqref="A1032">
    <cfRule type="duplicateValues" dxfId="862" priority="314"/>
    <cfRule type="duplicateValues" dxfId="861" priority="317"/>
    <cfRule type="duplicateValues" dxfId="860" priority="315"/>
    <cfRule type="duplicateValues" dxfId="859" priority="318"/>
    <cfRule type="duplicateValues" dxfId="858" priority="316"/>
  </conditionalFormatting>
  <conditionalFormatting sqref="A1034">
    <cfRule type="duplicateValues" dxfId="857" priority="259"/>
    <cfRule type="duplicateValues" dxfId="856" priority="261"/>
    <cfRule type="duplicateValues" dxfId="855" priority="262"/>
    <cfRule type="duplicateValues" dxfId="854" priority="263"/>
    <cfRule type="duplicateValues" dxfId="853" priority="260"/>
  </conditionalFormatting>
  <conditionalFormatting sqref="A1035">
    <cfRule type="duplicateValues" dxfId="852" priority="410"/>
  </conditionalFormatting>
  <conditionalFormatting sqref="A1043">
    <cfRule type="duplicateValues" dxfId="851" priority="392"/>
  </conditionalFormatting>
  <conditionalFormatting sqref="A1044">
    <cfRule type="duplicateValues" dxfId="850" priority="387"/>
  </conditionalFormatting>
  <conditionalFormatting sqref="A1045">
    <cfRule type="duplicateValues" dxfId="849" priority="386"/>
  </conditionalFormatting>
  <conditionalFormatting sqref="A1048">
    <cfRule type="duplicateValues" dxfId="848" priority="391"/>
  </conditionalFormatting>
  <conditionalFormatting sqref="A1057">
    <cfRule type="duplicateValues" dxfId="847" priority="383"/>
  </conditionalFormatting>
  <conditionalFormatting sqref="A1060">
    <cfRule type="duplicateValues" dxfId="846" priority="242"/>
    <cfRule type="duplicateValues" dxfId="845" priority="239"/>
    <cfRule type="duplicateValues" dxfId="844" priority="240"/>
    <cfRule type="duplicateValues" dxfId="843" priority="241"/>
    <cfRule type="duplicateValues" dxfId="842" priority="243"/>
  </conditionalFormatting>
  <conditionalFormatting sqref="A1061">
    <cfRule type="duplicateValues" dxfId="841" priority="412"/>
  </conditionalFormatting>
  <conditionalFormatting sqref="A1062">
    <cfRule type="duplicateValues" dxfId="840" priority="333"/>
    <cfRule type="duplicateValues" dxfId="839" priority="335"/>
    <cfRule type="duplicateValues" dxfId="838" priority="331"/>
    <cfRule type="duplicateValues" dxfId="837" priority="332"/>
    <cfRule type="duplicateValues" dxfId="836" priority="334"/>
  </conditionalFormatting>
  <conditionalFormatting sqref="A1063">
    <cfRule type="duplicateValues" dxfId="835" priority="329"/>
    <cfRule type="duplicateValues" dxfId="834" priority="328"/>
    <cfRule type="duplicateValues" dxfId="833" priority="325"/>
    <cfRule type="duplicateValues" dxfId="832" priority="326"/>
    <cfRule type="duplicateValues" dxfId="831" priority="327"/>
  </conditionalFormatting>
  <conditionalFormatting sqref="A1068">
    <cfRule type="duplicateValues" dxfId="830" priority="399"/>
  </conditionalFormatting>
  <conditionalFormatting sqref="A1072">
    <cfRule type="duplicateValues" dxfId="829" priority="174"/>
  </conditionalFormatting>
  <conditionalFormatting sqref="A1077">
    <cfRule type="duplicateValues" dxfId="828" priority="389"/>
  </conditionalFormatting>
  <conditionalFormatting sqref="A1087:A1088">
    <cfRule type="duplicateValues" dxfId="827" priority="398"/>
  </conditionalFormatting>
  <conditionalFormatting sqref="A1091:A1092">
    <cfRule type="duplicateValues" dxfId="826" priority="382"/>
  </conditionalFormatting>
  <conditionalFormatting sqref="A587:C587 B586">
    <cfRule type="duplicateValues" dxfId="825" priority="285"/>
  </conditionalFormatting>
  <conditionalFormatting sqref="B12 B108:B109 B173">
    <cfRule type="duplicateValues" dxfId="824" priority="199"/>
  </conditionalFormatting>
  <conditionalFormatting sqref="B17">
    <cfRule type="duplicateValues" dxfId="823" priority="25"/>
  </conditionalFormatting>
  <conditionalFormatting sqref="B34:B37 B40">
    <cfRule type="duplicateValues" dxfId="822" priority="7"/>
  </conditionalFormatting>
  <conditionalFormatting sqref="B38:B39">
    <cfRule type="duplicateValues" dxfId="821" priority="4"/>
  </conditionalFormatting>
  <conditionalFormatting sqref="B54:B55">
    <cfRule type="duplicateValues" dxfId="820" priority="13"/>
  </conditionalFormatting>
  <conditionalFormatting sqref="B138 B171">
    <cfRule type="duplicateValues" dxfId="819" priority="165"/>
  </conditionalFormatting>
  <conditionalFormatting sqref="B174 B177 B184:B191">
    <cfRule type="duplicateValues" dxfId="818" priority="898"/>
  </conditionalFormatting>
  <conditionalFormatting sqref="B203:B204">
    <cfRule type="duplicateValues" dxfId="817" priority="179"/>
  </conditionalFormatting>
  <conditionalFormatting sqref="B208">
    <cfRule type="duplicateValues" dxfId="816" priority="189"/>
  </conditionalFormatting>
  <conditionalFormatting sqref="B210">
    <cfRule type="duplicateValues" dxfId="815" priority="185"/>
  </conditionalFormatting>
  <conditionalFormatting sqref="B211">
    <cfRule type="duplicateValues" dxfId="814" priority="184"/>
  </conditionalFormatting>
  <conditionalFormatting sqref="B252">
    <cfRule type="duplicateValues" dxfId="813" priority="303"/>
  </conditionalFormatting>
  <conditionalFormatting sqref="B253">
    <cfRule type="duplicateValues" dxfId="812" priority="297"/>
  </conditionalFormatting>
  <conditionalFormatting sqref="B254">
    <cfRule type="duplicateValues" dxfId="811" priority="274"/>
  </conditionalFormatting>
  <conditionalFormatting sqref="B291">
    <cfRule type="duplicateValues" dxfId="810" priority="256"/>
  </conditionalFormatting>
  <conditionalFormatting sqref="B292 B296:B308">
    <cfRule type="duplicateValues" dxfId="809" priority="365"/>
  </conditionalFormatting>
  <conditionalFormatting sqref="B293:B295">
    <cfRule type="duplicateValues" dxfId="808" priority="253"/>
  </conditionalFormatting>
  <conditionalFormatting sqref="B345:B346 B349 B375">
    <cfRule type="duplicateValues" dxfId="807" priority="117"/>
  </conditionalFormatting>
  <conditionalFormatting sqref="B356 C353:C356">
    <cfRule type="duplicateValues" dxfId="806" priority="27"/>
  </conditionalFormatting>
  <conditionalFormatting sqref="B416:B418">
    <cfRule type="duplicateValues" dxfId="805" priority="292"/>
  </conditionalFormatting>
  <conditionalFormatting sqref="B420">
    <cfRule type="duplicateValues" dxfId="804" priority="265"/>
  </conditionalFormatting>
  <conditionalFormatting sqref="B638:B639">
    <cfRule type="duplicateValues" dxfId="803" priority="133"/>
  </conditionalFormatting>
  <conditionalFormatting sqref="B20:C20">
    <cfRule type="duplicateValues" dxfId="802" priority="36"/>
  </conditionalFormatting>
  <conditionalFormatting sqref="B33:C33 B42:C42 B43:B48 B49:C53 B60:C62">
    <cfRule type="duplicateValues" dxfId="801" priority="15"/>
  </conditionalFormatting>
  <conditionalFormatting sqref="C12 C30 C84 C108:C114 C121:C122 C126 C134 C173">
    <cfRule type="duplicateValues" dxfId="800" priority="198"/>
  </conditionalFormatting>
  <conditionalFormatting sqref="C13:C15 C21:C23">
    <cfRule type="duplicateValues" dxfId="799" priority="40"/>
  </conditionalFormatting>
  <conditionalFormatting sqref="C16:C17">
    <cfRule type="duplicateValues" dxfId="798" priority="22"/>
  </conditionalFormatting>
  <conditionalFormatting sqref="C18:C19">
    <cfRule type="duplicateValues" dxfId="797" priority="38"/>
  </conditionalFormatting>
  <conditionalFormatting sqref="C24:C29">
    <cfRule type="duplicateValues" dxfId="796" priority="109"/>
  </conditionalFormatting>
  <conditionalFormatting sqref="C31">
    <cfRule type="duplicateValues" dxfId="795" priority="47"/>
  </conditionalFormatting>
  <conditionalFormatting sqref="C32">
    <cfRule type="duplicateValues" dxfId="794" priority="1835"/>
  </conditionalFormatting>
  <conditionalFormatting sqref="C34:C37">
    <cfRule type="duplicateValues" dxfId="793" priority="6"/>
  </conditionalFormatting>
  <conditionalFormatting sqref="C38:C40">
    <cfRule type="duplicateValues" dxfId="792" priority="3"/>
  </conditionalFormatting>
  <conditionalFormatting sqref="C41">
    <cfRule type="duplicateValues" dxfId="791" priority="1"/>
  </conditionalFormatting>
  <conditionalFormatting sqref="C43:C48">
    <cfRule type="duplicateValues" dxfId="790" priority="9"/>
  </conditionalFormatting>
  <conditionalFormatting sqref="C54:C59">
    <cfRule type="duplicateValues" dxfId="789" priority="11"/>
  </conditionalFormatting>
  <conditionalFormatting sqref="C63">
    <cfRule type="duplicateValues" dxfId="788" priority="44"/>
  </conditionalFormatting>
  <conditionalFormatting sqref="C64:C65">
    <cfRule type="duplicateValues" dxfId="787" priority="54"/>
  </conditionalFormatting>
  <conditionalFormatting sqref="C66 C79:C81">
    <cfRule type="duplicateValues" dxfId="786" priority="52"/>
  </conditionalFormatting>
  <conditionalFormatting sqref="C67:C73 C77:C78">
    <cfRule type="duplicateValues" dxfId="785" priority="51"/>
  </conditionalFormatting>
  <conditionalFormatting sqref="C74">
    <cfRule type="duplicateValues" dxfId="784" priority="49"/>
  </conditionalFormatting>
  <conditionalFormatting sqref="C75:C76">
    <cfRule type="duplicateValues" dxfId="783" priority="17"/>
  </conditionalFormatting>
  <conditionalFormatting sqref="C82:C83">
    <cfRule type="duplicateValues" dxfId="782" priority="53"/>
  </conditionalFormatting>
  <conditionalFormatting sqref="C85:C89">
    <cfRule type="duplicateValues" dxfId="781" priority="57"/>
  </conditionalFormatting>
  <conditionalFormatting sqref="C90:C95">
    <cfRule type="duplicateValues" dxfId="780" priority="65"/>
  </conditionalFormatting>
  <conditionalFormatting sqref="C96">
    <cfRule type="duplicateValues" dxfId="779" priority="62"/>
  </conditionalFormatting>
  <conditionalFormatting sqref="C97">
    <cfRule type="duplicateValues" dxfId="778" priority="59"/>
  </conditionalFormatting>
  <conditionalFormatting sqref="C98:C104">
    <cfRule type="duplicateValues" dxfId="777" priority="69"/>
  </conditionalFormatting>
  <conditionalFormatting sqref="C105:C107">
    <cfRule type="duplicateValues" dxfId="776" priority="67"/>
  </conditionalFormatting>
  <conditionalFormatting sqref="C115:C120">
    <cfRule type="duplicateValues" dxfId="775" priority="105"/>
  </conditionalFormatting>
  <conditionalFormatting sqref="C123:C125">
    <cfRule type="duplicateValues" dxfId="774" priority="97"/>
  </conditionalFormatting>
  <conditionalFormatting sqref="C127:C128">
    <cfRule type="duplicateValues" dxfId="773" priority="107"/>
  </conditionalFormatting>
  <conditionalFormatting sqref="C129:C130">
    <cfRule type="duplicateValues" dxfId="772" priority="99"/>
  </conditionalFormatting>
  <conditionalFormatting sqref="C131:C133">
    <cfRule type="duplicateValues" dxfId="771" priority="101"/>
  </conditionalFormatting>
  <conditionalFormatting sqref="C135:C137">
    <cfRule type="duplicateValues" dxfId="770" priority="103"/>
  </conditionalFormatting>
  <conditionalFormatting sqref="C138 C172">
    <cfRule type="duplicateValues" dxfId="769" priority="164"/>
  </conditionalFormatting>
  <conditionalFormatting sqref="C139">
    <cfRule type="duplicateValues" dxfId="768" priority="81"/>
  </conditionalFormatting>
  <conditionalFormatting sqref="C140 C154:C157 C163">
    <cfRule type="duplicateValues" dxfId="767" priority="79"/>
  </conditionalFormatting>
  <conditionalFormatting sqref="C141:C145">
    <cfRule type="duplicateValues" dxfId="766" priority="72"/>
  </conditionalFormatting>
  <conditionalFormatting sqref="C146:C150">
    <cfRule type="duplicateValues" dxfId="765" priority="74"/>
  </conditionalFormatting>
  <conditionalFormatting sqref="C151:C153">
    <cfRule type="duplicateValues" dxfId="764" priority="75"/>
  </conditionalFormatting>
  <conditionalFormatting sqref="C158:C162">
    <cfRule type="duplicateValues" dxfId="763" priority="77"/>
  </conditionalFormatting>
  <conditionalFormatting sqref="C164:C169">
    <cfRule type="duplicateValues" dxfId="762" priority="160"/>
  </conditionalFormatting>
  <conditionalFormatting sqref="C170">
    <cfRule type="duplicateValues" dxfId="761" priority="158"/>
  </conditionalFormatting>
  <conditionalFormatting sqref="C171">
    <cfRule type="duplicateValues" dxfId="760" priority="162"/>
  </conditionalFormatting>
  <conditionalFormatting sqref="C174 C190:C191">
    <cfRule type="duplicateValues" dxfId="759" priority="900"/>
  </conditionalFormatting>
  <conditionalFormatting sqref="C175">
    <cfRule type="duplicateValues" dxfId="758" priority="167"/>
  </conditionalFormatting>
  <conditionalFormatting sqref="C176">
    <cfRule type="duplicateValues" dxfId="757" priority="152"/>
  </conditionalFormatting>
  <conditionalFormatting sqref="C177:C178 C184:C189">
    <cfRule type="duplicateValues" dxfId="756" priority="193"/>
  </conditionalFormatting>
  <conditionalFormatting sqref="C179:C180 C183">
    <cfRule type="duplicateValues" dxfId="755" priority="150"/>
  </conditionalFormatting>
  <conditionalFormatting sqref="C181:C182">
    <cfRule type="duplicateValues" dxfId="754" priority="148"/>
  </conditionalFormatting>
  <conditionalFormatting sqref="C192:C194 C198:C202">
    <cfRule type="duplicateValues" dxfId="753" priority="1351"/>
  </conditionalFormatting>
  <conditionalFormatting sqref="C203:C204">
    <cfRule type="duplicateValues" dxfId="752" priority="178"/>
  </conditionalFormatting>
  <conditionalFormatting sqref="C205:C206 C208">
    <cfRule type="duplicateValues" dxfId="751" priority="188"/>
  </conditionalFormatting>
  <conditionalFormatting sqref="C207">
    <cfRule type="duplicateValues" dxfId="750" priority="176"/>
  </conditionalFormatting>
  <conditionalFormatting sqref="C209">
    <cfRule type="duplicateValues" dxfId="749" priority="183"/>
  </conditionalFormatting>
  <conditionalFormatting sqref="C210">
    <cfRule type="duplicateValues" dxfId="748" priority="182"/>
  </conditionalFormatting>
  <conditionalFormatting sqref="C211">
    <cfRule type="duplicateValues" dxfId="747" priority="181"/>
  </conditionalFormatting>
  <conditionalFormatting sqref="C212:C216">
    <cfRule type="duplicateValues" dxfId="746" priority="201"/>
  </conditionalFormatting>
  <conditionalFormatting sqref="C217 C220 C223">
    <cfRule type="duplicateValues" dxfId="745" priority="1198"/>
  </conditionalFormatting>
  <conditionalFormatting sqref="C218:C219">
    <cfRule type="duplicateValues" dxfId="744" priority="146"/>
  </conditionalFormatting>
  <conditionalFormatting sqref="C221:C222">
    <cfRule type="duplicateValues" dxfId="743" priority="144"/>
  </conditionalFormatting>
  <conditionalFormatting sqref="C224:C226 C229 C233:C234">
    <cfRule type="duplicateValues" dxfId="742" priority="232"/>
  </conditionalFormatting>
  <conditionalFormatting sqref="C227:C228">
    <cfRule type="duplicateValues" dxfId="741" priority="142"/>
  </conditionalFormatting>
  <conditionalFormatting sqref="C230:C232">
    <cfRule type="duplicateValues" dxfId="740" priority="228"/>
  </conditionalFormatting>
  <conditionalFormatting sqref="C235:C236">
    <cfRule type="duplicateValues" dxfId="739" priority="230"/>
  </conditionalFormatting>
  <conditionalFormatting sqref="C237">
    <cfRule type="duplicateValues" dxfId="738" priority="226"/>
  </conditionalFormatting>
  <conditionalFormatting sqref="C238:C239">
    <cfRule type="duplicateValues" dxfId="737" priority="222"/>
  </conditionalFormatting>
  <conditionalFormatting sqref="C240">
    <cfRule type="duplicateValues" dxfId="736" priority="218"/>
  </conditionalFormatting>
  <conditionalFormatting sqref="C241">
    <cfRule type="duplicateValues" dxfId="735" priority="217"/>
  </conditionalFormatting>
  <conditionalFormatting sqref="C242">
    <cfRule type="duplicateValues" dxfId="734" priority="216"/>
  </conditionalFormatting>
  <conditionalFormatting sqref="C243">
    <cfRule type="duplicateValues" dxfId="733" priority="215"/>
  </conditionalFormatting>
  <conditionalFormatting sqref="C244">
    <cfRule type="duplicateValues" dxfId="732" priority="214"/>
  </conditionalFormatting>
  <conditionalFormatting sqref="C245">
    <cfRule type="duplicateValues" dxfId="731" priority="213"/>
  </conditionalFormatting>
  <conditionalFormatting sqref="C246">
    <cfRule type="duplicateValues" dxfId="730" priority="212"/>
  </conditionalFormatting>
  <conditionalFormatting sqref="C247">
    <cfRule type="duplicateValues" dxfId="729" priority="211"/>
  </conditionalFormatting>
  <conditionalFormatting sqref="C248">
    <cfRule type="duplicateValues" dxfId="728" priority="210"/>
  </conditionalFormatting>
  <conditionalFormatting sqref="C249">
    <cfRule type="duplicateValues" dxfId="727" priority="61"/>
  </conditionalFormatting>
  <conditionalFormatting sqref="C250">
    <cfRule type="duplicateValues" dxfId="726" priority="207"/>
  </conditionalFormatting>
  <conditionalFormatting sqref="C251">
    <cfRule type="duplicateValues" dxfId="725" priority="205"/>
  </conditionalFormatting>
  <conditionalFormatting sqref="C253">
    <cfRule type="duplicateValues" dxfId="724" priority="296"/>
  </conditionalFormatting>
  <conditionalFormatting sqref="C254">
    <cfRule type="duplicateValues" dxfId="723" priority="275"/>
  </conditionalFormatting>
  <conditionalFormatting sqref="C255">
    <cfRule type="duplicateValues" dxfId="722" priority="295"/>
  </conditionalFormatting>
  <conditionalFormatting sqref="C256">
    <cfRule type="duplicateValues" dxfId="721" priority="235"/>
  </conditionalFormatting>
  <conditionalFormatting sqref="C284">
    <cfRule type="duplicateValues" dxfId="720" priority="126"/>
  </conditionalFormatting>
  <conditionalFormatting sqref="C285:C287">
    <cfRule type="duplicateValues" dxfId="719" priority="124"/>
  </conditionalFormatting>
  <conditionalFormatting sqref="C290:C291">
    <cfRule type="duplicateValues" dxfId="718" priority="255"/>
  </conditionalFormatting>
  <conditionalFormatting sqref="C292 C301:C308">
    <cfRule type="duplicateValues" dxfId="717" priority="364"/>
  </conditionalFormatting>
  <conditionalFormatting sqref="C293:C295">
    <cfRule type="duplicateValues" dxfId="716" priority="252"/>
  </conditionalFormatting>
  <conditionalFormatting sqref="C296">
    <cfRule type="duplicateValues" dxfId="715" priority="246"/>
  </conditionalFormatting>
  <conditionalFormatting sqref="C297:C300">
    <cfRule type="duplicateValues" dxfId="714" priority="353"/>
  </conditionalFormatting>
  <conditionalFormatting sqref="C314:C318">
    <cfRule type="duplicateValues" dxfId="713" priority="348"/>
  </conditionalFormatting>
  <conditionalFormatting sqref="C319">
    <cfRule type="duplicateValues" dxfId="712" priority="311"/>
  </conditionalFormatting>
  <conditionalFormatting sqref="C320:C321">
    <cfRule type="duplicateValues" dxfId="711" priority="286"/>
  </conditionalFormatting>
  <conditionalFormatting sqref="C324">
    <cfRule type="duplicateValues" dxfId="710" priority="310"/>
  </conditionalFormatting>
  <conditionalFormatting sqref="C333">
    <cfRule type="duplicateValues" dxfId="709" priority="111"/>
  </conditionalFormatting>
  <conditionalFormatting sqref="C335">
    <cfRule type="duplicateValues" dxfId="708" priority="115"/>
  </conditionalFormatting>
  <conditionalFormatting sqref="C336:C344">
    <cfRule type="duplicateValues" dxfId="707" priority="113"/>
  </conditionalFormatting>
  <conditionalFormatting sqref="C345:C349 C364:C375">
    <cfRule type="duplicateValues" dxfId="706" priority="116"/>
  </conditionalFormatting>
  <conditionalFormatting sqref="C350:C352 C359">
    <cfRule type="duplicateValues" dxfId="705" priority="34"/>
  </conditionalFormatting>
  <conditionalFormatting sqref="C357:C358">
    <cfRule type="duplicateValues" dxfId="704" priority="29"/>
  </conditionalFormatting>
  <conditionalFormatting sqref="C360:C363">
    <cfRule type="duplicateValues" dxfId="703" priority="31"/>
  </conditionalFormatting>
  <conditionalFormatting sqref="C376:C377">
    <cfRule type="duplicateValues" dxfId="702" priority="119"/>
  </conditionalFormatting>
  <conditionalFormatting sqref="C385">
    <cfRule type="duplicateValues" dxfId="701" priority="121"/>
  </conditionalFormatting>
  <conditionalFormatting sqref="C414 C416">
    <cfRule type="duplicateValues" dxfId="700" priority="291"/>
  </conditionalFormatting>
  <conditionalFormatting sqref="C415">
    <cfRule type="duplicateValues" dxfId="699" priority="288"/>
  </conditionalFormatting>
  <conditionalFormatting sqref="C417:C418">
    <cfRule type="duplicateValues" dxfId="698" priority="290"/>
  </conditionalFormatting>
  <conditionalFormatting sqref="C420">
    <cfRule type="duplicateValues" dxfId="697" priority="264"/>
  </conditionalFormatting>
  <conditionalFormatting sqref="C427:C428">
    <cfRule type="duplicateValues" dxfId="696" priority="237"/>
  </conditionalFormatting>
  <conditionalFormatting sqref="C532">
    <cfRule type="duplicateValues" dxfId="695" priority="87"/>
  </conditionalFormatting>
  <conditionalFormatting sqref="C533">
    <cfRule type="duplicateValues" dxfId="694" priority="83"/>
  </conditionalFormatting>
  <conditionalFormatting sqref="C535:C536">
    <cfRule type="duplicateValues" dxfId="693" priority="89"/>
  </conditionalFormatting>
  <conditionalFormatting sqref="C537:C538">
    <cfRule type="duplicateValues" dxfId="692" priority="91"/>
  </conditionalFormatting>
  <conditionalFormatting sqref="C539:C540">
    <cfRule type="duplicateValues" dxfId="691" priority="93"/>
  </conditionalFormatting>
  <conditionalFormatting sqref="C541:C543">
    <cfRule type="duplicateValues" dxfId="690" priority="95"/>
  </conditionalFormatting>
  <conditionalFormatting sqref="C585">
    <cfRule type="duplicateValues" dxfId="689" priority="175"/>
  </conditionalFormatting>
  <conditionalFormatting sqref="C586">
    <cfRule type="duplicateValues" dxfId="688" priority="277"/>
  </conditionalFormatting>
  <conditionalFormatting sqref="C637">
    <cfRule type="duplicateValues" dxfId="687" priority="135"/>
  </conditionalFormatting>
  <conditionalFormatting sqref="C638:C640">
    <cfRule type="duplicateValues" dxfId="686" priority="132"/>
  </conditionalFormatting>
  <conditionalFormatting sqref="C785">
    <cfRule type="duplicateValues" dxfId="685" priority="268"/>
  </conditionalFormatting>
  <conditionalFormatting sqref="C806">
    <cfRule type="duplicateValues" dxfId="684" priority="336"/>
  </conditionalFormatting>
  <conditionalFormatting sqref="C978:C981">
    <cfRule type="duplicateValues" dxfId="683" priority="244"/>
  </conditionalFormatting>
  <conditionalFormatting sqref="C1034">
    <cfRule type="duplicateValues" dxfId="682" priority="258"/>
  </conditionalFormatting>
  <conditionalFormatting sqref="C1062:C1063">
    <cfRule type="duplicateValues" dxfId="681" priority="330"/>
  </conditionalFormatting>
  <conditionalFormatting sqref="C1071">
    <cfRule type="duplicateValues" dxfId="680" priority="267"/>
  </conditionalFormatting>
  <conditionalFormatting sqref="C1072">
    <cfRule type="duplicateValues" dxfId="679" priority="173"/>
  </conditionalFormatting>
  <conditionalFormatting sqref="E78:F78">
    <cfRule type="duplicateValues" dxfId="678" priority="20"/>
  </conditionalFormatting>
  <conditionalFormatting sqref="G78">
    <cfRule type="duplicateValues" dxfId="677" priority="21"/>
  </conditionalFormatting>
  <hyperlinks>
    <hyperlink ref="A11" r:id="rId1" xr:uid="{00000000-0004-0000-0300-000000000000}"/>
    <hyperlink ref="A12" r:id="rId2" xr:uid="{00000000-0004-0000-0300-000001000000}"/>
    <hyperlink ref="A13" r:id="rId3" xr:uid="{00000000-0004-0000-0300-000002000000}"/>
    <hyperlink ref="A14" r:id="rId4" xr:uid="{00000000-0004-0000-0300-000003000000}"/>
    <hyperlink ref="A15" r:id="rId5" xr:uid="{00000000-0004-0000-0300-000004000000}"/>
    <hyperlink ref="A16" r:id="rId6" xr:uid="{00000000-0004-0000-0300-000005000000}"/>
    <hyperlink ref="A17" r:id="rId7" xr:uid="{00000000-0004-0000-0300-000006000000}"/>
    <hyperlink ref="A18" r:id="rId8" xr:uid="{00000000-0004-0000-0300-000007000000}"/>
    <hyperlink ref="A21" r:id="rId9" xr:uid="{00000000-0004-0000-0300-000008000000}"/>
    <hyperlink ref="A22" r:id="rId10" xr:uid="{00000000-0004-0000-0300-000009000000}"/>
    <hyperlink ref="A23" r:id="rId11" xr:uid="{00000000-0004-0000-0300-00000A000000}"/>
    <hyperlink ref="A24" r:id="rId12" xr:uid="{00000000-0004-0000-0300-00000B000000}"/>
    <hyperlink ref="A25" r:id="rId13" xr:uid="{00000000-0004-0000-0300-00000C000000}"/>
    <hyperlink ref="A26" r:id="rId14" xr:uid="{00000000-0004-0000-0300-00000D000000}"/>
    <hyperlink ref="A27" r:id="rId15" xr:uid="{00000000-0004-0000-0300-00000E000000}"/>
    <hyperlink ref="A28" r:id="rId16" xr:uid="{00000000-0004-0000-0300-00000F000000}"/>
    <hyperlink ref="A29" r:id="rId17" xr:uid="{00000000-0004-0000-0300-000010000000}"/>
    <hyperlink ref="A31" r:id="rId18" xr:uid="{00000000-0004-0000-0300-000011000000}"/>
    <hyperlink ref="A32" r:id="rId19" xr:uid="{00000000-0004-0000-0300-000012000000}"/>
    <hyperlink ref="A33" r:id="rId20" xr:uid="{00000000-0004-0000-0300-000013000000}"/>
    <hyperlink ref="A34" r:id="rId21" xr:uid="{00000000-0004-0000-0300-000014000000}"/>
    <hyperlink ref="A35" r:id="rId22" xr:uid="{00000000-0004-0000-0300-000015000000}"/>
    <hyperlink ref="A36" r:id="rId23" xr:uid="{00000000-0004-0000-0300-000016000000}"/>
    <hyperlink ref="A37" r:id="rId24" xr:uid="{00000000-0004-0000-0300-000017000000}"/>
    <hyperlink ref="A38" r:id="rId25" xr:uid="{00000000-0004-0000-0300-000018000000}"/>
    <hyperlink ref="A39" r:id="rId26" xr:uid="{00000000-0004-0000-0300-000019000000}"/>
    <hyperlink ref="A40" r:id="rId27" xr:uid="{00000000-0004-0000-0300-00001A000000}"/>
    <hyperlink ref="A41" r:id="rId28" xr:uid="{00000000-0004-0000-0300-00001B000000}"/>
    <hyperlink ref="A42" r:id="rId29" xr:uid="{00000000-0004-0000-0300-00001C000000}"/>
    <hyperlink ref="A43" r:id="rId30" xr:uid="{00000000-0004-0000-0300-00001D000000}"/>
    <hyperlink ref="A44" r:id="rId31" xr:uid="{00000000-0004-0000-0300-00001E000000}"/>
    <hyperlink ref="A45" r:id="rId32" xr:uid="{00000000-0004-0000-0300-00001F000000}"/>
    <hyperlink ref="A46" r:id="rId33" xr:uid="{00000000-0004-0000-0300-000020000000}"/>
    <hyperlink ref="A47" r:id="rId34" xr:uid="{00000000-0004-0000-0300-000021000000}"/>
    <hyperlink ref="A48" r:id="rId35" xr:uid="{00000000-0004-0000-0300-000022000000}"/>
    <hyperlink ref="A49" r:id="rId36" xr:uid="{00000000-0004-0000-0300-000023000000}"/>
    <hyperlink ref="A50" r:id="rId37" xr:uid="{00000000-0004-0000-0300-000024000000}"/>
    <hyperlink ref="A51" r:id="rId38" xr:uid="{00000000-0004-0000-0300-000025000000}"/>
    <hyperlink ref="A52" r:id="rId39" xr:uid="{00000000-0004-0000-0300-000026000000}"/>
    <hyperlink ref="A53" r:id="rId40" xr:uid="{00000000-0004-0000-0300-000027000000}"/>
    <hyperlink ref="A54" r:id="rId41" xr:uid="{00000000-0004-0000-0300-000028000000}"/>
    <hyperlink ref="A55" r:id="rId42" xr:uid="{00000000-0004-0000-0300-000029000000}"/>
    <hyperlink ref="A56" r:id="rId43" xr:uid="{00000000-0004-0000-0300-00002A000000}"/>
    <hyperlink ref="A57" r:id="rId44" xr:uid="{00000000-0004-0000-0300-00002B000000}"/>
    <hyperlink ref="A58" r:id="rId45" xr:uid="{00000000-0004-0000-0300-00002C000000}"/>
    <hyperlink ref="A59" r:id="rId46" xr:uid="{00000000-0004-0000-0300-00002D000000}"/>
    <hyperlink ref="A60" r:id="rId47" xr:uid="{00000000-0004-0000-0300-00002E000000}"/>
    <hyperlink ref="A61" r:id="rId48" xr:uid="{00000000-0004-0000-0300-00002F000000}"/>
    <hyperlink ref="A62" r:id="rId49" xr:uid="{00000000-0004-0000-0300-000030000000}"/>
    <hyperlink ref="A63" r:id="rId50" xr:uid="{00000000-0004-0000-0300-000031000000}"/>
    <hyperlink ref="C63" r:id="rId51" display="COOP_F_NXI" xr:uid="{00000000-0004-0000-0300-000032000000}"/>
    <hyperlink ref="A64" r:id="rId52" xr:uid="{00000000-0004-0000-0300-000033000000}"/>
    <hyperlink ref="A65" r:id="rId53" xr:uid="{00000000-0004-0000-0300-000034000000}"/>
    <hyperlink ref="A66" r:id="rId54" xr:uid="{00000000-0004-0000-0300-000035000000}"/>
    <hyperlink ref="A67" r:id="rId55" xr:uid="{00000000-0004-0000-0300-000036000000}"/>
    <hyperlink ref="A68" r:id="rId56" xr:uid="{00000000-0004-0000-0300-000037000000}"/>
    <hyperlink ref="A69" r:id="rId57" xr:uid="{00000000-0004-0000-0300-000038000000}"/>
    <hyperlink ref="A70" r:id="rId58" xr:uid="{00000000-0004-0000-0300-000039000000}"/>
    <hyperlink ref="A71" r:id="rId59" xr:uid="{00000000-0004-0000-0300-00003A000000}"/>
    <hyperlink ref="A72" r:id="rId60" xr:uid="{00000000-0004-0000-0300-00003B000000}"/>
    <hyperlink ref="A73" r:id="rId61" xr:uid="{00000000-0004-0000-0300-00003C000000}"/>
    <hyperlink ref="A74" r:id="rId62" xr:uid="{00000000-0004-0000-0300-00003D000000}"/>
    <hyperlink ref="A75" r:id="rId63" xr:uid="{00000000-0004-0000-0300-00003E000000}"/>
    <hyperlink ref="A76" r:id="rId64" xr:uid="{00000000-0004-0000-0300-00003F000000}"/>
    <hyperlink ref="A77" r:id="rId65" xr:uid="{00000000-0004-0000-0300-000040000000}"/>
    <hyperlink ref="C77" r:id="rId66" display="ACE_HOME_CEL" xr:uid="{00000000-0004-0000-0300-000041000000}"/>
    <hyperlink ref="A78" r:id="rId67" xr:uid="{00000000-0004-0000-0300-000042000000}"/>
    <hyperlink ref="C78" r:id="rId68" display="ACE_HOME_CEL" xr:uid="{00000000-0004-0000-0300-000043000000}"/>
    <hyperlink ref="A79" r:id="rId69" xr:uid="{00000000-0004-0000-0300-000044000000}"/>
    <hyperlink ref="A80" r:id="rId70" xr:uid="{00000000-0004-0000-0300-000045000000}"/>
    <hyperlink ref="A81" r:id="rId71" xr:uid="{00000000-0004-0000-0300-000046000000}"/>
    <hyperlink ref="A82" r:id="rId72" xr:uid="{00000000-0004-0000-0300-000047000000}"/>
    <hyperlink ref="A83" r:id="rId73" xr:uid="{00000000-0004-0000-0300-000048000000}"/>
    <hyperlink ref="A85" r:id="rId74" xr:uid="{00000000-0004-0000-0300-000049000000}"/>
    <hyperlink ref="A86" r:id="rId75" xr:uid="{00000000-0004-0000-0300-00004A000000}"/>
    <hyperlink ref="A87" r:id="rId76" xr:uid="{00000000-0004-0000-0300-00004B000000}"/>
    <hyperlink ref="A88" r:id="rId77" xr:uid="{00000000-0004-0000-0300-00004C000000}"/>
    <hyperlink ref="A89" r:id="rId78" xr:uid="{00000000-0004-0000-0300-00004D000000}"/>
    <hyperlink ref="A90" r:id="rId79" xr:uid="{00000000-0004-0000-0300-00004E000000}"/>
    <hyperlink ref="A91" r:id="rId80" xr:uid="{00000000-0004-0000-0300-00004F000000}"/>
    <hyperlink ref="A92" r:id="rId81" xr:uid="{00000000-0004-0000-0300-000050000000}"/>
    <hyperlink ref="A93" r:id="rId82" xr:uid="{00000000-0004-0000-0300-000051000000}"/>
    <hyperlink ref="A94" r:id="rId83" xr:uid="{00000000-0004-0000-0300-000052000000}"/>
    <hyperlink ref="A95" r:id="rId84" xr:uid="{00000000-0004-0000-0300-000053000000}"/>
    <hyperlink ref="A97" r:id="rId85" xr:uid="{00000000-0004-0000-0300-000054000000}"/>
    <hyperlink ref="A98" r:id="rId86" xr:uid="{00000000-0004-0000-0300-000055000000}"/>
    <hyperlink ref="A99" r:id="rId87" xr:uid="{00000000-0004-0000-0300-000056000000}"/>
    <hyperlink ref="A100" r:id="rId88" xr:uid="{00000000-0004-0000-0300-000057000000}"/>
    <hyperlink ref="A101" r:id="rId89" xr:uid="{00000000-0004-0000-0300-000058000000}"/>
    <hyperlink ref="A102" r:id="rId90" xr:uid="{00000000-0004-0000-0300-000059000000}"/>
    <hyperlink ref="A103" r:id="rId91" xr:uid="{00000000-0004-0000-0300-00005A000000}"/>
    <hyperlink ref="A104" r:id="rId92" xr:uid="{00000000-0004-0000-0300-00005B000000}"/>
    <hyperlink ref="A115" r:id="rId93" xr:uid="{00000000-0004-0000-0300-00005C000000}"/>
    <hyperlink ref="A116" r:id="rId94" xr:uid="{00000000-0004-0000-0300-00005D000000}"/>
    <hyperlink ref="A117" r:id="rId95" xr:uid="{00000000-0004-0000-0300-00005E000000}"/>
    <hyperlink ref="A118" r:id="rId96" xr:uid="{00000000-0004-0000-0300-00005F000000}"/>
    <hyperlink ref="A119" r:id="rId97" xr:uid="{00000000-0004-0000-0300-000060000000}"/>
    <hyperlink ref="A120" r:id="rId98" xr:uid="{00000000-0004-0000-0300-000061000000}"/>
    <hyperlink ref="A127" r:id="rId99" xr:uid="{00000000-0004-0000-0300-000062000000}"/>
    <hyperlink ref="A128" r:id="rId100" xr:uid="{00000000-0004-0000-0300-000063000000}"/>
    <hyperlink ref="A129" r:id="rId101" xr:uid="{00000000-0004-0000-0300-000064000000}"/>
    <hyperlink ref="A130" r:id="rId102" xr:uid="{00000000-0004-0000-0300-000065000000}"/>
    <hyperlink ref="A131" r:id="rId103" xr:uid="{00000000-0004-0000-0300-000066000000}"/>
    <hyperlink ref="A132" r:id="rId104" xr:uid="{00000000-0004-0000-0300-000067000000}"/>
    <hyperlink ref="A133" r:id="rId105" xr:uid="{00000000-0004-0000-0300-000068000000}"/>
    <hyperlink ref="A134" r:id="rId106" xr:uid="{00000000-0004-0000-0300-000069000000}"/>
    <hyperlink ref="A135" r:id="rId107" xr:uid="{00000000-0004-0000-0300-00006A000000}"/>
    <hyperlink ref="A136" r:id="rId108" xr:uid="{00000000-0004-0000-0300-00006B000000}"/>
    <hyperlink ref="A137" r:id="rId109" xr:uid="{00000000-0004-0000-0300-00006C000000}"/>
    <hyperlink ref="A138" r:id="rId110" xr:uid="{00000000-0004-0000-0300-00006D000000}"/>
    <hyperlink ref="A139" r:id="rId111" display="COOP_MDUC" xr:uid="{00000000-0004-0000-0300-00006E000000}"/>
    <hyperlink ref="C139" r:id="rId112" display="COOP_MDUC" xr:uid="{00000000-0004-0000-0300-00006F000000}"/>
    <hyperlink ref="A140" r:id="rId113" xr:uid="{00000000-0004-0000-0300-000070000000}"/>
    <hyperlink ref="A151" r:id="rId114" xr:uid="{00000000-0004-0000-0300-000071000000}"/>
    <hyperlink ref="C151" r:id="rId115" display="BIGC_ANNHON" xr:uid="{00000000-0004-0000-0300-000072000000}"/>
    <hyperlink ref="A152" r:id="rId116" xr:uid="{00000000-0004-0000-0300-000073000000}"/>
    <hyperlink ref="C152" r:id="rId117" display="COOP_F_ROMAN" xr:uid="{00000000-0004-0000-0300-000074000000}"/>
    <hyperlink ref="A153" r:id="rId118" xr:uid="{00000000-0004-0000-0300-000075000000}"/>
    <hyperlink ref="C153" r:id="rId119" display="BHX_13628_TNINH" xr:uid="{00000000-0004-0000-0300-000076000000}"/>
    <hyperlink ref="A158" r:id="rId120" xr:uid="{00000000-0004-0000-0300-000077000000}"/>
    <hyperlink ref="A159" r:id="rId121" xr:uid="{00000000-0004-0000-0300-000078000000}"/>
    <hyperlink ref="A160" r:id="rId122" xr:uid="{00000000-0004-0000-0300-000079000000}"/>
    <hyperlink ref="A161" r:id="rId123" xr:uid="{00000000-0004-0000-0300-00007A000000}"/>
    <hyperlink ref="A162" r:id="rId124" xr:uid="{00000000-0004-0000-0300-00007B000000}"/>
    <hyperlink ref="A163" r:id="rId125" xr:uid="{00000000-0004-0000-0300-00007C000000}"/>
    <hyperlink ref="A171" r:id="rId126" xr:uid="{00000000-0004-0000-0300-00007D000000}"/>
    <hyperlink ref="A172" r:id="rId127" xr:uid="{00000000-0004-0000-0300-00007E000000}"/>
    <hyperlink ref="A173" r:id="rId128" xr:uid="{00000000-0004-0000-0300-00007F000000}"/>
    <hyperlink ref="A174" r:id="rId129" xr:uid="{00000000-0004-0000-0300-000080000000}"/>
    <hyperlink ref="C174" r:id="rId130" display="SD_LBIEN" xr:uid="{00000000-0004-0000-0300-000081000000}"/>
    <hyperlink ref="A175" r:id="rId131" xr:uid="{00000000-0004-0000-0300-000082000000}"/>
    <hyperlink ref="A176" r:id="rId132" xr:uid="{00000000-0004-0000-0300-000083000000}"/>
    <hyperlink ref="A177" r:id="rId133" xr:uid="{00000000-0004-0000-0300-000084000000}"/>
    <hyperlink ref="A178" r:id="rId134" xr:uid="{00000000-0004-0000-0300-000085000000}"/>
    <hyperlink ref="A179" r:id="rId135" xr:uid="{00000000-0004-0000-0300-000086000000}"/>
    <hyperlink ref="A180" r:id="rId136" xr:uid="{00000000-0004-0000-0300-000087000000}"/>
    <hyperlink ref="A181" r:id="rId137" xr:uid="{00000000-0004-0000-0300-000088000000}"/>
    <hyperlink ref="A182" r:id="rId138" xr:uid="{00000000-0004-0000-0300-000089000000}"/>
    <hyperlink ref="A183" r:id="rId139" xr:uid="{00000000-0004-0000-0300-00008A000000}"/>
    <hyperlink ref="A184" r:id="rId140" xr:uid="{00000000-0004-0000-0300-00008B000000}"/>
    <hyperlink ref="A185" r:id="rId141" xr:uid="{00000000-0004-0000-0300-00008C000000}"/>
    <hyperlink ref="A186" r:id="rId142" xr:uid="{00000000-0004-0000-0300-00008D000000}"/>
    <hyperlink ref="A187" r:id="rId143" xr:uid="{00000000-0004-0000-0300-00008E000000}"/>
    <hyperlink ref="A188" r:id="rId144" xr:uid="{00000000-0004-0000-0300-00008F000000}"/>
    <hyperlink ref="A189" r:id="rId145" xr:uid="{00000000-0004-0000-0300-000090000000}"/>
    <hyperlink ref="A190" r:id="rId146" xr:uid="{00000000-0004-0000-0300-000091000000}"/>
    <hyperlink ref="C190" r:id="rId147" display="BIGC_GO_PMY" xr:uid="{00000000-0004-0000-0300-000092000000}"/>
    <hyperlink ref="A191" r:id="rId148" xr:uid="{00000000-0004-0000-0300-000093000000}"/>
    <hyperlink ref="C191" r:id="rId149" display="COOP_NLB" xr:uid="{00000000-0004-0000-0300-000094000000}"/>
    <hyperlink ref="A192" r:id="rId150" xr:uid="{00000000-0004-0000-0300-000095000000}"/>
    <hyperlink ref="A193" r:id="rId151" xr:uid="{00000000-0004-0000-0300-000096000000}"/>
    <hyperlink ref="A194" r:id="rId152" xr:uid="{00000000-0004-0000-0300-000097000000}"/>
    <hyperlink ref="A195" r:id="rId153" xr:uid="{00000000-0004-0000-0300-000098000000}"/>
    <hyperlink ref="A196" r:id="rId154" xr:uid="{00000000-0004-0000-0300-000099000000}"/>
    <hyperlink ref="A197" r:id="rId155" xr:uid="{00000000-0004-0000-0300-00009A000000}"/>
    <hyperlink ref="A198" r:id="rId156" display="VIN_NAN" xr:uid="{00000000-0004-0000-0300-00009B000000}"/>
    <hyperlink ref="A199" r:id="rId157" display="VIN_QNINH" xr:uid="{00000000-0004-0000-0300-00009C000000}"/>
    <hyperlink ref="A200" r:id="rId158" display="6209_LVB" xr:uid="{00000000-0004-0000-0300-00009D000000}"/>
    <hyperlink ref="A201" r:id="rId159" display="VIN_NBINH" xr:uid="{00000000-0004-0000-0300-00009E000000}"/>
    <hyperlink ref="A202" r:id="rId160" display="VIN_HPHONG" xr:uid="{00000000-0004-0000-0300-00009F000000}"/>
    <hyperlink ref="A203" r:id="rId161" display="BIGC_TANUYEN" xr:uid="{00000000-0004-0000-0300-0000A0000000}"/>
    <hyperlink ref="A204" r:id="rId162" display="BHX_10760_CDUOC" xr:uid="{00000000-0004-0000-0300-0000A1000000}"/>
    <hyperlink ref="A207" r:id="rId163" display="COOP_F_NBTONG" xr:uid="{00000000-0004-0000-0300-0000A2000000}"/>
    <hyperlink ref="A209" r:id="rId164" display="SATRA_260TNAO" xr:uid="{00000000-0004-0000-0300-0000A3000000}"/>
    <hyperlink ref="A210" r:id="rId165" display="6209_PHL" xr:uid="{00000000-0004-0000-0300-0000A4000000}"/>
    <hyperlink ref="A211" r:id="rId166" display="6209_CN1" xr:uid="{00000000-0004-0000-0300-0000A5000000}"/>
    <hyperlink ref="A212" r:id="rId167" display="COOP_F_PYNHTHO" xr:uid="{00000000-0004-0000-0300-0000A6000000}"/>
    <hyperlink ref="A213" r:id="rId168" display="KOHNAN_NTT" xr:uid="{00000000-0004-0000-0300-0000A7000000}"/>
    <hyperlink ref="C213" r:id="rId169" display="KOHNAN_NTT" xr:uid="{00000000-0004-0000-0300-0000A8000000}"/>
    <hyperlink ref="A214" r:id="rId170" display="COOP_F_DIAMOND" xr:uid="{00000000-0004-0000-0300-0000A9000000}"/>
    <hyperlink ref="A215" r:id="rId171" display="COOP_F_ADVUONG" xr:uid="{00000000-0004-0000-0300-0000AA000000}"/>
    <hyperlink ref="A216" r:id="rId172" display="SD_NLB" xr:uid="{00000000-0004-0000-0300-0000AB000000}"/>
    <hyperlink ref="A217" r:id="rId173" display="COOP_F_BELLE" xr:uid="{00000000-0004-0000-0300-0000AC000000}"/>
    <hyperlink ref="A218" r:id="rId174" xr:uid="{00000000-0004-0000-0300-0000AD000000}"/>
    <hyperlink ref="C218" r:id="rId175" display="BIGC_DBAN" xr:uid="{00000000-0004-0000-0300-0000AE000000}"/>
    <hyperlink ref="A219" r:id="rId176" xr:uid="{00000000-0004-0000-0300-0000AF000000}"/>
    <hyperlink ref="C219" r:id="rId177" display="6209_QL50" xr:uid="{00000000-0004-0000-0300-0000B0000000}"/>
    <hyperlink ref="A220" r:id="rId178" display="COOP_F_TXSOAN" xr:uid="{00000000-0004-0000-0300-0000B1000000}"/>
    <hyperlink ref="A221" r:id="rId179" xr:uid="{00000000-0004-0000-0300-0000B2000000}"/>
    <hyperlink ref="A222" r:id="rId180" xr:uid="{00000000-0004-0000-0300-0000B3000000}"/>
    <hyperlink ref="A223" r:id="rId181" display="TNM_VIN_VTRI" xr:uid="{00000000-0004-0000-0300-0000B4000000}"/>
    <hyperlink ref="A224" r:id="rId182" display="TNM_VINCTHO" xr:uid="{00000000-0004-0000-0300-0000B5000000}"/>
    <hyperlink ref="A225" r:id="rId183" display="ME_CH142" xr:uid="{00000000-0004-0000-0300-0000B6000000}"/>
    <hyperlink ref="A226" r:id="rId184" display="COOP_TQT" xr:uid="{00000000-0004-0000-0300-0000B7000000}"/>
    <hyperlink ref="A227" r:id="rId185" xr:uid="{00000000-0004-0000-0300-0000B8000000}"/>
    <hyperlink ref="A228" r:id="rId186" xr:uid="{00000000-0004-0000-0300-0000B9000000}"/>
    <hyperlink ref="A229" r:id="rId187" display="6504" xr:uid="{00000000-0004-0000-0300-0000BA000000}"/>
    <hyperlink ref="A230" r:id="rId188" display="COOP_SAFIRAKDIEN" xr:uid="{00000000-0004-0000-0300-0000BB000000}"/>
    <hyperlink ref="A231" r:id="rId189" xr:uid="{00000000-0004-0000-0300-0000BC000000}"/>
    <hyperlink ref="A232" r:id="rId190" display="COOP_TLOC17" xr:uid="{00000000-0004-0000-0300-0000BD000000}"/>
    <hyperlink ref="A233" r:id="rId191" display="COOP_NTHONG1" xr:uid="{00000000-0004-0000-0300-0000BE000000}"/>
    <hyperlink ref="A235" r:id="rId192" display="COOP_FOOD_NXI" xr:uid="{00000000-0004-0000-0300-0000BF000000}"/>
    <hyperlink ref="A236" r:id="rId193" display="COOP_FOOD_TTTHUYET" xr:uid="{00000000-0004-0000-0300-0000C0000000}"/>
    <hyperlink ref="A237" r:id="rId194" display="COOP_TNHAU1" xr:uid="{00000000-0004-0000-0300-0000C1000000}"/>
    <hyperlink ref="A238" r:id="rId195" display="VIN_BHOA" xr:uid="{00000000-0004-0000-0300-0000C2000000}"/>
    <hyperlink ref="A239" r:id="rId196" display="VIN_CTHO" xr:uid="{00000000-0004-0000-0300-0000C3000000}"/>
    <hyperlink ref="A240" r:id="rId197" display="BIGC_TDUC" xr:uid="{00000000-0004-0000-0300-0000C4000000}"/>
    <hyperlink ref="A241" r:id="rId198" display="LOTTE_VINH" xr:uid="{00000000-0004-0000-0300-0000C5000000}"/>
    <hyperlink ref="A242" r:id="rId199" display="COOP_F_LVBEN" xr:uid="{00000000-0004-0000-0300-0000C6000000}"/>
    <hyperlink ref="A243" r:id="rId200" display="SD_VINSMART" xr:uid="{00000000-0004-0000-0300-0000C7000000}"/>
    <hyperlink ref="A244" r:id="rId201" display="SD_SYRENA" xr:uid="{00000000-0004-0000-0300-0000C8000000}"/>
    <hyperlink ref="A245" r:id="rId202" display="COOP_F_KDONG" xr:uid="{00000000-0004-0000-0300-0000C9000000}"/>
    <hyperlink ref="A246" r:id="rId203" display="LC_HCM" xr:uid="{00000000-0004-0000-0300-0000CA000000}"/>
    <hyperlink ref="C246" r:id="rId204" display="LC_HCM" xr:uid="{00000000-0004-0000-0300-0000CB000000}"/>
    <hyperlink ref="A247" r:id="rId205" display="HD_AUCO" xr:uid="{00000000-0004-0000-0300-0000CC000000}"/>
    <hyperlink ref="C247" r:id="rId206" display="HD_AUCO" xr:uid="{00000000-0004-0000-0300-0000CD000000}"/>
    <hyperlink ref="A248" r:id="rId207" display="SD_TIMESCITY" xr:uid="{00000000-0004-0000-0300-0000CE000000}"/>
    <hyperlink ref="A249" r:id="rId208" xr:uid="{00000000-0004-0000-0300-0000CF000000}"/>
    <hyperlink ref="A250" r:id="rId209" display="TNH_VINCOMVTRI" xr:uid="{00000000-0004-0000-0300-0000D0000000}"/>
    <hyperlink ref="C250" r:id="rId210" display="TNH_VINCOMVTRI" xr:uid="{00000000-0004-0000-0300-0000D1000000}"/>
    <hyperlink ref="A251" r:id="rId211" display="COOP_F_QL50" xr:uid="{00000000-0004-0000-0300-0000D2000000}"/>
    <hyperlink ref="A252" r:id="rId212" display="6468" xr:uid="{00000000-0004-0000-0300-0000D3000000}"/>
    <hyperlink ref="A253" r:id="rId213" display="6469" xr:uid="{00000000-0004-0000-0300-0000D4000000}"/>
    <hyperlink ref="A254" r:id="rId214" display="6355" xr:uid="{00000000-0004-0000-0300-0000D5000000}"/>
    <hyperlink ref="A255" r:id="rId215" display="SD_NHC" xr:uid="{00000000-0004-0000-0300-0000D6000000}"/>
    <hyperlink ref="A284" r:id="rId216" xr:uid="{00000000-0004-0000-0300-0000D7000000}"/>
    <hyperlink ref="A285" r:id="rId217" xr:uid="{00000000-0004-0000-0300-0000D8000000}"/>
    <hyperlink ref="A286" r:id="rId218" xr:uid="{00000000-0004-0000-0300-0000D9000000}"/>
    <hyperlink ref="A287" r:id="rId219" xr:uid="{00000000-0004-0000-0300-0000DA000000}"/>
    <hyperlink ref="A290" r:id="rId220" display="SD_TDUC" xr:uid="{00000000-0004-0000-0300-0000DB000000}"/>
    <hyperlink ref="A291" r:id="rId221" display="6494" xr:uid="{00000000-0004-0000-0300-0000DC000000}"/>
    <hyperlink ref="A292" r:id="rId222" display="6441" xr:uid="{00000000-0004-0000-0300-0000DD000000}"/>
    <hyperlink ref="A293" r:id="rId223" display="VIN_BDUONG" xr:uid="{00000000-0004-0000-0300-0000DE000000}"/>
    <hyperlink ref="A294" r:id="rId224" display="BIGC_GO_LAOCAI" xr:uid="{00000000-0004-0000-0300-0000DF000000}"/>
    <hyperlink ref="A295" r:id="rId225" display="BHX_10864_ONLDHOA" xr:uid="{00000000-0004-0000-0300-0000E0000000}"/>
    <hyperlink ref="A296" r:id="rId226" display="KOHNAN_SMARTCITY" xr:uid="{00000000-0004-0000-0300-0000E1000000}"/>
    <hyperlink ref="A297" r:id="rId227" display="BHX_5060_CTHANHA" xr:uid="{00000000-0004-0000-0300-0000E2000000}"/>
    <hyperlink ref="A298" r:id="rId228" display="BHX_ANKHANG" xr:uid="{00000000-0004-0000-0300-0000E3000000}"/>
    <hyperlink ref="A299" r:id="rId229" display="BHX_7085_BLI" xr:uid="{00000000-0004-0000-0300-0000E4000000}"/>
    <hyperlink ref="A300" r:id="rId230" display="BHX_7211_HTA" xr:uid="{00000000-0004-0000-0300-0000E5000000}"/>
    <hyperlink ref="A301" r:id="rId231" display="BHX_6960_HTHANH" xr:uid="{00000000-0004-0000-0300-0000E6000000}"/>
    <hyperlink ref="A302" r:id="rId232" display="BHX_7866_DPHU" xr:uid="{00000000-0004-0000-0300-0000E7000000}"/>
    <hyperlink ref="A303" r:id="rId233" display="BHX_5664_MDAM" xr:uid="{00000000-0004-0000-0300-0000E8000000}"/>
    <hyperlink ref="A304" r:id="rId234" display="BHX_5851_THAN" xr:uid="{00000000-0004-0000-0300-0000E9000000}"/>
    <hyperlink ref="A305" r:id="rId235" display="BHX_8030_DTRONG" xr:uid="{00000000-0004-0000-0300-0000EA000000}"/>
    <hyperlink ref="A314" r:id="rId236" display="BHX_6450_BMT" xr:uid="{00000000-0004-0000-0300-0000EB000000}"/>
    <hyperlink ref="A315" r:id="rId237" display="BHX_7200_DKHANH" xr:uid="{00000000-0004-0000-0300-0000EC000000}"/>
    <hyperlink ref="A317" r:id="rId238" display="6445" xr:uid="{00000000-0004-0000-0300-0000ED000000}"/>
    <hyperlink ref="A318" r:id="rId239" display="BHX_7234_CDUOC" xr:uid="{00000000-0004-0000-0300-0000EE000000}"/>
    <hyperlink ref="A319" r:id="rId240" display="BHX_8681_GVAP" xr:uid="{00000000-0004-0000-0300-0000EF000000}"/>
    <hyperlink ref="A320" r:id="rId241" display="BHX_6911_KGIANG" xr:uid="{00000000-0004-0000-0300-0000F0000000}"/>
    <hyperlink ref="A321" r:id="rId242" display="BHX_9899_TPHU" xr:uid="{00000000-0004-0000-0300-0000F1000000}"/>
    <hyperlink ref="A324" r:id="rId243" display="BIGC_GO_TBINH" xr:uid="{00000000-0004-0000-0300-0000F2000000}"/>
    <hyperlink ref="A333" r:id="rId244" xr:uid="{00000000-0004-0000-0300-0000F3000000}"/>
    <hyperlink ref="A335" r:id="rId245" xr:uid="{00000000-0004-0000-0300-0000F4000000}"/>
    <hyperlink ref="A336" r:id="rId246" xr:uid="{00000000-0004-0000-0300-0000F5000000}"/>
    <hyperlink ref="A337" r:id="rId247" xr:uid="{00000000-0004-0000-0300-0000F6000000}"/>
    <hyperlink ref="A338" r:id="rId248" xr:uid="{00000000-0004-0000-0300-0000F7000000}"/>
    <hyperlink ref="A339" r:id="rId249" xr:uid="{00000000-0004-0000-0300-0000F8000000}"/>
    <hyperlink ref="A340" r:id="rId250" xr:uid="{00000000-0004-0000-0300-0000F9000000}"/>
    <hyperlink ref="A341" r:id="rId251" xr:uid="{00000000-0004-0000-0300-0000FA000000}"/>
    <hyperlink ref="A342" r:id="rId252" xr:uid="{00000000-0004-0000-0300-0000FB000000}"/>
    <hyperlink ref="A343" r:id="rId253" xr:uid="{00000000-0004-0000-0300-0000FC000000}"/>
    <hyperlink ref="A344" r:id="rId254" xr:uid="{00000000-0004-0000-0300-0000FD000000}"/>
    <hyperlink ref="A345" r:id="rId255" xr:uid="{00000000-0004-0000-0300-0000FE000000}"/>
    <hyperlink ref="A346" r:id="rId256" xr:uid="{00000000-0004-0000-0300-0000FF000000}"/>
    <hyperlink ref="A347" r:id="rId257" xr:uid="{00000000-0004-0000-0300-000000010000}"/>
    <hyperlink ref="A348" r:id="rId258" xr:uid="{00000000-0004-0000-0300-000001010000}"/>
    <hyperlink ref="A349" r:id="rId259" xr:uid="{00000000-0004-0000-0300-000002010000}"/>
    <hyperlink ref="A350" r:id="rId260" xr:uid="{00000000-0004-0000-0300-000003010000}"/>
    <hyperlink ref="A351" r:id="rId261" xr:uid="{00000000-0004-0000-0300-000004010000}"/>
    <hyperlink ref="A352" r:id="rId262" xr:uid="{00000000-0004-0000-0300-000005010000}"/>
    <hyperlink ref="A353" r:id="rId263" xr:uid="{00000000-0004-0000-0300-000006010000}"/>
    <hyperlink ref="A354" r:id="rId264" xr:uid="{00000000-0004-0000-0300-000007010000}"/>
    <hyperlink ref="A355" r:id="rId265" xr:uid="{00000000-0004-0000-0300-000008010000}"/>
    <hyperlink ref="A356" r:id="rId266" xr:uid="{00000000-0004-0000-0300-000009010000}"/>
    <hyperlink ref="A357" r:id="rId267" display="COOP_GDAU" xr:uid="{00000000-0004-0000-0300-00000A010000}"/>
    <hyperlink ref="A358" r:id="rId268" display="BIGC_MDONG" xr:uid="{00000000-0004-0000-0300-00000B010000}"/>
    <hyperlink ref="A359" r:id="rId269" xr:uid="{00000000-0004-0000-0300-00000C010000}"/>
    <hyperlink ref="A364" r:id="rId270" xr:uid="{00000000-0004-0000-0300-00000D010000}"/>
    <hyperlink ref="A365" r:id="rId271" xr:uid="{00000000-0004-0000-0300-00000E010000}"/>
    <hyperlink ref="A366" r:id="rId272" xr:uid="{00000000-0004-0000-0300-00000F010000}"/>
    <hyperlink ref="A367" r:id="rId273" xr:uid="{00000000-0004-0000-0300-000010010000}"/>
    <hyperlink ref="A368" r:id="rId274" xr:uid="{00000000-0004-0000-0300-000011010000}"/>
    <hyperlink ref="A369" r:id="rId275" xr:uid="{00000000-0004-0000-0300-000012010000}"/>
    <hyperlink ref="A370" r:id="rId276" xr:uid="{00000000-0004-0000-0300-000013010000}"/>
    <hyperlink ref="A371" r:id="rId277" xr:uid="{00000000-0004-0000-0300-000014010000}"/>
    <hyperlink ref="A372" r:id="rId278" xr:uid="{00000000-0004-0000-0300-000015010000}"/>
    <hyperlink ref="A373" r:id="rId279" xr:uid="{00000000-0004-0000-0300-000016010000}"/>
    <hyperlink ref="A374" r:id="rId280" xr:uid="{00000000-0004-0000-0300-000017010000}"/>
    <hyperlink ref="A375" r:id="rId281" xr:uid="{00000000-0004-0000-0300-000018010000}"/>
    <hyperlink ref="A376" r:id="rId282" xr:uid="{00000000-0004-0000-0300-000019010000}"/>
    <hyperlink ref="A377" r:id="rId283" xr:uid="{00000000-0004-0000-0300-00001A010000}"/>
    <hyperlink ref="C377" r:id="rId284" display="HD_RIVE" xr:uid="{00000000-0004-0000-0300-00001B010000}"/>
    <hyperlink ref="A385" r:id="rId285" xr:uid="{00000000-0004-0000-0300-00001C010000}"/>
    <hyperlink ref="A395" r:id="rId286" display="BIGC_GO_TNGUYEN" xr:uid="{00000000-0004-0000-0300-00001D010000}"/>
    <hyperlink ref="A400" r:id="rId287" xr:uid="{00000000-0004-0000-0300-00001E010000}"/>
    <hyperlink ref="A414" r:id="rId288" display="BIGC_GO_BRIA" xr:uid="{00000000-0004-0000-0300-00001F010000}"/>
    <hyperlink ref="A415" r:id="rId289" display="BIGC_GO_TKY" xr:uid="{00000000-0004-0000-0300-000020010000}"/>
    <hyperlink ref="A416" r:id="rId290" display="GROVE_3109_LHP" xr:uid="{00000000-0004-0000-0300-000021010000}"/>
    <hyperlink ref="A417" r:id="rId291" display="GROVE_3110_QL1A" xr:uid="{00000000-0004-0000-0300-000022010000}"/>
    <hyperlink ref="A420" r:id="rId292" display="6485" xr:uid="{00000000-0004-0000-0300-000023010000}"/>
    <hyperlink ref="A426" r:id="rId293" display="COOP_CGUOC" xr:uid="{00000000-0004-0000-0300-000024010000}"/>
    <hyperlink ref="A427" r:id="rId294" display="COOP_MDUC" xr:uid="{00000000-0004-0000-0300-000025010000}"/>
    <hyperlink ref="C427" r:id="rId295" display="COOP_MDUC" xr:uid="{00000000-0004-0000-0300-000026010000}"/>
    <hyperlink ref="A428" r:id="rId296" display="COOP_QLO50" xr:uid="{00000000-0004-0000-0300-000027010000}"/>
    <hyperlink ref="C428" r:id="rId297" display="COOP_QLO50" xr:uid="{00000000-0004-0000-0300-000028010000}"/>
    <hyperlink ref="A433" r:id="rId298" display="COOP_CHEER" xr:uid="{00000000-0004-0000-0300-000029010000}"/>
    <hyperlink ref="A481" r:id="rId299" display="COOP_GCONG" xr:uid="{00000000-0004-0000-0300-00002A010000}"/>
    <hyperlink ref="A532" r:id="rId300" xr:uid="{00000000-0004-0000-0300-00002B010000}"/>
    <hyperlink ref="A533" r:id="rId301" xr:uid="{00000000-0004-0000-0300-00002C010000}"/>
    <hyperlink ref="A535" r:id="rId302" xr:uid="{00000000-0004-0000-0300-00002D010000}"/>
    <hyperlink ref="A536" r:id="rId303" xr:uid="{00000000-0004-0000-0300-00002E010000}"/>
    <hyperlink ref="A537" r:id="rId304" xr:uid="{00000000-0004-0000-0300-00002F010000}"/>
    <hyperlink ref="A538" r:id="rId305" xr:uid="{00000000-0004-0000-0300-000030010000}"/>
    <hyperlink ref="A539" r:id="rId306" xr:uid="{00000000-0004-0000-0300-000031010000}"/>
    <hyperlink ref="A540" r:id="rId307" xr:uid="{00000000-0004-0000-0300-000032010000}"/>
    <hyperlink ref="A541" r:id="rId308" xr:uid="{00000000-0004-0000-0300-000033010000}"/>
    <hyperlink ref="A542" r:id="rId309" xr:uid="{00000000-0004-0000-0300-000034010000}"/>
    <hyperlink ref="A543" r:id="rId310" xr:uid="{00000000-0004-0000-0300-000035010000}"/>
    <hyperlink ref="A553" r:id="rId311" display="COOP_TNINH" xr:uid="{00000000-0004-0000-0300-000036010000}"/>
    <hyperlink ref="A576" r:id="rId312" display="4812_THISO" xr:uid="{00000000-0004-0000-0300-000037010000}"/>
    <hyperlink ref="A584" r:id="rId313" display="HD_EMPIRE" xr:uid="{00000000-0004-0000-0300-000038010000}"/>
    <hyperlink ref="A585" r:id="rId314" display="HD_LAVITA" xr:uid="{00000000-0004-0000-0300-000039010000}"/>
    <hyperlink ref="A586" r:id="rId315" display="SD_LAND81" xr:uid="{00000000-0004-0000-0300-00003A010000}"/>
    <hyperlink ref="B586" r:id="rId316" display="SD_TERRACE" xr:uid="{00000000-0004-0000-0300-00003B010000}"/>
    <hyperlink ref="A587" r:id="rId317" display="SD_TERRACE" xr:uid="{00000000-0004-0000-0300-00003C010000}"/>
    <hyperlink ref="B587" r:id="rId318" display="SD_TERRACE" xr:uid="{00000000-0004-0000-0300-00003D010000}"/>
    <hyperlink ref="C587" r:id="rId319" display="SD_TERRACE" xr:uid="{00000000-0004-0000-0300-00003E010000}"/>
    <hyperlink ref="A613" r:id="rId320" display="KOHNAN_DNAI" xr:uid="{00000000-0004-0000-0300-00003F010000}"/>
    <hyperlink ref="A614" r:id="rId321" display="KOHNAN_LBIEN" xr:uid="{00000000-0004-0000-0300-000040010000}"/>
    <hyperlink ref="A637" r:id="rId322" xr:uid="{00000000-0004-0000-0300-000041010000}"/>
    <hyperlink ref="A638" r:id="rId323" xr:uid="{00000000-0004-0000-0300-000042010000}"/>
    <hyperlink ref="A639" r:id="rId324" xr:uid="{00000000-0004-0000-0300-000043010000}"/>
    <hyperlink ref="A640" r:id="rId325" xr:uid="{00000000-0004-0000-0300-000044010000}"/>
    <hyperlink ref="A771" r:id="rId326" display="SATRA_F14LTT" xr:uid="{00000000-0004-0000-0300-000045010000}"/>
    <hyperlink ref="A785" r:id="rId327" display="SATRA_F1199HTP2" xr:uid="{00000000-0004-0000-0300-000046010000}"/>
    <hyperlink ref="A973" r:id="rId328" display="TNM_AEONHPHONG" xr:uid="{00000000-0004-0000-0300-000047010000}"/>
    <hyperlink ref="A977" r:id="rId329" display="TNM_COOPACO" xr:uid="{00000000-0004-0000-0300-000048010000}"/>
    <hyperlink ref="A978" r:id="rId330" display="3S_PTHIET" xr:uid="{00000000-0004-0000-0300-000049010000}"/>
    <hyperlink ref="A979" r:id="rId331" display="6498" xr:uid="{00000000-0004-0000-0300-00004A010000}"/>
    <hyperlink ref="A980" r:id="rId332" display="COOP_TLTCHINH" xr:uid="{00000000-0004-0000-0300-00004B010000}"/>
    <hyperlink ref="A981" r:id="rId333" display="BIGC_GO_GDAU" xr:uid="{00000000-0004-0000-0300-00004C010000}"/>
    <hyperlink ref="A1060" r:id="rId334" display="VIN_BNINH" xr:uid="{00000000-0004-0000-0300-00004D010000}"/>
    <hyperlink ref="A1063" r:id="rId335" display="VIN_NTRANG" xr:uid="{00000000-0004-0000-0300-00004E010000}"/>
    <hyperlink ref="A1072" r:id="rId336" display="VIN_KHO_HTINH" xr:uid="{00000000-0004-0000-0300-00004F010000}"/>
    <hyperlink ref="C1072" r:id="rId337" display="VIN_KHO_HTINH" xr:uid="{00000000-0004-0000-0300-00005001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/>
  <dimension ref="A1:I1043"/>
  <sheetViews>
    <sheetView workbookViewId="0">
      <selection activeCell="G20" sqref="G20"/>
    </sheetView>
  </sheetViews>
  <sheetFormatPr defaultRowHeight="15.75" x14ac:dyDescent="0.25"/>
  <cols>
    <col min="1" max="1" width="38.5703125" style="12" customWidth="1"/>
    <col min="2" max="2" width="22.140625" style="12" customWidth="1"/>
    <col min="3" max="3" width="27.5703125" style="12" bestFit="1" customWidth="1"/>
  </cols>
  <sheetData>
    <row r="1" spans="1:6" ht="18.75" customHeight="1" x14ac:dyDescent="0.25">
      <c r="A1" s="26" t="s">
        <v>2487</v>
      </c>
      <c r="B1" s="26" t="s">
        <v>2486</v>
      </c>
      <c r="C1" s="26" t="s">
        <v>2</v>
      </c>
    </row>
    <row r="2" spans="1:6" x14ac:dyDescent="0.25">
      <c r="A2" s="13" t="s">
        <v>703</v>
      </c>
      <c r="B2" s="12" t="s">
        <v>617</v>
      </c>
      <c r="C2" s="12" t="s">
        <v>704</v>
      </c>
    </row>
    <row r="3" spans="1:6" x14ac:dyDescent="0.25">
      <c r="A3" s="13" t="s">
        <v>625</v>
      </c>
      <c r="B3" s="12" t="s">
        <v>617</v>
      </c>
      <c r="C3" s="12" t="s">
        <v>702</v>
      </c>
    </row>
    <row r="4" spans="1:6" x14ac:dyDescent="0.25">
      <c r="A4" t="s">
        <v>619</v>
      </c>
      <c r="B4" t="s">
        <v>617</v>
      </c>
      <c r="C4" s="139" t="s">
        <v>700</v>
      </c>
    </row>
    <row r="5" spans="1:6" x14ac:dyDescent="0.25">
      <c r="A5" s="13" t="s">
        <v>651</v>
      </c>
      <c r="B5" s="12" t="s">
        <v>651</v>
      </c>
      <c r="C5" s="18" t="s">
        <v>1398</v>
      </c>
    </row>
    <row r="6" spans="1:6" ht="15" customHeight="1" x14ac:dyDescent="0.25">
      <c r="A6" s="212" t="s">
        <v>1489</v>
      </c>
      <c r="B6" s="7" t="s">
        <v>657</v>
      </c>
      <c r="C6" s="212" t="s">
        <v>1490</v>
      </c>
    </row>
    <row r="7" spans="1:6" ht="15" customHeight="1" x14ac:dyDescent="0.25">
      <c r="A7" t="s">
        <v>794</v>
      </c>
      <c r="B7" t="s">
        <v>593</v>
      </c>
      <c r="C7" s="126" t="s">
        <v>795</v>
      </c>
    </row>
    <row r="8" spans="1:6" ht="15" customHeight="1" x14ac:dyDescent="0.25">
      <c r="A8" t="s">
        <v>797</v>
      </c>
      <c r="B8" t="s">
        <v>593</v>
      </c>
      <c r="C8" s="126" t="s">
        <v>798</v>
      </c>
    </row>
    <row r="9" spans="1:6" ht="15" customHeight="1" x14ac:dyDescent="0.25">
      <c r="A9" t="s">
        <v>366</v>
      </c>
      <c r="B9" t="s">
        <v>16</v>
      </c>
      <c r="C9" s="126" t="s">
        <v>365</v>
      </c>
    </row>
    <row r="10" spans="1:6" ht="15" customHeight="1" x14ac:dyDescent="0.25">
      <c r="A10" t="s">
        <v>799</v>
      </c>
      <c r="B10" t="s">
        <v>593</v>
      </c>
      <c r="C10" s="126" t="s">
        <v>800</v>
      </c>
    </row>
    <row r="11" spans="1:6" ht="15" customHeight="1" x14ac:dyDescent="0.25">
      <c r="A11" t="s">
        <v>1204</v>
      </c>
      <c r="B11" t="s">
        <v>16</v>
      </c>
      <c r="C11" s="126" t="s">
        <v>1205</v>
      </c>
      <c r="F11" s="126"/>
    </row>
    <row r="12" spans="1:6" ht="15" customHeight="1" x14ac:dyDescent="0.25">
      <c r="A12" t="s">
        <v>1206</v>
      </c>
      <c r="B12" t="s">
        <v>16</v>
      </c>
      <c r="C12" s="126" t="s">
        <v>1207</v>
      </c>
      <c r="F12" s="126"/>
    </row>
    <row r="13" spans="1:6" ht="15" customHeight="1" x14ac:dyDescent="0.25">
      <c r="A13" t="s">
        <v>109</v>
      </c>
      <c r="B13" t="s">
        <v>107</v>
      </c>
      <c r="C13" s="126" t="s">
        <v>108</v>
      </c>
      <c r="F13" s="126"/>
    </row>
    <row r="14" spans="1:6" ht="15" customHeight="1" x14ac:dyDescent="0.25">
      <c r="A14" t="s">
        <v>378</v>
      </c>
      <c r="B14" t="s">
        <v>16</v>
      </c>
      <c r="C14" s="272" t="s">
        <v>377</v>
      </c>
      <c r="F14" s="137"/>
    </row>
    <row r="15" spans="1:6" ht="15" customHeight="1" x14ac:dyDescent="0.25">
      <c r="A15" t="s">
        <v>904</v>
      </c>
      <c r="B15" t="s">
        <v>16</v>
      </c>
      <c r="C15" s="126" t="s">
        <v>905</v>
      </c>
      <c r="F15" s="137"/>
    </row>
    <row r="16" spans="1:6" ht="15" customHeight="1" x14ac:dyDescent="0.25">
      <c r="A16" t="s">
        <v>906</v>
      </c>
      <c r="B16" t="s">
        <v>16</v>
      </c>
      <c r="C16" s="126" t="s">
        <v>907</v>
      </c>
      <c r="F16" s="137"/>
    </row>
    <row r="17" spans="1:6" ht="15" customHeight="1" x14ac:dyDescent="0.25">
      <c r="A17" t="s">
        <v>908</v>
      </c>
      <c r="B17" t="s">
        <v>16</v>
      </c>
      <c r="C17" s="126" t="s">
        <v>909</v>
      </c>
      <c r="F17" s="137"/>
    </row>
    <row r="18" spans="1:6" ht="15" customHeight="1" x14ac:dyDescent="0.25">
      <c r="A18" t="s">
        <v>910</v>
      </c>
      <c r="B18" t="s">
        <v>16</v>
      </c>
      <c r="C18" s="126" t="s">
        <v>911</v>
      </c>
    </row>
    <row r="19" spans="1:6" ht="15" customHeight="1" x14ac:dyDescent="0.25">
      <c r="A19" t="s">
        <v>414</v>
      </c>
      <c r="B19" t="s">
        <v>16</v>
      </c>
      <c r="C19" s="126" t="s">
        <v>413</v>
      </c>
    </row>
    <row r="20" spans="1:6" ht="15" customHeight="1" x14ac:dyDescent="0.25">
      <c r="A20" t="s">
        <v>380</v>
      </c>
      <c r="B20" t="s">
        <v>16</v>
      </c>
      <c r="C20" s="126" t="s">
        <v>379</v>
      </c>
    </row>
    <row r="21" spans="1:6" ht="15" customHeight="1" x14ac:dyDescent="0.25">
      <c r="A21" t="s">
        <v>1726</v>
      </c>
      <c r="B21" t="s">
        <v>1726</v>
      </c>
      <c r="C21" s="5" t="s">
        <v>1727</v>
      </c>
    </row>
    <row r="22" spans="1:6" ht="15" customHeight="1" x14ac:dyDescent="0.25">
      <c r="A22" t="s">
        <v>922</v>
      </c>
      <c r="B22" t="s">
        <v>16</v>
      </c>
      <c r="C22" s="126" t="s">
        <v>923</v>
      </c>
    </row>
    <row r="23" spans="1:6" ht="15" customHeight="1" x14ac:dyDescent="0.25">
      <c r="A23" t="s">
        <v>924</v>
      </c>
      <c r="B23" t="s">
        <v>16</v>
      </c>
      <c r="C23" s="126" t="s">
        <v>925</v>
      </c>
    </row>
    <row r="24" spans="1:6" ht="15" customHeight="1" x14ac:dyDescent="0.25">
      <c r="A24" t="s">
        <v>583</v>
      </c>
      <c r="B24" s="9" t="s">
        <v>561</v>
      </c>
      <c r="C24" s="126" t="s">
        <v>582</v>
      </c>
    </row>
    <row r="25" spans="1:6" ht="15" customHeight="1" x14ac:dyDescent="0.25">
      <c r="A25" t="s">
        <v>588</v>
      </c>
      <c r="B25" s="9" t="s">
        <v>561</v>
      </c>
      <c r="C25" s="126" t="s">
        <v>587</v>
      </c>
    </row>
    <row r="26" spans="1:6" ht="15" customHeight="1" x14ac:dyDescent="0.25">
      <c r="A26" t="s">
        <v>532</v>
      </c>
      <c r="B26" t="s">
        <v>432</v>
      </c>
      <c r="C26" s="126" t="s">
        <v>531</v>
      </c>
    </row>
    <row r="27" spans="1:6" ht="15" customHeight="1" x14ac:dyDescent="0.25">
      <c r="A27" t="s">
        <v>585</v>
      </c>
      <c r="B27" s="130" t="s">
        <v>561</v>
      </c>
      <c r="C27" s="126" t="s">
        <v>584</v>
      </c>
    </row>
    <row r="28" spans="1:6" ht="15" customHeight="1" x14ac:dyDescent="0.25">
      <c r="A28" t="s">
        <v>343</v>
      </c>
      <c r="B28" t="s">
        <v>16</v>
      </c>
      <c r="C28" s="126" t="s">
        <v>342</v>
      </c>
    </row>
    <row r="29" spans="1:6" ht="15" customHeight="1" x14ac:dyDescent="0.25">
      <c r="A29" t="s">
        <v>912</v>
      </c>
      <c r="B29" t="s">
        <v>16</v>
      </c>
      <c r="C29" s="126" t="s">
        <v>913</v>
      </c>
    </row>
    <row r="30" spans="1:6" ht="15" customHeight="1" x14ac:dyDescent="0.25">
      <c r="A30" t="s">
        <v>316</v>
      </c>
      <c r="B30" t="s">
        <v>16</v>
      </c>
      <c r="C30" s="126" t="s">
        <v>315</v>
      </c>
    </row>
    <row r="31" spans="1:6" ht="15" customHeight="1" x14ac:dyDescent="0.25">
      <c r="A31" t="s">
        <v>914</v>
      </c>
      <c r="B31" t="s">
        <v>16</v>
      </c>
      <c r="C31" s="126" t="s">
        <v>915</v>
      </c>
    </row>
    <row r="32" spans="1:6" ht="15" customHeight="1" x14ac:dyDescent="0.25">
      <c r="A32" t="s">
        <v>916</v>
      </c>
      <c r="B32" t="s">
        <v>16</v>
      </c>
      <c r="C32" s="126" t="s">
        <v>917</v>
      </c>
    </row>
    <row r="33" spans="1:9" ht="15" customHeight="1" x14ac:dyDescent="0.25">
      <c r="A33" t="s">
        <v>918</v>
      </c>
      <c r="B33" t="s">
        <v>16</v>
      </c>
      <c r="C33" s="126" t="s">
        <v>919</v>
      </c>
    </row>
    <row r="34" spans="1:9" ht="15" customHeight="1" x14ac:dyDescent="0.25">
      <c r="A34" t="s">
        <v>920</v>
      </c>
      <c r="B34" t="s">
        <v>16</v>
      </c>
      <c r="C34" s="126" t="s">
        <v>921</v>
      </c>
    </row>
    <row r="35" spans="1:9" ht="15" customHeight="1" x14ac:dyDescent="0.25">
      <c r="A35" t="s">
        <v>532</v>
      </c>
      <c r="B35" t="s">
        <v>432</v>
      </c>
      <c r="C35" s="126" t="s">
        <v>531</v>
      </c>
    </row>
    <row r="36" spans="1:9" ht="15" customHeight="1" x14ac:dyDescent="0.25">
      <c r="A36" t="s">
        <v>926</v>
      </c>
      <c r="B36" t="s">
        <v>16</v>
      </c>
      <c r="C36" s="126" t="s">
        <v>927</v>
      </c>
    </row>
    <row r="37" spans="1:9" ht="15" customHeight="1" x14ac:dyDescent="0.25">
      <c r="A37" t="s">
        <v>928</v>
      </c>
      <c r="B37" t="s">
        <v>16</v>
      </c>
      <c r="C37" s="126" t="s">
        <v>929</v>
      </c>
    </row>
    <row r="38" spans="1:9" ht="15" customHeight="1" x14ac:dyDescent="0.25">
      <c r="A38" t="s">
        <v>930</v>
      </c>
      <c r="B38" t="s">
        <v>16</v>
      </c>
      <c r="C38" s="126" t="s">
        <v>931</v>
      </c>
    </row>
    <row r="39" spans="1:9" ht="15" customHeight="1" x14ac:dyDescent="0.25">
      <c r="A39" t="s">
        <v>944</v>
      </c>
      <c r="B39" t="s">
        <v>16</v>
      </c>
      <c r="C39" s="126" t="s">
        <v>945</v>
      </c>
    </row>
    <row r="40" spans="1:9" x14ac:dyDescent="0.25">
      <c r="A40" t="s">
        <v>886</v>
      </c>
      <c r="B40" t="s">
        <v>886</v>
      </c>
      <c r="C40" s="5" t="s">
        <v>887</v>
      </c>
      <c r="G40" s="7"/>
      <c r="H40" s="7"/>
      <c r="I40" s="125"/>
    </row>
    <row r="41" spans="1:9" x14ac:dyDescent="0.25">
      <c r="A41" s="130" t="s">
        <v>2286</v>
      </c>
      <c r="B41" s="130" t="s">
        <v>2184</v>
      </c>
      <c r="C41" s="133" t="s">
        <v>2287</v>
      </c>
      <c r="G41" s="7"/>
      <c r="H41" s="7"/>
      <c r="I41" s="134"/>
    </row>
    <row r="42" spans="1:9" x14ac:dyDescent="0.25">
      <c r="A42" s="130" t="s">
        <v>1598</v>
      </c>
      <c r="B42" s="130" t="s">
        <v>654</v>
      </c>
      <c r="C42" s="133" t="s">
        <v>1599</v>
      </c>
      <c r="G42" s="7"/>
      <c r="H42" s="7"/>
      <c r="I42" s="134"/>
    </row>
    <row r="43" spans="1:9" x14ac:dyDescent="0.25">
      <c r="A43" s="130" t="s">
        <v>1363</v>
      </c>
      <c r="B43" t="s">
        <v>138</v>
      </c>
      <c r="C43" s="133" t="s">
        <v>1364</v>
      </c>
      <c r="G43" s="7"/>
      <c r="H43" s="7"/>
      <c r="I43" s="134"/>
    </row>
    <row r="44" spans="1:9" x14ac:dyDescent="0.25">
      <c r="A44" s="130" t="s">
        <v>2528</v>
      </c>
      <c r="B44" s="130" t="s">
        <v>1416</v>
      </c>
      <c r="C44" s="133" t="s">
        <v>1417</v>
      </c>
      <c r="G44" s="7"/>
      <c r="H44" s="7"/>
      <c r="I44" s="134"/>
    </row>
    <row r="45" spans="1:9" x14ac:dyDescent="0.25">
      <c r="A45" s="209" t="s">
        <v>1007</v>
      </c>
      <c r="B45" t="s">
        <v>16</v>
      </c>
      <c r="C45" s="202" t="s">
        <v>1008</v>
      </c>
      <c r="G45" s="7"/>
      <c r="H45" s="7"/>
      <c r="I45" s="134"/>
    </row>
    <row r="46" spans="1:9" x14ac:dyDescent="0.25">
      <c r="A46" s="209" t="s">
        <v>1009</v>
      </c>
      <c r="B46" t="s">
        <v>16</v>
      </c>
      <c r="C46" s="202" t="s">
        <v>1010</v>
      </c>
      <c r="G46" s="7"/>
      <c r="H46" s="7"/>
      <c r="I46" s="134"/>
    </row>
    <row r="47" spans="1:9" x14ac:dyDescent="0.25">
      <c r="A47" s="209" t="s">
        <v>180</v>
      </c>
      <c r="B47" t="s">
        <v>138</v>
      </c>
      <c r="C47" s="202" t="s">
        <v>179</v>
      </c>
      <c r="G47" s="7"/>
      <c r="H47" s="7"/>
      <c r="I47" s="134"/>
    </row>
    <row r="48" spans="1:9" x14ac:dyDescent="0.25">
      <c r="A48" s="209" t="s">
        <v>418</v>
      </c>
      <c r="B48" t="s">
        <v>16</v>
      </c>
      <c r="C48" s="202" t="s">
        <v>417</v>
      </c>
      <c r="G48" s="7"/>
      <c r="H48" s="7"/>
      <c r="I48" s="134"/>
    </row>
    <row r="49" spans="1:9" x14ac:dyDescent="0.25">
      <c r="A49" s="130" t="s">
        <v>1019</v>
      </c>
      <c r="B49" t="s">
        <v>16</v>
      </c>
      <c r="C49" s="129" t="s">
        <v>1020</v>
      </c>
      <c r="G49" s="7"/>
      <c r="H49" s="7"/>
      <c r="I49" s="134"/>
    </row>
    <row r="50" spans="1:9" x14ac:dyDescent="0.25">
      <c r="A50" s="130" t="s">
        <v>1021</v>
      </c>
      <c r="B50" t="s">
        <v>16</v>
      </c>
      <c r="C50" s="129" t="s">
        <v>1022</v>
      </c>
      <c r="G50" s="7"/>
      <c r="H50" s="7"/>
      <c r="I50" s="134"/>
    </row>
    <row r="51" spans="1:9" x14ac:dyDescent="0.25">
      <c r="A51" s="130" t="s">
        <v>1023</v>
      </c>
      <c r="B51" t="s">
        <v>16</v>
      </c>
      <c r="C51" s="129" t="s">
        <v>1024</v>
      </c>
      <c r="G51" s="7"/>
      <c r="H51" s="7"/>
      <c r="I51" s="134"/>
    </row>
    <row r="52" spans="1:9" x14ac:dyDescent="0.25">
      <c r="A52" s="130" t="s">
        <v>1025</v>
      </c>
      <c r="B52" t="s">
        <v>16</v>
      </c>
      <c r="C52" s="129" t="s">
        <v>1026</v>
      </c>
      <c r="G52" s="7"/>
      <c r="H52" s="7"/>
      <c r="I52" s="134"/>
    </row>
    <row r="53" spans="1:9" x14ac:dyDescent="0.25">
      <c r="A53" s="130" t="s">
        <v>569</v>
      </c>
      <c r="B53" t="s">
        <v>561</v>
      </c>
      <c r="C53" s="126" t="s">
        <v>568</v>
      </c>
      <c r="G53" s="7"/>
      <c r="H53" s="7"/>
      <c r="I53" s="134"/>
    </row>
    <row r="54" spans="1:9" x14ac:dyDescent="0.25">
      <c r="A54" s="130" t="s">
        <v>999</v>
      </c>
      <c r="B54" t="s">
        <v>16</v>
      </c>
      <c r="C54" s="126" t="s">
        <v>1000</v>
      </c>
      <c r="G54" s="7"/>
      <c r="H54" s="7"/>
      <c r="I54" s="134"/>
    </row>
    <row r="55" spans="1:9" x14ac:dyDescent="0.25">
      <c r="A55" s="130" t="s">
        <v>1001</v>
      </c>
      <c r="B55" t="s">
        <v>16</v>
      </c>
      <c r="C55" s="126" t="s">
        <v>1002</v>
      </c>
      <c r="G55" s="7"/>
      <c r="H55" s="7"/>
      <c r="I55" s="134"/>
    </row>
    <row r="56" spans="1:9" x14ac:dyDescent="0.25">
      <c r="A56" s="130" t="s">
        <v>504</v>
      </c>
      <c r="B56" t="s">
        <v>432</v>
      </c>
      <c r="C56" s="126" t="s">
        <v>503</v>
      </c>
      <c r="G56" s="7"/>
      <c r="H56" s="7"/>
      <c r="I56" s="134"/>
    </row>
    <row r="57" spans="1:9" x14ac:dyDescent="0.25">
      <c r="A57" s="130" t="s">
        <v>1003</v>
      </c>
      <c r="B57" t="s">
        <v>16</v>
      </c>
      <c r="C57" s="126" t="s">
        <v>1004</v>
      </c>
      <c r="G57" s="7"/>
      <c r="H57" s="7"/>
      <c r="I57" s="134"/>
    </row>
    <row r="58" spans="1:9" x14ac:dyDescent="0.25">
      <c r="A58" s="126" t="s">
        <v>1394</v>
      </c>
      <c r="B58" t="s">
        <v>652</v>
      </c>
      <c r="C58" s="126" t="s">
        <v>1395</v>
      </c>
      <c r="G58" s="7"/>
      <c r="H58" s="7"/>
      <c r="I58" s="134"/>
    </row>
    <row r="59" spans="1:9" x14ac:dyDescent="0.25">
      <c r="A59" s="130" t="s">
        <v>1005</v>
      </c>
      <c r="B59" t="s">
        <v>16</v>
      </c>
      <c r="C59" s="126" t="s">
        <v>1006</v>
      </c>
      <c r="G59" s="7"/>
      <c r="H59" s="7"/>
      <c r="I59" s="134"/>
    </row>
    <row r="60" spans="1:9" x14ac:dyDescent="0.25">
      <c r="A60" s="130" t="s">
        <v>137</v>
      </c>
      <c r="B60" t="s">
        <v>138</v>
      </c>
      <c r="C60" s="129" t="s">
        <v>136</v>
      </c>
      <c r="G60" s="7"/>
      <c r="H60" s="7"/>
      <c r="I60" s="134"/>
    </row>
    <row r="61" spans="1:9" x14ac:dyDescent="0.25">
      <c r="A61" s="130" t="s">
        <v>1027</v>
      </c>
      <c r="B61" t="s">
        <v>16</v>
      </c>
      <c r="C61" s="129" t="s">
        <v>1028</v>
      </c>
      <c r="G61" s="7"/>
      <c r="H61" s="7"/>
      <c r="I61" s="134"/>
    </row>
    <row r="62" spans="1:9" x14ac:dyDescent="0.25">
      <c r="A62" s="130" t="s">
        <v>353</v>
      </c>
      <c r="B62" t="s">
        <v>16</v>
      </c>
      <c r="C62" s="129" t="s">
        <v>352</v>
      </c>
      <c r="G62" s="7"/>
      <c r="H62" s="7"/>
      <c r="I62" s="134"/>
    </row>
    <row r="63" spans="1:9" x14ac:dyDescent="0.25">
      <c r="A63" s="130" t="s">
        <v>339</v>
      </c>
      <c r="B63" t="s">
        <v>16</v>
      </c>
      <c r="C63" s="202" t="s">
        <v>338</v>
      </c>
      <c r="G63" s="7"/>
      <c r="H63" s="7"/>
      <c r="I63" s="134"/>
    </row>
    <row r="64" spans="1:9" x14ac:dyDescent="0.25">
      <c r="A64" s="130" t="s">
        <v>1013</v>
      </c>
      <c r="B64" t="s">
        <v>16</v>
      </c>
      <c r="C64" s="202" t="s">
        <v>1014</v>
      </c>
      <c r="G64" s="7"/>
      <c r="H64" s="7"/>
      <c r="I64" s="134"/>
    </row>
    <row r="65" spans="1:9" x14ac:dyDescent="0.25">
      <c r="A65" s="130" t="s">
        <v>1015</v>
      </c>
      <c r="B65" t="s">
        <v>16</v>
      </c>
      <c r="C65" s="202" t="s">
        <v>1016</v>
      </c>
      <c r="G65" s="7"/>
      <c r="H65" s="7"/>
      <c r="I65" s="134"/>
    </row>
    <row r="66" spans="1:9" x14ac:dyDescent="0.25">
      <c r="A66" s="209" t="s">
        <v>1011</v>
      </c>
      <c r="B66" t="s">
        <v>16</v>
      </c>
      <c r="C66" s="202" t="s">
        <v>1012</v>
      </c>
      <c r="G66" s="7"/>
      <c r="H66" s="7"/>
      <c r="I66" s="134"/>
    </row>
    <row r="67" spans="1:9" x14ac:dyDescent="0.25">
      <c r="A67" s="209" t="s">
        <v>1029</v>
      </c>
      <c r="B67" t="s">
        <v>16</v>
      </c>
      <c r="C67" s="202" t="s">
        <v>1030</v>
      </c>
      <c r="G67" s="7"/>
      <c r="H67" s="7"/>
      <c r="I67" s="134"/>
    </row>
    <row r="68" spans="1:9" x14ac:dyDescent="0.25">
      <c r="A68" s="209" t="s">
        <v>1031</v>
      </c>
      <c r="B68" t="s">
        <v>16</v>
      </c>
      <c r="C68" s="202" t="s">
        <v>1032</v>
      </c>
      <c r="G68" s="7"/>
      <c r="H68" s="7"/>
      <c r="I68" s="134"/>
    </row>
    <row r="69" spans="1:9" x14ac:dyDescent="0.25">
      <c r="A69" s="209" t="s">
        <v>1033</v>
      </c>
      <c r="B69" t="s">
        <v>16</v>
      </c>
      <c r="C69" s="202" t="s">
        <v>1034</v>
      </c>
      <c r="G69" s="7"/>
      <c r="H69" s="7"/>
      <c r="I69" s="134"/>
    </row>
    <row r="70" spans="1:9" x14ac:dyDescent="0.25">
      <c r="A70" s="209" t="s">
        <v>1035</v>
      </c>
      <c r="B70" t="s">
        <v>16</v>
      </c>
      <c r="C70" s="202" t="s">
        <v>1036</v>
      </c>
      <c r="G70" s="7"/>
      <c r="H70" s="7"/>
      <c r="I70" s="134"/>
    </row>
    <row r="71" spans="1:9" x14ac:dyDescent="0.25">
      <c r="A71" s="209" t="s">
        <v>1037</v>
      </c>
      <c r="B71" t="s">
        <v>16</v>
      </c>
      <c r="C71" s="202" t="s">
        <v>1038</v>
      </c>
      <c r="G71" s="7"/>
      <c r="H71" s="7"/>
      <c r="I71" s="134"/>
    </row>
    <row r="72" spans="1:9" x14ac:dyDescent="0.25">
      <c r="A72" s="130" t="s">
        <v>1151</v>
      </c>
      <c r="B72" t="s">
        <v>16</v>
      </c>
      <c r="C72" s="133" t="s">
        <v>1152</v>
      </c>
      <c r="G72" s="7"/>
      <c r="H72" s="7"/>
      <c r="I72" s="134"/>
    </row>
    <row r="73" spans="1:9" x14ac:dyDescent="0.25">
      <c r="A73" s="130" t="s">
        <v>1017</v>
      </c>
      <c r="B73" t="s">
        <v>16</v>
      </c>
      <c r="C73" s="211" t="s">
        <v>1018</v>
      </c>
      <c r="G73" s="7"/>
      <c r="H73" s="7"/>
      <c r="I73" s="134"/>
    </row>
    <row r="74" spans="1:9" x14ac:dyDescent="0.25">
      <c r="A74" s="132" t="s">
        <v>1187</v>
      </c>
      <c r="B74" t="s">
        <v>16</v>
      </c>
      <c r="C74" s="140" t="s">
        <v>1188</v>
      </c>
      <c r="G74" s="7"/>
      <c r="H74" s="7"/>
      <c r="I74" s="134"/>
    </row>
    <row r="75" spans="1:9" x14ac:dyDescent="0.25">
      <c r="A75" s="132" t="s">
        <v>359</v>
      </c>
      <c r="B75" t="s">
        <v>16</v>
      </c>
      <c r="C75" s="140" t="s">
        <v>358</v>
      </c>
      <c r="G75" s="7"/>
      <c r="H75" s="7"/>
      <c r="I75" s="134"/>
    </row>
    <row r="76" spans="1:9" x14ac:dyDescent="0.25">
      <c r="A76" s="132" t="s">
        <v>341</v>
      </c>
      <c r="B76" t="s">
        <v>16</v>
      </c>
      <c r="C76" s="140" t="s">
        <v>2529</v>
      </c>
      <c r="G76" s="7"/>
      <c r="H76" s="7"/>
      <c r="I76" s="134"/>
    </row>
    <row r="77" spans="1:9" x14ac:dyDescent="0.25">
      <c r="A77" s="130" t="s">
        <v>325</v>
      </c>
      <c r="B77" t="s">
        <v>16</v>
      </c>
      <c r="C77" s="133" t="s">
        <v>324</v>
      </c>
      <c r="G77" s="7"/>
      <c r="H77" s="7"/>
      <c r="I77" s="134"/>
    </row>
    <row r="78" spans="1:9" x14ac:dyDescent="0.25">
      <c r="A78" t="s">
        <v>2183</v>
      </c>
      <c r="B78" s="9" t="s">
        <v>2184</v>
      </c>
      <c r="C78" s="126" t="s">
        <v>2185</v>
      </c>
      <c r="G78" s="7"/>
      <c r="H78" s="7"/>
      <c r="I78" s="134"/>
    </row>
    <row r="79" spans="1:9" x14ac:dyDescent="0.25">
      <c r="A79" t="s">
        <v>500</v>
      </c>
      <c r="B79" s="9" t="s">
        <v>432</v>
      </c>
      <c r="C79" s="126" t="s">
        <v>499</v>
      </c>
      <c r="G79" s="7"/>
      <c r="H79" s="7"/>
      <c r="I79" s="134"/>
    </row>
    <row r="80" spans="1:9" x14ac:dyDescent="0.25">
      <c r="A80" s="126" t="s">
        <v>2502</v>
      </c>
      <c r="B80" t="s">
        <v>138</v>
      </c>
      <c r="C80" s="126" t="s">
        <v>1202</v>
      </c>
      <c r="G80" s="7"/>
      <c r="H80" s="7"/>
      <c r="I80" s="134"/>
    </row>
    <row r="81" spans="1:9" x14ac:dyDescent="0.25">
      <c r="A81" s="7" t="s">
        <v>1484</v>
      </c>
      <c r="B81" t="s">
        <v>96</v>
      </c>
      <c r="C81" s="157" t="s">
        <v>1485</v>
      </c>
      <c r="G81" s="7"/>
      <c r="H81" s="7"/>
      <c r="I81" s="134"/>
    </row>
    <row r="82" spans="1:9" x14ac:dyDescent="0.25">
      <c r="A82" s="126" t="s">
        <v>1189</v>
      </c>
      <c r="B82" t="s">
        <v>138</v>
      </c>
      <c r="C82" s="126" t="s">
        <v>1017</v>
      </c>
      <c r="G82" s="7"/>
      <c r="H82" s="7"/>
      <c r="I82" s="134"/>
    </row>
    <row r="83" spans="1:9" ht="15" customHeight="1" x14ac:dyDescent="0.25">
      <c r="A83" t="s">
        <v>2504</v>
      </c>
      <c r="B83" t="s">
        <v>138</v>
      </c>
      <c r="C83" s="126" t="s">
        <v>2503</v>
      </c>
    </row>
    <row r="84" spans="1:9" ht="15" customHeight="1" x14ac:dyDescent="0.25">
      <c r="A84" s="142" t="s">
        <v>376</v>
      </c>
      <c r="B84" t="s">
        <v>16</v>
      </c>
      <c r="C84" s="141" t="s">
        <v>375</v>
      </c>
    </row>
    <row r="85" spans="1:9" ht="15" customHeight="1" x14ac:dyDescent="0.25">
      <c r="A85" s="142" t="s">
        <v>1192</v>
      </c>
      <c r="B85" t="s">
        <v>16</v>
      </c>
      <c r="C85" s="141" t="s">
        <v>1193</v>
      </c>
    </row>
    <row r="86" spans="1:9" ht="15" customHeight="1" x14ac:dyDescent="0.25">
      <c r="A86" s="7" t="s">
        <v>779</v>
      </c>
      <c r="B86" s="7" t="s">
        <v>598</v>
      </c>
      <c r="C86" s="144" t="s">
        <v>780</v>
      </c>
    </row>
    <row r="87" spans="1:9" ht="15" customHeight="1" x14ac:dyDescent="0.25">
      <c r="A87" s="7" t="s">
        <v>1167</v>
      </c>
      <c r="B87" t="s">
        <v>16</v>
      </c>
      <c r="C87" s="144" t="s">
        <v>1168</v>
      </c>
    </row>
    <row r="88" spans="1:9" ht="15" customHeight="1" x14ac:dyDescent="0.25">
      <c r="A88" s="7" t="s">
        <v>1381</v>
      </c>
      <c r="B88" s="7" t="s">
        <v>1381</v>
      </c>
      <c r="C88" s="144" t="s">
        <v>1382</v>
      </c>
    </row>
    <row r="89" spans="1:9" ht="15" customHeight="1" x14ac:dyDescent="0.25">
      <c r="A89" s="129" t="s">
        <v>784</v>
      </c>
      <c r="B89" s="7" t="s">
        <v>598</v>
      </c>
      <c r="C89" s="129" t="s">
        <v>785</v>
      </c>
    </row>
    <row r="90" spans="1:9" ht="15" customHeight="1" x14ac:dyDescent="0.25">
      <c r="A90" s="129" t="s">
        <v>556</v>
      </c>
      <c r="B90" s="7" t="s">
        <v>432</v>
      </c>
      <c r="C90" s="129" t="s">
        <v>555</v>
      </c>
    </row>
    <row r="91" spans="1:9" ht="15" customHeight="1" x14ac:dyDescent="0.25">
      <c r="A91" s="129" t="s">
        <v>1149</v>
      </c>
      <c r="B91" t="s">
        <v>16</v>
      </c>
      <c r="C91" s="129" t="s">
        <v>1332</v>
      </c>
    </row>
    <row r="92" spans="1:9" x14ac:dyDescent="0.25">
      <c r="A92" s="142" t="s">
        <v>2282</v>
      </c>
      <c r="B92" s="13" t="s">
        <v>2184</v>
      </c>
      <c r="C92" s="141" t="s">
        <v>2283</v>
      </c>
    </row>
    <row r="93" spans="1:9" ht="15" customHeight="1" x14ac:dyDescent="0.25">
      <c r="A93" s="130" t="s">
        <v>1183</v>
      </c>
      <c r="B93" t="s">
        <v>16</v>
      </c>
      <c r="C93" s="143" t="s">
        <v>1184</v>
      </c>
    </row>
    <row r="94" spans="1:9" x14ac:dyDescent="0.25">
      <c r="A94" s="143" t="s">
        <v>1507</v>
      </c>
      <c r="B94" s="13" t="s">
        <v>1493</v>
      </c>
      <c r="C94" s="143" t="s">
        <v>1508</v>
      </c>
    </row>
    <row r="95" spans="1:9" x14ac:dyDescent="0.25">
      <c r="A95" s="130" t="s">
        <v>372</v>
      </c>
      <c r="B95" s="13" t="s">
        <v>2488</v>
      </c>
      <c r="C95" s="165" t="s">
        <v>371</v>
      </c>
    </row>
    <row r="96" spans="1:9" ht="15" customHeight="1" x14ac:dyDescent="0.25">
      <c r="A96" s="129" t="s">
        <v>476</v>
      </c>
      <c r="B96" s="9" t="s">
        <v>432</v>
      </c>
      <c r="C96" s="167" t="s">
        <v>475</v>
      </c>
    </row>
    <row r="97" spans="1:4" ht="15" customHeight="1" x14ac:dyDescent="0.25">
      <c r="A97" s="129" t="s">
        <v>2498</v>
      </c>
      <c r="B97" s="9" t="s">
        <v>96</v>
      </c>
      <c r="C97" s="167" t="s">
        <v>1451</v>
      </c>
    </row>
    <row r="98" spans="1:4" ht="15" customHeight="1" x14ac:dyDescent="0.25">
      <c r="A98" s="130" t="s">
        <v>2499</v>
      </c>
      <c r="B98" s="9" t="s">
        <v>96</v>
      </c>
      <c r="C98" s="129" t="s">
        <v>1453</v>
      </c>
    </row>
    <row r="99" spans="1:4" ht="15" customHeight="1" x14ac:dyDescent="0.25">
      <c r="A99" s="130" t="s">
        <v>1091</v>
      </c>
      <c r="B99" s="9" t="s">
        <v>16</v>
      </c>
      <c r="C99" s="129" t="s">
        <v>1092</v>
      </c>
    </row>
    <row r="100" spans="1:4" x14ac:dyDescent="0.25">
      <c r="A100" s="130" t="s">
        <v>2492</v>
      </c>
      <c r="B100" s="13" t="s">
        <v>2488</v>
      </c>
      <c r="C100" s="166" t="s">
        <v>1156</v>
      </c>
    </row>
    <row r="101" spans="1:4" ht="15" customHeight="1" x14ac:dyDescent="0.25">
      <c r="A101" t="s">
        <v>1117</v>
      </c>
      <c r="B101" s="9" t="s">
        <v>16</v>
      </c>
      <c r="C101" s="129" t="s">
        <v>1118</v>
      </c>
    </row>
    <row r="102" spans="1:4" ht="15" customHeight="1" x14ac:dyDescent="0.25">
      <c r="A102" t="s">
        <v>1119</v>
      </c>
      <c r="B102" s="9" t="s">
        <v>16</v>
      </c>
      <c r="C102" s="129" t="s">
        <v>1120</v>
      </c>
    </row>
    <row r="103" spans="1:4" ht="15" customHeight="1" x14ac:dyDescent="0.25">
      <c r="A103" t="s">
        <v>1121</v>
      </c>
      <c r="B103" s="9" t="s">
        <v>16</v>
      </c>
      <c r="C103" s="129" t="s">
        <v>1122</v>
      </c>
    </row>
    <row r="104" spans="1:4" ht="15" customHeight="1" x14ac:dyDescent="0.25">
      <c r="A104" t="s">
        <v>1123</v>
      </c>
      <c r="B104" s="9" t="s">
        <v>16</v>
      </c>
      <c r="C104" s="129" t="s">
        <v>1124</v>
      </c>
    </row>
    <row r="105" spans="1:4" ht="15" customHeight="1" x14ac:dyDescent="0.25">
      <c r="A105" t="s">
        <v>1077</v>
      </c>
      <c r="B105" t="s">
        <v>16</v>
      </c>
      <c r="C105" s="197" t="s">
        <v>1078</v>
      </c>
    </row>
    <row r="106" spans="1:4" ht="15" customHeight="1" x14ac:dyDescent="0.25">
      <c r="A106" s="130" t="s">
        <v>1169</v>
      </c>
      <c r="B106" t="s">
        <v>16</v>
      </c>
      <c r="C106" s="129" t="s">
        <v>1170</v>
      </c>
    </row>
    <row r="107" spans="1:4" ht="15" customHeight="1" x14ac:dyDescent="0.25">
      <c r="A107" s="130" t="s">
        <v>400</v>
      </c>
      <c r="B107" t="s">
        <v>16</v>
      </c>
      <c r="C107" s="129" t="s">
        <v>399</v>
      </c>
    </row>
    <row r="108" spans="1:4" ht="15" customHeight="1" x14ac:dyDescent="0.25">
      <c r="A108" t="s">
        <v>1063</v>
      </c>
      <c r="B108" t="s">
        <v>16</v>
      </c>
      <c r="C108" s="129" t="s">
        <v>1064</v>
      </c>
    </row>
    <row r="109" spans="1:4" ht="15" customHeight="1" x14ac:dyDescent="0.25">
      <c r="A109" t="s">
        <v>335</v>
      </c>
      <c r="B109" t="s">
        <v>16</v>
      </c>
      <c r="C109" s="129" t="s">
        <v>334</v>
      </c>
    </row>
    <row r="110" spans="1:4" ht="15" customHeight="1" x14ac:dyDescent="0.25">
      <c r="A110" t="s">
        <v>318</v>
      </c>
      <c r="B110" t="s">
        <v>16</v>
      </c>
      <c r="C110" s="129" t="s">
        <v>317</v>
      </c>
    </row>
    <row r="111" spans="1:4" x14ac:dyDescent="0.25">
      <c r="A111" t="s">
        <v>902</v>
      </c>
      <c r="B111" t="s">
        <v>2521</v>
      </c>
      <c r="C111" s="202" t="s">
        <v>903</v>
      </c>
      <c r="D111" s="13"/>
    </row>
    <row r="112" spans="1:4" x14ac:dyDescent="0.25">
      <c r="A112" t="s">
        <v>1403</v>
      </c>
      <c r="B112" t="s">
        <v>107</v>
      </c>
      <c r="C112" s="202" t="s">
        <v>1404</v>
      </c>
      <c r="D112" s="13"/>
    </row>
    <row r="113" spans="1:9" x14ac:dyDescent="0.25">
      <c r="A113" t="s">
        <v>394</v>
      </c>
      <c r="B113" t="s">
        <v>16</v>
      </c>
      <c r="C113" s="202" t="s">
        <v>393</v>
      </c>
      <c r="D113" s="13"/>
    </row>
    <row r="114" spans="1:9" x14ac:dyDescent="0.25">
      <c r="A114" t="s">
        <v>1059</v>
      </c>
      <c r="B114" t="s">
        <v>16</v>
      </c>
      <c r="C114" s="202" t="s">
        <v>1060</v>
      </c>
      <c r="D114" s="13"/>
    </row>
    <row r="115" spans="1:9" x14ac:dyDescent="0.25">
      <c r="A115" s="178" t="s">
        <v>1171</v>
      </c>
      <c r="B115" s="178" t="s">
        <v>16</v>
      </c>
      <c r="C115" s="178" t="s">
        <v>1172</v>
      </c>
      <c r="F115" s="207"/>
      <c r="H115" s="13"/>
      <c r="I115" s="13"/>
    </row>
    <row r="116" spans="1:9" x14ac:dyDescent="0.25">
      <c r="A116" t="s">
        <v>1069</v>
      </c>
      <c r="B116" t="s">
        <v>16</v>
      </c>
      <c r="C116" s="203" t="s">
        <v>1070</v>
      </c>
      <c r="F116" s="207"/>
      <c r="H116" s="13"/>
      <c r="I116" s="13"/>
    </row>
    <row r="117" spans="1:9" x14ac:dyDescent="0.25">
      <c r="A117" t="s">
        <v>1071</v>
      </c>
      <c r="B117" t="s">
        <v>16</v>
      </c>
      <c r="C117" s="203" t="s">
        <v>1072</v>
      </c>
      <c r="E117" s="13"/>
      <c r="F117" s="13"/>
    </row>
    <row r="118" spans="1:9" x14ac:dyDescent="0.25">
      <c r="A118" t="s">
        <v>1073</v>
      </c>
      <c r="B118" t="s">
        <v>16</v>
      </c>
      <c r="C118" s="129" t="s">
        <v>1074</v>
      </c>
      <c r="E118" s="13"/>
      <c r="F118" s="13"/>
    </row>
    <row r="119" spans="1:9" x14ac:dyDescent="0.25">
      <c r="A119" t="s">
        <v>412</v>
      </c>
      <c r="B119" t="s">
        <v>16</v>
      </c>
      <c r="C119" s="129" t="s">
        <v>411</v>
      </c>
      <c r="E119" s="13"/>
      <c r="F119" s="13"/>
    </row>
    <row r="120" spans="1:9" x14ac:dyDescent="0.25">
      <c r="A120" s="178" t="s">
        <v>1173</v>
      </c>
      <c r="B120" s="178" t="s">
        <v>16</v>
      </c>
      <c r="C120" s="178" t="s">
        <v>1174</v>
      </c>
      <c r="E120" s="13"/>
      <c r="F120" s="13"/>
    </row>
    <row r="121" spans="1:9" x14ac:dyDescent="0.25">
      <c r="A121" s="178" t="s">
        <v>1175</v>
      </c>
      <c r="B121" s="178" t="s">
        <v>16</v>
      </c>
      <c r="C121" s="178" t="s">
        <v>1176</v>
      </c>
      <c r="E121" s="13"/>
      <c r="F121" s="13"/>
    </row>
    <row r="122" spans="1:9" ht="15" customHeight="1" x14ac:dyDescent="0.25">
      <c r="A122" t="s">
        <v>1079</v>
      </c>
      <c r="B122" t="s">
        <v>16</v>
      </c>
      <c r="C122" s="197" t="s">
        <v>1080</v>
      </c>
    </row>
    <row r="123" spans="1:9" ht="15" customHeight="1" x14ac:dyDescent="0.25">
      <c r="A123" t="s">
        <v>1081</v>
      </c>
      <c r="B123" t="s">
        <v>16</v>
      </c>
      <c r="C123" s="197" t="s">
        <v>1082</v>
      </c>
    </row>
    <row r="124" spans="1:9" ht="15" customHeight="1" x14ac:dyDescent="0.25">
      <c r="A124" t="s">
        <v>1125</v>
      </c>
      <c r="B124" s="9" t="s">
        <v>16</v>
      </c>
      <c r="C124" s="129" t="s">
        <v>1126</v>
      </c>
    </row>
    <row r="125" spans="1:9" ht="15" customHeight="1" x14ac:dyDescent="0.25">
      <c r="A125" t="s">
        <v>1127</v>
      </c>
      <c r="B125" s="9" t="s">
        <v>16</v>
      </c>
      <c r="C125" s="129" t="s">
        <v>1128</v>
      </c>
    </row>
    <row r="126" spans="1:9" ht="15" customHeight="1" x14ac:dyDescent="0.25">
      <c r="A126" t="s">
        <v>404</v>
      </c>
      <c r="B126" s="9" t="s">
        <v>16</v>
      </c>
      <c r="C126" s="197" t="s">
        <v>403</v>
      </c>
    </row>
    <row r="127" spans="1:9" ht="15" customHeight="1" x14ac:dyDescent="0.25">
      <c r="A127" t="s">
        <v>351</v>
      </c>
      <c r="B127" s="9" t="s">
        <v>16</v>
      </c>
      <c r="C127" s="197" t="s">
        <v>350</v>
      </c>
    </row>
    <row r="128" spans="1:9" ht="15" customHeight="1" x14ac:dyDescent="0.25">
      <c r="A128" t="s">
        <v>121</v>
      </c>
      <c r="B128" s="9" t="s">
        <v>107</v>
      </c>
      <c r="C128" s="197" t="s">
        <v>120</v>
      </c>
    </row>
    <row r="129" spans="1:3" ht="15" customHeight="1" x14ac:dyDescent="0.25">
      <c r="A129" t="s">
        <v>969</v>
      </c>
      <c r="B129" t="s">
        <v>2488</v>
      </c>
      <c r="C129" s="130" t="s">
        <v>970</v>
      </c>
    </row>
    <row r="130" spans="1:3" ht="15" customHeight="1" x14ac:dyDescent="0.25">
      <c r="A130" t="s">
        <v>1236</v>
      </c>
      <c r="B130" t="s">
        <v>138</v>
      </c>
      <c r="C130" s="130" t="s">
        <v>1237</v>
      </c>
    </row>
    <row r="131" spans="1:3" ht="15" customHeight="1" x14ac:dyDescent="0.25">
      <c r="A131" t="s">
        <v>985</v>
      </c>
      <c r="B131" t="s">
        <v>2488</v>
      </c>
      <c r="C131" s="130" t="s">
        <v>986</v>
      </c>
    </row>
    <row r="132" spans="1:3" ht="15" customHeight="1" x14ac:dyDescent="0.25">
      <c r="A132" t="s">
        <v>284</v>
      </c>
      <c r="B132" t="s">
        <v>138</v>
      </c>
      <c r="C132" s="130" t="s">
        <v>283</v>
      </c>
    </row>
    <row r="133" spans="1:3" ht="15" customHeight="1" x14ac:dyDescent="0.25">
      <c r="A133" t="s">
        <v>1067</v>
      </c>
      <c r="B133" t="s">
        <v>16</v>
      </c>
      <c r="C133" s="129" t="s">
        <v>1068</v>
      </c>
    </row>
    <row r="134" spans="1:3" ht="15" customHeight="1" x14ac:dyDescent="0.25">
      <c r="A134" t="s">
        <v>1075</v>
      </c>
      <c r="B134" t="s">
        <v>16</v>
      </c>
      <c r="C134" s="129" t="s">
        <v>1076</v>
      </c>
    </row>
    <row r="135" spans="1:3" ht="15" customHeight="1" x14ac:dyDescent="0.25">
      <c r="A135" t="s">
        <v>1061</v>
      </c>
      <c r="B135" t="s">
        <v>2488</v>
      </c>
      <c r="C135" s="130" t="s">
        <v>1062</v>
      </c>
    </row>
    <row r="136" spans="1:3" ht="15" customHeight="1" x14ac:dyDescent="0.25">
      <c r="A136" t="s">
        <v>1065</v>
      </c>
      <c r="B136" t="s">
        <v>2488</v>
      </c>
      <c r="C136" s="130" t="s">
        <v>1066</v>
      </c>
    </row>
    <row r="137" spans="1:3" x14ac:dyDescent="0.25">
      <c r="A137" s="130" t="s">
        <v>1405</v>
      </c>
      <c r="B137" s="13" t="s">
        <v>107</v>
      </c>
      <c r="C137" s="166" t="s">
        <v>1406</v>
      </c>
    </row>
    <row r="138" spans="1:3" x14ac:dyDescent="0.25">
      <c r="A138" s="130" t="s">
        <v>1153</v>
      </c>
      <c r="B138" s="13" t="s">
        <v>2488</v>
      </c>
      <c r="C138" s="165" t="s">
        <v>1154</v>
      </c>
    </row>
    <row r="139" spans="1:3" x14ac:dyDescent="0.25">
      <c r="A139" s="130" t="s">
        <v>2493</v>
      </c>
      <c r="B139" s="13" t="s">
        <v>96</v>
      </c>
      <c r="C139" s="165" t="s">
        <v>1459</v>
      </c>
    </row>
    <row r="140" spans="1:3" ht="15" customHeight="1" x14ac:dyDescent="0.25">
      <c r="A140" s="130" t="s">
        <v>1165</v>
      </c>
      <c r="B140" t="s">
        <v>16</v>
      </c>
      <c r="C140" s="143" t="s">
        <v>1166</v>
      </c>
    </row>
    <row r="141" spans="1:3" x14ac:dyDescent="0.25">
      <c r="A141" s="130" t="s">
        <v>2497</v>
      </c>
      <c r="B141" s="13" t="s">
        <v>138</v>
      </c>
      <c r="C141" s="143" t="s">
        <v>211</v>
      </c>
    </row>
    <row r="142" spans="1:3" x14ac:dyDescent="0.25">
      <c r="A142" s="130" t="s">
        <v>606</v>
      </c>
      <c r="B142" s="13" t="s">
        <v>598</v>
      </c>
      <c r="C142" s="143" t="s">
        <v>605</v>
      </c>
    </row>
    <row r="143" spans="1:3" x14ac:dyDescent="0.25">
      <c r="A143" s="13" t="s">
        <v>2313</v>
      </c>
      <c r="B143" s="13" t="s">
        <v>19</v>
      </c>
      <c r="C143" s="141" t="s">
        <v>2314</v>
      </c>
    </row>
    <row r="144" spans="1:3" x14ac:dyDescent="0.25">
      <c r="A144" s="13" t="s">
        <v>33</v>
      </c>
      <c r="B144" s="13" t="s">
        <v>19</v>
      </c>
      <c r="C144" s="141" t="s">
        <v>32</v>
      </c>
    </row>
    <row r="145" spans="1:3" x14ac:dyDescent="0.25">
      <c r="A145" s="13" t="s">
        <v>524</v>
      </c>
      <c r="B145" s="13" t="s">
        <v>432</v>
      </c>
      <c r="C145" s="141" t="s">
        <v>523</v>
      </c>
    </row>
    <row r="146" spans="1:3" x14ac:dyDescent="0.25">
      <c r="A146" s="13" t="s">
        <v>84</v>
      </c>
      <c r="B146" s="13" t="s">
        <v>60</v>
      </c>
      <c r="C146" s="141" t="s">
        <v>83</v>
      </c>
    </row>
    <row r="147" spans="1:3" x14ac:dyDescent="0.25">
      <c r="A147" s="13" t="s">
        <v>1179</v>
      </c>
      <c r="B147" t="s">
        <v>16</v>
      </c>
      <c r="C147" s="141" t="s">
        <v>1180</v>
      </c>
    </row>
    <row r="148" spans="1:3" x14ac:dyDescent="0.25">
      <c r="A148" s="13" t="s">
        <v>792</v>
      </c>
      <c r="B148" s="13" t="s">
        <v>598</v>
      </c>
      <c r="C148" s="141" t="s">
        <v>793</v>
      </c>
    </row>
    <row r="149" spans="1:3" x14ac:dyDescent="0.25">
      <c r="A149" s="13" t="s">
        <v>614</v>
      </c>
      <c r="B149" s="13" t="s">
        <v>598</v>
      </c>
      <c r="C149" s="141" t="s">
        <v>613</v>
      </c>
    </row>
    <row r="150" spans="1:3" x14ac:dyDescent="0.25">
      <c r="A150" s="13" t="s">
        <v>1177</v>
      </c>
      <c r="B150" t="s">
        <v>16</v>
      </c>
      <c r="C150" s="141" t="s">
        <v>1178</v>
      </c>
    </row>
    <row r="151" spans="1:3" x14ac:dyDescent="0.25">
      <c r="A151" s="141" t="s">
        <v>90</v>
      </c>
      <c r="B151" s="13" t="s">
        <v>91</v>
      </c>
      <c r="C151" s="141" t="s">
        <v>89</v>
      </c>
    </row>
    <row r="152" spans="1:3" x14ac:dyDescent="0.25">
      <c r="A152" s="141" t="s">
        <v>1407</v>
      </c>
      <c r="B152" s="13" t="s">
        <v>107</v>
      </c>
      <c r="C152" s="141" t="s">
        <v>1408</v>
      </c>
    </row>
    <row r="153" spans="1:3" ht="15" customHeight="1" x14ac:dyDescent="0.25">
      <c r="A153" t="s">
        <v>1460</v>
      </c>
      <c r="B153" t="s">
        <v>96</v>
      </c>
      <c r="C153" s="129" t="s">
        <v>1461</v>
      </c>
    </row>
    <row r="154" spans="1:3" ht="15" customHeight="1" x14ac:dyDescent="0.25">
      <c r="A154" t="s">
        <v>1157</v>
      </c>
      <c r="B154" t="s">
        <v>2488</v>
      </c>
      <c r="C154" s="129" t="s">
        <v>1158</v>
      </c>
    </row>
    <row r="155" spans="1:3" ht="15" customHeight="1" x14ac:dyDescent="0.25">
      <c r="A155" t="s">
        <v>1159</v>
      </c>
      <c r="B155" t="s">
        <v>2488</v>
      </c>
      <c r="C155" s="129" t="s">
        <v>1160</v>
      </c>
    </row>
    <row r="156" spans="1:3" x14ac:dyDescent="0.25">
      <c r="A156" s="142" t="s">
        <v>790</v>
      </c>
      <c r="B156" s="13" t="s">
        <v>598</v>
      </c>
      <c r="C156" s="141" t="s">
        <v>791</v>
      </c>
    </row>
    <row r="157" spans="1:3" x14ac:dyDescent="0.25">
      <c r="A157" s="142" t="s">
        <v>93</v>
      </c>
      <c r="B157" s="13" t="s">
        <v>91</v>
      </c>
      <c r="C157" s="141" t="s">
        <v>92</v>
      </c>
    </row>
    <row r="158" spans="1:3" x14ac:dyDescent="0.25">
      <c r="A158" s="141" t="s">
        <v>2282</v>
      </c>
      <c r="B158" s="13" t="s">
        <v>2184</v>
      </c>
      <c r="C158" s="141" t="s">
        <v>2505</v>
      </c>
    </row>
    <row r="159" spans="1:3" ht="15" customHeight="1" x14ac:dyDescent="0.25">
      <c r="A159" s="130" t="s">
        <v>1161</v>
      </c>
      <c r="B159" t="s">
        <v>16</v>
      </c>
      <c r="C159" s="146" t="s">
        <v>1162</v>
      </c>
    </row>
    <row r="160" spans="1:3" x14ac:dyDescent="0.25">
      <c r="A160" s="146" t="s">
        <v>1739</v>
      </c>
      <c r="B160" s="13" t="s">
        <v>656</v>
      </c>
      <c r="C160" s="146" t="s">
        <v>1740</v>
      </c>
    </row>
    <row r="161" spans="1:3" ht="15" customHeight="1" x14ac:dyDescent="0.25">
      <c r="A161" s="132" t="s">
        <v>1379</v>
      </c>
      <c r="B161" t="s">
        <v>131</v>
      </c>
      <c r="C161" s="146" t="s">
        <v>1380</v>
      </c>
    </row>
    <row r="162" spans="1:3" ht="15" customHeight="1" x14ac:dyDescent="0.25">
      <c r="A162" t="s">
        <v>621</v>
      </c>
      <c r="B162" s="9" t="s">
        <v>617</v>
      </c>
      <c r="C162" s="138" t="s">
        <v>705</v>
      </c>
    </row>
    <row r="163" spans="1:3" ht="15" customHeight="1" x14ac:dyDescent="0.25">
      <c r="A163" t="s">
        <v>1113</v>
      </c>
      <c r="B163" t="s">
        <v>16</v>
      </c>
      <c r="C163" s="138" t="s">
        <v>1114</v>
      </c>
    </row>
    <row r="164" spans="1:3" ht="15" customHeight="1" x14ac:dyDescent="0.25">
      <c r="A164" t="s">
        <v>1157</v>
      </c>
      <c r="B164" t="s">
        <v>16</v>
      </c>
      <c r="C164" s="138" t="s">
        <v>1116</v>
      </c>
    </row>
    <row r="165" spans="1:3" ht="15" customHeight="1" x14ac:dyDescent="0.25">
      <c r="A165" t="s">
        <v>368</v>
      </c>
      <c r="B165" t="s">
        <v>16</v>
      </c>
      <c r="C165" s="138" t="s">
        <v>367</v>
      </c>
    </row>
    <row r="166" spans="1:3" ht="15" customHeight="1" x14ac:dyDescent="0.25">
      <c r="A166" t="s">
        <v>1731</v>
      </c>
      <c r="B166" s="9" t="s">
        <v>655</v>
      </c>
      <c r="C166" s="132" t="s">
        <v>1732</v>
      </c>
    </row>
    <row r="167" spans="1:3" ht="15" customHeight="1" x14ac:dyDescent="0.25">
      <c r="A167" t="s">
        <v>1401</v>
      </c>
      <c r="B167" t="s">
        <v>107</v>
      </c>
      <c r="C167" s="129" t="s">
        <v>1402</v>
      </c>
    </row>
    <row r="168" spans="1:3" ht="15" customHeight="1" x14ac:dyDescent="0.25">
      <c r="A168" t="s">
        <v>948</v>
      </c>
      <c r="B168" t="s">
        <v>16</v>
      </c>
      <c r="C168" s="129" t="s">
        <v>949</v>
      </c>
    </row>
    <row r="169" spans="1:3" ht="15" customHeight="1" x14ac:dyDescent="0.25">
      <c r="A169" t="s">
        <v>950</v>
      </c>
      <c r="B169" t="s">
        <v>16</v>
      </c>
      <c r="C169" s="129" t="s">
        <v>951</v>
      </c>
    </row>
    <row r="170" spans="1:3" ht="15" customHeight="1" x14ac:dyDescent="0.25">
      <c r="A170" t="s">
        <v>952</v>
      </c>
      <c r="B170" t="s">
        <v>16</v>
      </c>
      <c r="C170" s="129" t="s">
        <v>953</v>
      </c>
    </row>
    <row r="171" spans="1:3" ht="15" customHeight="1" x14ac:dyDescent="0.25">
      <c r="A171" t="s">
        <v>940</v>
      </c>
      <c r="B171" t="s">
        <v>16</v>
      </c>
      <c r="C171" s="126" t="s">
        <v>941</v>
      </c>
    </row>
    <row r="172" spans="1:3" ht="15" customHeight="1" x14ac:dyDescent="0.25">
      <c r="A172" t="s">
        <v>384</v>
      </c>
      <c r="B172" t="s">
        <v>16</v>
      </c>
      <c r="C172" s="126" t="s">
        <v>383</v>
      </c>
    </row>
    <row r="173" spans="1:3" ht="15" customHeight="1" x14ac:dyDescent="0.25">
      <c r="A173" t="s">
        <v>946</v>
      </c>
      <c r="B173" t="s">
        <v>16</v>
      </c>
      <c r="C173" s="259" t="s">
        <v>947</v>
      </c>
    </row>
    <row r="174" spans="1:3" ht="15" customHeight="1" x14ac:dyDescent="0.25">
      <c r="A174" t="s">
        <v>627</v>
      </c>
      <c r="B174" t="s">
        <v>617</v>
      </c>
      <c r="C174" s="259" t="s">
        <v>626</v>
      </c>
    </row>
    <row r="175" spans="1:3" ht="15" customHeight="1" x14ac:dyDescent="0.25">
      <c r="A175" t="s">
        <v>349</v>
      </c>
      <c r="B175" t="s">
        <v>16</v>
      </c>
      <c r="C175" s="126" t="s">
        <v>348</v>
      </c>
    </row>
    <row r="176" spans="1:3" ht="15" customHeight="1" x14ac:dyDescent="0.25">
      <c r="A176" t="s">
        <v>126</v>
      </c>
      <c r="B176" t="s">
        <v>126</v>
      </c>
      <c r="C176" s="126" t="s">
        <v>125</v>
      </c>
    </row>
    <row r="177" spans="1:3" ht="15" customHeight="1" x14ac:dyDescent="0.25">
      <c r="A177" t="s">
        <v>954</v>
      </c>
      <c r="B177" t="s">
        <v>16</v>
      </c>
      <c r="C177" s="220" t="s">
        <v>955</v>
      </c>
    </row>
    <row r="178" spans="1:3" ht="15" customHeight="1" x14ac:dyDescent="0.25">
      <c r="A178" t="s">
        <v>956</v>
      </c>
      <c r="B178" t="s">
        <v>16</v>
      </c>
      <c r="C178" s="220" t="s">
        <v>957</v>
      </c>
    </row>
    <row r="179" spans="1:3" ht="15" customHeight="1" x14ac:dyDescent="0.25">
      <c r="A179" t="s">
        <v>364</v>
      </c>
      <c r="B179" t="s">
        <v>16</v>
      </c>
      <c r="C179" s="129" t="s">
        <v>958</v>
      </c>
    </row>
    <row r="180" spans="1:3" ht="15" customHeight="1" x14ac:dyDescent="0.25">
      <c r="A180" t="s">
        <v>959</v>
      </c>
      <c r="B180" t="s">
        <v>16</v>
      </c>
      <c r="C180" s="129" t="s">
        <v>960</v>
      </c>
    </row>
    <row r="181" spans="1:3" ht="15" customHeight="1" x14ac:dyDescent="0.25">
      <c r="A181" t="s">
        <v>402</v>
      </c>
      <c r="B181" t="s">
        <v>16</v>
      </c>
      <c r="C181" s="129" t="s">
        <v>401</v>
      </c>
    </row>
    <row r="182" spans="1:3" ht="15" customHeight="1" x14ac:dyDescent="0.25">
      <c r="A182" t="s">
        <v>961</v>
      </c>
      <c r="B182" t="s">
        <v>16</v>
      </c>
      <c r="C182" s="129" t="s">
        <v>962</v>
      </c>
    </row>
    <row r="183" spans="1:3" ht="15" customHeight="1" x14ac:dyDescent="0.25">
      <c r="A183" t="s">
        <v>963</v>
      </c>
      <c r="B183" t="s">
        <v>16</v>
      </c>
      <c r="C183" s="129" t="s">
        <v>964</v>
      </c>
    </row>
    <row r="184" spans="1:3" ht="15" customHeight="1" x14ac:dyDescent="0.25">
      <c r="A184" t="s">
        <v>965</v>
      </c>
      <c r="B184" t="s">
        <v>16</v>
      </c>
      <c r="C184" s="129" t="s">
        <v>966</v>
      </c>
    </row>
    <row r="185" spans="1:3" ht="15" customHeight="1" x14ac:dyDescent="0.25">
      <c r="A185" t="s">
        <v>967</v>
      </c>
      <c r="B185" t="s">
        <v>16</v>
      </c>
      <c r="C185" s="129" t="s">
        <v>968</v>
      </c>
    </row>
    <row r="186" spans="1:3" ht="15" customHeight="1" x14ac:dyDescent="0.25">
      <c r="A186" t="s">
        <v>406</v>
      </c>
      <c r="B186" t="s">
        <v>16</v>
      </c>
      <c r="C186" s="129" t="s">
        <v>405</v>
      </c>
    </row>
    <row r="187" spans="1:3" ht="15" customHeight="1" x14ac:dyDescent="0.25">
      <c r="A187" t="s">
        <v>657</v>
      </c>
      <c r="B187" t="s">
        <v>657</v>
      </c>
      <c r="C187" s="3" t="s">
        <v>1488</v>
      </c>
    </row>
    <row r="188" spans="1:3" ht="15" customHeight="1" x14ac:dyDescent="0.25">
      <c r="A188" t="s">
        <v>2490</v>
      </c>
      <c r="B188" s="9" t="s">
        <v>96</v>
      </c>
      <c r="C188" s="138" t="s">
        <v>1457</v>
      </c>
    </row>
    <row r="189" spans="1:3" ht="15" customHeight="1" x14ac:dyDescent="0.25">
      <c r="A189" t="s">
        <v>329</v>
      </c>
      <c r="B189" t="s">
        <v>16</v>
      </c>
      <c r="C189" s="138" t="s">
        <v>328</v>
      </c>
    </row>
    <row r="190" spans="1:3" ht="15" customHeight="1" x14ac:dyDescent="0.25">
      <c r="A190" t="s">
        <v>1119</v>
      </c>
      <c r="B190" t="s">
        <v>16</v>
      </c>
      <c r="C190" s="146" t="s">
        <v>2491</v>
      </c>
    </row>
    <row r="191" spans="1:3" x14ac:dyDescent="0.25">
      <c r="A191" t="s">
        <v>1163</v>
      </c>
      <c r="B191" t="s">
        <v>16</v>
      </c>
      <c r="C191" s="145" t="s">
        <v>1164</v>
      </c>
    </row>
    <row r="192" spans="1:3" x14ac:dyDescent="0.25">
      <c r="A192" t="s">
        <v>357</v>
      </c>
      <c r="B192" t="s">
        <v>16</v>
      </c>
      <c r="C192" s="145" t="s">
        <v>356</v>
      </c>
    </row>
    <row r="193" spans="1:3" x14ac:dyDescent="0.25">
      <c r="A193" t="s">
        <v>1472</v>
      </c>
      <c r="B193" t="s">
        <v>96</v>
      </c>
      <c r="C193" s="145" t="s">
        <v>1473</v>
      </c>
    </row>
    <row r="194" spans="1:3" ht="15" customHeight="1" x14ac:dyDescent="0.25">
      <c r="A194" t="s">
        <v>1474</v>
      </c>
      <c r="B194" t="s">
        <v>96</v>
      </c>
      <c r="C194" s="129" t="s">
        <v>1475</v>
      </c>
    </row>
    <row r="195" spans="1:3" ht="15" customHeight="1" x14ac:dyDescent="0.25">
      <c r="A195" t="s">
        <v>474</v>
      </c>
      <c r="B195" t="s">
        <v>432</v>
      </c>
      <c r="C195" s="149" t="s">
        <v>473</v>
      </c>
    </row>
    <row r="196" spans="1:3" ht="15" customHeight="1" x14ac:dyDescent="0.25">
      <c r="A196" t="s">
        <v>567</v>
      </c>
      <c r="B196" t="s">
        <v>561</v>
      </c>
      <c r="C196" s="149" t="s">
        <v>566</v>
      </c>
    </row>
    <row r="197" spans="1:3" ht="15" customHeight="1" x14ac:dyDescent="0.25">
      <c r="A197" t="s">
        <v>2174</v>
      </c>
      <c r="B197" t="s">
        <v>2172</v>
      </c>
      <c r="C197" s="146" t="s">
        <v>2175</v>
      </c>
    </row>
    <row r="198" spans="1:3" ht="15" customHeight="1" x14ac:dyDescent="0.25">
      <c r="A198" t="s">
        <v>1478</v>
      </c>
      <c r="B198" t="s">
        <v>96</v>
      </c>
      <c r="C198" s="146" t="s">
        <v>1479</v>
      </c>
    </row>
    <row r="199" spans="1:3" ht="15" customHeight="1" x14ac:dyDescent="0.25">
      <c r="A199" t="s">
        <v>1466</v>
      </c>
      <c r="B199" t="s">
        <v>96</v>
      </c>
      <c r="C199" s="146" t="s">
        <v>1467</v>
      </c>
    </row>
    <row r="200" spans="1:3" x14ac:dyDescent="0.25">
      <c r="A200" s="130" t="s">
        <v>192</v>
      </c>
      <c r="B200" s="13" t="s">
        <v>138</v>
      </c>
      <c r="C200" s="146" t="s">
        <v>191</v>
      </c>
    </row>
    <row r="201" spans="1:3" x14ac:dyDescent="0.25">
      <c r="A201" s="130" t="s">
        <v>836</v>
      </c>
      <c r="B201" s="13" t="s">
        <v>561</v>
      </c>
      <c r="C201" s="146" t="s">
        <v>837</v>
      </c>
    </row>
    <row r="202" spans="1:3" ht="18.75" customHeight="1" x14ac:dyDescent="0.25">
      <c r="A202" t="s">
        <v>828</v>
      </c>
      <c r="B202" s="161" t="s">
        <v>561</v>
      </c>
      <c r="C202" s="160" t="s">
        <v>829</v>
      </c>
    </row>
    <row r="203" spans="1:3" ht="15" customHeight="1" x14ac:dyDescent="0.25">
      <c r="A203" s="142" t="s">
        <v>1185</v>
      </c>
      <c r="B203" t="s">
        <v>16</v>
      </c>
      <c r="C203" s="141" t="s">
        <v>1186</v>
      </c>
    </row>
    <row r="204" spans="1:3" ht="15" customHeight="1" x14ac:dyDescent="0.25">
      <c r="A204" s="7" t="s">
        <v>612</v>
      </c>
      <c r="B204" s="7" t="s">
        <v>598</v>
      </c>
      <c r="C204" s="5" t="s">
        <v>611</v>
      </c>
    </row>
    <row r="205" spans="1:3" ht="15" customHeight="1" x14ac:dyDescent="0.25">
      <c r="A205" t="s">
        <v>600</v>
      </c>
      <c r="B205" s="7" t="s">
        <v>598</v>
      </c>
      <c r="C205" s="5" t="s">
        <v>599</v>
      </c>
    </row>
    <row r="206" spans="1:3" x14ac:dyDescent="0.25">
      <c r="A206" s="13" t="s">
        <v>706</v>
      </c>
      <c r="B206" s="12" t="s">
        <v>638</v>
      </c>
      <c r="C206" s="12" t="s">
        <v>707</v>
      </c>
    </row>
    <row r="207" spans="1:3" x14ac:dyDescent="0.25">
      <c r="A207" s="13" t="s">
        <v>710</v>
      </c>
      <c r="B207" s="12" t="s">
        <v>638</v>
      </c>
      <c r="C207" s="12" t="s">
        <v>711</v>
      </c>
    </row>
    <row r="208" spans="1:3" x14ac:dyDescent="0.25">
      <c r="A208" s="13" t="s">
        <v>712</v>
      </c>
      <c r="B208" s="12" t="s">
        <v>638</v>
      </c>
      <c r="C208" s="12" t="s">
        <v>713</v>
      </c>
    </row>
    <row r="209" spans="1:3" x14ac:dyDescent="0.25">
      <c r="A209" s="13" t="s">
        <v>717</v>
      </c>
      <c r="B209" s="12" t="s">
        <v>638</v>
      </c>
      <c r="C209" s="4" t="s">
        <v>718</v>
      </c>
    </row>
    <row r="210" spans="1:3" x14ac:dyDescent="0.25">
      <c r="A210" s="13" t="s">
        <v>720</v>
      </c>
      <c r="B210" s="12" t="s">
        <v>638</v>
      </c>
      <c r="C210" s="12" t="s">
        <v>721</v>
      </c>
    </row>
    <row r="211" spans="1:3" x14ac:dyDescent="0.25">
      <c r="A211" s="13" t="s">
        <v>724</v>
      </c>
      <c r="B211" s="12" t="s">
        <v>638</v>
      </c>
      <c r="C211" s="12" t="s">
        <v>725</v>
      </c>
    </row>
    <row r="212" spans="1:3" x14ac:dyDescent="0.25">
      <c r="A212" s="12" t="s">
        <v>722</v>
      </c>
      <c r="B212" s="12" t="s">
        <v>638</v>
      </c>
      <c r="C212" s="5" t="s">
        <v>723</v>
      </c>
    </row>
    <row r="213" spans="1:3" x14ac:dyDescent="0.25">
      <c r="A213" s="13" t="s">
        <v>726</v>
      </c>
      <c r="B213" s="12" t="s">
        <v>643</v>
      </c>
      <c r="C213" s="12" t="s">
        <v>727</v>
      </c>
    </row>
    <row r="214" spans="1:3" x14ac:dyDescent="0.25">
      <c r="A214" s="13" t="s">
        <v>729</v>
      </c>
      <c r="B214" s="12" t="s">
        <v>643</v>
      </c>
      <c r="C214" s="12" t="s">
        <v>730</v>
      </c>
    </row>
    <row r="215" spans="1:3" x14ac:dyDescent="0.25">
      <c r="A215" s="13" t="s">
        <v>731</v>
      </c>
      <c r="B215" s="12" t="s">
        <v>643</v>
      </c>
      <c r="C215" s="12" t="s">
        <v>732</v>
      </c>
    </row>
    <row r="216" spans="1:3" x14ac:dyDescent="0.25">
      <c r="A216" s="13" t="s">
        <v>733</v>
      </c>
      <c r="B216" s="12" t="s">
        <v>643</v>
      </c>
      <c r="C216" s="12" t="s">
        <v>734</v>
      </c>
    </row>
    <row r="217" spans="1:3" x14ac:dyDescent="0.25">
      <c r="A217" s="13" t="s">
        <v>735</v>
      </c>
      <c r="B217" s="12" t="s">
        <v>643</v>
      </c>
      <c r="C217" s="12" t="s">
        <v>736</v>
      </c>
    </row>
    <row r="218" spans="1:3" x14ac:dyDescent="0.25">
      <c r="A218" s="13" t="s">
        <v>739</v>
      </c>
      <c r="B218" s="12" t="s">
        <v>643</v>
      </c>
      <c r="C218" s="12" t="s">
        <v>740</v>
      </c>
    </row>
    <row r="219" spans="1:3" x14ac:dyDescent="0.25">
      <c r="A219" s="13" t="s">
        <v>741</v>
      </c>
      <c r="B219" s="12" t="s">
        <v>643</v>
      </c>
      <c r="C219" s="12" t="s">
        <v>742</v>
      </c>
    </row>
    <row r="220" spans="1:3" x14ac:dyDescent="0.25">
      <c r="A220" s="13" t="s">
        <v>745</v>
      </c>
      <c r="B220" s="12" t="s">
        <v>643</v>
      </c>
      <c r="C220" s="12" t="s">
        <v>746</v>
      </c>
    </row>
    <row r="221" spans="1:3" x14ac:dyDescent="0.25">
      <c r="A221" s="13" t="s">
        <v>747</v>
      </c>
      <c r="B221" s="12" t="s">
        <v>643</v>
      </c>
      <c r="C221" s="12" t="s">
        <v>748</v>
      </c>
    </row>
    <row r="222" spans="1:3" x14ac:dyDescent="0.25">
      <c r="A222" s="13" t="s">
        <v>749</v>
      </c>
      <c r="B222" s="12" t="s">
        <v>643</v>
      </c>
      <c r="C222" s="12" t="s">
        <v>750</v>
      </c>
    </row>
    <row r="223" spans="1:3" x14ac:dyDescent="0.25">
      <c r="A223" s="13" t="s">
        <v>753</v>
      </c>
      <c r="B223" s="12" t="s">
        <v>643</v>
      </c>
      <c r="C223" s="12" t="s">
        <v>754</v>
      </c>
    </row>
    <row r="224" spans="1:3" x14ac:dyDescent="0.25">
      <c r="A224" s="13" t="s">
        <v>755</v>
      </c>
      <c r="B224" s="12" t="s">
        <v>643</v>
      </c>
      <c r="C224" s="12" t="s">
        <v>756</v>
      </c>
    </row>
    <row r="225" spans="1:3" x14ac:dyDescent="0.25">
      <c r="A225" s="13" t="s">
        <v>757</v>
      </c>
      <c r="B225" s="12" t="s">
        <v>643</v>
      </c>
      <c r="C225" s="12" t="s">
        <v>758</v>
      </c>
    </row>
    <row r="226" spans="1:3" x14ac:dyDescent="0.25">
      <c r="A226" s="13" t="s">
        <v>759</v>
      </c>
      <c r="B226" s="12" t="s">
        <v>643</v>
      </c>
      <c r="C226" s="12" t="s">
        <v>760</v>
      </c>
    </row>
    <row r="227" spans="1:3" x14ac:dyDescent="0.25">
      <c r="A227" s="13" t="s">
        <v>763</v>
      </c>
      <c r="B227" s="12" t="s">
        <v>643</v>
      </c>
      <c r="C227" s="12" t="s">
        <v>764</v>
      </c>
    </row>
    <row r="228" spans="1:3" x14ac:dyDescent="0.25">
      <c r="A228" s="13" t="s">
        <v>765</v>
      </c>
      <c r="B228" s="12" t="s">
        <v>643</v>
      </c>
      <c r="C228" s="12" t="s">
        <v>766</v>
      </c>
    </row>
    <row r="229" spans="1:3" x14ac:dyDescent="0.25">
      <c r="A229" s="13" t="s">
        <v>767</v>
      </c>
      <c r="B229" s="12" t="s">
        <v>643</v>
      </c>
      <c r="C229" s="12" t="s">
        <v>768</v>
      </c>
    </row>
    <row r="230" spans="1:3" x14ac:dyDescent="0.25">
      <c r="A230" s="13" t="s">
        <v>769</v>
      </c>
      <c r="B230" s="12" t="s">
        <v>643</v>
      </c>
      <c r="C230" s="12" t="s">
        <v>770</v>
      </c>
    </row>
    <row r="231" spans="1:3" x14ac:dyDescent="0.25">
      <c r="A231" s="13" t="s">
        <v>771</v>
      </c>
      <c r="B231" s="12" t="s">
        <v>643</v>
      </c>
      <c r="C231" s="12" t="s">
        <v>772</v>
      </c>
    </row>
    <row r="232" spans="1:3" x14ac:dyDescent="0.25">
      <c r="A232" s="13" t="s">
        <v>773</v>
      </c>
      <c r="B232" s="12" t="s">
        <v>643</v>
      </c>
      <c r="C232" s="12" t="s">
        <v>774</v>
      </c>
    </row>
    <row r="233" spans="1:3" x14ac:dyDescent="0.25">
      <c r="A233" s="13" t="s">
        <v>775</v>
      </c>
      <c r="B233" s="12" t="s">
        <v>643</v>
      </c>
      <c r="C233" s="12" t="s">
        <v>776</v>
      </c>
    </row>
    <row r="234" spans="1:3" x14ac:dyDescent="0.25">
      <c r="A234" s="13" t="s">
        <v>743</v>
      </c>
      <c r="B234" s="12" t="s">
        <v>643</v>
      </c>
      <c r="C234" s="12" t="s">
        <v>744</v>
      </c>
    </row>
    <row r="235" spans="1:3" x14ac:dyDescent="0.25">
      <c r="A235" s="13" t="s">
        <v>751</v>
      </c>
      <c r="B235" s="12" t="s">
        <v>643</v>
      </c>
      <c r="C235" s="12" t="s">
        <v>752</v>
      </c>
    </row>
    <row r="236" spans="1:3" x14ac:dyDescent="0.25">
      <c r="A236" s="13" t="s">
        <v>737</v>
      </c>
      <c r="B236" s="12" t="s">
        <v>643</v>
      </c>
      <c r="C236" s="12" t="s">
        <v>738</v>
      </c>
    </row>
    <row r="237" spans="1:3" x14ac:dyDescent="0.25">
      <c r="A237" s="13" t="s">
        <v>782</v>
      </c>
      <c r="B237" s="12" t="s">
        <v>598</v>
      </c>
      <c r="C237" s="12" t="s">
        <v>783</v>
      </c>
    </row>
    <row r="238" spans="1:3" x14ac:dyDescent="0.25">
      <c r="A238" s="13" t="s">
        <v>608</v>
      </c>
      <c r="B238" s="12" t="s">
        <v>598</v>
      </c>
      <c r="C238" s="12" t="s">
        <v>607</v>
      </c>
    </row>
    <row r="239" spans="1:3" x14ac:dyDescent="0.25">
      <c r="A239" s="13" t="s">
        <v>786</v>
      </c>
      <c r="B239" s="12" t="s">
        <v>598</v>
      </c>
      <c r="C239" s="12" t="s">
        <v>787</v>
      </c>
    </row>
    <row r="240" spans="1:3" x14ac:dyDescent="0.25">
      <c r="A240" s="13" t="s">
        <v>604</v>
      </c>
      <c r="B240" s="12" t="s">
        <v>598</v>
      </c>
      <c r="C240" s="12" t="s">
        <v>603</v>
      </c>
    </row>
    <row r="241" spans="1:3" x14ac:dyDescent="0.25">
      <c r="A241" s="13" t="s">
        <v>602</v>
      </c>
      <c r="B241" s="12" t="s">
        <v>598</v>
      </c>
      <c r="C241" s="12" t="s">
        <v>601</v>
      </c>
    </row>
    <row r="242" spans="1:3" ht="15" customHeight="1" x14ac:dyDescent="0.25">
      <c r="A242" s="7" t="s">
        <v>788</v>
      </c>
      <c r="B242" s="7" t="s">
        <v>598</v>
      </c>
      <c r="C242" s="129" t="s">
        <v>789</v>
      </c>
    </row>
    <row r="243" spans="1:3" ht="15" customHeight="1" x14ac:dyDescent="0.25">
      <c r="A243" s="7" t="s">
        <v>597</v>
      </c>
      <c r="B243" s="7" t="s">
        <v>598</v>
      </c>
      <c r="C243" s="126" t="s">
        <v>596</v>
      </c>
    </row>
    <row r="244" spans="1:3" ht="15" customHeight="1" x14ac:dyDescent="0.25">
      <c r="A244" s="130" t="s">
        <v>528</v>
      </c>
      <c r="B244" s="130" t="s">
        <v>432</v>
      </c>
      <c r="C244" s="126" t="s">
        <v>527</v>
      </c>
    </row>
    <row r="245" spans="1:3" ht="15" customHeight="1" x14ac:dyDescent="0.25">
      <c r="A245" s="130" t="s">
        <v>815</v>
      </c>
      <c r="B245" s="130" t="s">
        <v>561</v>
      </c>
      <c r="C245" s="126" t="s">
        <v>816</v>
      </c>
    </row>
    <row r="246" spans="1:3" ht="15" customHeight="1" x14ac:dyDescent="0.25">
      <c r="A246" t="s">
        <v>1509</v>
      </c>
      <c r="B246" t="s">
        <v>1493</v>
      </c>
      <c r="C246" s="131" t="s">
        <v>1510</v>
      </c>
    </row>
    <row r="247" spans="1:3" ht="15" customHeight="1" x14ac:dyDescent="0.25">
      <c r="A247" s="129" t="s">
        <v>1396</v>
      </c>
      <c r="B247" s="129" t="s">
        <v>1396</v>
      </c>
      <c r="C247" s="129" t="s">
        <v>1397</v>
      </c>
    </row>
    <row r="248" spans="1:3" x14ac:dyDescent="0.25">
      <c r="A248" s="13" t="s">
        <v>1425</v>
      </c>
      <c r="B248" s="13" t="s">
        <v>1426</v>
      </c>
      <c r="C248" s="5" t="s">
        <v>1427</v>
      </c>
    </row>
    <row r="249" spans="1:3" ht="15" customHeight="1" x14ac:dyDescent="0.25">
      <c r="A249" t="s">
        <v>571</v>
      </c>
      <c r="B249" s="9" t="s">
        <v>561</v>
      </c>
      <c r="C249" s="5" t="s">
        <v>570</v>
      </c>
    </row>
    <row r="250" spans="1:3" ht="15" customHeight="1" x14ac:dyDescent="0.25">
      <c r="A250" t="s">
        <v>803</v>
      </c>
      <c r="B250" s="9" t="s">
        <v>561</v>
      </c>
      <c r="C250" s="5" t="s">
        <v>804</v>
      </c>
    </row>
    <row r="251" spans="1:3" ht="15" customHeight="1" x14ac:dyDescent="0.25">
      <c r="A251" t="s">
        <v>813</v>
      </c>
      <c r="B251" s="9" t="s">
        <v>561</v>
      </c>
      <c r="C251" s="8" t="s">
        <v>814</v>
      </c>
    </row>
    <row r="252" spans="1:3" ht="15" customHeight="1" x14ac:dyDescent="0.25">
      <c r="A252" t="s">
        <v>832</v>
      </c>
      <c r="B252" s="9" t="s">
        <v>561</v>
      </c>
      <c r="C252" s="8" t="s">
        <v>833</v>
      </c>
    </row>
    <row r="253" spans="1:3" ht="15" customHeight="1" x14ac:dyDescent="0.25">
      <c r="A253" t="s">
        <v>805</v>
      </c>
      <c r="B253" s="9" t="s">
        <v>561</v>
      </c>
      <c r="C253" s="5" t="s">
        <v>806</v>
      </c>
    </row>
    <row r="254" spans="1:3" ht="15" customHeight="1" x14ac:dyDescent="0.25">
      <c r="A254" t="s">
        <v>823</v>
      </c>
      <c r="B254" s="9" t="s">
        <v>561</v>
      </c>
      <c r="C254" s="5" t="s">
        <v>824</v>
      </c>
    </row>
    <row r="255" spans="1:3" ht="15" customHeight="1" x14ac:dyDescent="0.25">
      <c r="A255" t="s">
        <v>834</v>
      </c>
      <c r="B255" s="9" t="s">
        <v>561</v>
      </c>
      <c r="C255" s="10" t="s">
        <v>835</v>
      </c>
    </row>
    <row r="256" spans="1:3" x14ac:dyDescent="0.25">
      <c r="A256" s="13" t="s">
        <v>825</v>
      </c>
      <c r="B256" s="13" t="s">
        <v>561</v>
      </c>
      <c r="C256" s="5" t="s">
        <v>826</v>
      </c>
    </row>
    <row r="257" spans="1:3" x14ac:dyDescent="0.25">
      <c r="A257" s="13" t="s">
        <v>844</v>
      </c>
      <c r="B257" s="13" t="s">
        <v>561</v>
      </c>
      <c r="C257" s="5" t="s">
        <v>845</v>
      </c>
    </row>
    <row r="258" spans="1:3" x14ac:dyDescent="0.25">
      <c r="A258" s="13" t="s">
        <v>817</v>
      </c>
      <c r="B258" s="13" t="s">
        <v>561</v>
      </c>
      <c r="C258" s="5" t="s">
        <v>818</v>
      </c>
    </row>
    <row r="259" spans="1:3" x14ac:dyDescent="0.25">
      <c r="A259" s="13" t="s">
        <v>838</v>
      </c>
      <c r="B259" s="13" t="s">
        <v>561</v>
      </c>
      <c r="C259" s="12" t="s">
        <v>839</v>
      </c>
    </row>
    <row r="260" spans="1:3" x14ac:dyDescent="0.25">
      <c r="A260" s="13" t="s">
        <v>840</v>
      </c>
      <c r="B260" s="13" t="s">
        <v>561</v>
      </c>
      <c r="C260" s="12" t="s">
        <v>841</v>
      </c>
    </row>
    <row r="261" spans="1:3" x14ac:dyDescent="0.25">
      <c r="A261" s="13" t="s">
        <v>808</v>
      </c>
      <c r="B261" s="13" t="s">
        <v>561</v>
      </c>
      <c r="C261" s="12" t="s">
        <v>809</v>
      </c>
    </row>
    <row r="262" spans="1:3" x14ac:dyDescent="0.25">
      <c r="A262" s="13" t="s">
        <v>581</v>
      </c>
      <c r="B262" s="12" t="s">
        <v>561</v>
      </c>
      <c r="C262" s="12" t="s">
        <v>580</v>
      </c>
    </row>
    <row r="263" spans="1:3" x14ac:dyDescent="0.25">
      <c r="A263" s="13" t="s">
        <v>560</v>
      </c>
      <c r="B263" s="12" t="s">
        <v>561</v>
      </c>
      <c r="C263" s="12" t="s">
        <v>559</v>
      </c>
    </row>
    <row r="264" spans="1:3" x14ac:dyDescent="0.25">
      <c r="A264" s="13" t="s">
        <v>575</v>
      </c>
      <c r="B264" s="12" t="s">
        <v>561</v>
      </c>
      <c r="C264" s="12" t="s">
        <v>574</v>
      </c>
    </row>
    <row r="265" spans="1:3" x14ac:dyDescent="0.25">
      <c r="A265" s="13" t="s">
        <v>563</v>
      </c>
      <c r="B265" s="12" t="s">
        <v>561</v>
      </c>
      <c r="C265" s="12" t="s">
        <v>562</v>
      </c>
    </row>
    <row r="266" spans="1:3" x14ac:dyDescent="0.25">
      <c r="A266" t="s">
        <v>810</v>
      </c>
      <c r="B266" s="12" t="s">
        <v>561</v>
      </c>
      <c r="C266" s="11" t="s">
        <v>811</v>
      </c>
    </row>
    <row r="267" spans="1:3" x14ac:dyDescent="0.25">
      <c r="A267" t="s">
        <v>565</v>
      </c>
      <c r="B267" s="12" t="s">
        <v>561</v>
      </c>
      <c r="C267" s="11" t="s">
        <v>564</v>
      </c>
    </row>
    <row r="268" spans="1:3" x14ac:dyDescent="0.25">
      <c r="A268" s="12" t="s">
        <v>842</v>
      </c>
      <c r="B268" s="12" t="s">
        <v>561</v>
      </c>
      <c r="C268" s="12" t="s">
        <v>843</v>
      </c>
    </row>
    <row r="269" spans="1:3" ht="15" customHeight="1" x14ac:dyDescent="0.25">
      <c r="A269" t="s">
        <v>820</v>
      </c>
      <c r="B269" s="9" t="s">
        <v>561</v>
      </c>
      <c r="C269" s="5" t="s">
        <v>821</v>
      </c>
    </row>
    <row r="270" spans="1:3" ht="15" customHeight="1" x14ac:dyDescent="0.25">
      <c r="A270" t="s">
        <v>573</v>
      </c>
      <c r="B270" s="9" t="s">
        <v>561</v>
      </c>
      <c r="C270" s="5" t="s">
        <v>572</v>
      </c>
    </row>
    <row r="271" spans="1:3" ht="15" customHeight="1" x14ac:dyDescent="0.25">
      <c r="A271" t="s">
        <v>830</v>
      </c>
      <c r="B271" s="9" t="s">
        <v>561</v>
      </c>
      <c r="C271" s="5" t="s">
        <v>831</v>
      </c>
    </row>
    <row r="272" spans="1:3" ht="15" customHeight="1" x14ac:dyDescent="0.25">
      <c r="A272" t="s">
        <v>995</v>
      </c>
      <c r="B272" t="s">
        <v>16</v>
      </c>
      <c r="C272" s="129" t="s">
        <v>996</v>
      </c>
    </row>
    <row r="273" spans="1:3" ht="15" customHeight="1" x14ac:dyDescent="0.25">
      <c r="A273" t="s">
        <v>498</v>
      </c>
      <c r="B273" t="s">
        <v>432</v>
      </c>
      <c r="C273" s="129" t="s">
        <v>497</v>
      </c>
    </row>
    <row r="274" spans="1:3" ht="15" customHeight="1" x14ac:dyDescent="0.25">
      <c r="A274" t="s">
        <v>450</v>
      </c>
      <c r="B274" t="s">
        <v>432</v>
      </c>
      <c r="C274" s="129" t="s">
        <v>449</v>
      </c>
    </row>
    <row r="275" spans="1:3" ht="15" customHeight="1" x14ac:dyDescent="0.25">
      <c r="A275" t="s">
        <v>408</v>
      </c>
      <c r="B275" t="s">
        <v>16</v>
      </c>
      <c r="C275" s="129" t="s">
        <v>407</v>
      </c>
    </row>
    <row r="276" spans="1:3" ht="15" customHeight="1" x14ac:dyDescent="0.25">
      <c r="A276" t="s">
        <v>846</v>
      </c>
      <c r="B276" t="s">
        <v>432</v>
      </c>
      <c r="C276" s="129" t="s">
        <v>847</v>
      </c>
    </row>
    <row r="277" spans="1:3" ht="15" customHeight="1" x14ac:dyDescent="0.25">
      <c r="A277" t="s">
        <v>993</v>
      </c>
      <c r="B277" t="s">
        <v>16</v>
      </c>
      <c r="C277" s="213" t="s">
        <v>994</v>
      </c>
    </row>
    <row r="278" spans="1:3" ht="15" customHeight="1" x14ac:dyDescent="0.25">
      <c r="A278" t="s">
        <v>362</v>
      </c>
      <c r="B278" t="s">
        <v>16</v>
      </c>
      <c r="C278" s="213" t="s">
        <v>361</v>
      </c>
    </row>
    <row r="279" spans="1:3" ht="15" customHeight="1" x14ac:dyDescent="0.25">
      <c r="A279" t="s">
        <v>496</v>
      </c>
      <c r="B279" t="s">
        <v>432</v>
      </c>
      <c r="C279" s="213" t="s">
        <v>495</v>
      </c>
    </row>
    <row r="280" spans="1:3" ht="15" customHeight="1" x14ac:dyDescent="0.25">
      <c r="A280" t="s">
        <v>1196</v>
      </c>
      <c r="B280" t="s">
        <v>2488</v>
      </c>
      <c r="C280" s="129" t="s">
        <v>1197</v>
      </c>
    </row>
    <row r="281" spans="1:3" ht="15" customHeight="1" x14ac:dyDescent="0.25">
      <c r="A281" t="s">
        <v>1198</v>
      </c>
      <c r="B281" t="s">
        <v>2488</v>
      </c>
      <c r="C281" s="129" t="s">
        <v>1199</v>
      </c>
    </row>
    <row r="282" spans="1:3" ht="15" customHeight="1" x14ac:dyDescent="0.25">
      <c r="A282" t="s">
        <v>386</v>
      </c>
      <c r="B282" t="s">
        <v>2488</v>
      </c>
      <c r="C282" s="129" t="s">
        <v>385</v>
      </c>
    </row>
    <row r="283" spans="1:3" ht="15" customHeight="1" x14ac:dyDescent="0.25">
      <c r="A283" t="s">
        <v>1200</v>
      </c>
      <c r="B283" t="s">
        <v>2488</v>
      </c>
      <c r="C283" s="129" t="s">
        <v>1201</v>
      </c>
    </row>
    <row r="284" spans="1:3" ht="15" customHeight="1" x14ac:dyDescent="0.25">
      <c r="A284" t="s">
        <v>327</v>
      </c>
      <c r="B284" t="s">
        <v>2488</v>
      </c>
      <c r="C284" s="129" t="s">
        <v>326</v>
      </c>
    </row>
    <row r="285" spans="1:3" ht="15" customHeight="1" x14ac:dyDescent="0.25">
      <c r="A285" t="s">
        <v>364</v>
      </c>
      <c r="B285" t="s">
        <v>2488</v>
      </c>
      <c r="C285" s="129" t="s">
        <v>363</v>
      </c>
    </row>
    <row r="286" spans="1:3" ht="15" customHeight="1" x14ac:dyDescent="0.25">
      <c r="C286" s="213"/>
    </row>
    <row r="287" spans="1:3" ht="15" customHeight="1" x14ac:dyDescent="0.25">
      <c r="A287" t="s">
        <v>987</v>
      </c>
      <c r="B287" t="s">
        <v>16</v>
      </c>
      <c r="C287" s="129" t="s">
        <v>988</v>
      </c>
    </row>
    <row r="288" spans="1:3" ht="15" customHeight="1" x14ac:dyDescent="0.25">
      <c r="A288" t="s">
        <v>989</v>
      </c>
      <c r="B288" t="s">
        <v>16</v>
      </c>
      <c r="C288" s="129" t="s">
        <v>990</v>
      </c>
    </row>
    <row r="289" spans="1:3" ht="15" customHeight="1" x14ac:dyDescent="0.25">
      <c r="A289" t="s">
        <v>370</v>
      </c>
      <c r="B289" t="s">
        <v>16</v>
      </c>
      <c r="C289" s="129" t="s">
        <v>369</v>
      </c>
    </row>
    <row r="290" spans="1:3" ht="15" customHeight="1" x14ac:dyDescent="0.25">
      <c r="A290" t="s">
        <v>991</v>
      </c>
      <c r="B290" t="s">
        <v>16</v>
      </c>
      <c r="C290" s="129" t="s">
        <v>992</v>
      </c>
    </row>
    <row r="291" spans="1:3" ht="15" customHeight="1" x14ac:dyDescent="0.25">
      <c r="A291" t="s">
        <v>971</v>
      </c>
      <c r="B291" t="s">
        <v>16</v>
      </c>
      <c r="C291" s="214" t="s">
        <v>972</v>
      </c>
    </row>
    <row r="292" spans="1:3" ht="15" customHeight="1" x14ac:dyDescent="0.25">
      <c r="A292" t="s">
        <v>973</v>
      </c>
      <c r="B292" t="s">
        <v>16</v>
      </c>
      <c r="C292" s="214" t="s">
        <v>974</v>
      </c>
    </row>
    <row r="293" spans="1:3" ht="15" customHeight="1" x14ac:dyDescent="0.25">
      <c r="A293" s="130" t="s">
        <v>1239</v>
      </c>
      <c r="B293" t="s">
        <v>138</v>
      </c>
      <c r="C293" s="129" t="s">
        <v>1240</v>
      </c>
    </row>
    <row r="294" spans="1:3" ht="15" customHeight="1" x14ac:dyDescent="0.25">
      <c r="A294" s="130" t="s">
        <v>1039</v>
      </c>
      <c r="B294" t="s">
        <v>16</v>
      </c>
      <c r="C294" s="129" t="s">
        <v>1040</v>
      </c>
    </row>
    <row r="295" spans="1:3" ht="15" customHeight="1" x14ac:dyDescent="0.25">
      <c r="A295" s="215" t="s">
        <v>1202</v>
      </c>
      <c r="B295" t="s">
        <v>16</v>
      </c>
      <c r="C295" s="215" t="s">
        <v>1203</v>
      </c>
    </row>
    <row r="296" spans="1:3" ht="15" customHeight="1" x14ac:dyDescent="0.25">
      <c r="A296" t="s">
        <v>975</v>
      </c>
      <c r="B296" t="s">
        <v>16</v>
      </c>
      <c r="C296" s="214" t="s">
        <v>976</v>
      </c>
    </row>
    <row r="297" spans="1:3" ht="15" customHeight="1" x14ac:dyDescent="0.25">
      <c r="A297" t="s">
        <v>977</v>
      </c>
      <c r="B297" t="s">
        <v>16</v>
      </c>
      <c r="C297" s="214" t="s">
        <v>978</v>
      </c>
    </row>
    <row r="298" spans="1:3" ht="15" customHeight="1" x14ac:dyDescent="0.25">
      <c r="A298" t="s">
        <v>979</v>
      </c>
      <c r="B298" t="s">
        <v>16</v>
      </c>
      <c r="C298" s="214" t="s">
        <v>980</v>
      </c>
    </row>
    <row r="299" spans="1:3" ht="15" customHeight="1" x14ac:dyDescent="0.25">
      <c r="A299" t="s">
        <v>981</v>
      </c>
      <c r="B299" t="s">
        <v>16</v>
      </c>
      <c r="C299" s="214" t="s">
        <v>982</v>
      </c>
    </row>
    <row r="300" spans="1:3" ht="15" customHeight="1" x14ac:dyDescent="0.25">
      <c r="A300" t="s">
        <v>983</v>
      </c>
      <c r="B300" t="s">
        <v>16</v>
      </c>
      <c r="C300" s="214" t="s">
        <v>984</v>
      </c>
    </row>
    <row r="301" spans="1:3" ht="15" customHeight="1" x14ac:dyDescent="0.25">
      <c r="A301" s="130" t="s">
        <v>1041</v>
      </c>
      <c r="B301" t="s">
        <v>16</v>
      </c>
      <c r="C301" s="129" t="s">
        <v>1042</v>
      </c>
    </row>
    <row r="302" spans="1:3" ht="15" customHeight="1" x14ac:dyDescent="0.25">
      <c r="A302" t="s">
        <v>699</v>
      </c>
      <c r="B302" t="s">
        <v>617</v>
      </c>
      <c r="C302" s="259" t="s">
        <v>618</v>
      </c>
    </row>
    <row r="303" spans="1:3" ht="15" customHeight="1" x14ac:dyDescent="0.25">
      <c r="A303" t="s">
        <v>248</v>
      </c>
      <c r="B303" t="s">
        <v>138</v>
      </c>
      <c r="C303" s="129" t="s">
        <v>247</v>
      </c>
    </row>
    <row r="304" spans="1:3" ht="15" customHeight="1" x14ac:dyDescent="0.25">
      <c r="A304" t="s">
        <v>1423</v>
      </c>
      <c r="B304" t="s">
        <v>1423</v>
      </c>
      <c r="C304" s="15" t="s">
        <v>1424</v>
      </c>
    </row>
    <row r="305" spans="1:3" ht="15" customHeight="1" x14ac:dyDescent="0.25">
      <c r="A305" s="129" t="s">
        <v>1377</v>
      </c>
      <c r="B305" t="s">
        <v>648</v>
      </c>
      <c r="C305" s="212" t="s">
        <v>1378</v>
      </c>
    </row>
    <row r="306" spans="1:3" x14ac:dyDescent="0.25">
      <c r="A306" s="126" t="s">
        <v>2297</v>
      </c>
      <c r="B306" s="13" t="s">
        <v>2298</v>
      </c>
      <c r="C306" s="126" t="s">
        <v>2299</v>
      </c>
    </row>
    <row r="307" spans="1:3" ht="15" customHeight="1" x14ac:dyDescent="0.25">
      <c r="A307" t="s">
        <v>649</v>
      </c>
      <c r="B307" t="s">
        <v>649</v>
      </c>
      <c r="C307" s="3" t="s">
        <v>1447</v>
      </c>
    </row>
    <row r="308" spans="1:3" x14ac:dyDescent="0.25">
      <c r="A308" s="13" t="s">
        <v>488</v>
      </c>
      <c r="B308" s="12" t="s">
        <v>432</v>
      </c>
      <c r="C308" s="12" t="s">
        <v>487</v>
      </c>
    </row>
    <row r="309" spans="1:3" x14ac:dyDescent="0.25">
      <c r="A309" s="13" t="s">
        <v>526</v>
      </c>
      <c r="B309" s="12" t="s">
        <v>432</v>
      </c>
      <c r="C309" s="12" t="s">
        <v>525</v>
      </c>
    </row>
    <row r="310" spans="1:3" x14ac:dyDescent="0.25">
      <c r="A310" s="13" t="s">
        <v>444</v>
      </c>
      <c r="B310" s="12" t="s">
        <v>432</v>
      </c>
      <c r="C310" s="12" t="s">
        <v>443</v>
      </c>
    </row>
    <row r="311" spans="1:3" x14ac:dyDescent="0.25">
      <c r="A311" s="13" t="s">
        <v>538</v>
      </c>
      <c r="B311" s="12" t="s">
        <v>432</v>
      </c>
      <c r="C311" s="12" t="s">
        <v>537</v>
      </c>
    </row>
    <row r="312" spans="1:3" x14ac:dyDescent="0.25">
      <c r="A312" s="13" t="s">
        <v>522</v>
      </c>
      <c r="B312" s="12" t="s">
        <v>432</v>
      </c>
      <c r="C312" s="12" t="s">
        <v>521</v>
      </c>
    </row>
    <row r="313" spans="1:3" x14ac:dyDescent="0.25">
      <c r="A313" s="13" t="s">
        <v>492</v>
      </c>
      <c r="B313" s="12" t="s">
        <v>432</v>
      </c>
      <c r="C313" s="12" t="s">
        <v>491</v>
      </c>
    </row>
    <row r="314" spans="1:3" x14ac:dyDescent="0.25">
      <c r="A314" s="13" t="s">
        <v>466</v>
      </c>
      <c r="B314" s="12" t="s">
        <v>432</v>
      </c>
      <c r="C314" s="12" t="s">
        <v>465</v>
      </c>
    </row>
    <row r="315" spans="1:3" x14ac:dyDescent="0.25">
      <c r="A315" s="13" t="s">
        <v>464</v>
      </c>
      <c r="B315" s="12" t="s">
        <v>432</v>
      </c>
      <c r="C315" s="12" t="s">
        <v>463</v>
      </c>
    </row>
    <row r="316" spans="1:3" x14ac:dyDescent="0.25">
      <c r="A316" s="13" t="s">
        <v>518</v>
      </c>
      <c r="B316" s="12" t="s">
        <v>432</v>
      </c>
      <c r="C316" s="12" t="s">
        <v>517</v>
      </c>
    </row>
    <row r="317" spans="1:3" x14ac:dyDescent="0.25">
      <c r="A317" s="13" t="s">
        <v>438</v>
      </c>
      <c r="B317" s="12" t="s">
        <v>432</v>
      </c>
      <c r="C317" s="12" t="s">
        <v>437</v>
      </c>
    </row>
    <row r="318" spans="1:3" x14ac:dyDescent="0.25">
      <c r="A318" s="13" t="s">
        <v>446</v>
      </c>
      <c r="B318" s="12" t="s">
        <v>432</v>
      </c>
      <c r="C318" s="12" t="s">
        <v>445</v>
      </c>
    </row>
    <row r="319" spans="1:3" x14ac:dyDescent="0.25">
      <c r="A319" s="13" t="s">
        <v>544</v>
      </c>
      <c r="B319" s="12" t="s">
        <v>432</v>
      </c>
      <c r="C319" s="12" t="s">
        <v>543</v>
      </c>
    </row>
    <row r="320" spans="1:3" x14ac:dyDescent="0.25">
      <c r="A320" s="13" t="s">
        <v>490</v>
      </c>
      <c r="B320" s="12" t="s">
        <v>432</v>
      </c>
      <c r="C320" s="12" t="s">
        <v>489</v>
      </c>
    </row>
    <row r="321" spans="1:3" x14ac:dyDescent="0.25">
      <c r="A321" s="13" t="s">
        <v>486</v>
      </c>
      <c r="B321" s="12" t="s">
        <v>432</v>
      </c>
      <c r="C321" s="12" t="s">
        <v>485</v>
      </c>
    </row>
    <row r="322" spans="1:3" x14ac:dyDescent="0.25">
      <c r="A322" s="13" t="s">
        <v>484</v>
      </c>
      <c r="B322" s="12" t="s">
        <v>432</v>
      </c>
      <c r="C322" s="12" t="s">
        <v>483</v>
      </c>
    </row>
    <row r="323" spans="1:3" x14ac:dyDescent="0.25">
      <c r="A323" s="13" t="s">
        <v>510</v>
      </c>
      <c r="B323" s="12" t="s">
        <v>432</v>
      </c>
      <c r="C323" s="12" t="s">
        <v>509</v>
      </c>
    </row>
    <row r="324" spans="1:3" x14ac:dyDescent="0.25">
      <c r="A324" s="13" t="s">
        <v>520</v>
      </c>
      <c r="B324" s="12" t="s">
        <v>432</v>
      </c>
      <c r="C324" s="12" t="s">
        <v>519</v>
      </c>
    </row>
    <row r="325" spans="1:3" x14ac:dyDescent="0.25">
      <c r="A325" s="13" t="s">
        <v>536</v>
      </c>
      <c r="B325" s="12" t="s">
        <v>432</v>
      </c>
      <c r="C325" s="12" t="s">
        <v>535</v>
      </c>
    </row>
    <row r="326" spans="1:3" x14ac:dyDescent="0.25">
      <c r="A326" s="13" t="s">
        <v>516</v>
      </c>
      <c r="B326" s="12" t="s">
        <v>432</v>
      </c>
      <c r="C326" s="12" t="s">
        <v>515</v>
      </c>
    </row>
    <row r="327" spans="1:3" x14ac:dyDescent="0.25">
      <c r="A327" s="13" t="s">
        <v>868</v>
      </c>
      <c r="B327" s="12" t="s">
        <v>432</v>
      </c>
      <c r="C327" s="12" t="s">
        <v>869</v>
      </c>
    </row>
    <row r="328" spans="1:3" x14ac:dyDescent="0.25">
      <c r="A328" s="13" t="s">
        <v>550</v>
      </c>
      <c r="B328" s="12" t="s">
        <v>432</v>
      </c>
      <c r="C328" s="12" t="s">
        <v>549</v>
      </c>
    </row>
    <row r="329" spans="1:3" x14ac:dyDescent="0.25">
      <c r="A329" s="13" t="s">
        <v>512</v>
      </c>
      <c r="B329" s="12" t="s">
        <v>432</v>
      </c>
      <c r="C329" s="12" t="s">
        <v>511</v>
      </c>
    </row>
    <row r="330" spans="1:3" x14ac:dyDescent="0.25">
      <c r="A330" s="13" t="s">
        <v>546</v>
      </c>
      <c r="B330" s="12" t="s">
        <v>432</v>
      </c>
      <c r="C330" s="12" t="s">
        <v>545</v>
      </c>
    </row>
    <row r="331" spans="1:3" x14ac:dyDescent="0.25">
      <c r="A331" s="13" t="s">
        <v>431</v>
      </c>
      <c r="B331" s="12" t="s">
        <v>432</v>
      </c>
      <c r="C331" s="12" t="s">
        <v>430</v>
      </c>
    </row>
    <row r="332" spans="1:3" x14ac:dyDescent="0.25">
      <c r="A332" s="13" t="s">
        <v>460</v>
      </c>
      <c r="B332" s="12" t="s">
        <v>432</v>
      </c>
      <c r="C332" s="12" t="s">
        <v>459</v>
      </c>
    </row>
    <row r="333" spans="1:3" x14ac:dyDescent="0.25">
      <c r="A333" s="13" t="s">
        <v>542</v>
      </c>
      <c r="B333" s="12" t="s">
        <v>432</v>
      </c>
      <c r="C333" s="12" t="s">
        <v>541</v>
      </c>
    </row>
    <row r="334" spans="1:3" x14ac:dyDescent="0.25">
      <c r="A334" s="13" t="s">
        <v>872</v>
      </c>
      <c r="B334" s="12" t="s">
        <v>432</v>
      </c>
      <c r="C334" s="12" t="s">
        <v>873</v>
      </c>
    </row>
    <row r="335" spans="1:3" x14ac:dyDescent="0.25">
      <c r="A335" s="13" t="s">
        <v>462</v>
      </c>
      <c r="B335" s="12" t="s">
        <v>432</v>
      </c>
      <c r="C335" s="12" t="s">
        <v>461</v>
      </c>
    </row>
    <row r="336" spans="1:3" x14ac:dyDescent="0.25">
      <c r="A336" s="13" t="s">
        <v>548</v>
      </c>
      <c r="B336" s="12" t="s">
        <v>432</v>
      </c>
      <c r="C336" s="12" t="s">
        <v>547</v>
      </c>
    </row>
    <row r="337" spans="1:3" x14ac:dyDescent="0.25">
      <c r="A337" s="13" t="s">
        <v>494</v>
      </c>
      <c r="B337" s="12" t="s">
        <v>432</v>
      </c>
      <c r="C337" s="12" t="s">
        <v>493</v>
      </c>
    </row>
    <row r="338" spans="1:3" ht="15" customHeight="1" x14ac:dyDescent="0.25">
      <c r="A338" s="7" t="s">
        <v>875</v>
      </c>
      <c r="B338" s="9" t="s">
        <v>432</v>
      </c>
      <c r="C338" s="149" t="s">
        <v>876</v>
      </c>
    </row>
    <row r="339" spans="1:3" x14ac:dyDescent="0.25">
      <c r="A339" s="13" t="s">
        <v>440</v>
      </c>
      <c r="B339" s="12" t="s">
        <v>432</v>
      </c>
      <c r="C339" s="12" t="s">
        <v>439</v>
      </c>
    </row>
    <row r="340" spans="1:3" x14ac:dyDescent="0.25">
      <c r="A340" s="13" t="s">
        <v>458</v>
      </c>
      <c r="B340" s="12" t="s">
        <v>432</v>
      </c>
      <c r="C340" s="12" t="s">
        <v>457</v>
      </c>
    </row>
    <row r="341" spans="1:3" x14ac:dyDescent="0.25">
      <c r="A341" s="13" t="s">
        <v>506</v>
      </c>
      <c r="B341" s="12" t="s">
        <v>432</v>
      </c>
      <c r="C341" s="12" t="s">
        <v>505</v>
      </c>
    </row>
    <row r="342" spans="1:3" ht="15" customHeight="1" x14ac:dyDescent="0.25">
      <c r="A342" t="s">
        <v>552</v>
      </c>
      <c r="B342" s="9" t="s">
        <v>432</v>
      </c>
      <c r="C342" s="184" t="s">
        <v>551</v>
      </c>
    </row>
    <row r="343" spans="1:3" ht="15" customHeight="1" x14ac:dyDescent="0.25">
      <c r="A343" s="130" t="s">
        <v>1093</v>
      </c>
      <c r="B343" s="9" t="s">
        <v>16</v>
      </c>
      <c r="C343" s="184" t="s">
        <v>1094</v>
      </c>
    </row>
    <row r="344" spans="1:3" ht="15" customHeight="1" x14ac:dyDescent="0.25">
      <c r="A344" s="130" t="s">
        <v>1095</v>
      </c>
      <c r="B344" s="9" t="s">
        <v>16</v>
      </c>
      <c r="C344" s="184" t="s">
        <v>1096</v>
      </c>
    </row>
    <row r="345" spans="1:3" ht="15" customHeight="1" x14ac:dyDescent="0.25">
      <c r="A345" s="130" t="s">
        <v>333</v>
      </c>
      <c r="B345" s="9" t="s">
        <v>16</v>
      </c>
      <c r="C345" s="184" t="s">
        <v>332</v>
      </c>
    </row>
    <row r="346" spans="1:3" ht="15" customHeight="1" x14ac:dyDescent="0.25">
      <c r="A346" s="130" t="s">
        <v>1097</v>
      </c>
      <c r="B346" s="9" t="s">
        <v>16</v>
      </c>
      <c r="C346" s="184" t="s">
        <v>1098</v>
      </c>
    </row>
    <row r="347" spans="1:3" ht="15" customHeight="1" x14ac:dyDescent="0.25">
      <c r="A347" s="130" t="s">
        <v>1099</v>
      </c>
      <c r="B347" s="9" t="s">
        <v>16</v>
      </c>
      <c r="C347" s="184" t="s">
        <v>1100</v>
      </c>
    </row>
    <row r="348" spans="1:3" ht="15" customHeight="1" x14ac:dyDescent="0.25">
      <c r="A348" s="130" t="s">
        <v>1101</v>
      </c>
      <c r="B348" s="9" t="s">
        <v>16</v>
      </c>
      <c r="C348" s="184" t="s">
        <v>1102</v>
      </c>
    </row>
    <row r="349" spans="1:3" ht="15" customHeight="1" x14ac:dyDescent="0.25">
      <c r="A349" s="130" t="s">
        <v>331</v>
      </c>
      <c r="B349" s="9" t="s">
        <v>16</v>
      </c>
      <c r="C349" s="184" t="s">
        <v>330</v>
      </c>
    </row>
    <row r="350" spans="1:3" ht="15" customHeight="1" x14ac:dyDescent="0.25">
      <c r="A350" s="130" t="s">
        <v>1129</v>
      </c>
      <c r="B350" s="9" t="s">
        <v>16</v>
      </c>
      <c r="C350" s="184" t="s">
        <v>1104</v>
      </c>
    </row>
    <row r="351" spans="1:3" ht="15" customHeight="1" x14ac:dyDescent="0.25">
      <c r="A351" s="130" t="s">
        <v>1105</v>
      </c>
      <c r="B351" s="9" t="s">
        <v>16</v>
      </c>
      <c r="C351" s="184" t="s">
        <v>1106</v>
      </c>
    </row>
    <row r="352" spans="1:3" ht="15" customHeight="1" x14ac:dyDescent="0.25">
      <c r="A352" t="s">
        <v>1241</v>
      </c>
      <c r="B352" s="9" t="s">
        <v>138</v>
      </c>
      <c r="C352" s="184" t="s">
        <v>1242</v>
      </c>
    </row>
    <row r="353" spans="1:3" ht="15" customHeight="1" x14ac:dyDescent="0.25">
      <c r="A353" t="s">
        <v>1243</v>
      </c>
      <c r="B353" s="9" t="s">
        <v>138</v>
      </c>
      <c r="C353" s="184" t="s">
        <v>1244</v>
      </c>
    </row>
    <row r="354" spans="1:3" ht="15" customHeight="1" x14ac:dyDescent="0.25">
      <c r="A354" t="s">
        <v>392</v>
      </c>
      <c r="B354" s="9" t="s">
        <v>2488</v>
      </c>
      <c r="C354" s="184" t="s">
        <v>391</v>
      </c>
    </row>
    <row r="355" spans="1:3" ht="15" customHeight="1" x14ac:dyDescent="0.25">
      <c r="A355" t="s">
        <v>1083</v>
      </c>
      <c r="B355" s="9" t="s">
        <v>2488</v>
      </c>
      <c r="C355" s="184" t="s">
        <v>1084</v>
      </c>
    </row>
    <row r="356" spans="1:3" ht="15" customHeight="1" x14ac:dyDescent="0.25">
      <c r="A356" t="s">
        <v>133</v>
      </c>
      <c r="B356" s="9" t="s">
        <v>131</v>
      </c>
      <c r="C356" s="184" t="s">
        <v>132</v>
      </c>
    </row>
    <row r="357" spans="1:3" ht="15" customHeight="1" x14ac:dyDescent="0.25">
      <c r="A357" t="s">
        <v>1085</v>
      </c>
      <c r="B357" s="9" t="s">
        <v>2488</v>
      </c>
      <c r="C357" s="184" t="s">
        <v>1086</v>
      </c>
    </row>
    <row r="358" spans="1:3" ht="15" customHeight="1" x14ac:dyDescent="0.25">
      <c r="A358" t="s">
        <v>396</v>
      </c>
      <c r="B358" s="9" t="s">
        <v>2488</v>
      </c>
      <c r="C358" s="184" t="s">
        <v>395</v>
      </c>
    </row>
    <row r="359" spans="1:3" ht="15" customHeight="1" x14ac:dyDescent="0.25">
      <c r="A359" t="s">
        <v>1087</v>
      </c>
      <c r="B359" s="9" t="s">
        <v>2488</v>
      </c>
      <c r="C359" s="184" t="s">
        <v>1088</v>
      </c>
    </row>
    <row r="360" spans="1:3" ht="15" customHeight="1" x14ac:dyDescent="0.25">
      <c r="A360" t="s">
        <v>234</v>
      </c>
      <c r="B360" s="9" t="s">
        <v>138</v>
      </c>
      <c r="C360" s="184" t="s">
        <v>233</v>
      </c>
    </row>
    <row r="361" spans="1:3" ht="15" customHeight="1" x14ac:dyDescent="0.25">
      <c r="A361" s="7" t="s">
        <v>478</v>
      </c>
      <c r="B361" s="9" t="s">
        <v>432</v>
      </c>
      <c r="C361" s="126" t="s">
        <v>477</v>
      </c>
    </row>
    <row r="362" spans="1:3" ht="15" customHeight="1" x14ac:dyDescent="0.25">
      <c r="A362" s="126" t="s">
        <v>115</v>
      </c>
      <c r="B362" s="9" t="s">
        <v>107</v>
      </c>
      <c r="C362" s="126" t="s">
        <v>114</v>
      </c>
    </row>
    <row r="363" spans="1:3" ht="15" customHeight="1" x14ac:dyDescent="0.25">
      <c r="A363" t="s">
        <v>554</v>
      </c>
      <c r="B363" s="9" t="s">
        <v>432</v>
      </c>
      <c r="C363" s="129" t="s">
        <v>553</v>
      </c>
    </row>
    <row r="364" spans="1:3" x14ac:dyDescent="0.25">
      <c r="A364" s="13" t="s">
        <v>434</v>
      </c>
      <c r="B364" s="12" t="s">
        <v>432</v>
      </c>
      <c r="C364" s="12" t="s">
        <v>433</v>
      </c>
    </row>
    <row r="365" spans="1:3" x14ac:dyDescent="0.25">
      <c r="A365" s="13" t="s">
        <v>470</v>
      </c>
      <c r="B365" s="12" t="s">
        <v>432</v>
      </c>
      <c r="C365" s="12" t="s">
        <v>469</v>
      </c>
    </row>
    <row r="366" spans="1:3" x14ac:dyDescent="0.25">
      <c r="A366" s="13" t="s">
        <v>508</v>
      </c>
      <c r="B366" s="12" t="s">
        <v>432</v>
      </c>
      <c r="C366" s="12" t="s">
        <v>507</v>
      </c>
    </row>
    <row r="367" spans="1:3" x14ac:dyDescent="0.25">
      <c r="A367" s="13" t="s">
        <v>442</v>
      </c>
      <c r="B367" s="12" t="s">
        <v>432</v>
      </c>
      <c r="C367" s="12" t="s">
        <v>441</v>
      </c>
    </row>
    <row r="368" spans="1:3" x14ac:dyDescent="0.25">
      <c r="A368" s="13" t="s">
        <v>558</v>
      </c>
      <c r="B368" s="12" t="s">
        <v>432</v>
      </c>
      <c r="C368" s="12" t="s">
        <v>557</v>
      </c>
    </row>
    <row r="369" spans="1:3" x14ac:dyDescent="0.25">
      <c r="A369" s="13" t="s">
        <v>436</v>
      </c>
      <c r="B369" s="12" t="s">
        <v>432</v>
      </c>
      <c r="C369" s="12" t="s">
        <v>435</v>
      </c>
    </row>
    <row r="370" spans="1:3" x14ac:dyDescent="0.25">
      <c r="A370" s="13" t="s">
        <v>540</v>
      </c>
      <c r="B370" s="12" t="s">
        <v>432</v>
      </c>
      <c r="C370" s="12" t="s">
        <v>539</v>
      </c>
    </row>
    <row r="371" spans="1:3" x14ac:dyDescent="0.25">
      <c r="A371" s="13" t="s">
        <v>514</v>
      </c>
      <c r="B371" s="12" t="s">
        <v>432</v>
      </c>
      <c r="C371" s="12" t="s">
        <v>513</v>
      </c>
    </row>
    <row r="372" spans="1:3" x14ac:dyDescent="0.25">
      <c r="A372" s="13" t="s">
        <v>468</v>
      </c>
      <c r="B372" s="12" t="s">
        <v>432</v>
      </c>
      <c r="C372" s="12" t="s">
        <v>467</v>
      </c>
    </row>
    <row r="373" spans="1:3" ht="15" customHeight="1" x14ac:dyDescent="0.25">
      <c r="A373" s="7" t="s">
        <v>456</v>
      </c>
      <c r="B373" s="9" t="s">
        <v>432</v>
      </c>
      <c r="C373" s="5" t="s">
        <v>455</v>
      </c>
    </row>
    <row r="374" spans="1:3" ht="15" customHeight="1" x14ac:dyDescent="0.25">
      <c r="A374" s="7" t="s">
        <v>472</v>
      </c>
      <c r="B374" s="9" t="s">
        <v>432</v>
      </c>
      <c r="C374" s="5" t="s">
        <v>471</v>
      </c>
    </row>
    <row r="375" spans="1:3" ht="15" customHeight="1" x14ac:dyDescent="0.25">
      <c r="A375" s="7" t="s">
        <v>1418</v>
      </c>
      <c r="B375" s="7" t="s">
        <v>1419</v>
      </c>
      <c r="C375" s="5" t="s">
        <v>1420</v>
      </c>
    </row>
    <row r="376" spans="1:3" ht="15" customHeight="1" x14ac:dyDescent="0.25">
      <c r="A376" s="7" t="s">
        <v>1421</v>
      </c>
      <c r="B376" s="7" t="s">
        <v>1419</v>
      </c>
      <c r="C376" s="5" t="s">
        <v>1422</v>
      </c>
    </row>
    <row r="377" spans="1:3" x14ac:dyDescent="0.25">
      <c r="A377" s="13" t="s">
        <v>1428</v>
      </c>
      <c r="B377" s="13" t="s">
        <v>1426</v>
      </c>
      <c r="C377" s="126" t="s">
        <v>1429</v>
      </c>
    </row>
    <row r="378" spans="1:3" x14ac:dyDescent="0.25">
      <c r="A378" s="13" t="s">
        <v>888</v>
      </c>
      <c r="B378" s="12" t="s">
        <v>432</v>
      </c>
      <c r="C378" s="12" t="s">
        <v>889</v>
      </c>
    </row>
    <row r="379" spans="1:3" x14ac:dyDescent="0.25">
      <c r="A379" s="13" t="s">
        <v>890</v>
      </c>
      <c r="B379" s="12" t="s">
        <v>891</v>
      </c>
      <c r="C379" s="12" t="s">
        <v>892</v>
      </c>
    </row>
    <row r="380" spans="1:3" x14ac:dyDescent="0.25">
      <c r="A380" s="13" t="s">
        <v>893</v>
      </c>
      <c r="B380" s="12" t="s">
        <v>891</v>
      </c>
      <c r="C380" s="12" t="s">
        <v>894</v>
      </c>
    </row>
    <row r="381" spans="1:3" x14ac:dyDescent="0.25">
      <c r="A381" s="13" t="s">
        <v>895</v>
      </c>
      <c r="B381" s="12" t="s">
        <v>891</v>
      </c>
      <c r="C381" s="12" t="s">
        <v>896</v>
      </c>
    </row>
    <row r="382" spans="1:3" x14ac:dyDescent="0.25">
      <c r="A382" s="13" t="s">
        <v>897</v>
      </c>
      <c r="B382" s="12" t="s">
        <v>891</v>
      </c>
      <c r="C382" s="12" t="s">
        <v>898</v>
      </c>
    </row>
    <row r="383" spans="1:3" x14ac:dyDescent="0.25">
      <c r="A383" s="13" t="s">
        <v>899</v>
      </c>
      <c r="B383" s="12" t="s">
        <v>891</v>
      </c>
      <c r="C383" s="12" t="s">
        <v>900</v>
      </c>
    </row>
    <row r="384" spans="1:3" ht="15" customHeight="1" x14ac:dyDescent="0.25">
      <c r="A384" s="126" t="s">
        <v>2508</v>
      </c>
      <c r="B384" t="s">
        <v>138</v>
      </c>
      <c r="C384" s="126" t="s">
        <v>2507</v>
      </c>
    </row>
    <row r="385" spans="1:3" ht="15" customHeight="1" x14ac:dyDescent="0.25">
      <c r="A385" s="126" t="s">
        <v>1338</v>
      </c>
      <c r="B385" t="s">
        <v>138</v>
      </c>
      <c r="C385" s="126" t="s">
        <v>1339</v>
      </c>
    </row>
    <row r="386" spans="1:3" x14ac:dyDescent="0.25">
      <c r="A386" s="13" t="s">
        <v>427</v>
      </c>
      <c r="B386" s="12" t="s">
        <v>421</v>
      </c>
      <c r="C386" s="12" t="s">
        <v>426</v>
      </c>
    </row>
    <row r="387" spans="1:3" x14ac:dyDescent="0.25">
      <c r="A387" s="13" t="s">
        <v>425</v>
      </c>
      <c r="B387" s="12" t="s">
        <v>421</v>
      </c>
      <c r="C387" s="12" t="s">
        <v>424</v>
      </c>
    </row>
    <row r="388" spans="1:3" x14ac:dyDescent="0.25">
      <c r="A388" s="13" t="s">
        <v>420</v>
      </c>
      <c r="B388" s="12" t="s">
        <v>421</v>
      </c>
      <c r="C388" s="12" t="s">
        <v>419</v>
      </c>
    </row>
    <row r="389" spans="1:3" x14ac:dyDescent="0.25">
      <c r="A389" s="13" t="s">
        <v>423</v>
      </c>
      <c r="B389" s="12" t="s">
        <v>421</v>
      </c>
      <c r="C389" s="12" t="s">
        <v>422</v>
      </c>
    </row>
    <row r="390" spans="1:3" x14ac:dyDescent="0.25">
      <c r="A390" s="13" t="s">
        <v>429</v>
      </c>
      <c r="B390" s="13" t="s">
        <v>429</v>
      </c>
      <c r="C390" s="5" t="s">
        <v>428</v>
      </c>
    </row>
    <row r="391" spans="1:3" x14ac:dyDescent="0.25">
      <c r="A391" s="13" t="s">
        <v>2530</v>
      </c>
      <c r="B391" s="13" t="s">
        <v>138</v>
      </c>
      <c r="C391" s="5" t="s">
        <v>1266</v>
      </c>
    </row>
    <row r="392" spans="1:3" x14ac:dyDescent="0.25">
      <c r="A392" s="13" t="s">
        <v>1245</v>
      </c>
      <c r="B392" s="12" t="s">
        <v>138</v>
      </c>
      <c r="C392" s="12" t="s">
        <v>1246</v>
      </c>
    </row>
    <row r="393" spans="1:3" x14ac:dyDescent="0.25">
      <c r="A393" s="13" t="s">
        <v>2510</v>
      </c>
      <c r="B393" s="12" t="s">
        <v>138</v>
      </c>
      <c r="C393" s="12" t="s">
        <v>2509</v>
      </c>
    </row>
    <row r="394" spans="1:3" x14ac:dyDescent="0.25">
      <c r="A394" s="13" t="s">
        <v>288</v>
      </c>
      <c r="B394" s="12" t="s">
        <v>138</v>
      </c>
      <c r="C394" s="12" t="s">
        <v>287</v>
      </c>
    </row>
    <row r="395" spans="1:3" x14ac:dyDescent="0.25">
      <c r="A395" s="13" t="s">
        <v>1248</v>
      </c>
      <c r="B395" s="12" t="s">
        <v>138</v>
      </c>
      <c r="C395" s="12" t="s">
        <v>1249</v>
      </c>
    </row>
    <row r="396" spans="1:3" x14ac:dyDescent="0.25">
      <c r="A396" s="13" t="s">
        <v>230</v>
      </c>
      <c r="B396" s="12" t="s">
        <v>138</v>
      </c>
      <c r="C396" s="12" t="s">
        <v>229</v>
      </c>
    </row>
    <row r="397" spans="1:3" x14ac:dyDescent="0.25">
      <c r="A397" s="13" t="s">
        <v>198</v>
      </c>
      <c r="B397" s="12" t="s">
        <v>138</v>
      </c>
      <c r="C397" s="12" t="s">
        <v>197</v>
      </c>
    </row>
    <row r="398" spans="1:3" x14ac:dyDescent="0.25">
      <c r="A398" s="13" t="s">
        <v>266</v>
      </c>
      <c r="B398" s="12" t="s">
        <v>138</v>
      </c>
      <c r="C398" s="12" t="s">
        <v>265</v>
      </c>
    </row>
    <row r="399" spans="1:3" x14ac:dyDescent="0.25">
      <c r="A399" s="13" t="s">
        <v>1252</v>
      </c>
      <c r="B399" s="12" t="s">
        <v>138</v>
      </c>
      <c r="C399" s="12" t="s">
        <v>1253</v>
      </c>
    </row>
    <row r="400" spans="1:3" x14ac:dyDescent="0.25">
      <c r="A400" s="13" t="s">
        <v>304</v>
      </c>
      <c r="B400" s="12" t="s">
        <v>138</v>
      </c>
      <c r="C400" s="12" t="s">
        <v>303</v>
      </c>
    </row>
    <row r="401" spans="1:3" x14ac:dyDescent="0.25">
      <c r="A401" s="13" t="s">
        <v>252</v>
      </c>
      <c r="B401" s="12" t="s">
        <v>138</v>
      </c>
      <c r="C401" s="12" t="s">
        <v>251</v>
      </c>
    </row>
    <row r="402" spans="1:3" x14ac:dyDescent="0.25">
      <c r="A402" s="13" t="s">
        <v>1254</v>
      </c>
      <c r="B402" s="12" t="s">
        <v>138</v>
      </c>
      <c r="C402" s="12" t="s">
        <v>1255</v>
      </c>
    </row>
    <row r="403" spans="1:3" x14ac:dyDescent="0.25">
      <c r="A403" s="13" t="s">
        <v>228</v>
      </c>
      <c r="B403" s="12" t="s">
        <v>138</v>
      </c>
      <c r="C403" s="12" t="s">
        <v>227</v>
      </c>
    </row>
    <row r="404" spans="1:3" x14ac:dyDescent="0.25">
      <c r="A404" s="13" t="s">
        <v>260</v>
      </c>
      <c r="B404" s="12" t="s">
        <v>138</v>
      </c>
      <c r="C404" s="12" t="s">
        <v>259</v>
      </c>
    </row>
    <row r="405" spans="1:3" x14ac:dyDescent="0.25">
      <c r="A405" s="13" t="s">
        <v>1256</v>
      </c>
      <c r="B405" s="12" t="s">
        <v>138</v>
      </c>
      <c r="C405" s="12" t="s">
        <v>1257</v>
      </c>
    </row>
    <row r="406" spans="1:3" x14ac:dyDescent="0.25">
      <c r="A406" s="13" t="s">
        <v>1258</v>
      </c>
      <c r="B406" s="12" t="s">
        <v>138</v>
      </c>
      <c r="C406" s="12" t="s">
        <v>1259</v>
      </c>
    </row>
    <row r="407" spans="1:3" x14ac:dyDescent="0.25">
      <c r="A407" s="13" t="s">
        <v>276</v>
      </c>
      <c r="B407" s="12" t="s">
        <v>138</v>
      </c>
      <c r="C407" s="12" t="s">
        <v>275</v>
      </c>
    </row>
    <row r="408" spans="1:3" x14ac:dyDescent="0.25">
      <c r="A408" s="13" t="s">
        <v>202</v>
      </c>
      <c r="B408" s="12" t="s">
        <v>138</v>
      </c>
      <c r="C408" s="12" t="s">
        <v>201</v>
      </c>
    </row>
    <row r="409" spans="1:3" x14ac:dyDescent="0.25">
      <c r="A409" s="13" t="s">
        <v>250</v>
      </c>
      <c r="B409" s="12" t="s">
        <v>138</v>
      </c>
      <c r="C409" s="12" t="s">
        <v>249</v>
      </c>
    </row>
    <row r="410" spans="1:3" x14ac:dyDescent="0.25">
      <c r="A410" s="13" t="s">
        <v>200</v>
      </c>
      <c r="B410" s="12" t="s">
        <v>138</v>
      </c>
      <c r="C410" s="12" t="s">
        <v>199</v>
      </c>
    </row>
    <row r="411" spans="1:3" x14ac:dyDescent="0.25">
      <c r="A411" s="13" t="s">
        <v>1262</v>
      </c>
      <c r="B411" s="12" t="s">
        <v>138</v>
      </c>
      <c r="C411" s="12" t="s">
        <v>1263</v>
      </c>
    </row>
    <row r="412" spans="1:3" x14ac:dyDescent="0.25">
      <c r="A412" s="13" t="s">
        <v>272</v>
      </c>
      <c r="B412" s="12" t="s">
        <v>138</v>
      </c>
      <c r="C412" s="12" t="s">
        <v>271</v>
      </c>
    </row>
    <row r="413" spans="1:3" x14ac:dyDescent="0.25">
      <c r="A413" s="13" t="s">
        <v>2512</v>
      </c>
      <c r="B413" s="12" t="s">
        <v>138</v>
      </c>
      <c r="C413" s="12" t="s">
        <v>2511</v>
      </c>
    </row>
    <row r="414" spans="1:3" x14ac:dyDescent="0.25">
      <c r="A414" s="13" t="s">
        <v>244</v>
      </c>
      <c r="B414" s="12" t="s">
        <v>138</v>
      </c>
      <c r="C414" s="12" t="s">
        <v>243</v>
      </c>
    </row>
    <row r="415" spans="1:3" x14ac:dyDescent="0.25">
      <c r="A415" s="13" t="s">
        <v>268</v>
      </c>
      <c r="B415" s="12" t="s">
        <v>138</v>
      </c>
      <c r="C415" s="12" t="s">
        <v>267</v>
      </c>
    </row>
    <row r="416" spans="1:3" x14ac:dyDescent="0.25">
      <c r="A416" s="13" t="s">
        <v>150</v>
      </c>
      <c r="B416" s="12" t="s">
        <v>138</v>
      </c>
      <c r="C416" s="12" t="s">
        <v>149</v>
      </c>
    </row>
    <row r="417" spans="1:3" x14ac:dyDescent="0.25">
      <c r="A417" s="13" t="s">
        <v>1268</v>
      </c>
      <c r="B417" s="12" t="s">
        <v>138</v>
      </c>
      <c r="C417" s="12" t="s">
        <v>1269</v>
      </c>
    </row>
    <row r="418" spans="1:3" x14ac:dyDescent="0.25">
      <c r="A418" s="13" t="s">
        <v>1270</v>
      </c>
      <c r="B418" s="12" t="s">
        <v>138</v>
      </c>
      <c r="C418" s="12" t="s">
        <v>1271</v>
      </c>
    </row>
    <row r="419" spans="1:3" x14ac:dyDescent="0.25">
      <c r="A419" s="13" t="s">
        <v>256</v>
      </c>
      <c r="B419" s="12" t="s">
        <v>138</v>
      </c>
      <c r="C419" s="12" t="s">
        <v>255</v>
      </c>
    </row>
    <row r="420" spans="1:3" x14ac:dyDescent="0.25">
      <c r="A420" s="13" t="s">
        <v>154</v>
      </c>
      <c r="B420" s="12" t="s">
        <v>138</v>
      </c>
      <c r="C420" s="12" t="s">
        <v>153</v>
      </c>
    </row>
    <row r="421" spans="1:3" x14ac:dyDescent="0.25">
      <c r="A421" s="13" t="s">
        <v>208</v>
      </c>
      <c r="B421" s="12" t="s">
        <v>138</v>
      </c>
      <c r="C421" s="12" t="s">
        <v>207</v>
      </c>
    </row>
    <row r="422" spans="1:3" x14ac:dyDescent="0.25">
      <c r="A422" s="13" t="s">
        <v>2514</v>
      </c>
      <c r="B422" s="12" t="s">
        <v>138</v>
      </c>
      <c r="C422" s="12" t="s">
        <v>2513</v>
      </c>
    </row>
    <row r="423" spans="1:3" x14ac:dyDescent="0.25">
      <c r="A423" s="13" t="s">
        <v>278</v>
      </c>
      <c r="B423" s="12" t="s">
        <v>138</v>
      </c>
      <c r="C423" s="12" t="s">
        <v>277</v>
      </c>
    </row>
    <row r="424" spans="1:3" x14ac:dyDescent="0.25">
      <c r="A424" s="13" t="s">
        <v>206</v>
      </c>
      <c r="B424" s="12" t="s">
        <v>138</v>
      </c>
      <c r="C424" s="12" t="s">
        <v>205</v>
      </c>
    </row>
    <row r="425" spans="1:3" x14ac:dyDescent="0.25">
      <c r="A425" s="13" t="s">
        <v>190</v>
      </c>
      <c r="B425" s="12" t="s">
        <v>138</v>
      </c>
      <c r="C425" s="12" t="s">
        <v>189</v>
      </c>
    </row>
    <row r="426" spans="1:3" x14ac:dyDescent="0.25">
      <c r="A426" s="13" t="s">
        <v>164</v>
      </c>
      <c r="B426" s="12" t="s">
        <v>138</v>
      </c>
      <c r="C426" s="12" t="s">
        <v>163</v>
      </c>
    </row>
    <row r="427" spans="1:3" x14ac:dyDescent="0.25">
      <c r="A427" s="13" t="s">
        <v>1281</v>
      </c>
      <c r="B427" s="12" t="s">
        <v>138</v>
      </c>
      <c r="C427" s="12" t="s">
        <v>1282</v>
      </c>
    </row>
    <row r="428" spans="1:3" x14ac:dyDescent="0.25">
      <c r="A428" s="13" t="s">
        <v>1283</v>
      </c>
      <c r="B428" s="12" t="s">
        <v>138</v>
      </c>
      <c r="C428" s="12" t="s">
        <v>1284</v>
      </c>
    </row>
    <row r="429" spans="1:3" x14ac:dyDescent="0.25">
      <c r="A429" s="13" t="s">
        <v>1286</v>
      </c>
      <c r="B429" s="12" t="s">
        <v>138</v>
      </c>
      <c r="C429" s="12" t="s">
        <v>1287</v>
      </c>
    </row>
    <row r="430" spans="1:3" x14ac:dyDescent="0.25">
      <c r="A430" s="13" t="s">
        <v>158</v>
      </c>
      <c r="B430" s="12" t="s">
        <v>138</v>
      </c>
      <c r="C430" s="12" t="s">
        <v>157</v>
      </c>
    </row>
    <row r="431" spans="1:3" x14ac:dyDescent="0.25">
      <c r="A431" s="13" t="s">
        <v>140</v>
      </c>
      <c r="B431" s="12" t="s">
        <v>138</v>
      </c>
      <c r="C431" s="12" t="s">
        <v>139</v>
      </c>
    </row>
    <row r="432" spans="1:3" x14ac:dyDescent="0.25">
      <c r="A432" s="13" t="s">
        <v>1289</v>
      </c>
      <c r="B432" s="12" t="s">
        <v>138</v>
      </c>
      <c r="C432" s="12" t="s">
        <v>1290</v>
      </c>
    </row>
    <row r="433" spans="1:3" x14ac:dyDescent="0.25">
      <c r="A433" s="13" t="s">
        <v>1291</v>
      </c>
      <c r="B433" s="12" t="s">
        <v>138</v>
      </c>
      <c r="C433" s="12" t="s">
        <v>1292</v>
      </c>
    </row>
    <row r="434" spans="1:3" x14ac:dyDescent="0.25">
      <c r="A434" s="13" t="s">
        <v>1293</v>
      </c>
      <c r="B434" s="12" t="s">
        <v>138</v>
      </c>
      <c r="C434" s="12" t="s">
        <v>1294</v>
      </c>
    </row>
    <row r="435" spans="1:3" x14ac:dyDescent="0.25">
      <c r="A435" s="13" t="s">
        <v>216</v>
      </c>
      <c r="B435" s="12" t="s">
        <v>138</v>
      </c>
      <c r="C435" s="12" t="s">
        <v>215</v>
      </c>
    </row>
    <row r="436" spans="1:3" x14ac:dyDescent="0.25">
      <c r="A436" s="13" t="s">
        <v>210</v>
      </c>
      <c r="B436" s="12" t="s">
        <v>138</v>
      </c>
      <c r="C436" s="12" t="s">
        <v>209</v>
      </c>
    </row>
    <row r="437" spans="1:3" x14ac:dyDescent="0.25">
      <c r="A437" s="13" t="s">
        <v>1297</v>
      </c>
      <c r="B437" s="12" t="s">
        <v>138</v>
      </c>
      <c r="C437" s="12" t="s">
        <v>1298</v>
      </c>
    </row>
    <row r="438" spans="1:3" x14ac:dyDescent="0.25">
      <c r="A438" s="13" t="s">
        <v>1295</v>
      </c>
      <c r="B438" s="12" t="s">
        <v>138</v>
      </c>
      <c r="C438" s="12" t="s">
        <v>1296</v>
      </c>
    </row>
    <row r="439" spans="1:3" x14ac:dyDescent="0.25">
      <c r="A439" s="13" t="s">
        <v>176</v>
      </c>
      <c r="B439" s="12" t="s">
        <v>138</v>
      </c>
      <c r="C439" s="5" t="s">
        <v>175</v>
      </c>
    </row>
    <row r="440" spans="1:3" x14ac:dyDescent="0.25">
      <c r="A440" s="13" t="s">
        <v>156</v>
      </c>
      <c r="B440" s="12" t="s">
        <v>138</v>
      </c>
      <c r="C440" s="12" t="s">
        <v>155</v>
      </c>
    </row>
    <row r="441" spans="1:3" x14ac:dyDescent="0.25">
      <c r="A441" s="13" t="s">
        <v>1299</v>
      </c>
      <c r="B441" s="12" t="s">
        <v>138</v>
      </c>
      <c r="C441" s="12" t="s">
        <v>1300</v>
      </c>
    </row>
    <row r="442" spans="1:3" x14ac:dyDescent="0.25">
      <c r="A442" s="13" t="s">
        <v>1301</v>
      </c>
      <c r="B442" s="12" t="s">
        <v>138</v>
      </c>
      <c r="C442" s="12" t="s">
        <v>1302</v>
      </c>
    </row>
    <row r="443" spans="1:3" x14ac:dyDescent="0.25">
      <c r="A443" s="13" t="s">
        <v>1303</v>
      </c>
      <c r="B443" s="12" t="s">
        <v>138</v>
      </c>
      <c r="C443" s="12" t="s">
        <v>1304</v>
      </c>
    </row>
    <row r="444" spans="1:3" x14ac:dyDescent="0.25">
      <c r="A444" s="13" t="s">
        <v>174</v>
      </c>
      <c r="B444" s="12" t="s">
        <v>138</v>
      </c>
      <c r="C444" s="12" t="s">
        <v>173</v>
      </c>
    </row>
    <row r="445" spans="1:3" x14ac:dyDescent="0.25">
      <c r="A445" s="13" t="s">
        <v>236</v>
      </c>
      <c r="B445" s="12" t="s">
        <v>138</v>
      </c>
      <c r="C445" s="12" t="s">
        <v>235</v>
      </c>
    </row>
    <row r="446" spans="1:3" x14ac:dyDescent="0.25">
      <c r="A446" s="13" t="s">
        <v>1305</v>
      </c>
      <c r="B446" s="12" t="s">
        <v>138</v>
      </c>
      <c r="C446" s="12" t="s">
        <v>1306</v>
      </c>
    </row>
    <row r="447" spans="1:3" x14ac:dyDescent="0.25">
      <c r="A447" s="13" t="s">
        <v>1308</v>
      </c>
      <c r="B447" s="12" t="s">
        <v>138</v>
      </c>
      <c r="C447" s="12" t="s">
        <v>1309</v>
      </c>
    </row>
    <row r="448" spans="1:3" x14ac:dyDescent="0.25">
      <c r="A448" s="13" t="s">
        <v>310</v>
      </c>
      <c r="B448" s="12" t="s">
        <v>138</v>
      </c>
      <c r="C448" s="12" t="s">
        <v>309</v>
      </c>
    </row>
    <row r="449" spans="1:3" x14ac:dyDescent="0.25">
      <c r="A449" s="13" t="s">
        <v>226</v>
      </c>
      <c r="B449" s="12" t="s">
        <v>138</v>
      </c>
      <c r="C449" s="12" t="s">
        <v>225</v>
      </c>
    </row>
    <row r="450" spans="1:3" x14ac:dyDescent="0.25">
      <c r="A450" s="13" t="s">
        <v>254</v>
      </c>
      <c r="B450" s="12" t="s">
        <v>138</v>
      </c>
      <c r="C450" s="12" t="s">
        <v>253</v>
      </c>
    </row>
    <row r="451" spans="1:3" x14ac:dyDescent="0.25">
      <c r="A451" s="13" t="s">
        <v>152</v>
      </c>
      <c r="B451" s="12" t="s">
        <v>138</v>
      </c>
      <c r="C451" s="12" t="s">
        <v>151</v>
      </c>
    </row>
    <row r="452" spans="1:3" x14ac:dyDescent="0.25">
      <c r="A452" s="13" t="s">
        <v>2516</v>
      </c>
      <c r="B452" s="12" t="s">
        <v>138</v>
      </c>
      <c r="C452" s="12" t="s">
        <v>2515</v>
      </c>
    </row>
    <row r="453" spans="1:3" x14ac:dyDescent="0.25">
      <c r="A453" s="13" t="s">
        <v>1311</v>
      </c>
      <c r="B453" s="12" t="s">
        <v>138</v>
      </c>
      <c r="C453" s="12" t="s">
        <v>1312</v>
      </c>
    </row>
    <row r="454" spans="1:3" x14ac:dyDescent="0.25">
      <c r="A454" s="13" t="s">
        <v>1313</v>
      </c>
      <c r="B454" s="12" t="s">
        <v>138</v>
      </c>
      <c r="C454" s="12" t="s">
        <v>1314</v>
      </c>
    </row>
    <row r="455" spans="1:3" x14ac:dyDescent="0.25">
      <c r="A455" s="13" t="s">
        <v>242</v>
      </c>
      <c r="B455" s="12" t="s">
        <v>138</v>
      </c>
      <c r="C455" s="12" t="s">
        <v>241</v>
      </c>
    </row>
    <row r="456" spans="1:3" x14ac:dyDescent="0.25">
      <c r="A456" s="13" t="s">
        <v>286</v>
      </c>
      <c r="B456" s="12" t="s">
        <v>138</v>
      </c>
      <c r="C456" s="12" t="s">
        <v>285</v>
      </c>
    </row>
    <row r="457" spans="1:3" x14ac:dyDescent="0.25">
      <c r="A457" s="13" t="s">
        <v>194</v>
      </c>
      <c r="B457" s="12" t="s">
        <v>138</v>
      </c>
      <c r="C457" s="12" t="s">
        <v>193</v>
      </c>
    </row>
    <row r="458" spans="1:3" x14ac:dyDescent="0.25">
      <c r="A458" s="13" t="s">
        <v>1315</v>
      </c>
      <c r="B458" s="12" t="s">
        <v>138</v>
      </c>
      <c r="C458" s="12" t="s">
        <v>1316</v>
      </c>
    </row>
    <row r="459" spans="1:3" x14ac:dyDescent="0.25">
      <c r="A459" s="13" t="s">
        <v>294</v>
      </c>
      <c r="B459" s="12" t="s">
        <v>138</v>
      </c>
      <c r="C459" s="12" t="s">
        <v>293</v>
      </c>
    </row>
    <row r="460" spans="1:3" x14ac:dyDescent="0.25">
      <c r="A460" s="13" t="s">
        <v>160</v>
      </c>
      <c r="B460" s="12" t="s">
        <v>138</v>
      </c>
      <c r="C460" s="12" t="s">
        <v>159</v>
      </c>
    </row>
    <row r="461" spans="1:3" x14ac:dyDescent="0.25">
      <c r="A461" s="13" t="s">
        <v>1318</v>
      </c>
      <c r="B461" s="12" t="s">
        <v>138</v>
      </c>
      <c r="C461" s="12" t="s">
        <v>1319</v>
      </c>
    </row>
    <row r="462" spans="1:3" x14ac:dyDescent="0.25">
      <c r="A462" s="13" t="s">
        <v>296</v>
      </c>
      <c r="B462" s="12" t="s">
        <v>138</v>
      </c>
      <c r="C462" s="12" t="s">
        <v>295</v>
      </c>
    </row>
    <row r="463" spans="1:3" x14ac:dyDescent="0.25">
      <c r="A463" s="13" t="s">
        <v>1321</v>
      </c>
      <c r="B463" s="12" t="s">
        <v>138</v>
      </c>
      <c r="C463" s="12" t="s">
        <v>1322</v>
      </c>
    </row>
    <row r="464" spans="1:3" x14ac:dyDescent="0.25">
      <c r="A464" s="13" t="s">
        <v>234</v>
      </c>
      <c r="B464" s="12" t="s">
        <v>138</v>
      </c>
      <c r="C464" s="12" t="s">
        <v>1323</v>
      </c>
    </row>
    <row r="465" spans="1:3" x14ac:dyDescent="0.25">
      <c r="A465" s="13" t="s">
        <v>302</v>
      </c>
      <c r="B465" s="12" t="s">
        <v>138</v>
      </c>
      <c r="C465" s="12" t="s">
        <v>301</v>
      </c>
    </row>
    <row r="466" spans="1:3" x14ac:dyDescent="0.25">
      <c r="A466" s="13" t="s">
        <v>1324</v>
      </c>
      <c r="B466" s="12" t="s">
        <v>138</v>
      </c>
      <c r="C466" s="12" t="s">
        <v>1325</v>
      </c>
    </row>
    <row r="467" spans="1:3" x14ac:dyDescent="0.25">
      <c r="A467" s="13" t="s">
        <v>1326</v>
      </c>
      <c r="B467" s="12" t="s">
        <v>138</v>
      </c>
      <c r="C467" s="12" t="s">
        <v>1327</v>
      </c>
    </row>
    <row r="468" spans="1:3" x14ac:dyDescent="0.25">
      <c r="A468" s="13" t="s">
        <v>240</v>
      </c>
      <c r="B468" s="12" t="s">
        <v>138</v>
      </c>
      <c r="C468" s="12" t="s">
        <v>239</v>
      </c>
    </row>
    <row r="469" spans="1:3" x14ac:dyDescent="0.25">
      <c r="A469" s="13" t="s">
        <v>1329</v>
      </c>
      <c r="B469" s="12" t="s">
        <v>138</v>
      </c>
      <c r="C469" s="12" t="s">
        <v>1330</v>
      </c>
    </row>
    <row r="470" spans="1:3" x14ac:dyDescent="0.25">
      <c r="A470" s="13" t="s">
        <v>224</v>
      </c>
      <c r="B470" s="12" t="s">
        <v>138</v>
      </c>
      <c r="C470" s="12" t="s">
        <v>223</v>
      </c>
    </row>
    <row r="471" spans="1:3" x14ac:dyDescent="0.25">
      <c r="A471" s="13" t="s">
        <v>222</v>
      </c>
      <c r="B471" s="12" t="s">
        <v>138</v>
      </c>
      <c r="C471" s="12" t="s">
        <v>221</v>
      </c>
    </row>
    <row r="472" spans="1:3" x14ac:dyDescent="0.25">
      <c r="A472" s="13" t="s">
        <v>282</v>
      </c>
      <c r="B472" s="12" t="s">
        <v>138</v>
      </c>
      <c r="C472" s="12" t="s">
        <v>281</v>
      </c>
    </row>
    <row r="473" spans="1:3" x14ac:dyDescent="0.25">
      <c r="A473" s="13" t="s">
        <v>142</v>
      </c>
      <c r="B473" s="12" t="s">
        <v>138</v>
      </c>
      <c r="C473" s="12" t="s">
        <v>141</v>
      </c>
    </row>
    <row r="474" spans="1:3" x14ac:dyDescent="0.25">
      <c r="A474" s="13" t="s">
        <v>2518</v>
      </c>
      <c r="B474" s="12" t="s">
        <v>138</v>
      </c>
      <c r="C474" s="12" t="s">
        <v>2517</v>
      </c>
    </row>
    <row r="475" spans="1:3" x14ac:dyDescent="0.25">
      <c r="A475" s="13" t="s">
        <v>186</v>
      </c>
      <c r="B475" s="12" t="s">
        <v>138</v>
      </c>
      <c r="C475" s="12" t="s">
        <v>185</v>
      </c>
    </row>
    <row r="476" spans="1:3" x14ac:dyDescent="0.25">
      <c r="A476" s="13" t="s">
        <v>258</v>
      </c>
      <c r="B476" s="12" t="s">
        <v>138</v>
      </c>
      <c r="C476" s="12" t="s">
        <v>257</v>
      </c>
    </row>
    <row r="477" spans="1:3" x14ac:dyDescent="0.25">
      <c r="A477" s="13" t="s">
        <v>1333</v>
      </c>
      <c r="B477" s="12" t="s">
        <v>138</v>
      </c>
      <c r="C477" s="12" t="s">
        <v>1334</v>
      </c>
    </row>
    <row r="478" spans="1:3" x14ac:dyDescent="0.25">
      <c r="A478" s="13" t="s">
        <v>238</v>
      </c>
      <c r="B478" s="12" t="s">
        <v>138</v>
      </c>
      <c r="C478" s="12" t="s">
        <v>237</v>
      </c>
    </row>
    <row r="479" spans="1:3" x14ac:dyDescent="0.25">
      <c r="A479" s="13" t="s">
        <v>146</v>
      </c>
      <c r="B479" s="12" t="s">
        <v>138</v>
      </c>
      <c r="C479" s="12" t="s">
        <v>145</v>
      </c>
    </row>
    <row r="480" spans="1:3" x14ac:dyDescent="0.25">
      <c r="A480" s="13" t="s">
        <v>2520</v>
      </c>
      <c r="B480" s="12" t="s">
        <v>138</v>
      </c>
      <c r="C480" s="12" t="s">
        <v>2519</v>
      </c>
    </row>
    <row r="481" spans="1:3" x14ac:dyDescent="0.25">
      <c r="A481" s="13" t="s">
        <v>1335</v>
      </c>
      <c r="B481" s="12" t="s">
        <v>138</v>
      </c>
      <c r="C481" s="12" t="s">
        <v>1336</v>
      </c>
    </row>
    <row r="482" spans="1:3" x14ac:dyDescent="0.25">
      <c r="A482" s="13" t="s">
        <v>270</v>
      </c>
      <c r="B482" s="12" t="s">
        <v>138</v>
      </c>
      <c r="C482" s="12" t="s">
        <v>269</v>
      </c>
    </row>
    <row r="483" spans="1:3" x14ac:dyDescent="0.25">
      <c r="A483" s="13" t="s">
        <v>204</v>
      </c>
      <c r="B483" s="12" t="s">
        <v>138</v>
      </c>
      <c r="C483" s="12" t="s">
        <v>203</v>
      </c>
    </row>
    <row r="484" spans="1:3" x14ac:dyDescent="0.25">
      <c r="A484" s="13" t="s">
        <v>218</v>
      </c>
      <c r="B484" s="12" t="s">
        <v>138</v>
      </c>
      <c r="C484" s="12" t="s">
        <v>217</v>
      </c>
    </row>
    <row r="485" spans="1:3" x14ac:dyDescent="0.25">
      <c r="A485" s="13" t="s">
        <v>166</v>
      </c>
      <c r="B485" s="12" t="s">
        <v>138</v>
      </c>
      <c r="C485" s="12" t="s">
        <v>165</v>
      </c>
    </row>
    <row r="486" spans="1:3" x14ac:dyDescent="0.25">
      <c r="A486" s="13" t="s">
        <v>306</v>
      </c>
      <c r="B486" s="12" t="s">
        <v>138</v>
      </c>
      <c r="C486" s="12" t="s">
        <v>305</v>
      </c>
    </row>
    <row r="487" spans="1:3" x14ac:dyDescent="0.25">
      <c r="A487" s="13" t="s">
        <v>1340</v>
      </c>
      <c r="B487" s="12" t="s">
        <v>138</v>
      </c>
      <c r="C487" s="12" t="s">
        <v>1341</v>
      </c>
    </row>
    <row r="488" spans="1:3" x14ac:dyDescent="0.25">
      <c r="A488" s="13" t="s">
        <v>168</v>
      </c>
      <c r="B488" s="12" t="s">
        <v>138</v>
      </c>
      <c r="C488" s="12" t="s">
        <v>167</v>
      </c>
    </row>
    <row r="489" spans="1:3" x14ac:dyDescent="0.25">
      <c r="A489" s="13" t="s">
        <v>196</v>
      </c>
      <c r="B489" s="12" t="s">
        <v>138</v>
      </c>
      <c r="C489" s="12" t="s">
        <v>195</v>
      </c>
    </row>
    <row r="490" spans="1:3" x14ac:dyDescent="0.25">
      <c r="A490" s="13" t="s">
        <v>144</v>
      </c>
      <c r="B490" s="12" t="s">
        <v>138</v>
      </c>
      <c r="C490" s="12" t="s">
        <v>143</v>
      </c>
    </row>
    <row r="491" spans="1:3" x14ac:dyDescent="0.25">
      <c r="A491" s="13" t="s">
        <v>182</v>
      </c>
      <c r="B491" s="12" t="s">
        <v>138</v>
      </c>
      <c r="C491" s="12" t="s">
        <v>181</v>
      </c>
    </row>
    <row r="492" spans="1:3" x14ac:dyDescent="0.25">
      <c r="A492" s="13" t="s">
        <v>170</v>
      </c>
      <c r="B492" s="12" t="s">
        <v>138</v>
      </c>
      <c r="C492" s="12" t="s">
        <v>169</v>
      </c>
    </row>
    <row r="493" spans="1:3" x14ac:dyDescent="0.25">
      <c r="A493" s="13" t="s">
        <v>262</v>
      </c>
      <c r="B493" s="12" t="s">
        <v>138</v>
      </c>
      <c r="C493" s="12" t="s">
        <v>261</v>
      </c>
    </row>
    <row r="494" spans="1:3" x14ac:dyDescent="0.25">
      <c r="A494" s="13" t="s">
        <v>292</v>
      </c>
      <c r="B494" s="12" t="s">
        <v>138</v>
      </c>
      <c r="C494" s="12" t="s">
        <v>291</v>
      </c>
    </row>
    <row r="495" spans="1:3" x14ac:dyDescent="0.25">
      <c r="A495" s="13" t="s">
        <v>1344</v>
      </c>
      <c r="B495" s="12" t="s">
        <v>138</v>
      </c>
      <c r="C495" s="12" t="s">
        <v>1345</v>
      </c>
    </row>
    <row r="496" spans="1:3" x14ac:dyDescent="0.25">
      <c r="A496" s="13" t="s">
        <v>214</v>
      </c>
      <c r="B496" s="12" t="s">
        <v>138</v>
      </c>
      <c r="C496" s="12" t="s">
        <v>213</v>
      </c>
    </row>
    <row r="497" spans="1:3" x14ac:dyDescent="0.25">
      <c r="A497" s="13" t="s">
        <v>1346</v>
      </c>
      <c r="B497" s="12" t="s">
        <v>138</v>
      </c>
      <c r="C497" s="12" t="s">
        <v>1347</v>
      </c>
    </row>
    <row r="498" spans="1:3" x14ac:dyDescent="0.25">
      <c r="A498" s="13" t="s">
        <v>264</v>
      </c>
      <c r="B498" s="12" t="s">
        <v>138</v>
      </c>
      <c r="C498" s="12" t="s">
        <v>263</v>
      </c>
    </row>
    <row r="499" spans="1:3" x14ac:dyDescent="0.25">
      <c r="A499" s="13" t="s">
        <v>1348</v>
      </c>
      <c r="B499" s="12" t="s">
        <v>138</v>
      </c>
      <c r="C499" s="12" t="s">
        <v>1349</v>
      </c>
    </row>
    <row r="500" spans="1:3" x14ac:dyDescent="0.25">
      <c r="A500" s="13" t="s">
        <v>148</v>
      </c>
      <c r="B500" s="12" t="s">
        <v>138</v>
      </c>
      <c r="C500" s="5" t="s">
        <v>147</v>
      </c>
    </row>
    <row r="501" spans="1:3" x14ac:dyDescent="0.25">
      <c r="A501" s="13" t="s">
        <v>298</v>
      </c>
      <c r="B501" s="12" t="s">
        <v>138</v>
      </c>
      <c r="C501" s="12" t="s">
        <v>297</v>
      </c>
    </row>
    <row r="502" spans="1:3" x14ac:dyDescent="0.25">
      <c r="A502" s="13" t="s">
        <v>178</v>
      </c>
      <c r="B502" s="12" t="s">
        <v>138</v>
      </c>
      <c r="C502" s="12" t="s">
        <v>177</v>
      </c>
    </row>
    <row r="503" spans="1:3" x14ac:dyDescent="0.25">
      <c r="A503" s="13" t="s">
        <v>1351</v>
      </c>
      <c r="B503" s="12" t="s">
        <v>138</v>
      </c>
      <c r="C503" s="12" t="s">
        <v>1352</v>
      </c>
    </row>
    <row r="504" spans="1:3" x14ac:dyDescent="0.25">
      <c r="A504" s="13" t="s">
        <v>1353</v>
      </c>
      <c r="B504" s="12" t="s">
        <v>138</v>
      </c>
      <c r="C504" s="12" t="s">
        <v>1354</v>
      </c>
    </row>
    <row r="505" spans="1:3" x14ac:dyDescent="0.25">
      <c r="A505" s="13" t="s">
        <v>1357</v>
      </c>
      <c r="B505" s="12" t="s">
        <v>138</v>
      </c>
      <c r="C505" s="12" t="s">
        <v>1358</v>
      </c>
    </row>
    <row r="506" spans="1:3" x14ac:dyDescent="0.25">
      <c r="A506" s="13" t="s">
        <v>246</v>
      </c>
      <c r="B506" s="12" t="s">
        <v>138</v>
      </c>
      <c r="C506" s="12" t="s">
        <v>245</v>
      </c>
    </row>
    <row r="507" spans="1:3" x14ac:dyDescent="0.25">
      <c r="A507" s="13" t="s">
        <v>1359</v>
      </c>
      <c r="B507" s="12" t="s">
        <v>138</v>
      </c>
      <c r="C507" s="12" t="s">
        <v>1360</v>
      </c>
    </row>
    <row r="508" spans="1:3" x14ac:dyDescent="0.25">
      <c r="A508" s="13" t="s">
        <v>1361</v>
      </c>
      <c r="B508" s="12" t="s">
        <v>138</v>
      </c>
      <c r="C508" s="12" t="s">
        <v>1362</v>
      </c>
    </row>
    <row r="509" spans="1:3" x14ac:dyDescent="0.25">
      <c r="A509" s="13" t="s">
        <v>184</v>
      </c>
      <c r="B509" s="12" t="s">
        <v>138</v>
      </c>
      <c r="C509" s="12" t="s">
        <v>183</v>
      </c>
    </row>
    <row r="510" spans="1:3" x14ac:dyDescent="0.25">
      <c r="A510" s="13" t="s">
        <v>274</v>
      </c>
      <c r="B510" s="12" t="s">
        <v>138</v>
      </c>
      <c r="C510" s="12" t="s">
        <v>273</v>
      </c>
    </row>
    <row r="511" spans="1:3" x14ac:dyDescent="0.25">
      <c r="A511" s="13" t="s">
        <v>172</v>
      </c>
      <c r="B511" s="12" t="s">
        <v>138</v>
      </c>
      <c r="C511" s="12" t="s">
        <v>171</v>
      </c>
    </row>
    <row r="512" spans="1:3" x14ac:dyDescent="0.25">
      <c r="A512" s="13" t="s">
        <v>220</v>
      </c>
      <c r="B512" s="12" t="s">
        <v>138</v>
      </c>
      <c r="C512" s="12" t="s">
        <v>219</v>
      </c>
    </row>
    <row r="513" spans="1:3" x14ac:dyDescent="0.25">
      <c r="A513" s="13" t="s">
        <v>232</v>
      </c>
      <c r="B513" s="12" t="s">
        <v>138</v>
      </c>
      <c r="C513" s="12" t="s">
        <v>231</v>
      </c>
    </row>
    <row r="514" spans="1:3" x14ac:dyDescent="0.25">
      <c r="A514" s="13" t="s">
        <v>290</v>
      </c>
      <c r="B514" s="12" t="s">
        <v>138</v>
      </c>
      <c r="C514" s="12" t="s">
        <v>289</v>
      </c>
    </row>
    <row r="515" spans="1:3" x14ac:dyDescent="0.25">
      <c r="A515" s="13" t="s">
        <v>1366</v>
      </c>
      <c r="B515" s="12" t="s">
        <v>138</v>
      </c>
      <c r="C515" s="12" t="s">
        <v>1367</v>
      </c>
    </row>
    <row r="516" spans="1:3" x14ac:dyDescent="0.25">
      <c r="A516" s="13" t="s">
        <v>188</v>
      </c>
      <c r="B516" s="12" t="s">
        <v>138</v>
      </c>
      <c r="C516" s="12" t="s">
        <v>187</v>
      </c>
    </row>
    <row r="517" spans="1:3" x14ac:dyDescent="0.25">
      <c r="A517" s="13" t="s">
        <v>1236</v>
      </c>
      <c r="B517" s="12" t="s">
        <v>138</v>
      </c>
      <c r="C517" s="12" t="s">
        <v>1369</v>
      </c>
    </row>
    <row r="518" spans="1:3" x14ac:dyDescent="0.25">
      <c r="A518" s="13" t="s">
        <v>162</v>
      </c>
      <c r="B518" s="12" t="s">
        <v>138</v>
      </c>
      <c r="C518" s="12" t="s">
        <v>161</v>
      </c>
    </row>
    <row r="519" spans="1:3" x14ac:dyDescent="0.25">
      <c r="A519" s="13" t="s">
        <v>1371</v>
      </c>
      <c r="B519" s="12" t="s">
        <v>138</v>
      </c>
      <c r="C519" s="12" t="s">
        <v>1372</v>
      </c>
    </row>
    <row r="520" spans="1:3" x14ac:dyDescent="0.25">
      <c r="A520" s="13" t="s">
        <v>308</v>
      </c>
      <c r="B520" s="12" t="s">
        <v>138</v>
      </c>
      <c r="C520" s="12" t="s">
        <v>307</v>
      </c>
    </row>
    <row r="521" spans="1:3" x14ac:dyDescent="0.25">
      <c r="A521" s="13" t="s">
        <v>280</v>
      </c>
      <c r="B521" s="12" t="s">
        <v>138</v>
      </c>
      <c r="C521" s="12" t="s">
        <v>279</v>
      </c>
    </row>
    <row r="522" spans="1:3" ht="15" customHeight="1" x14ac:dyDescent="0.25">
      <c r="A522" t="s">
        <v>1181</v>
      </c>
      <c r="B522" t="s">
        <v>16</v>
      </c>
      <c r="C522" s="150" t="s">
        <v>1182</v>
      </c>
    </row>
    <row r="523" spans="1:3" x14ac:dyDescent="0.25">
      <c r="A523" s="13" t="s">
        <v>647</v>
      </c>
      <c r="B523" s="12" t="s">
        <v>647</v>
      </c>
      <c r="C523" s="12" t="s">
        <v>1376</v>
      </c>
    </row>
    <row r="524" spans="1:3" x14ac:dyDescent="0.25">
      <c r="A524" s="5" t="s">
        <v>130</v>
      </c>
      <c r="B524" s="12" t="s">
        <v>131</v>
      </c>
      <c r="C524" s="5" t="s">
        <v>129</v>
      </c>
    </row>
    <row r="525" spans="1:3" x14ac:dyDescent="0.25">
      <c r="A525" s="13" t="s">
        <v>128</v>
      </c>
      <c r="B525" s="12" t="s">
        <v>128</v>
      </c>
      <c r="C525" s="12" t="s">
        <v>127</v>
      </c>
    </row>
    <row r="526" spans="1:3" x14ac:dyDescent="0.25">
      <c r="A526" s="13" t="s">
        <v>1399</v>
      </c>
      <c r="B526" s="12" t="s">
        <v>1399</v>
      </c>
      <c r="C526" s="12" t="s">
        <v>1400</v>
      </c>
    </row>
    <row r="527" spans="1:3" x14ac:dyDescent="0.25">
      <c r="A527" s="13" t="s">
        <v>119</v>
      </c>
      <c r="B527" s="12" t="s">
        <v>107</v>
      </c>
      <c r="C527" s="12" t="s">
        <v>118</v>
      </c>
    </row>
    <row r="528" spans="1:3" x14ac:dyDescent="0.25">
      <c r="A528" s="13" t="s">
        <v>1411</v>
      </c>
      <c r="B528" s="12" t="s">
        <v>107</v>
      </c>
      <c r="C528" s="12" t="s">
        <v>1412</v>
      </c>
    </row>
    <row r="529" spans="1:3" x14ac:dyDescent="0.25">
      <c r="A529" s="13" t="s">
        <v>111</v>
      </c>
      <c r="B529" s="12" t="s">
        <v>107</v>
      </c>
      <c r="C529" s="12" t="s">
        <v>110</v>
      </c>
    </row>
    <row r="530" spans="1:3" x14ac:dyDescent="0.25">
      <c r="A530" s="13" t="s">
        <v>117</v>
      </c>
      <c r="B530" s="12" t="s">
        <v>107</v>
      </c>
      <c r="C530" s="12" t="s">
        <v>116</v>
      </c>
    </row>
    <row r="531" spans="1:3" x14ac:dyDescent="0.25">
      <c r="A531" s="13" t="s">
        <v>106</v>
      </c>
      <c r="B531" s="12" t="s">
        <v>107</v>
      </c>
      <c r="C531" s="12" t="s">
        <v>105</v>
      </c>
    </row>
    <row r="532" spans="1:3" ht="15" customHeight="1" x14ac:dyDescent="0.25">
      <c r="A532" t="s">
        <v>2531</v>
      </c>
      <c r="B532" t="s">
        <v>107</v>
      </c>
      <c r="C532" s="5" t="s">
        <v>609</v>
      </c>
    </row>
    <row r="533" spans="1:3" ht="15" customHeight="1" x14ac:dyDescent="0.25">
      <c r="A533" t="s">
        <v>1409</v>
      </c>
      <c r="B533" t="s">
        <v>107</v>
      </c>
      <c r="C533" s="129" t="s">
        <v>1410</v>
      </c>
    </row>
    <row r="534" spans="1:3" x14ac:dyDescent="0.25">
      <c r="A534" s="13" t="s">
        <v>1431</v>
      </c>
      <c r="B534" s="12" t="s">
        <v>1432</v>
      </c>
      <c r="C534" s="12" t="s">
        <v>1433</v>
      </c>
    </row>
    <row r="535" spans="1:3" x14ac:dyDescent="0.25">
      <c r="A535" s="13" t="s">
        <v>1434</v>
      </c>
      <c r="B535" s="12" t="s">
        <v>1432</v>
      </c>
      <c r="C535" s="12" t="s">
        <v>1435</v>
      </c>
    </row>
    <row r="536" spans="1:3" x14ac:dyDescent="0.25">
      <c r="A536" s="13" t="s">
        <v>646</v>
      </c>
      <c r="B536" s="12" t="s">
        <v>646</v>
      </c>
      <c r="C536" s="12" t="s">
        <v>1436</v>
      </c>
    </row>
    <row r="537" spans="1:3" x14ac:dyDescent="0.25">
      <c r="A537" s="13" t="s">
        <v>1437</v>
      </c>
      <c r="B537" s="12" t="s">
        <v>640</v>
      </c>
      <c r="C537" s="12" t="s">
        <v>1438</v>
      </c>
    </row>
    <row r="538" spans="1:3" x14ac:dyDescent="0.25">
      <c r="A538" s="13" t="s">
        <v>1439</v>
      </c>
      <c r="B538" s="12" t="s">
        <v>640</v>
      </c>
      <c r="C538" s="12" t="s">
        <v>1440</v>
      </c>
    </row>
    <row r="539" spans="1:3" x14ac:dyDescent="0.25">
      <c r="A539" s="13" t="s">
        <v>1441</v>
      </c>
      <c r="B539" s="12" t="s">
        <v>640</v>
      </c>
      <c r="C539" s="12" t="s">
        <v>1442</v>
      </c>
    </row>
    <row r="540" spans="1:3" x14ac:dyDescent="0.25">
      <c r="A540" s="13" t="s">
        <v>1443</v>
      </c>
      <c r="B540" s="12" t="s">
        <v>640</v>
      </c>
      <c r="C540" s="12">
        <v>0</v>
      </c>
    </row>
    <row r="541" spans="1:3" x14ac:dyDescent="0.25">
      <c r="A541" s="13" t="s">
        <v>1444</v>
      </c>
      <c r="B541" s="12" t="s">
        <v>640</v>
      </c>
      <c r="C541" s="12">
        <v>0</v>
      </c>
    </row>
    <row r="542" spans="1:3" x14ac:dyDescent="0.25">
      <c r="A542" s="13" t="s">
        <v>1445</v>
      </c>
      <c r="B542" s="12" t="s">
        <v>640</v>
      </c>
      <c r="C542" s="12" t="s">
        <v>1446</v>
      </c>
    </row>
    <row r="543" spans="1:3" x14ac:dyDescent="0.25">
      <c r="A543" s="13" t="s">
        <v>101</v>
      </c>
      <c r="B543" s="12" t="s">
        <v>101</v>
      </c>
      <c r="C543" s="12" t="s">
        <v>100</v>
      </c>
    </row>
    <row r="544" spans="1:3" x14ac:dyDescent="0.25">
      <c r="A544" s="13" t="s">
        <v>98</v>
      </c>
      <c r="B544" s="12" t="s">
        <v>99</v>
      </c>
      <c r="C544" s="12" t="s">
        <v>97</v>
      </c>
    </row>
    <row r="545" spans="1:3" x14ac:dyDescent="0.25">
      <c r="A545" s="13" t="s">
        <v>1448</v>
      </c>
      <c r="B545" s="12" t="s">
        <v>99</v>
      </c>
      <c r="C545" s="12" t="s">
        <v>1449</v>
      </c>
    </row>
    <row r="546" spans="1:3" x14ac:dyDescent="0.25">
      <c r="A546" s="13" t="s">
        <v>95</v>
      </c>
      <c r="B546" s="12" t="s">
        <v>96</v>
      </c>
      <c r="C546" s="12" t="s">
        <v>94</v>
      </c>
    </row>
    <row r="547" spans="1:3" x14ac:dyDescent="0.25">
      <c r="A547" s="13" t="s">
        <v>1470</v>
      </c>
      <c r="B547" s="12" t="s">
        <v>96</v>
      </c>
      <c r="C547" s="12" t="s">
        <v>1471</v>
      </c>
    </row>
    <row r="548" spans="1:3" x14ac:dyDescent="0.25">
      <c r="A548" s="13" t="s">
        <v>1482</v>
      </c>
      <c r="B548" s="12" t="s">
        <v>96</v>
      </c>
      <c r="C548" s="12" t="s">
        <v>1483</v>
      </c>
    </row>
    <row r="549" spans="1:3" x14ac:dyDescent="0.25">
      <c r="A549" s="13" t="s">
        <v>1468</v>
      </c>
      <c r="B549" s="12" t="s">
        <v>96</v>
      </c>
      <c r="C549" s="12" t="s">
        <v>1469</v>
      </c>
    </row>
    <row r="550" spans="1:3" x14ac:dyDescent="0.25">
      <c r="A550" s="13" t="s">
        <v>1476</v>
      </c>
      <c r="B550" s="12" t="s">
        <v>96</v>
      </c>
      <c r="C550" s="4" t="s">
        <v>1477</v>
      </c>
    </row>
    <row r="551" spans="1:3" x14ac:dyDescent="0.25">
      <c r="A551" s="13" t="s">
        <v>1492</v>
      </c>
      <c r="B551" s="12" t="s">
        <v>1493</v>
      </c>
      <c r="C551" s="12" t="s">
        <v>1494</v>
      </c>
    </row>
    <row r="552" spans="1:3" x14ac:dyDescent="0.25">
      <c r="A552" s="13" t="s">
        <v>1495</v>
      </c>
      <c r="B552" s="12" t="s">
        <v>1493</v>
      </c>
      <c r="C552" s="12" t="s">
        <v>1496</v>
      </c>
    </row>
    <row r="553" spans="1:3" x14ac:dyDescent="0.25">
      <c r="A553" s="13" t="s">
        <v>1499</v>
      </c>
      <c r="B553" s="12" t="s">
        <v>1493</v>
      </c>
      <c r="C553" s="12" t="s">
        <v>1500</v>
      </c>
    </row>
    <row r="554" spans="1:3" x14ac:dyDescent="0.25">
      <c r="A554" s="13" t="s">
        <v>1501</v>
      </c>
      <c r="B554" s="12" t="s">
        <v>1493</v>
      </c>
      <c r="C554" s="12" t="s">
        <v>1502</v>
      </c>
    </row>
    <row r="555" spans="1:3" x14ac:dyDescent="0.25">
      <c r="A555" s="13" t="s">
        <v>1503</v>
      </c>
      <c r="B555" s="12" t="s">
        <v>1493</v>
      </c>
      <c r="C555" s="12" t="s">
        <v>1504</v>
      </c>
    </row>
    <row r="556" spans="1:3" x14ac:dyDescent="0.25">
      <c r="A556" s="13" t="s">
        <v>1511</v>
      </c>
      <c r="B556" s="12" t="s">
        <v>1493</v>
      </c>
      <c r="C556" s="12" t="s">
        <v>1512</v>
      </c>
    </row>
    <row r="557" spans="1:3" x14ac:dyDescent="0.25">
      <c r="A557" s="13" t="s">
        <v>1513</v>
      </c>
      <c r="B557" s="12" t="s">
        <v>1493</v>
      </c>
      <c r="C557" s="12" t="s">
        <v>1514</v>
      </c>
    </row>
    <row r="558" spans="1:3" x14ac:dyDescent="0.25">
      <c r="A558" s="13" t="s">
        <v>1497</v>
      </c>
      <c r="B558" s="12" t="s">
        <v>1493</v>
      </c>
      <c r="C558" s="8" t="s">
        <v>1498</v>
      </c>
    </row>
    <row r="559" spans="1:3" ht="15" customHeight="1" x14ac:dyDescent="0.25">
      <c r="A559" t="s">
        <v>1505</v>
      </c>
      <c r="B559" s="9" t="s">
        <v>1493</v>
      </c>
      <c r="C559" s="5" t="s">
        <v>1506</v>
      </c>
    </row>
    <row r="560" spans="1:3" x14ac:dyDescent="0.25">
      <c r="A560" s="13" t="s">
        <v>68</v>
      </c>
      <c r="B560" s="12" t="s">
        <v>60</v>
      </c>
      <c r="C560" s="12" t="s">
        <v>67</v>
      </c>
    </row>
    <row r="561" spans="1:3" x14ac:dyDescent="0.25">
      <c r="A561" s="13" t="s">
        <v>62</v>
      </c>
      <c r="B561" s="12" t="s">
        <v>60</v>
      </c>
      <c r="C561" s="12" t="s">
        <v>61</v>
      </c>
    </row>
    <row r="562" spans="1:3" x14ac:dyDescent="0.25">
      <c r="A562" s="13" t="s">
        <v>74</v>
      </c>
      <c r="B562" s="12" t="s">
        <v>60</v>
      </c>
      <c r="C562" s="12" t="s">
        <v>73</v>
      </c>
    </row>
    <row r="563" spans="1:3" x14ac:dyDescent="0.25">
      <c r="A563" s="13" t="s">
        <v>70</v>
      </c>
      <c r="B563" s="12" t="s">
        <v>60</v>
      </c>
      <c r="C563" s="12" t="s">
        <v>69</v>
      </c>
    </row>
    <row r="564" spans="1:3" x14ac:dyDescent="0.25">
      <c r="A564" s="13" t="s">
        <v>1515</v>
      </c>
      <c r="B564" s="12" t="s">
        <v>60</v>
      </c>
      <c r="C564" s="12" t="s">
        <v>1516</v>
      </c>
    </row>
    <row r="565" spans="1:3" x14ac:dyDescent="0.25">
      <c r="A565" s="13" t="s">
        <v>88</v>
      </c>
      <c r="B565" s="12" t="s">
        <v>60</v>
      </c>
      <c r="C565" s="12" t="s">
        <v>87</v>
      </c>
    </row>
    <row r="566" spans="1:3" x14ac:dyDescent="0.25">
      <c r="A566" s="13" t="s">
        <v>1517</v>
      </c>
      <c r="B566" s="12" t="s">
        <v>60</v>
      </c>
      <c r="C566" s="12" t="s">
        <v>1518</v>
      </c>
    </row>
    <row r="567" spans="1:3" x14ac:dyDescent="0.25">
      <c r="A567" s="13" t="s">
        <v>76</v>
      </c>
      <c r="B567" s="12" t="s">
        <v>60</v>
      </c>
      <c r="C567" s="12" t="s">
        <v>75</v>
      </c>
    </row>
    <row r="568" spans="1:3" x14ac:dyDescent="0.25">
      <c r="A568" s="13" t="s">
        <v>59</v>
      </c>
      <c r="B568" s="12" t="s">
        <v>60</v>
      </c>
      <c r="C568" s="12" t="s">
        <v>58</v>
      </c>
    </row>
    <row r="569" spans="1:3" x14ac:dyDescent="0.25">
      <c r="A569" s="13" t="s">
        <v>64</v>
      </c>
      <c r="B569" s="12" t="s">
        <v>60</v>
      </c>
      <c r="C569" s="12" t="s">
        <v>63</v>
      </c>
    </row>
    <row r="570" spans="1:3" x14ac:dyDescent="0.25">
      <c r="A570" s="13" t="s">
        <v>72</v>
      </c>
      <c r="B570" s="12" t="s">
        <v>60</v>
      </c>
      <c r="C570" s="12" t="s">
        <v>71</v>
      </c>
    </row>
    <row r="571" spans="1:3" x14ac:dyDescent="0.25">
      <c r="A571" s="13" t="s">
        <v>66</v>
      </c>
      <c r="B571" s="12" t="s">
        <v>60</v>
      </c>
      <c r="C571" s="12" t="s">
        <v>65</v>
      </c>
    </row>
    <row r="572" spans="1:3" x14ac:dyDescent="0.25">
      <c r="A572" s="13" t="s">
        <v>78</v>
      </c>
      <c r="B572" s="12" t="s">
        <v>60</v>
      </c>
      <c r="C572" s="12" t="s">
        <v>77</v>
      </c>
    </row>
    <row r="573" spans="1:3" x14ac:dyDescent="0.25">
      <c r="A573" s="13" t="s">
        <v>1519</v>
      </c>
      <c r="B573" s="12" t="s">
        <v>60</v>
      </c>
      <c r="C573" s="12" t="s">
        <v>1520</v>
      </c>
    </row>
    <row r="574" spans="1:3" x14ac:dyDescent="0.25">
      <c r="A574" s="13" t="s">
        <v>82</v>
      </c>
      <c r="B574" s="12" t="s">
        <v>60</v>
      </c>
      <c r="C574" s="12" t="s">
        <v>81</v>
      </c>
    </row>
    <row r="575" spans="1:3" x14ac:dyDescent="0.25">
      <c r="A575" s="13" t="s">
        <v>80</v>
      </c>
      <c r="B575" s="12" t="s">
        <v>60</v>
      </c>
      <c r="C575" s="12" t="s">
        <v>79</v>
      </c>
    </row>
    <row r="576" spans="1:3" ht="15" customHeight="1" x14ac:dyDescent="0.25">
      <c r="A576" t="s">
        <v>86</v>
      </c>
      <c r="B576" t="s">
        <v>60</v>
      </c>
      <c r="C576" s="167" t="s">
        <v>85</v>
      </c>
    </row>
    <row r="577" spans="1:3" ht="15" customHeight="1" x14ac:dyDescent="0.25">
      <c r="A577" s="130" t="s">
        <v>1107</v>
      </c>
      <c r="B577" s="9" t="s">
        <v>16</v>
      </c>
      <c r="C577" s="129" t="s">
        <v>1108</v>
      </c>
    </row>
    <row r="578" spans="1:3" ht="15" customHeight="1" x14ac:dyDescent="0.25">
      <c r="A578" s="130" t="s">
        <v>1109</v>
      </c>
      <c r="B578" s="9" t="s">
        <v>16</v>
      </c>
      <c r="C578" s="129" t="s">
        <v>1110</v>
      </c>
    </row>
    <row r="579" spans="1:3" ht="15" customHeight="1" x14ac:dyDescent="0.25">
      <c r="A579" s="130" t="s">
        <v>1111</v>
      </c>
      <c r="B579" s="9" t="s">
        <v>16</v>
      </c>
      <c r="C579" s="129" t="s">
        <v>1112</v>
      </c>
    </row>
    <row r="580" spans="1:3" ht="15" customHeight="1" x14ac:dyDescent="0.25">
      <c r="A580" t="s">
        <v>2523</v>
      </c>
      <c r="B580" t="s">
        <v>96</v>
      </c>
      <c r="C580" s="167" t="s">
        <v>1463</v>
      </c>
    </row>
    <row r="581" spans="1:3" ht="15" customHeight="1" x14ac:dyDescent="0.25">
      <c r="A581" t="s">
        <v>1480</v>
      </c>
      <c r="B581" t="s">
        <v>96</v>
      </c>
      <c r="C581" s="149" t="s">
        <v>1481</v>
      </c>
    </row>
    <row r="582" spans="1:3" ht="15" customHeight="1" x14ac:dyDescent="0.25">
      <c r="A582" t="s">
        <v>2524</v>
      </c>
      <c r="B582" t="s">
        <v>96</v>
      </c>
      <c r="C582" s="167" t="s">
        <v>1465</v>
      </c>
    </row>
    <row r="583" spans="1:3" ht="15" customHeight="1" x14ac:dyDescent="0.25">
      <c r="A583" t="s">
        <v>777</v>
      </c>
      <c r="B583" t="s">
        <v>643</v>
      </c>
      <c r="C583" s="167" t="s">
        <v>778</v>
      </c>
    </row>
    <row r="584" spans="1:3" x14ac:dyDescent="0.25">
      <c r="A584" s="13" t="s">
        <v>1521</v>
      </c>
      <c r="B584" s="12" t="s">
        <v>654</v>
      </c>
      <c r="C584" s="12" t="s">
        <v>1522</v>
      </c>
    </row>
    <row r="585" spans="1:3" x14ac:dyDescent="0.25">
      <c r="A585" s="13" t="s">
        <v>1523</v>
      </c>
      <c r="B585" s="12" t="s">
        <v>654</v>
      </c>
      <c r="C585" s="12" t="s">
        <v>1524</v>
      </c>
    </row>
    <row r="586" spans="1:3" x14ac:dyDescent="0.25">
      <c r="A586" s="13" t="s">
        <v>1525</v>
      </c>
      <c r="B586" s="12" t="s">
        <v>654</v>
      </c>
      <c r="C586" s="12" t="s">
        <v>1526</v>
      </c>
    </row>
    <row r="587" spans="1:3" x14ac:dyDescent="0.25">
      <c r="A587" s="13" t="s">
        <v>1527</v>
      </c>
      <c r="B587" s="12" t="s">
        <v>654</v>
      </c>
      <c r="C587" s="12" t="s">
        <v>1528</v>
      </c>
    </row>
    <row r="588" spans="1:3" x14ac:dyDescent="0.25">
      <c r="A588" s="13" t="s">
        <v>1529</v>
      </c>
      <c r="B588" s="12" t="s">
        <v>654</v>
      </c>
      <c r="C588" s="12" t="s">
        <v>1530</v>
      </c>
    </row>
    <row r="589" spans="1:3" x14ac:dyDescent="0.25">
      <c r="A589" s="13" t="s">
        <v>1531</v>
      </c>
      <c r="B589" s="12" t="s">
        <v>654</v>
      </c>
      <c r="C589" s="12" t="s">
        <v>1532</v>
      </c>
    </row>
    <row r="590" spans="1:3" x14ac:dyDescent="0.25">
      <c r="A590" s="13" t="s">
        <v>1533</v>
      </c>
      <c r="B590" s="12" t="s">
        <v>654</v>
      </c>
      <c r="C590" s="12" t="s">
        <v>1534</v>
      </c>
    </row>
    <row r="591" spans="1:3" x14ac:dyDescent="0.25">
      <c r="A591" s="13" t="s">
        <v>1535</v>
      </c>
      <c r="B591" s="12" t="s">
        <v>654</v>
      </c>
      <c r="C591" s="12" t="s">
        <v>1536</v>
      </c>
    </row>
    <row r="592" spans="1:3" x14ac:dyDescent="0.25">
      <c r="A592" s="13" t="s">
        <v>1537</v>
      </c>
      <c r="B592" s="12" t="s">
        <v>654</v>
      </c>
      <c r="C592" s="12" t="s">
        <v>1538</v>
      </c>
    </row>
    <row r="593" spans="1:3" x14ac:dyDescent="0.25">
      <c r="A593" s="13" t="s">
        <v>1539</v>
      </c>
      <c r="B593" s="12" t="s">
        <v>654</v>
      </c>
      <c r="C593" s="12" t="s">
        <v>1540</v>
      </c>
    </row>
    <row r="594" spans="1:3" x14ac:dyDescent="0.25">
      <c r="A594" s="13" t="s">
        <v>1541</v>
      </c>
      <c r="B594" s="12" t="s">
        <v>654</v>
      </c>
      <c r="C594" s="12" t="s">
        <v>1542</v>
      </c>
    </row>
    <row r="595" spans="1:3" x14ac:dyDescent="0.25">
      <c r="A595" s="13" t="s">
        <v>1543</v>
      </c>
      <c r="B595" s="12" t="s">
        <v>654</v>
      </c>
      <c r="C595" s="12" t="s">
        <v>1544</v>
      </c>
    </row>
    <row r="596" spans="1:3" x14ac:dyDescent="0.25">
      <c r="A596" s="13" t="s">
        <v>1545</v>
      </c>
      <c r="B596" s="12" t="s">
        <v>654</v>
      </c>
      <c r="C596" s="12" t="s">
        <v>1546</v>
      </c>
    </row>
    <row r="597" spans="1:3" x14ac:dyDescent="0.25">
      <c r="A597" s="13" t="s">
        <v>1548</v>
      </c>
      <c r="B597" s="12" t="s">
        <v>654</v>
      </c>
      <c r="C597" s="12" t="s">
        <v>1549</v>
      </c>
    </row>
    <row r="598" spans="1:3" x14ac:dyDescent="0.25">
      <c r="A598" s="13" t="s">
        <v>1550</v>
      </c>
      <c r="B598" s="12" t="s">
        <v>654</v>
      </c>
      <c r="C598" s="12" t="s">
        <v>1551</v>
      </c>
    </row>
    <row r="599" spans="1:3" x14ac:dyDescent="0.25">
      <c r="A599" s="13" t="s">
        <v>1552</v>
      </c>
      <c r="B599" s="12" t="s">
        <v>654</v>
      </c>
      <c r="C599" s="12" t="s">
        <v>1553</v>
      </c>
    </row>
    <row r="600" spans="1:3" x14ac:dyDescent="0.25">
      <c r="A600" s="13" t="s">
        <v>1554</v>
      </c>
      <c r="B600" s="12" t="s">
        <v>654</v>
      </c>
      <c r="C600" s="12" t="s">
        <v>1555</v>
      </c>
    </row>
    <row r="601" spans="1:3" x14ac:dyDescent="0.25">
      <c r="A601" s="13" t="s">
        <v>1556</v>
      </c>
      <c r="B601" s="12" t="s">
        <v>654</v>
      </c>
      <c r="C601" s="12" t="s">
        <v>1557</v>
      </c>
    </row>
    <row r="602" spans="1:3" x14ac:dyDescent="0.25">
      <c r="A602" s="13" t="s">
        <v>1558</v>
      </c>
      <c r="B602" s="12" t="s">
        <v>654</v>
      </c>
      <c r="C602" s="12" t="s">
        <v>1559</v>
      </c>
    </row>
    <row r="603" spans="1:3" x14ac:dyDescent="0.25">
      <c r="A603" s="13" t="s">
        <v>1560</v>
      </c>
      <c r="B603" s="12" t="s">
        <v>654</v>
      </c>
      <c r="C603" s="12" t="s">
        <v>1561</v>
      </c>
    </row>
    <row r="604" spans="1:3" x14ac:dyDescent="0.25">
      <c r="A604" s="13" t="s">
        <v>1562</v>
      </c>
      <c r="B604" s="12" t="s">
        <v>654</v>
      </c>
      <c r="C604" s="12" t="s">
        <v>1563</v>
      </c>
    </row>
    <row r="605" spans="1:3" x14ac:dyDescent="0.25">
      <c r="A605" s="13" t="s">
        <v>1564</v>
      </c>
      <c r="B605" s="12" t="s">
        <v>654</v>
      </c>
      <c r="C605" s="12" t="s">
        <v>1565</v>
      </c>
    </row>
    <row r="606" spans="1:3" x14ac:dyDescent="0.25">
      <c r="A606" s="13" t="s">
        <v>1566</v>
      </c>
      <c r="B606" s="12" t="s">
        <v>654</v>
      </c>
      <c r="C606" s="12" t="s">
        <v>1567</v>
      </c>
    </row>
    <row r="607" spans="1:3" x14ac:dyDescent="0.25">
      <c r="A607" s="13" t="s">
        <v>1568</v>
      </c>
      <c r="B607" s="12" t="s">
        <v>654</v>
      </c>
      <c r="C607" s="12" t="s">
        <v>1569</v>
      </c>
    </row>
    <row r="608" spans="1:3" x14ac:dyDescent="0.25">
      <c r="A608" s="13" t="s">
        <v>1570</v>
      </c>
      <c r="B608" s="12" t="s">
        <v>654</v>
      </c>
      <c r="C608" s="12" t="s">
        <v>1571</v>
      </c>
    </row>
    <row r="609" spans="1:3" x14ac:dyDescent="0.25">
      <c r="A609" s="13" t="s">
        <v>1572</v>
      </c>
      <c r="B609" s="12" t="s">
        <v>654</v>
      </c>
      <c r="C609" s="12" t="s">
        <v>1573</v>
      </c>
    </row>
    <row r="610" spans="1:3" x14ac:dyDescent="0.25">
      <c r="A610" s="13" t="s">
        <v>1574</v>
      </c>
      <c r="B610" s="12" t="s">
        <v>654</v>
      </c>
      <c r="C610" s="12" t="s">
        <v>1575</v>
      </c>
    </row>
    <row r="611" spans="1:3" x14ac:dyDescent="0.25">
      <c r="A611" s="13" t="s">
        <v>1576</v>
      </c>
      <c r="B611" s="12" t="s">
        <v>654</v>
      </c>
      <c r="C611" s="12" t="s">
        <v>1577</v>
      </c>
    </row>
    <row r="612" spans="1:3" x14ac:dyDescent="0.25">
      <c r="A612" s="13" t="s">
        <v>1578</v>
      </c>
      <c r="B612" s="12" t="s">
        <v>654</v>
      </c>
      <c r="C612" s="12" t="s">
        <v>1579</v>
      </c>
    </row>
    <row r="613" spans="1:3" x14ac:dyDescent="0.25">
      <c r="A613" s="13" t="s">
        <v>1580</v>
      </c>
      <c r="B613" s="12" t="s">
        <v>654</v>
      </c>
      <c r="C613" s="12" t="s">
        <v>1581</v>
      </c>
    </row>
    <row r="614" spans="1:3" x14ac:dyDescent="0.25">
      <c r="A614" s="13" t="s">
        <v>1582</v>
      </c>
      <c r="B614" s="12" t="s">
        <v>654</v>
      </c>
      <c r="C614" s="12" t="s">
        <v>1583</v>
      </c>
    </row>
    <row r="615" spans="1:3" x14ac:dyDescent="0.25">
      <c r="A615" s="13" t="s">
        <v>1584</v>
      </c>
      <c r="B615" s="12" t="s">
        <v>654</v>
      </c>
      <c r="C615" s="12" t="s">
        <v>1585</v>
      </c>
    </row>
    <row r="616" spans="1:3" x14ac:dyDescent="0.25">
      <c r="A616" s="13" t="s">
        <v>1586</v>
      </c>
      <c r="B616" s="12" t="s">
        <v>654</v>
      </c>
      <c r="C616" s="12" t="s">
        <v>1587</v>
      </c>
    </row>
    <row r="617" spans="1:3" x14ac:dyDescent="0.25">
      <c r="A617" s="13" t="s">
        <v>1588</v>
      </c>
      <c r="B617" s="12" t="s">
        <v>654</v>
      </c>
      <c r="C617" s="12" t="s">
        <v>1589</v>
      </c>
    </row>
    <row r="618" spans="1:3" x14ac:dyDescent="0.25">
      <c r="A618" s="13" t="s">
        <v>1590</v>
      </c>
      <c r="B618" s="12" t="s">
        <v>654</v>
      </c>
      <c r="C618" s="12" t="s">
        <v>1591</v>
      </c>
    </row>
    <row r="619" spans="1:3" x14ac:dyDescent="0.25">
      <c r="A619" s="13" t="s">
        <v>1594</v>
      </c>
      <c r="B619" s="12" t="s">
        <v>654</v>
      </c>
      <c r="C619" s="12" t="s">
        <v>1595</v>
      </c>
    </row>
    <row r="620" spans="1:3" x14ac:dyDescent="0.25">
      <c r="A620" s="13" t="s">
        <v>1592</v>
      </c>
      <c r="B620" s="12" t="s">
        <v>654</v>
      </c>
      <c r="C620" s="12" t="s">
        <v>1593</v>
      </c>
    </row>
    <row r="621" spans="1:3" x14ac:dyDescent="0.25">
      <c r="A621" s="13" t="s">
        <v>1596</v>
      </c>
      <c r="B621" s="12" t="s">
        <v>654</v>
      </c>
      <c r="C621" s="12" t="s">
        <v>1597</v>
      </c>
    </row>
    <row r="622" spans="1:3" x14ac:dyDescent="0.25">
      <c r="A622" s="13" t="s">
        <v>1600</v>
      </c>
      <c r="B622" s="12" t="s">
        <v>654</v>
      </c>
      <c r="C622" s="12" t="s">
        <v>1601</v>
      </c>
    </row>
    <row r="623" spans="1:3" x14ac:dyDescent="0.25">
      <c r="A623" s="13" t="s">
        <v>1602</v>
      </c>
      <c r="B623" s="12" t="s">
        <v>654</v>
      </c>
      <c r="C623" s="12" t="s">
        <v>1603</v>
      </c>
    </row>
    <row r="624" spans="1:3" x14ac:dyDescent="0.25">
      <c r="A624" s="13" t="s">
        <v>1604</v>
      </c>
      <c r="B624" s="12" t="s">
        <v>654</v>
      </c>
      <c r="C624" s="12" t="s">
        <v>1605</v>
      </c>
    </row>
    <row r="625" spans="1:3" x14ac:dyDescent="0.25">
      <c r="A625" s="13" t="s">
        <v>1606</v>
      </c>
      <c r="B625" s="12" t="s">
        <v>654</v>
      </c>
      <c r="C625" s="12" t="s">
        <v>1607</v>
      </c>
    </row>
    <row r="626" spans="1:3" x14ac:dyDescent="0.25">
      <c r="A626" s="13" t="s">
        <v>1608</v>
      </c>
      <c r="B626" s="12" t="s">
        <v>654</v>
      </c>
      <c r="C626" s="12" t="s">
        <v>1609</v>
      </c>
    </row>
    <row r="627" spans="1:3" x14ac:dyDescent="0.25">
      <c r="A627" s="13" t="s">
        <v>1611</v>
      </c>
      <c r="B627" s="12" t="s">
        <v>654</v>
      </c>
      <c r="C627" s="12" t="s">
        <v>1612</v>
      </c>
    </row>
    <row r="628" spans="1:3" x14ac:dyDescent="0.25">
      <c r="A628" s="13" t="s">
        <v>1613</v>
      </c>
      <c r="B628" s="12" t="s">
        <v>654</v>
      </c>
      <c r="C628" s="12" t="s">
        <v>1614</v>
      </c>
    </row>
    <row r="629" spans="1:3" x14ac:dyDescent="0.25">
      <c r="A629" s="13" t="s">
        <v>1616</v>
      </c>
      <c r="B629" s="12" t="s">
        <v>654</v>
      </c>
      <c r="C629" s="12" t="s">
        <v>1617</v>
      </c>
    </row>
    <row r="630" spans="1:3" x14ac:dyDescent="0.25">
      <c r="A630" s="13" t="s">
        <v>1618</v>
      </c>
      <c r="B630" s="12" t="s">
        <v>654</v>
      </c>
      <c r="C630" s="12" t="s">
        <v>1619</v>
      </c>
    </row>
    <row r="631" spans="1:3" x14ac:dyDescent="0.25">
      <c r="A631" s="13" t="s">
        <v>1620</v>
      </c>
      <c r="B631" s="12" t="s">
        <v>654</v>
      </c>
      <c r="C631" s="12" t="s">
        <v>1621</v>
      </c>
    </row>
    <row r="632" spans="1:3" x14ac:dyDescent="0.25">
      <c r="A632" s="13" t="s">
        <v>1622</v>
      </c>
      <c r="B632" s="12" t="s">
        <v>654</v>
      </c>
      <c r="C632" s="12" t="s">
        <v>1623</v>
      </c>
    </row>
    <row r="633" spans="1:3" x14ac:dyDescent="0.25">
      <c r="A633" s="13" t="s">
        <v>1624</v>
      </c>
      <c r="B633" s="12" t="s">
        <v>654</v>
      </c>
      <c r="C633" s="12" t="s">
        <v>1625</v>
      </c>
    </row>
    <row r="634" spans="1:3" x14ac:dyDescent="0.25">
      <c r="A634" s="13" t="s">
        <v>1626</v>
      </c>
      <c r="B634" s="12" t="s">
        <v>654</v>
      </c>
      <c r="C634" s="12" t="s">
        <v>1627</v>
      </c>
    </row>
    <row r="635" spans="1:3" x14ac:dyDescent="0.25">
      <c r="A635" s="13" t="s">
        <v>1628</v>
      </c>
      <c r="B635" s="12" t="s">
        <v>654</v>
      </c>
      <c r="C635" s="12" t="s">
        <v>1629</v>
      </c>
    </row>
    <row r="636" spans="1:3" x14ac:dyDescent="0.25">
      <c r="A636" s="13" t="s">
        <v>1630</v>
      </c>
      <c r="B636" s="12" t="s">
        <v>654</v>
      </c>
      <c r="C636" s="12" t="s">
        <v>1631</v>
      </c>
    </row>
    <row r="637" spans="1:3" x14ac:dyDescent="0.25">
      <c r="A637" s="13" t="s">
        <v>1632</v>
      </c>
      <c r="B637" s="12" t="s">
        <v>654</v>
      </c>
      <c r="C637" s="12" t="s">
        <v>1633</v>
      </c>
    </row>
    <row r="638" spans="1:3" x14ac:dyDescent="0.25">
      <c r="A638" s="13" t="s">
        <v>1634</v>
      </c>
      <c r="B638" s="12" t="s">
        <v>654</v>
      </c>
      <c r="C638" s="12" t="s">
        <v>1635</v>
      </c>
    </row>
    <row r="639" spans="1:3" x14ac:dyDescent="0.25">
      <c r="A639" s="13" t="s">
        <v>1636</v>
      </c>
      <c r="B639" s="12" t="s">
        <v>654</v>
      </c>
      <c r="C639" s="12" t="s">
        <v>1637</v>
      </c>
    </row>
    <row r="640" spans="1:3" x14ac:dyDescent="0.25">
      <c r="A640" s="13" t="s">
        <v>1640</v>
      </c>
      <c r="B640" s="12" t="s">
        <v>654</v>
      </c>
      <c r="C640" s="12">
        <v>0</v>
      </c>
    </row>
    <row r="641" spans="1:3" x14ac:dyDescent="0.25">
      <c r="A641" s="13" t="s">
        <v>1641</v>
      </c>
      <c r="B641" s="12" t="s">
        <v>654</v>
      </c>
      <c r="C641" s="12">
        <v>0</v>
      </c>
    </row>
    <row r="642" spans="1:3" x14ac:dyDescent="0.25">
      <c r="A642" s="13" t="s">
        <v>1642</v>
      </c>
      <c r="B642" s="12" t="s">
        <v>654</v>
      </c>
      <c r="C642" s="12">
        <v>0</v>
      </c>
    </row>
    <row r="643" spans="1:3" x14ac:dyDescent="0.25">
      <c r="A643" s="13" t="s">
        <v>1643</v>
      </c>
      <c r="B643" s="12" t="s">
        <v>654</v>
      </c>
      <c r="C643" s="12" t="s">
        <v>1644</v>
      </c>
    </row>
    <row r="644" spans="1:3" x14ac:dyDescent="0.25">
      <c r="A644" s="13" t="s">
        <v>1645</v>
      </c>
      <c r="B644" s="12" t="s">
        <v>654</v>
      </c>
      <c r="C644" s="12" t="s">
        <v>1646</v>
      </c>
    </row>
    <row r="645" spans="1:3" x14ac:dyDescent="0.25">
      <c r="A645" s="13" t="s">
        <v>1648</v>
      </c>
      <c r="B645" s="12" t="s">
        <v>654</v>
      </c>
      <c r="C645" s="12">
        <v>0</v>
      </c>
    </row>
    <row r="646" spans="1:3" x14ac:dyDescent="0.25">
      <c r="A646" s="13" t="s">
        <v>1649</v>
      </c>
      <c r="B646" s="12" t="s">
        <v>654</v>
      </c>
      <c r="C646" s="12" t="s">
        <v>1650</v>
      </c>
    </row>
    <row r="647" spans="1:3" x14ac:dyDescent="0.25">
      <c r="A647" s="13" t="s">
        <v>1651</v>
      </c>
      <c r="B647" s="12" t="s">
        <v>654</v>
      </c>
      <c r="C647" s="12">
        <v>0</v>
      </c>
    </row>
    <row r="648" spans="1:3" x14ac:dyDescent="0.25">
      <c r="A648" s="13" t="s">
        <v>1653</v>
      </c>
      <c r="B648" s="12" t="s">
        <v>654</v>
      </c>
      <c r="C648" s="12">
        <v>0</v>
      </c>
    </row>
    <row r="649" spans="1:3" x14ac:dyDescent="0.25">
      <c r="A649" s="13" t="s">
        <v>1655</v>
      </c>
      <c r="B649" s="12" t="s">
        <v>654</v>
      </c>
      <c r="C649" s="12" t="s">
        <v>1656</v>
      </c>
    </row>
    <row r="650" spans="1:3" x14ac:dyDescent="0.25">
      <c r="A650" s="13" t="s">
        <v>1657</v>
      </c>
      <c r="B650" s="12" t="s">
        <v>654</v>
      </c>
      <c r="C650" s="12" t="s">
        <v>1658</v>
      </c>
    </row>
    <row r="651" spans="1:3" x14ac:dyDescent="0.25">
      <c r="A651" s="13" t="s">
        <v>1659</v>
      </c>
      <c r="B651" s="12" t="s">
        <v>654</v>
      </c>
      <c r="C651" s="12" t="s">
        <v>1660</v>
      </c>
    </row>
    <row r="652" spans="1:3" x14ac:dyDescent="0.25">
      <c r="A652" s="13" t="s">
        <v>1661</v>
      </c>
      <c r="B652" s="12" t="s">
        <v>654</v>
      </c>
      <c r="C652" s="12" t="s">
        <v>1662</v>
      </c>
    </row>
    <row r="653" spans="1:3" x14ac:dyDescent="0.25">
      <c r="A653" s="13" t="s">
        <v>1663</v>
      </c>
      <c r="B653" s="12" t="s">
        <v>654</v>
      </c>
      <c r="C653" s="12" t="s">
        <v>1664</v>
      </c>
    </row>
    <row r="654" spans="1:3" x14ac:dyDescent="0.25">
      <c r="A654" s="13" t="s">
        <v>1665</v>
      </c>
      <c r="B654" s="12" t="s">
        <v>654</v>
      </c>
      <c r="C654" s="12" t="s">
        <v>1666</v>
      </c>
    </row>
    <row r="655" spans="1:3" x14ac:dyDescent="0.25">
      <c r="A655" s="13" t="s">
        <v>1668</v>
      </c>
      <c r="B655" s="12" t="s">
        <v>654</v>
      </c>
      <c r="C655" s="12" t="s">
        <v>1669</v>
      </c>
    </row>
    <row r="656" spans="1:3" x14ac:dyDescent="0.25">
      <c r="A656" s="13" t="s">
        <v>1670</v>
      </c>
      <c r="B656" s="12" t="s">
        <v>654</v>
      </c>
      <c r="C656" s="12" t="s">
        <v>1671</v>
      </c>
    </row>
    <row r="657" spans="1:3" x14ac:dyDescent="0.25">
      <c r="A657" s="13" t="s">
        <v>1672</v>
      </c>
      <c r="B657" s="12" t="s">
        <v>654</v>
      </c>
      <c r="C657" s="12" t="s">
        <v>1673</v>
      </c>
    </row>
    <row r="658" spans="1:3" x14ac:dyDescent="0.25">
      <c r="A658" s="13" t="s">
        <v>1674</v>
      </c>
      <c r="B658" s="12" t="s">
        <v>654</v>
      </c>
      <c r="C658" s="12">
        <v>0</v>
      </c>
    </row>
    <row r="659" spans="1:3" x14ac:dyDescent="0.25">
      <c r="A659" s="13" t="s">
        <v>1675</v>
      </c>
      <c r="B659" s="12" t="s">
        <v>654</v>
      </c>
      <c r="C659" s="12">
        <v>0</v>
      </c>
    </row>
    <row r="660" spans="1:3" x14ac:dyDescent="0.25">
      <c r="A660" s="13" t="s">
        <v>1676</v>
      </c>
      <c r="B660" s="12" t="s">
        <v>654</v>
      </c>
      <c r="C660" s="12">
        <v>0</v>
      </c>
    </row>
    <row r="661" spans="1:3" x14ac:dyDescent="0.25">
      <c r="A661" s="13" t="s">
        <v>1677</v>
      </c>
      <c r="B661" s="12" t="s">
        <v>654</v>
      </c>
      <c r="C661" s="12">
        <v>0</v>
      </c>
    </row>
    <row r="662" spans="1:3" x14ac:dyDescent="0.25">
      <c r="A662" s="13" t="s">
        <v>1679</v>
      </c>
      <c r="B662" s="12" t="s">
        <v>654</v>
      </c>
      <c r="C662" s="12">
        <v>0</v>
      </c>
    </row>
    <row r="663" spans="1:3" x14ac:dyDescent="0.25">
      <c r="A663" s="13" t="s">
        <v>1680</v>
      </c>
      <c r="B663" s="12" t="s">
        <v>654</v>
      </c>
      <c r="C663" s="12">
        <v>0</v>
      </c>
    </row>
    <row r="664" spans="1:3" x14ac:dyDescent="0.25">
      <c r="A664" s="13" t="s">
        <v>1681</v>
      </c>
      <c r="B664" s="12" t="s">
        <v>654</v>
      </c>
      <c r="C664" s="12">
        <v>0</v>
      </c>
    </row>
    <row r="665" spans="1:3" x14ac:dyDescent="0.25">
      <c r="A665" s="13" t="s">
        <v>1682</v>
      </c>
      <c r="B665" s="12" t="s">
        <v>654</v>
      </c>
      <c r="C665" s="12" t="s">
        <v>1683</v>
      </c>
    </row>
    <row r="666" spans="1:3" x14ac:dyDescent="0.25">
      <c r="A666" s="13" t="s">
        <v>1684</v>
      </c>
      <c r="B666" s="12" t="s">
        <v>654</v>
      </c>
      <c r="C666" s="12">
        <v>0</v>
      </c>
    </row>
    <row r="667" spans="1:3" x14ac:dyDescent="0.25">
      <c r="A667" s="13" t="s">
        <v>1685</v>
      </c>
      <c r="B667" s="12" t="s">
        <v>654</v>
      </c>
      <c r="C667" s="12">
        <v>0</v>
      </c>
    </row>
    <row r="668" spans="1:3" x14ac:dyDescent="0.25">
      <c r="A668" s="13" t="s">
        <v>1686</v>
      </c>
      <c r="B668" s="12" t="s">
        <v>654</v>
      </c>
      <c r="C668" s="12">
        <v>0</v>
      </c>
    </row>
    <row r="669" spans="1:3" x14ac:dyDescent="0.25">
      <c r="A669" s="13" t="s">
        <v>1687</v>
      </c>
      <c r="B669" s="12" t="s">
        <v>654</v>
      </c>
      <c r="C669" s="12">
        <v>0</v>
      </c>
    </row>
    <row r="670" spans="1:3" x14ac:dyDescent="0.25">
      <c r="A670" s="13" t="s">
        <v>1688</v>
      </c>
      <c r="B670" s="12" t="s">
        <v>654</v>
      </c>
      <c r="C670" s="12">
        <v>0</v>
      </c>
    </row>
    <row r="671" spans="1:3" x14ac:dyDescent="0.25">
      <c r="A671" s="13" t="s">
        <v>1690</v>
      </c>
      <c r="B671" s="12" t="s">
        <v>654</v>
      </c>
      <c r="C671" s="12">
        <v>0</v>
      </c>
    </row>
    <row r="672" spans="1:3" x14ac:dyDescent="0.25">
      <c r="A672" s="13" t="s">
        <v>1692</v>
      </c>
      <c r="B672" s="12" t="s">
        <v>654</v>
      </c>
      <c r="C672" s="12">
        <v>0</v>
      </c>
    </row>
    <row r="673" spans="1:3" x14ac:dyDescent="0.25">
      <c r="A673" s="13" t="s">
        <v>1693</v>
      </c>
      <c r="B673" s="12" t="s">
        <v>654</v>
      </c>
      <c r="C673" s="12">
        <v>0</v>
      </c>
    </row>
    <row r="674" spans="1:3" x14ac:dyDescent="0.25">
      <c r="A674" s="13" t="s">
        <v>1694</v>
      </c>
      <c r="B674" s="12" t="s">
        <v>654</v>
      </c>
      <c r="C674" s="12">
        <v>0</v>
      </c>
    </row>
    <row r="675" spans="1:3" x14ac:dyDescent="0.25">
      <c r="A675" s="13" t="s">
        <v>55</v>
      </c>
      <c r="B675" s="12" t="s">
        <v>43</v>
      </c>
      <c r="C675" s="12" t="s">
        <v>54</v>
      </c>
    </row>
    <row r="676" spans="1:3" x14ac:dyDescent="0.25">
      <c r="A676" s="13" t="s">
        <v>1696</v>
      </c>
      <c r="B676" s="12" t="s">
        <v>43</v>
      </c>
      <c r="C676" s="12" t="s">
        <v>1697</v>
      </c>
    </row>
    <row r="677" spans="1:3" x14ac:dyDescent="0.25">
      <c r="A677" s="13" t="s">
        <v>1698</v>
      </c>
      <c r="B677" s="12" t="s">
        <v>43</v>
      </c>
      <c r="C677" s="12" t="s">
        <v>1699</v>
      </c>
    </row>
    <row r="678" spans="1:3" x14ac:dyDescent="0.25">
      <c r="A678" s="13" t="s">
        <v>53</v>
      </c>
      <c r="B678" s="12" t="s">
        <v>43</v>
      </c>
      <c r="C678" s="12" t="s">
        <v>52</v>
      </c>
    </row>
    <row r="679" spans="1:3" x14ac:dyDescent="0.25">
      <c r="A679" s="13" t="s">
        <v>1700</v>
      </c>
      <c r="B679" s="12" t="s">
        <v>43</v>
      </c>
      <c r="C679" s="12" t="s">
        <v>1701</v>
      </c>
    </row>
    <row r="680" spans="1:3" x14ac:dyDescent="0.25">
      <c r="A680" s="13" t="s">
        <v>47</v>
      </c>
      <c r="B680" s="12" t="s">
        <v>43</v>
      </c>
      <c r="C680" s="12" t="s">
        <v>46</v>
      </c>
    </row>
    <row r="681" spans="1:3" x14ac:dyDescent="0.25">
      <c r="A681" s="13" t="s">
        <v>1702</v>
      </c>
      <c r="B681" s="12" t="s">
        <v>43</v>
      </c>
      <c r="C681" s="12" t="s">
        <v>1703</v>
      </c>
    </row>
    <row r="682" spans="1:3" x14ac:dyDescent="0.25">
      <c r="A682" s="13" t="s">
        <v>1704</v>
      </c>
      <c r="B682" s="12" t="s">
        <v>43</v>
      </c>
      <c r="C682" s="12" t="s">
        <v>1705</v>
      </c>
    </row>
    <row r="683" spans="1:3" x14ac:dyDescent="0.25">
      <c r="A683" s="13" t="s">
        <v>45</v>
      </c>
      <c r="B683" s="12" t="s">
        <v>43</v>
      </c>
      <c r="C683" s="12" t="s">
        <v>44</v>
      </c>
    </row>
    <row r="684" spans="1:3" x14ac:dyDescent="0.25">
      <c r="A684" s="13" t="s">
        <v>1706</v>
      </c>
      <c r="B684" s="12" t="s">
        <v>43</v>
      </c>
      <c r="C684" s="12" t="s">
        <v>1707</v>
      </c>
    </row>
    <row r="685" spans="1:3" x14ac:dyDescent="0.25">
      <c r="A685" s="13" t="s">
        <v>1708</v>
      </c>
      <c r="B685" s="12" t="s">
        <v>43</v>
      </c>
      <c r="C685" s="12" t="s">
        <v>1709</v>
      </c>
    </row>
    <row r="686" spans="1:3" x14ac:dyDescent="0.25">
      <c r="A686" s="13" t="s">
        <v>1710</v>
      </c>
      <c r="B686" s="12" t="s">
        <v>43</v>
      </c>
      <c r="C686" s="12" t="s">
        <v>1711</v>
      </c>
    </row>
    <row r="687" spans="1:3" x14ac:dyDescent="0.25">
      <c r="A687" s="13" t="s">
        <v>49</v>
      </c>
      <c r="B687" s="12" t="s">
        <v>43</v>
      </c>
      <c r="C687" s="12" t="s">
        <v>48</v>
      </c>
    </row>
    <row r="688" spans="1:3" x14ac:dyDescent="0.25">
      <c r="A688" s="13" t="s">
        <v>1712</v>
      </c>
      <c r="B688" s="12" t="s">
        <v>43</v>
      </c>
      <c r="C688" s="12" t="s">
        <v>1713</v>
      </c>
    </row>
    <row r="689" spans="1:3" x14ac:dyDescent="0.25">
      <c r="A689" s="13" t="s">
        <v>51</v>
      </c>
      <c r="B689" s="12" t="s">
        <v>43</v>
      </c>
      <c r="C689" s="12" t="s">
        <v>50</v>
      </c>
    </row>
    <row r="690" spans="1:3" x14ac:dyDescent="0.25">
      <c r="A690" s="13" t="s">
        <v>57</v>
      </c>
      <c r="B690" s="12" t="s">
        <v>43</v>
      </c>
      <c r="C690" s="12" t="s">
        <v>56</v>
      </c>
    </row>
    <row r="691" spans="1:3" x14ac:dyDescent="0.25">
      <c r="A691" s="13" t="s">
        <v>1714</v>
      </c>
      <c r="B691" s="12" t="s">
        <v>43</v>
      </c>
      <c r="C691" s="12" t="s">
        <v>1715</v>
      </c>
    </row>
    <row r="692" spans="1:3" x14ac:dyDescent="0.25">
      <c r="A692" s="13" t="s">
        <v>1716</v>
      </c>
      <c r="B692" s="12" t="s">
        <v>43</v>
      </c>
      <c r="C692" s="12" t="s">
        <v>1717</v>
      </c>
    </row>
    <row r="693" spans="1:3" x14ac:dyDescent="0.25">
      <c r="A693" s="13" t="s">
        <v>42</v>
      </c>
      <c r="B693" s="12" t="s">
        <v>43</v>
      </c>
      <c r="C693" s="12" t="s">
        <v>41</v>
      </c>
    </row>
    <row r="694" spans="1:3" x14ac:dyDescent="0.25">
      <c r="A694" s="13" t="s">
        <v>1718</v>
      </c>
      <c r="B694" s="12" t="s">
        <v>43</v>
      </c>
      <c r="C694" s="12" t="s">
        <v>1719</v>
      </c>
    </row>
    <row r="695" spans="1:3" x14ac:dyDescent="0.25">
      <c r="A695" s="13" t="s">
        <v>1720</v>
      </c>
      <c r="B695" s="12" t="s">
        <v>43</v>
      </c>
      <c r="C695" s="12" t="s">
        <v>1721</v>
      </c>
    </row>
    <row r="696" spans="1:3" x14ac:dyDescent="0.25">
      <c r="A696" s="13" t="s">
        <v>1722</v>
      </c>
      <c r="B696" s="12" t="s">
        <v>43</v>
      </c>
      <c r="C696" s="12" t="s">
        <v>1723</v>
      </c>
    </row>
    <row r="697" spans="1:3" x14ac:dyDescent="0.25">
      <c r="A697" s="13" t="s">
        <v>1724</v>
      </c>
      <c r="B697" s="12" t="s">
        <v>650</v>
      </c>
      <c r="C697" s="12" t="s">
        <v>1725</v>
      </c>
    </row>
    <row r="698" spans="1:3" x14ac:dyDescent="0.25">
      <c r="A698" s="13" t="s">
        <v>1728</v>
      </c>
      <c r="B698" s="12" t="s">
        <v>1728</v>
      </c>
      <c r="C698" s="12" t="s">
        <v>1729</v>
      </c>
    </row>
    <row r="699" spans="1:3" x14ac:dyDescent="0.25">
      <c r="A699" s="13" t="s">
        <v>1741</v>
      </c>
      <c r="B699" s="12" t="s">
        <v>1741</v>
      </c>
      <c r="C699" s="12" t="s">
        <v>1742</v>
      </c>
    </row>
    <row r="700" spans="1:3" x14ac:dyDescent="0.25">
      <c r="A700" s="13" t="s">
        <v>1743</v>
      </c>
      <c r="B700" s="12" t="s">
        <v>1743</v>
      </c>
      <c r="C700" s="12" t="s">
        <v>1744</v>
      </c>
    </row>
    <row r="701" spans="1:3" x14ac:dyDescent="0.25">
      <c r="A701" s="13" t="s">
        <v>653</v>
      </c>
      <c r="B701" s="13" t="s">
        <v>653</v>
      </c>
      <c r="C701" s="12" t="s">
        <v>2177</v>
      </c>
    </row>
    <row r="702" spans="1:3" x14ac:dyDescent="0.25">
      <c r="A702" s="13" t="s">
        <v>1745</v>
      </c>
      <c r="B702" s="12" t="s">
        <v>1746</v>
      </c>
      <c r="C702" s="12" t="s">
        <v>1747</v>
      </c>
    </row>
    <row r="703" spans="1:3" x14ac:dyDescent="0.25">
      <c r="A703" s="13" t="s">
        <v>1748</v>
      </c>
      <c r="B703" s="12" t="s">
        <v>1746</v>
      </c>
      <c r="C703" s="12" t="s">
        <v>1749</v>
      </c>
    </row>
    <row r="704" spans="1:3" x14ac:dyDescent="0.25">
      <c r="A704" s="13" t="s">
        <v>1750</v>
      </c>
      <c r="B704" s="12" t="s">
        <v>1746</v>
      </c>
      <c r="C704" s="12" t="s">
        <v>1751</v>
      </c>
    </row>
    <row r="705" spans="1:3" x14ac:dyDescent="0.25">
      <c r="A705" s="13" t="s">
        <v>1752</v>
      </c>
      <c r="B705" s="12" t="s">
        <v>1746</v>
      </c>
      <c r="C705" s="12" t="s">
        <v>1753</v>
      </c>
    </row>
    <row r="706" spans="1:3" x14ac:dyDescent="0.25">
      <c r="A706" s="13" t="s">
        <v>1754</v>
      </c>
      <c r="B706" s="12" t="s">
        <v>1755</v>
      </c>
      <c r="C706" s="12" t="s">
        <v>1756</v>
      </c>
    </row>
    <row r="707" spans="1:3" x14ac:dyDescent="0.25">
      <c r="A707" s="13" t="s">
        <v>1757</v>
      </c>
      <c r="B707" s="12" t="s">
        <v>1755</v>
      </c>
      <c r="C707" s="12" t="s">
        <v>1758</v>
      </c>
    </row>
    <row r="708" spans="1:3" x14ac:dyDescent="0.25">
      <c r="A708" s="13" t="s">
        <v>1759</v>
      </c>
      <c r="B708" s="12" t="s">
        <v>1755</v>
      </c>
      <c r="C708" s="12" t="s">
        <v>1760</v>
      </c>
    </row>
    <row r="709" spans="1:3" x14ac:dyDescent="0.25">
      <c r="A709" s="13" t="s">
        <v>1761</v>
      </c>
      <c r="B709" s="12" t="s">
        <v>1755</v>
      </c>
      <c r="C709" s="12" t="s">
        <v>1762</v>
      </c>
    </row>
    <row r="710" spans="1:3" x14ac:dyDescent="0.25">
      <c r="A710" s="13" t="s">
        <v>1763</v>
      </c>
      <c r="B710" s="12" t="s">
        <v>1755</v>
      </c>
      <c r="C710" s="12" t="s">
        <v>1764</v>
      </c>
    </row>
    <row r="711" spans="1:3" x14ac:dyDescent="0.25">
      <c r="A711" s="13" t="s">
        <v>1765</v>
      </c>
      <c r="B711" s="12" t="s">
        <v>1755</v>
      </c>
      <c r="C711" s="12" t="s">
        <v>1766</v>
      </c>
    </row>
    <row r="712" spans="1:3" x14ac:dyDescent="0.25">
      <c r="A712" s="13" t="s">
        <v>1767</v>
      </c>
      <c r="B712" s="12" t="s">
        <v>1755</v>
      </c>
      <c r="C712" s="12" t="s">
        <v>1768</v>
      </c>
    </row>
    <row r="713" spans="1:3" x14ac:dyDescent="0.25">
      <c r="A713" s="13" t="s">
        <v>1769</v>
      </c>
      <c r="B713" s="12" t="s">
        <v>1755</v>
      </c>
      <c r="C713" s="12" t="s">
        <v>1770</v>
      </c>
    </row>
    <row r="714" spans="1:3" x14ac:dyDescent="0.25">
      <c r="A714" s="13" t="s">
        <v>1771</v>
      </c>
      <c r="B714" s="12" t="s">
        <v>1755</v>
      </c>
      <c r="C714" s="12" t="s">
        <v>1772</v>
      </c>
    </row>
    <row r="715" spans="1:3" x14ac:dyDescent="0.25">
      <c r="A715" s="13" t="s">
        <v>1773</v>
      </c>
      <c r="B715" s="12" t="s">
        <v>1755</v>
      </c>
      <c r="C715" s="12" t="s">
        <v>1774</v>
      </c>
    </row>
    <row r="716" spans="1:3" x14ac:dyDescent="0.25">
      <c r="A716" s="13" t="s">
        <v>1775</v>
      </c>
      <c r="B716" s="12" t="s">
        <v>1755</v>
      </c>
      <c r="C716" s="12" t="s">
        <v>1776</v>
      </c>
    </row>
    <row r="717" spans="1:3" x14ac:dyDescent="0.25">
      <c r="A717" s="13" t="s">
        <v>1777</v>
      </c>
      <c r="B717" s="12" t="s">
        <v>1755</v>
      </c>
      <c r="C717" s="12" t="s">
        <v>1778</v>
      </c>
    </row>
    <row r="718" spans="1:3" x14ac:dyDescent="0.25">
      <c r="A718" s="13" t="s">
        <v>1779</v>
      </c>
      <c r="B718" s="12" t="s">
        <v>1755</v>
      </c>
      <c r="C718" s="12" t="s">
        <v>1780</v>
      </c>
    </row>
    <row r="719" spans="1:3" x14ac:dyDescent="0.25">
      <c r="A719" s="13" t="s">
        <v>1781</v>
      </c>
      <c r="B719" s="12" t="s">
        <v>1755</v>
      </c>
      <c r="C719" s="12" t="s">
        <v>1782</v>
      </c>
    </row>
    <row r="720" spans="1:3" x14ac:dyDescent="0.25">
      <c r="A720" s="13" t="s">
        <v>1783</v>
      </c>
      <c r="B720" s="12" t="s">
        <v>1755</v>
      </c>
      <c r="C720" s="12" t="s">
        <v>1784</v>
      </c>
    </row>
    <row r="721" spans="1:3" x14ac:dyDescent="0.25">
      <c r="A721" s="13" t="s">
        <v>1785</v>
      </c>
      <c r="B721" s="12" t="s">
        <v>1755</v>
      </c>
      <c r="C721" s="12" t="s">
        <v>1786</v>
      </c>
    </row>
    <row r="722" spans="1:3" x14ac:dyDescent="0.25">
      <c r="A722" s="13" t="s">
        <v>1787</v>
      </c>
      <c r="B722" s="12" t="s">
        <v>1755</v>
      </c>
      <c r="C722" s="12" t="s">
        <v>1788</v>
      </c>
    </row>
    <row r="723" spans="1:3" x14ac:dyDescent="0.25">
      <c r="A723" s="13" t="s">
        <v>1789</v>
      </c>
      <c r="B723" s="12" t="s">
        <v>1755</v>
      </c>
      <c r="C723" s="12" t="s">
        <v>1790</v>
      </c>
    </row>
    <row r="724" spans="1:3" x14ac:dyDescent="0.25">
      <c r="A724" s="13" t="s">
        <v>1791</v>
      </c>
      <c r="B724" s="12" t="s">
        <v>1755</v>
      </c>
      <c r="C724" s="12" t="s">
        <v>1792</v>
      </c>
    </row>
    <row r="725" spans="1:3" x14ac:dyDescent="0.25">
      <c r="A725" s="13" t="s">
        <v>1793</v>
      </c>
      <c r="B725" s="12" t="s">
        <v>1755</v>
      </c>
      <c r="C725" s="12" t="s">
        <v>1794</v>
      </c>
    </row>
    <row r="726" spans="1:3" x14ac:dyDescent="0.25">
      <c r="A726" s="13" t="s">
        <v>1795</v>
      </c>
      <c r="B726" s="12" t="s">
        <v>1755</v>
      </c>
      <c r="C726" s="12" t="s">
        <v>1796</v>
      </c>
    </row>
    <row r="727" spans="1:3" x14ac:dyDescent="0.25">
      <c r="A727" s="13" t="s">
        <v>1797</v>
      </c>
      <c r="B727" s="12" t="s">
        <v>1755</v>
      </c>
      <c r="C727" s="12" t="s">
        <v>1798</v>
      </c>
    </row>
    <row r="728" spans="1:3" x14ac:dyDescent="0.25">
      <c r="A728" s="13" t="s">
        <v>1799</v>
      </c>
      <c r="B728" s="12" t="s">
        <v>1755</v>
      </c>
      <c r="C728" s="12" t="s">
        <v>1800</v>
      </c>
    </row>
    <row r="729" spans="1:3" x14ac:dyDescent="0.25">
      <c r="A729" s="13" t="s">
        <v>1801</v>
      </c>
      <c r="B729" s="12" t="s">
        <v>1755</v>
      </c>
      <c r="C729" s="12" t="s">
        <v>1802</v>
      </c>
    </row>
    <row r="730" spans="1:3" x14ac:dyDescent="0.25">
      <c r="A730" s="13" t="s">
        <v>1803</v>
      </c>
      <c r="B730" s="12" t="s">
        <v>1755</v>
      </c>
      <c r="C730" s="12" t="s">
        <v>1804</v>
      </c>
    </row>
    <row r="731" spans="1:3" x14ac:dyDescent="0.25">
      <c r="A731" s="13" t="s">
        <v>1805</v>
      </c>
      <c r="B731" s="12" t="s">
        <v>1755</v>
      </c>
      <c r="C731" s="12" t="s">
        <v>1806</v>
      </c>
    </row>
    <row r="732" spans="1:3" x14ac:dyDescent="0.25">
      <c r="A732" s="13" t="s">
        <v>1807</v>
      </c>
      <c r="B732" s="12" t="s">
        <v>1755</v>
      </c>
      <c r="C732" s="12" t="s">
        <v>1808</v>
      </c>
    </row>
    <row r="733" spans="1:3" x14ac:dyDescent="0.25">
      <c r="A733" s="13" t="s">
        <v>1809</v>
      </c>
      <c r="B733" s="12" t="s">
        <v>1755</v>
      </c>
      <c r="C733" s="12" t="s">
        <v>1810</v>
      </c>
    </row>
    <row r="734" spans="1:3" x14ac:dyDescent="0.25">
      <c r="A734" s="13" t="s">
        <v>1811</v>
      </c>
      <c r="B734" s="12" t="s">
        <v>1755</v>
      </c>
      <c r="C734" s="12" t="s">
        <v>1812</v>
      </c>
    </row>
    <row r="735" spans="1:3" x14ac:dyDescent="0.25">
      <c r="A735" s="13" t="s">
        <v>1813</v>
      </c>
      <c r="B735" s="12" t="s">
        <v>1755</v>
      </c>
      <c r="C735" s="12" t="s">
        <v>1814</v>
      </c>
    </row>
    <row r="736" spans="1:3" x14ac:dyDescent="0.25">
      <c r="A736" s="13" t="s">
        <v>1815</v>
      </c>
      <c r="B736" s="12" t="s">
        <v>1755</v>
      </c>
      <c r="C736" s="12" t="s">
        <v>1816</v>
      </c>
    </row>
    <row r="737" spans="1:3" x14ac:dyDescent="0.25">
      <c r="A737" s="13" t="s">
        <v>1817</v>
      </c>
      <c r="B737" s="12" t="s">
        <v>1755</v>
      </c>
      <c r="C737" s="12" t="s">
        <v>1818</v>
      </c>
    </row>
    <row r="738" spans="1:3" x14ac:dyDescent="0.25">
      <c r="A738" s="13" t="s">
        <v>1819</v>
      </c>
      <c r="B738" s="12" t="s">
        <v>1755</v>
      </c>
      <c r="C738" s="12" t="s">
        <v>1820</v>
      </c>
    </row>
    <row r="739" spans="1:3" x14ac:dyDescent="0.25">
      <c r="A739" s="13" t="s">
        <v>1821</v>
      </c>
      <c r="B739" s="12" t="s">
        <v>1755</v>
      </c>
      <c r="C739" s="12" t="s">
        <v>1822</v>
      </c>
    </row>
    <row r="740" spans="1:3" x14ac:dyDescent="0.25">
      <c r="A740" s="13" t="s">
        <v>1823</v>
      </c>
      <c r="B740" s="12" t="s">
        <v>1755</v>
      </c>
      <c r="C740" s="12" t="s">
        <v>1824</v>
      </c>
    </row>
    <row r="741" spans="1:3" x14ac:dyDescent="0.25">
      <c r="A741" s="13" t="s">
        <v>1825</v>
      </c>
      <c r="B741" s="12" t="s">
        <v>1755</v>
      </c>
      <c r="C741" s="12" t="s">
        <v>1826</v>
      </c>
    </row>
    <row r="742" spans="1:3" x14ac:dyDescent="0.25">
      <c r="A742" s="13" t="s">
        <v>1827</v>
      </c>
      <c r="B742" s="12" t="s">
        <v>1755</v>
      </c>
      <c r="C742" s="12" t="s">
        <v>1828</v>
      </c>
    </row>
    <row r="743" spans="1:3" ht="15" customHeight="1" x14ac:dyDescent="0.25">
      <c r="A743" t="s">
        <v>2167</v>
      </c>
      <c r="B743" t="s">
        <v>1755</v>
      </c>
      <c r="C743" s="4" t="s">
        <v>2168</v>
      </c>
    </row>
    <row r="744" spans="1:3" x14ac:dyDescent="0.25">
      <c r="A744" s="13" t="s">
        <v>1829</v>
      </c>
      <c r="B744" s="12" t="s">
        <v>1755</v>
      </c>
      <c r="C744" s="12" t="s">
        <v>1830</v>
      </c>
    </row>
    <row r="745" spans="1:3" x14ac:dyDescent="0.25">
      <c r="A745" s="13" t="s">
        <v>1831</v>
      </c>
      <c r="B745" s="12" t="s">
        <v>1755</v>
      </c>
      <c r="C745" s="12" t="s">
        <v>1832</v>
      </c>
    </row>
    <row r="746" spans="1:3" x14ac:dyDescent="0.25">
      <c r="A746" s="13" t="s">
        <v>1833</v>
      </c>
      <c r="B746" s="12" t="s">
        <v>1755</v>
      </c>
      <c r="C746" s="12" t="s">
        <v>1834</v>
      </c>
    </row>
    <row r="747" spans="1:3" x14ac:dyDescent="0.25">
      <c r="A747" s="13" t="s">
        <v>1835</v>
      </c>
      <c r="B747" s="12" t="s">
        <v>1755</v>
      </c>
      <c r="C747" s="12" t="s">
        <v>1836</v>
      </c>
    </row>
    <row r="748" spans="1:3" x14ac:dyDescent="0.25">
      <c r="A748" s="13" t="s">
        <v>1837</v>
      </c>
      <c r="B748" s="12" t="s">
        <v>1755</v>
      </c>
      <c r="C748" s="12" t="s">
        <v>1838</v>
      </c>
    </row>
    <row r="749" spans="1:3" x14ac:dyDescent="0.25">
      <c r="A749" s="13" t="s">
        <v>1839</v>
      </c>
      <c r="B749" s="12" t="s">
        <v>1755</v>
      </c>
      <c r="C749" s="12" t="s">
        <v>1840</v>
      </c>
    </row>
    <row r="750" spans="1:3" x14ac:dyDescent="0.25">
      <c r="A750" s="13" t="s">
        <v>1841</v>
      </c>
      <c r="B750" s="12" t="s">
        <v>1755</v>
      </c>
      <c r="C750" s="12" t="s">
        <v>1842</v>
      </c>
    </row>
    <row r="751" spans="1:3" x14ac:dyDescent="0.25">
      <c r="A751" s="13" t="s">
        <v>1843</v>
      </c>
      <c r="B751" s="12" t="s">
        <v>1755</v>
      </c>
      <c r="C751" s="12" t="s">
        <v>1844</v>
      </c>
    </row>
    <row r="752" spans="1:3" x14ac:dyDescent="0.25">
      <c r="A752" s="13" t="s">
        <v>1845</v>
      </c>
      <c r="B752" s="12" t="s">
        <v>1755</v>
      </c>
      <c r="C752" s="12" t="s">
        <v>1846</v>
      </c>
    </row>
    <row r="753" spans="1:3" x14ac:dyDescent="0.25">
      <c r="A753" s="13" t="s">
        <v>1847</v>
      </c>
      <c r="B753" s="12" t="s">
        <v>1755</v>
      </c>
      <c r="C753" s="12" t="s">
        <v>1848</v>
      </c>
    </row>
    <row r="754" spans="1:3" x14ac:dyDescent="0.25">
      <c r="A754" s="13" t="s">
        <v>1849</v>
      </c>
      <c r="B754" s="12" t="s">
        <v>1755</v>
      </c>
      <c r="C754" s="12" t="s">
        <v>1850</v>
      </c>
    </row>
    <row r="755" spans="1:3" x14ac:dyDescent="0.25">
      <c r="A755" s="13" t="s">
        <v>1851</v>
      </c>
      <c r="B755" s="12" t="s">
        <v>1755</v>
      </c>
      <c r="C755" s="12" t="s">
        <v>1852</v>
      </c>
    </row>
    <row r="756" spans="1:3" x14ac:dyDescent="0.25">
      <c r="A756" s="13" t="s">
        <v>1853</v>
      </c>
      <c r="B756" s="12" t="s">
        <v>1755</v>
      </c>
      <c r="C756" s="12" t="s">
        <v>1854</v>
      </c>
    </row>
    <row r="757" spans="1:3" x14ac:dyDescent="0.25">
      <c r="A757" t="s">
        <v>2169</v>
      </c>
      <c r="B757" t="s">
        <v>1755</v>
      </c>
      <c r="C757" s="125" t="s">
        <v>2170</v>
      </c>
    </row>
    <row r="758" spans="1:3" x14ac:dyDescent="0.25">
      <c r="A758" s="13" t="s">
        <v>1855</v>
      </c>
      <c r="B758" s="12" t="s">
        <v>1755</v>
      </c>
      <c r="C758" s="12" t="s">
        <v>1856</v>
      </c>
    </row>
    <row r="759" spans="1:3" x14ac:dyDescent="0.25">
      <c r="A759" s="13" t="s">
        <v>1857</v>
      </c>
      <c r="B759" s="12" t="s">
        <v>1755</v>
      </c>
      <c r="C759" s="12" t="s">
        <v>1858</v>
      </c>
    </row>
    <row r="760" spans="1:3" x14ac:dyDescent="0.25">
      <c r="A760" s="13" t="s">
        <v>1859</v>
      </c>
      <c r="B760" s="12" t="s">
        <v>1755</v>
      </c>
      <c r="C760" s="12" t="s">
        <v>1860</v>
      </c>
    </row>
    <row r="761" spans="1:3" x14ac:dyDescent="0.25">
      <c r="A761" s="13" t="s">
        <v>1861</v>
      </c>
      <c r="B761" s="12" t="s">
        <v>1755</v>
      </c>
      <c r="C761" s="12" t="s">
        <v>1862</v>
      </c>
    </row>
    <row r="762" spans="1:3" x14ac:dyDescent="0.25">
      <c r="A762" s="13" t="s">
        <v>1863</v>
      </c>
      <c r="B762" s="12" t="s">
        <v>1755</v>
      </c>
      <c r="C762" s="12" t="s">
        <v>1864</v>
      </c>
    </row>
    <row r="763" spans="1:3" x14ac:dyDescent="0.25">
      <c r="A763" s="13" t="s">
        <v>1865</v>
      </c>
      <c r="B763" s="12" t="s">
        <v>1755</v>
      </c>
      <c r="C763" s="12" t="s">
        <v>1866</v>
      </c>
    </row>
    <row r="764" spans="1:3" x14ac:dyDescent="0.25">
      <c r="A764" s="13" t="s">
        <v>1867</v>
      </c>
      <c r="B764" s="12" t="s">
        <v>1755</v>
      </c>
      <c r="C764" s="12" t="s">
        <v>1868</v>
      </c>
    </row>
    <row r="765" spans="1:3" x14ac:dyDescent="0.25">
      <c r="A765" s="13" t="s">
        <v>1869</v>
      </c>
      <c r="B765" s="12" t="s">
        <v>1755</v>
      </c>
      <c r="C765" s="12" t="s">
        <v>1870</v>
      </c>
    </row>
    <row r="766" spans="1:3" x14ac:dyDescent="0.25">
      <c r="A766" s="13" t="s">
        <v>1871</v>
      </c>
      <c r="B766" s="12" t="s">
        <v>1755</v>
      </c>
      <c r="C766" s="12" t="s">
        <v>1872</v>
      </c>
    </row>
    <row r="767" spans="1:3" x14ac:dyDescent="0.25">
      <c r="A767" s="12" t="s">
        <v>1873</v>
      </c>
      <c r="B767" s="12" t="s">
        <v>1755</v>
      </c>
      <c r="C767" s="12" t="s">
        <v>1874</v>
      </c>
    </row>
    <row r="768" spans="1:3" x14ac:dyDescent="0.25">
      <c r="A768" s="12" t="s">
        <v>1875</v>
      </c>
      <c r="B768" s="12" t="s">
        <v>1755</v>
      </c>
      <c r="C768" s="12" t="s">
        <v>1876</v>
      </c>
    </row>
    <row r="769" spans="1:3" x14ac:dyDescent="0.25">
      <c r="A769" s="12" t="s">
        <v>1877</v>
      </c>
      <c r="B769" s="12" t="s">
        <v>1755</v>
      </c>
      <c r="C769" s="12" t="s">
        <v>1878</v>
      </c>
    </row>
    <row r="770" spans="1:3" x14ac:dyDescent="0.25">
      <c r="A770" s="12" t="s">
        <v>1879</v>
      </c>
      <c r="B770" s="12" t="s">
        <v>1755</v>
      </c>
      <c r="C770" s="12" t="s">
        <v>1880</v>
      </c>
    </row>
    <row r="771" spans="1:3" x14ac:dyDescent="0.25">
      <c r="A771" s="12" t="s">
        <v>1881</v>
      </c>
      <c r="B771" s="12" t="s">
        <v>1755</v>
      </c>
      <c r="C771" s="12" t="s">
        <v>1882</v>
      </c>
    </row>
    <row r="772" spans="1:3" x14ac:dyDescent="0.25">
      <c r="A772" s="12" t="s">
        <v>1883</v>
      </c>
      <c r="B772" s="12" t="s">
        <v>1755</v>
      </c>
      <c r="C772" s="12" t="s">
        <v>1884</v>
      </c>
    </row>
    <row r="773" spans="1:3" x14ac:dyDescent="0.25">
      <c r="A773" s="12" t="s">
        <v>1885</v>
      </c>
      <c r="B773" s="12" t="s">
        <v>1755</v>
      </c>
      <c r="C773" s="12" t="s">
        <v>1886</v>
      </c>
    </row>
    <row r="774" spans="1:3" x14ac:dyDescent="0.25">
      <c r="A774" s="12" t="s">
        <v>1887</v>
      </c>
      <c r="B774" s="12" t="s">
        <v>1755</v>
      </c>
      <c r="C774" s="12" t="s">
        <v>1888</v>
      </c>
    </row>
    <row r="775" spans="1:3" x14ac:dyDescent="0.25">
      <c r="A775" s="12" t="s">
        <v>1889</v>
      </c>
      <c r="B775" s="12" t="s">
        <v>1755</v>
      </c>
      <c r="C775" s="12" t="s">
        <v>1890</v>
      </c>
    </row>
    <row r="776" spans="1:3" x14ac:dyDescent="0.25">
      <c r="A776" s="12" t="s">
        <v>1891</v>
      </c>
      <c r="B776" s="12" t="s">
        <v>1755</v>
      </c>
      <c r="C776" s="12" t="s">
        <v>1892</v>
      </c>
    </row>
    <row r="777" spans="1:3" x14ac:dyDescent="0.25">
      <c r="A777" s="12" t="s">
        <v>1893</v>
      </c>
      <c r="B777" s="12" t="s">
        <v>1755</v>
      </c>
      <c r="C777" s="12" t="s">
        <v>1894</v>
      </c>
    </row>
    <row r="778" spans="1:3" x14ac:dyDescent="0.25">
      <c r="A778" s="12" t="s">
        <v>1895</v>
      </c>
      <c r="B778" s="12" t="s">
        <v>1755</v>
      </c>
      <c r="C778" s="12" t="s">
        <v>1896</v>
      </c>
    </row>
    <row r="779" spans="1:3" x14ac:dyDescent="0.25">
      <c r="A779" s="12" t="s">
        <v>1897</v>
      </c>
      <c r="B779" s="12" t="s">
        <v>1755</v>
      </c>
      <c r="C779" s="12" t="s">
        <v>1898</v>
      </c>
    </row>
    <row r="780" spans="1:3" x14ac:dyDescent="0.25">
      <c r="A780" s="12" t="s">
        <v>1899</v>
      </c>
      <c r="B780" s="12" t="s">
        <v>1755</v>
      </c>
      <c r="C780" s="12" t="s">
        <v>1900</v>
      </c>
    </row>
    <row r="781" spans="1:3" x14ac:dyDescent="0.25">
      <c r="A781" s="12" t="s">
        <v>1901</v>
      </c>
      <c r="B781" s="12" t="s">
        <v>1755</v>
      </c>
      <c r="C781" s="12" t="s">
        <v>1902</v>
      </c>
    </row>
    <row r="782" spans="1:3" x14ac:dyDescent="0.25">
      <c r="A782" s="12" t="s">
        <v>1903</v>
      </c>
      <c r="B782" s="12" t="s">
        <v>1755</v>
      </c>
      <c r="C782" s="12" t="s">
        <v>1904</v>
      </c>
    </row>
    <row r="783" spans="1:3" x14ac:dyDescent="0.25">
      <c r="A783" s="12" t="s">
        <v>1905</v>
      </c>
      <c r="B783" s="12" t="s">
        <v>1755</v>
      </c>
      <c r="C783" s="12" t="s">
        <v>1906</v>
      </c>
    </row>
    <row r="784" spans="1:3" x14ac:dyDescent="0.25">
      <c r="A784" s="12" t="s">
        <v>1907</v>
      </c>
      <c r="B784" s="12" t="s">
        <v>1755</v>
      </c>
      <c r="C784" s="12" t="s">
        <v>1908</v>
      </c>
    </row>
    <row r="785" spans="1:3" x14ac:dyDescent="0.25">
      <c r="A785" s="12" t="s">
        <v>1909</v>
      </c>
      <c r="B785" s="12" t="s">
        <v>1755</v>
      </c>
      <c r="C785" s="12" t="s">
        <v>1910</v>
      </c>
    </row>
    <row r="786" spans="1:3" x14ac:dyDescent="0.25">
      <c r="A786" s="12" t="s">
        <v>1911</v>
      </c>
      <c r="B786" s="12" t="s">
        <v>1755</v>
      </c>
      <c r="C786" s="12" t="s">
        <v>1912</v>
      </c>
    </row>
    <row r="787" spans="1:3" x14ac:dyDescent="0.25">
      <c r="A787" s="12" t="s">
        <v>1913</v>
      </c>
      <c r="B787" s="12" t="s">
        <v>1755</v>
      </c>
      <c r="C787" s="12" t="s">
        <v>1914</v>
      </c>
    </row>
    <row r="788" spans="1:3" x14ac:dyDescent="0.25">
      <c r="A788" s="12" t="s">
        <v>1915</v>
      </c>
      <c r="B788" s="12" t="s">
        <v>1755</v>
      </c>
      <c r="C788" s="12" t="s">
        <v>1916</v>
      </c>
    </row>
    <row r="789" spans="1:3" x14ac:dyDescent="0.25">
      <c r="A789" s="12" t="s">
        <v>1917</v>
      </c>
      <c r="B789" s="12" t="s">
        <v>1755</v>
      </c>
      <c r="C789" s="12" t="s">
        <v>1918</v>
      </c>
    </row>
    <row r="790" spans="1:3" x14ac:dyDescent="0.25">
      <c r="A790" s="12" t="s">
        <v>1919</v>
      </c>
      <c r="B790" s="12" t="s">
        <v>1755</v>
      </c>
      <c r="C790" s="12" t="s">
        <v>1920</v>
      </c>
    </row>
    <row r="791" spans="1:3" x14ac:dyDescent="0.25">
      <c r="A791" s="12" t="s">
        <v>1921</v>
      </c>
      <c r="B791" s="12" t="s">
        <v>1755</v>
      </c>
      <c r="C791" s="12" t="s">
        <v>1922</v>
      </c>
    </row>
    <row r="792" spans="1:3" x14ac:dyDescent="0.25">
      <c r="A792" s="12" t="s">
        <v>1923</v>
      </c>
      <c r="B792" s="12" t="s">
        <v>1755</v>
      </c>
      <c r="C792" s="12" t="s">
        <v>1924</v>
      </c>
    </row>
    <row r="793" spans="1:3" x14ac:dyDescent="0.25">
      <c r="A793" s="12" t="s">
        <v>1925</v>
      </c>
      <c r="B793" s="12" t="s">
        <v>1755</v>
      </c>
      <c r="C793" s="12" t="s">
        <v>1926</v>
      </c>
    </row>
    <row r="794" spans="1:3" x14ac:dyDescent="0.25">
      <c r="A794" s="12" t="s">
        <v>1927</v>
      </c>
      <c r="B794" s="12" t="s">
        <v>1755</v>
      </c>
      <c r="C794" s="12" t="s">
        <v>1928</v>
      </c>
    </row>
    <row r="795" spans="1:3" x14ac:dyDescent="0.25">
      <c r="A795" s="12" t="s">
        <v>1929</v>
      </c>
      <c r="B795" s="12" t="s">
        <v>1755</v>
      </c>
      <c r="C795" s="12" t="s">
        <v>1930</v>
      </c>
    </row>
    <row r="796" spans="1:3" x14ac:dyDescent="0.25">
      <c r="A796" s="12" t="s">
        <v>1931</v>
      </c>
      <c r="B796" s="12" t="s">
        <v>1755</v>
      </c>
      <c r="C796" s="12" t="s">
        <v>1932</v>
      </c>
    </row>
    <row r="797" spans="1:3" x14ac:dyDescent="0.25">
      <c r="A797" s="12" t="s">
        <v>1933</v>
      </c>
      <c r="B797" s="12" t="s">
        <v>1755</v>
      </c>
      <c r="C797" s="12" t="s">
        <v>1934</v>
      </c>
    </row>
    <row r="798" spans="1:3" x14ac:dyDescent="0.25">
      <c r="A798" s="12" t="s">
        <v>1935</v>
      </c>
      <c r="B798" s="12" t="s">
        <v>1755</v>
      </c>
      <c r="C798" s="12" t="s">
        <v>1936</v>
      </c>
    </row>
    <row r="799" spans="1:3" x14ac:dyDescent="0.25">
      <c r="A799" s="12" t="s">
        <v>1937</v>
      </c>
      <c r="B799" s="12" t="s">
        <v>1755</v>
      </c>
      <c r="C799" s="12" t="s">
        <v>1938</v>
      </c>
    </row>
    <row r="800" spans="1:3" x14ac:dyDescent="0.25">
      <c r="A800" s="12" t="s">
        <v>1939</v>
      </c>
      <c r="B800" s="12" t="s">
        <v>1755</v>
      </c>
      <c r="C800" s="12" t="s">
        <v>1940</v>
      </c>
    </row>
    <row r="801" spans="1:3" x14ac:dyDescent="0.25">
      <c r="A801" s="12" t="s">
        <v>1941</v>
      </c>
      <c r="B801" s="12" t="s">
        <v>1755</v>
      </c>
      <c r="C801" s="12" t="s">
        <v>1942</v>
      </c>
    </row>
    <row r="802" spans="1:3" x14ac:dyDescent="0.25">
      <c r="A802" s="12" t="s">
        <v>1943</v>
      </c>
      <c r="B802" s="12" t="s">
        <v>1755</v>
      </c>
      <c r="C802" s="12" t="s">
        <v>1944</v>
      </c>
    </row>
    <row r="803" spans="1:3" x14ac:dyDescent="0.25">
      <c r="A803" s="12" t="s">
        <v>1945</v>
      </c>
      <c r="B803" s="12" t="s">
        <v>1755</v>
      </c>
      <c r="C803" s="12" t="s">
        <v>1946</v>
      </c>
    </row>
    <row r="804" spans="1:3" x14ac:dyDescent="0.25">
      <c r="A804" s="12" t="s">
        <v>1947</v>
      </c>
      <c r="B804" s="12" t="s">
        <v>1755</v>
      </c>
      <c r="C804" s="12" t="s">
        <v>1948</v>
      </c>
    </row>
    <row r="805" spans="1:3" x14ac:dyDescent="0.25">
      <c r="A805" s="12" t="s">
        <v>1949</v>
      </c>
      <c r="B805" s="12" t="s">
        <v>1755</v>
      </c>
      <c r="C805" s="12" t="s">
        <v>1950</v>
      </c>
    </row>
    <row r="806" spans="1:3" x14ac:dyDescent="0.25">
      <c r="A806" s="12" t="s">
        <v>1951</v>
      </c>
      <c r="B806" s="12" t="s">
        <v>1755</v>
      </c>
      <c r="C806" s="12" t="s">
        <v>1952</v>
      </c>
    </row>
    <row r="807" spans="1:3" x14ac:dyDescent="0.25">
      <c r="A807" s="12" t="s">
        <v>1953</v>
      </c>
      <c r="B807" s="12" t="s">
        <v>1755</v>
      </c>
      <c r="C807" s="12" t="s">
        <v>1954</v>
      </c>
    </row>
    <row r="808" spans="1:3" x14ac:dyDescent="0.25">
      <c r="A808" s="12" t="s">
        <v>1955</v>
      </c>
      <c r="B808" s="12" t="s">
        <v>1755</v>
      </c>
      <c r="C808" s="12" t="s">
        <v>1956</v>
      </c>
    </row>
    <row r="809" spans="1:3" x14ac:dyDescent="0.25">
      <c r="A809" s="12" t="s">
        <v>1957</v>
      </c>
      <c r="B809" s="12" t="s">
        <v>1755</v>
      </c>
      <c r="C809" s="12" t="s">
        <v>1958</v>
      </c>
    </row>
    <row r="810" spans="1:3" x14ac:dyDescent="0.25">
      <c r="A810" s="12" t="s">
        <v>1959</v>
      </c>
      <c r="B810" s="12" t="s">
        <v>1755</v>
      </c>
      <c r="C810" s="12" t="s">
        <v>1960</v>
      </c>
    </row>
    <row r="811" spans="1:3" x14ac:dyDescent="0.25">
      <c r="A811" s="12" t="s">
        <v>1961</v>
      </c>
      <c r="B811" s="12" t="s">
        <v>1755</v>
      </c>
      <c r="C811" s="12" t="s">
        <v>1962</v>
      </c>
    </row>
    <row r="812" spans="1:3" x14ac:dyDescent="0.25">
      <c r="A812" s="12" t="s">
        <v>1963</v>
      </c>
      <c r="B812" s="12" t="s">
        <v>1755</v>
      </c>
      <c r="C812" s="12" t="s">
        <v>1964</v>
      </c>
    </row>
    <row r="813" spans="1:3" x14ac:dyDescent="0.25">
      <c r="A813" s="12" t="s">
        <v>1965</v>
      </c>
      <c r="B813" s="12" t="s">
        <v>1755</v>
      </c>
      <c r="C813" s="12" t="s">
        <v>1966</v>
      </c>
    </row>
    <row r="814" spans="1:3" x14ac:dyDescent="0.25">
      <c r="A814" s="12" t="s">
        <v>1967</v>
      </c>
      <c r="B814" s="12" t="s">
        <v>1755</v>
      </c>
      <c r="C814" s="12" t="s">
        <v>1968</v>
      </c>
    </row>
    <row r="815" spans="1:3" x14ac:dyDescent="0.25">
      <c r="A815" s="12" t="s">
        <v>1969</v>
      </c>
      <c r="B815" s="12" t="s">
        <v>1755</v>
      </c>
      <c r="C815" s="12" t="s">
        <v>1970</v>
      </c>
    </row>
    <row r="816" spans="1:3" x14ac:dyDescent="0.25">
      <c r="A816" s="12" t="s">
        <v>1971</v>
      </c>
      <c r="B816" s="12" t="s">
        <v>1755</v>
      </c>
      <c r="C816" s="12" t="s">
        <v>1972</v>
      </c>
    </row>
    <row r="817" spans="1:3" x14ac:dyDescent="0.25">
      <c r="A817" s="12" t="s">
        <v>1973</v>
      </c>
      <c r="B817" s="12" t="s">
        <v>1755</v>
      </c>
      <c r="C817" s="12" t="s">
        <v>1974</v>
      </c>
    </row>
    <row r="818" spans="1:3" x14ac:dyDescent="0.25">
      <c r="A818" s="12" t="s">
        <v>1975</v>
      </c>
      <c r="B818" s="12" t="s">
        <v>1755</v>
      </c>
      <c r="C818" s="12" t="s">
        <v>1976</v>
      </c>
    </row>
    <row r="819" spans="1:3" x14ac:dyDescent="0.25">
      <c r="A819" s="12" t="s">
        <v>1977</v>
      </c>
      <c r="B819" s="12" t="s">
        <v>1755</v>
      </c>
      <c r="C819" s="12" t="s">
        <v>1978</v>
      </c>
    </row>
    <row r="820" spans="1:3" x14ac:dyDescent="0.25">
      <c r="A820" s="12" t="s">
        <v>1979</v>
      </c>
      <c r="B820" s="12" t="s">
        <v>1755</v>
      </c>
      <c r="C820" s="12" t="s">
        <v>1980</v>
      </c>
    </row>
    <row r="821" spans="1:3" x14ac:dyDescent="0.25">
      <c r="A821" s="12" t="s">
        <v>1981</v>
      </c>
      <c r="B821" s="12" t="s">
        <v>1755</v>
      </c>
      <c r="C821" s="12" t="s">
        <v>1982</v>
      </c>
    </row>
    <row r="822" spans="1:3" x14ac:dyDescent="0.25">
      <c r="A822" s="12" t="s">
        <v>1983</v>
      </c>
      <c r="B822" s="12" t="s">
        <v>1755</v>
      </c>
      <c r="C822" s="12" t="s">
        <v>1984</v>
      </c>
    </row>
    <row r="823" spans="1:3" x14ac:dyDescent="0.25">
      <c r="A823" s="12" t="s">
        <v>1985</v>
      </c>
      <c r="B823" s="12" t="s">
        <v>1755</v>
      </c>
      <c r="C823" s="12" t="s">
        <v>1986</v>
      </c>
    </row>
    <row r="824" spans="1:3" x14ac:dyDescent="0.25">
      <c r="A824" s="12" t="s">
        <v>1987</v>
      </c>
      <c r="B824" s="12" t="s">
        <v>1755</v>
      </c>
      <c r="C824" s="12" t="s">
        <v>1988</v>
      </c>
    </row>
    <row r="825" spans="1:3" x14ac:dyDescent="0.25">
      <c r="A825" s="12" t="s">
        <v>1989</v>
      </c>
      <c r="B825" s="12" t="s">
        <v>1755</v>
      </c>
      <c r="C825" s="12" t="s">
        <v>1990</v>
      </c>
    </row>
    <row r="826" spans="1:3" x14ac:dyDescent="0.25">
      <c r="A826" s="12" t="s">
        <v>1991</v>
      </c>
      <c r="B826" s="12" t="s">
        <v>1755</v>
      </c>
      <c r="C826" s="12" t="s">
        <v>1992</v>
      </c>
    </row>
    <row r="827" spans="1:3" x14ac:dyDescent="0.25">
      <c r="A827" s="12" t="s">
        <v>1993</v>
      </c>
      <c r="B827" s="12" t="s">
        <v>1755</v>
      </c>
      <c r="C827" s="12" t="s">
        <v>1994</v>
      </c>
    </row>
    <row r="828" spans="1:3" x14ac:dyDescent="0.25">
      <c r="A828" s="12" t="s">
        <v>1995</v>
      </c>
      <c r="B828" s="12" t="s">
        <v>1755</v>
      </c>
      <c r="C828" s="12" t="s">
        <v>1996</v>
      </c>
    </row>
    <row r="829" spans="1:3" x14ac:dyDescent="0.25">
      <c r="A829" s="12" t="s">
        <v>1997</v>
      </c>
      <c r="B829" s="12" t="s">
        <v>1755</v>
      </c>
      <c r="C829" s="12" t="s">
        <v>1998</v>
      </c>
    </row>
    <row r="830" spans="1:3" x14ac:dyDescent="0.25">
      <c r="A830" s="12" t="s">
        <v>1999</v>
      </c>
      <c r="B830" s="12" t="s">
        <v>1755</v>
      </c>
      <c r="C830" s="12" t="s">
        <v>2000</v>
      </c>
    </row>
    <row r="831" spans="1:3" x14ac:dyDescent="0.25">
      <c r="A831" s="12" t="s">
        <v>2001</v>
      </c>
      <c r="B831" s="12" t="s">
        <v>1755</v>
      </c>
      <c r="C831" s="12" t="s">
        <v>2002</v>
      </c>
    </row>
    <row r="832" spans="1:3" x14ac:dyDescent="0.25">
      <c r="A832" s="12" t="s">
        <v>2003</v>
      </c>
      <c r="B832" s="12" t="s">
        <v>1755</v>
      </c>
      <c r="C832" s="12" t="s">
        <v>2004</v>
      </c>
    </row>
    <row r="833" spans="1:3" x14ac:dyDescent="0.25">
      <c r="A833" s="12" t="s">
        <v>2005</v>
      </c>
      <c r="B833" s="12" t="s">
        <v>1755</v>
      </c>
      <c r="C833" s="12" t="s">
        <v>2006</v>
      </c>
    </row>
    <row r="834" spans="1:3" x14ac:dyDescent="0.25">
      <c r="A834" s="12" t="s">
        <v>2007</v>
      </c>
      <c r="B834" s="12" t="s">
        <v>1755</v>
      </c>
      <c r="C834" s="12" t="s">
        <v>2008</v>
      </c>
    </row>
    <row r="835" spans="1:3" x14ac:dyDescent="0.25">
      <c r="A835" s="12" t="s">
        <v>2009</v>
      </c>
      <c r="B835" s="12" t="s">
        <v>1755</v>
      </c>
      <c r="C835" s="12" t="s">
        <v>2010</v>
      </c>
    </row>
    <row r="836" spans="1:3" x14ac:dyDescent="0.25">
      <c r="A836" s="12" t="s">
        <v>2011</v>
      </c>
      <c r="B836" s="12" t="s">
        <v>1755</v>
      </c>
      <c r="C836" s="12" t="s">
        <v>2012</v>
      </c>
    </row>
    <row r="837" spans="1:3" x14ac:dyDescent="0.25">
      <c r="A837" s="12" t="s">
        <v>2013</v>
      </c>
      <c r="B837" s="12" t="s">
        <v>1755</v>
      </c>
      <c r="C837" s="12" t="s">
        <v>2014</v>
      </c>
    </row>
    <row r="838" spans="1:3" x14ac:dyDescent="0.25">
      <c r="A838" s="12" t="s">
        <v>2015</v>
      </c>
      <c r="B838" s="12" t="s">
        <v>1755</v>
      </c>
      <c r="C838" s="12" t="s">
        <v>2016</v>
      </c>
    </row>
    <row r="839" spans="1:3" x14ac:dyDescent="0.25">
      <c r="A839" s="12" t="s">
        <v>2017</v>
      </c>
      <c r="B839" s="12" t="s">
        <v>1755</v>
      </c>
      <c r="C839" s="12" t="s">
        <v>2018</v>
      </c>
    </row>
    <row r="840" spans="1:3" x14ac:dyDescent="0.25">
      <c r="A840" s="12" t="s">
        <v>2019</v>
      </c>
      <c r="B840" s="12" t="s">
        <v>1755</v>
      </c>
      <c r="C840" s="12" t="s">
        <v>2020</v>
      </c>
    </row>
    <row r="841" spans="1:3" x14ac:dyDescent="0.25">
      <c r="A841" s="12" t="s">
        <v>2021</v>
      </c>
      <c r="B841" s="12" t="s">
        <v>1755</v>
      </c>
      <c r="C841" s="12" t="s">
        <v>2022</v>
      </c>
    </row>
    <row r="842" spans="1:3" x14ac:dyDescent="0.25">
      <c r="A842" s="12" t="s">
        <v>2023</v>
      </c>
      <c r="B842" s="12" t="s">
        <v>1755</v>
      </c>
      <c r="C842" s="12" t="s">
        <v>2024</v>
      </c>
    </row>
    <row r="843" spans="1:3" x14ac:dyDescent="0.25">
      <c r="A843" s="12" t="s">
        <v>2025</v>
      </c>
      <c r="B843" s="12" t="s">
        <v>1755</v>
      </c>
      <c r="C843" s="12" t="s">
        <v>2026</v>
      </c>
    </row>
    <row r="844" spans="1:3" x14ac:dyDescent="0.25">
      <c r="A844" s="12" t="s">
        <v>2027</v>
      </c>
      <c r="B844" s="12" t="s">
        <v>1755</v>
      </c>
      <c r="C844" s="12" t="s">
        <v>2028</v>
      </c>
    </row>
    <row r="845" spans="1:3" x14ac:dyDescent="0.25">
      <c r="A845" s="12" t="s">
        <v>2029</v>
      </c>
      <c r="B845" s="12" t="s">
        <v>1755</v>
      </c>
      <c r="C845" s="12" t="s">
        <v>2030</v>
      </c>
    </row>
    <row r="846" spans="1:3" x14ac:dyDescent="0.25">
      <c r="A846" s="12" t="s">
        <v>2031</v>
      </c>
      <c r="B846" s="12" t="s">
        <v>1755</v>
      </c>
      <c r="C846" s="12" t="s">
        <v>2032</v>
      </c>
    </row>
    <row r="847" spans="1:3" x14ac:dyDescent="0.25">
      <c r="A847" s="12" t="s">
        <v>2033</v>
      </c>
      <c r="B847" s="12" t="s">
        <v>1755</v>
      </c>
      <c r="C847" s="12" t="s">
        <v>2034</v>
      </c>
    </row>
    <row r="848" spans="1:3" x14ac:dyDescent="0.25">
      <c r="A848" s="12" t="s">
        <v>2035</v>
      </c>
      <c r="B848" s="12" t="s">
        <v>1755</v>
      </c>
      <c r="C848" s="12" t="s">
        <v>2036</v>
      </c>
    </row>
    <row r="849" spans="1:3" x14ac:dyDescent="0.25">
      <c r="A849" s="12" t="s">
        <v>2037</v>
      </c>
      <c r="B849" s="12" t="s">
        <v>1755</v>
      </c>
      <c r="C849" s="12" t="s">
        <v>2038</v>
      </c>
    </row>
    <row r="850" spans="1:3" x14ac:dyDescent="0.25">
      <c r="A850" s="12" t="s">
        <v>2039</v>
      </c>
      <c r="B850" s="12" t="s">
        <v>1755</v>
      </c>
      <c r="C850" s="12" t="s">
        <v>2040</v>
      </c>
    </row>
    <row r="851" spans="1:3" x14ac:dyDescent="0.25">
      <c r="A851" s="12" t="s">
        <v>2041</v>
      </c>
      <c r="B851" s="12" t="s">
        <v>1755</v>
      </c>
      <c r="C851" s="12" t="s">
        <v>2042</v>
      </c>
    </row>
    <row r="852" spans="1:3" x14ac:dyDescent="0.25">
      <c r="A852" s="12" t="s">
        <v>2043</v>
      </c>
      <c r="B852" s="12" t="s">
        <v>1755</v>
      </c>
      <c r="C852" s="12" t="s">
        <v>2044</v>
      </c>
    </row>
    <row r="853" spans="1:3" x14ac:dyDescent="0.25">
      <c r="A853" s="12" t="s">
        <v>2045</v>
      </c>
      <c r="B853" s="12" t="s">
        <v>1755</v>
      </c>
      <c r="C853" s="12" t="s">
        <v>2046</v>
      </c>
    </row>
    <row r="854" spans="1:3" x14ac:dyDescent="0.25">
      <c r="A854" s="12" t="s">
        <v>2047</v>
      </c>
      <c r="B854" s="12" t="s">
        <v>1755</v>
      </c>
      <c r="C854" s="12" t="s">
        <v>2048</v>
      </c>
    </row>
    <row r="855" spans="1:3" x14ac:dyDescent="0.25">
      <c r="A855" s="12" t="s">
        <v>2049</v>
      </c>
      <c r="B855" s="12" t="s">
        <v>1755</v>
      </c>
      <c r="C855" s="12" t="s">
        <v>2050</v>
      </c>
    </row>
    <row r="856" spans="1:3" x14ac:dyDescent="0.25">
      <c r="A856" s="12" t="s">
        <v>2051</v>
      </c>
      <c r="B856" s="12" t="s">
        <v>1755</v>
      </c>
      <c r="C856" s="12" t="s">
        <v>2052</v>
      </c>
    </row>
    <row r="857" spans="1:3" x14ac:dyDescent="0.25">
      <c r="A857" s="12" t="s">
        <v>2053</v>
      </c>
      <c r="B857" s="12" t="s">
        <v>1755</v>
      </c>
      <c r="C857" s="12" t="s">
        <v>2054</v>
      </c>
    </row>
    <row r="858" spans="1:3" x14ac:dyDescent="0.25">
      <c r="A858" s="12" t="s">
        <v>2055</v>
      </c>
      <c r="B858" s="12" t="s">
        <v>1755</v>
      </c>
      <c r="C858" s="12" t="s">
        <v>2056</v>
      </c>
    </row>
    <row r="859" spans="1:3" x14ac:dyDescent="0.25">
      <c r="A859" s="12" t="s">
        <v>2057</v>
      </c>
      <c r="B859" s="12" t="s">
        <v>1755</v>
      </c>
      <c r="C859" s="12" t="s">
        <v>2058</v>
      </c>
    </row>
    <row r="860" spans="1:3" x14ac:dyDescent="0.25">
      <c r="A860" s="12" t="s">
        <v>2059</v>
      </c>
      <c r="B860" s="12" t="s">
        <v>1755</v>
      </c>
      <c r="C860" s="12" t="s">
        <v>2060</v>
      </c>
    </row>
    <row r="861" spans="1:3" x14ac:dyDescent="0.25">
      <c r="A861" s="12" t="s">
        <v>2061</v>
      </c>
      <c r="B861" s="12" t="s">
        <v>1755</v>
      </c>
      <c r="C861" s="12" t="s">
        <v>2062</v>
      </c>
    </row>
    <row r="862" spans="1:3" x14ac:dyDescent="0.25">
      <c r="A862" s="12" t="s">
        <v>2063</v>
      </c>
      <c r="B862" s="12" t="s">
        <v>1755</v>
      </c>
      <c r="C862" s="12" t="s">
        <v>2064</v>
      </c>
    </row>
    <row r="863" spans="1:3" x14ac:dyDescent="0.25">
      <c r="A863" s="12" t="s">
        <v>2065</v>
      </c>
      <c r="B863" s="12" t="s">
        <v>1755</v>
      </c>
      <c r="C863" s="12" t="s">
        <v>2066</v>
      </c>
    </row>
    <row r="864" spans="1:3" x14ac:dyDescent="0.25">
      <c r="A864" s="12" t="s">
        <v>2067</v>
      </c>
      <c r="B864" s="12" t="s">
        <v>1755</v>
      </c>
      <c r="C864" s="12" t="s">
        <v>2068</v>
      </c>
    </row>
    <row r="865" spans="1:3" x14ac:dyDescent="0.25">
      <c r="A865" s="12" t="s">
        <v>2069</v>
      </c>
      <c r="B865" s="12" t="s">
        <v>1755</v>
      </c>
      <c r="C865" s="12" t="s">
        <v>2070</v>
      </c>
    </row>
    <row r="866" spans="1:3" x14ac:dyDescent="0.25">
      <c r="A866" s="12" t="s">
        <v>2071</v>
      </c>
      <c r="B866" s="12" t="s">
        <v>1755</v>
      </c>
      <c r="C866" s="12" t="s">
        <v>2072</v>
      </c>
    </row>
    <row r="867" spans="1:3" x14ac:dyDescent="0.25">
      <c r="A867" s="12" t="s">
        <v>2073</v>
      </c>
      <c r="B867" s="12" t="s">
        <v>1755</v>
      </c>
      <c r="C867" s="12" t="s">
        <v>2074</v>
      </c>
    </row>
    <row r="868" spans="1:3" x14ac:dyDescent="0.25">
      <c r="A868" s="12" t="s">
        <v>2075</v>
      </c>
      <c r="B868" s="12" t="s">
        <v>1755</v>
      </c>
      <c r="C868" s="12" t="s">
        <v>2076</v>
      </c>
    </row>
    <row r="869" spans="1:3" x14ac:dyDescent="0.25">
      <c r="A869" s="12" t="s">
        <v>2077</v>
      </c>
      <c r="B869" s="12" t="s">
        <v>1755</v>
      </c>
      <c r="C869" s="12" t="s">
        <v>2078</v>
      </c>
    </row>
    <row r="870" spans="1:3" x14ac:dyDescent="0.25">
      <c r="A870" s="12" t="s">
        <v>2079</v>
      </c>
      <c r="B870" s="12" t="s">
        <v>1755</v>
      </c>
      <c r="C870" s="12" t="s">
        <v>2080</v>
      </c>
    </row>
    <row r="871" spans="1:3" x14ac:dyDescent="0.25">
      <c r="A871" s="12" t="s">
        <v>2081</v>
      </c>
      <c r="B871" s="12" t="s">
        <v>1755</v>
      </c>
      <c r="C871" s="12" t="s">
        <v>2082</v>
      </c>
    </row>
    <row r="872" spans="1:3" x14ac:dyDescent="0.25">
      <c r="A872" s="12" t="s">
        <v>2083</v>
      </c>
      <c r="B872" s="12" t="s">
        <v>1755</v>
      </c>
      <c r="C872" s="12" t="s">
        <v>2084</v>
      </c>
    </row>
    <row r="873" spans="1:3" x14ac:dyDescent="0.25">
      <c r="A873" s="12" t="s">
        <v>2085</v>
      </c>
      <c r="B873" s="12" t="s">
        <v>1755</v>
      </c>
      <c r="C873" s="12" t="s">
        <v>2086</v>
      </c>
    </row>
    <row r="874" spans="1:3" x14ac:dyDescent="0.25">
      <c r="A874" s="12" t="s">
        <v>2087</v>
      </c>
      <c r="B874" s="12" t="s">
        <v>1755</v>
      </c>
      <c r="C874" s="12" t="s">
        <v>2088</v>
      </c>
    </row>
    <row r="875" spans="1:3" x14ac:dyDescent="0.25">
      <c r="A875" s="12" t="s">
        <v>2089</v>
      </c>
      <c r="B875" s="12" t="s">
        <v>1755</v>
      </c>
      <c r="C875" s="12" t="s">
        <v>2090</v>
      </c>
    </row>
    <row r="876" spans="1:3" x14ac:dyDescent="0.25">
      <c r="A876" s="12" t="s">
        <v>2091</v>
      </c>
      <c r="B876" s="12" t="s">
        <v>1755</v>
      </c>
      <c r="C876" s="12" t="s">
        <v>2092</v>
      </c>
    </row>
    <row r="877" spans="1:3" x14ac:dyDescent="0.25">
      <c r="A877" s="12" t="s">
        <v>2093</v>
      </c>
      <c r="B877" s="12" t="s">
        <v>1755</v>
      </c>
      <c r="C877" s="12" t="s">
        <v>2094</v>
      </c>
    </row>
    <row r="878" spans="1:3" x14ac:dyDescent="0.25">
      <c r="A878" s="12" t="s">
        <v>2095</v>
      </c>
      <c r="B878" s="12" t="s">
        <v>1755</v>
      </c>
      <c r="C878" s="12" t="s">
        <v>2096</v>
      </c>
    </row>
    <row r="879" spans="1:3" x14ac:dyDescent="0.25">
      <c r="A879" s="12" t="s">
        <v>2097</v>
      </c>
      <c r="B879" s="12" t="s">
        <v>1755</v>
      </c>
      <c r="C879" s="12" t="s">
        <v>2098</v>
      </c>
    </row>
    <row r="880" spans="1:3" x14ac:dyDescent="0.25">
      <c r="A880" s="12" t="s">
        <v>2099</v>
      </c>
      <c r="B880" s="12" t="s">
        <v>1755</v>
      </c>
      <c r="C880" s="12" t="s">
        <v>2100</v>
      </c>
    </row>
    <row r="881" spans="1:3" x14ac:dyDescent="0.25">
      <c r="A881" s="12" t="s">
        <v>2101</v>
      </c>
      <c r="B881" s="12" t="s">
        <v>1755</v>
      </c>
      <c r="C881" s="12" t="s">
        <v>2102</v>
      </c>
    </row>
    <row r="882" spans="1:3" x14ac:dyDescent="0.25">
      <c r="A882" s="12" t="s">
        <v>2103</v>
      </c>
      <c r="B882" s="12" t="s">
        <v>1755</v>
      </c>
      <c r="C882" s="12" t="s">
        <v>2104</v>
      </c>
    </row>
    <row r="883" spans="1:3" x14ac:dyDescent="0.25">
      <c r="A883" s="12" t="s">
        <v>2105</v>
      </c>
      <c r="B883" s="12" t="s">
        <v>1755</v>
      </c>
      <c r="C883" s="12" t="s">
        <v>2106</v>
      </c>
    </row>
    <row r="884" spans="1:3" x14ac:dyDescent="0.25">
      <c r="A884" s="12" t="s">
        <v>2107</v>
      </c>
      <c r="B884" s="12" t="s">
        <v>1755</v>
      </c>
      <c r="C884" s="12" t="s">
        <v>2108</v>
      </c>
    </row>
    <row r="885" spans="1:3" x14ac:dyDescent="0.25">
      <c r="A885" s="12" t="s">
        <v>2109</v>
      </c>
      <c r="B885" s="12" t="s">
        <v>1755</v>
      </c>
      <c r="C885" s="12" t="s">
        <v>2110</v>
      </c>
    </row>
    <row r="886" spans="1:3" x14ac:dyDescent="0.25">
      <c r="A886" s="12" t="s">
        <v>2111</v>
      </c>
      <c r="B886" s="12" t="s">
        <v>1755</v>
      </c>
      <c r="C886" s="12" t="s">
        <v>2112</v>
      </c>
    </row>
    <row r="887" spans="1:3" x14ac:dyDescent="0.25">
      <c r="A887" s="12" t="s">
        <v>2113</v>
      </c>
      <c r="B887" s="12" t="s">
        <v>1755</v>
      </c>
      <c r="C887" s="12" t="s">
        <v>2114</v>
      </c>
    </row>
    <row r="888" spans="1:3" x14ac:dyDescent="0.25">
      <c r="A888" s="12" t="s">
        <v>2115</v>
      </c>
      <c r="B888" s="12" t="s">
        <v>1755</v>
      </c>
      <c r="C888" s="12" t="s">
        <v>2116</v>
      </c>
    </row>
    <row r="889" spans="1:3" x14ac:dyDescent="0.25">
      <c r="A889" s="12" t="s">
        <v>2117</v>
      </c>
      <c r="B889" s="12" t="s">
        <v>1755</v>
      </c>
      <c r="C889" s="12" t="s">
        <v>2118</v>
      </c>
    </row>
    <row r="890" spans="1:3" x14ac:dyDescent="0.25">
      <c r="A890" s="12" t="s">
        <v>2119</v>
      </c>
      <c r="B890" s="12" t="s">
        <v>1755</v>
      </c>
      <c r="C890" s="12" t="s">
        <v>2120</v>
      </c>
    </row>
    <row r="891" spans="1:3" x14ac:dyDescent="0.25">
      <c r="A891" s="12" t="s">
        <v>2121</v>
      </c>
      <c r="B891" s="12" t="s">
        <v>1755</v>
      </c>
      <c r="C891" s="12" t="s">
        <v>2122</v>
      </c>
    </row>
    <row r="892" spans="1:3" x14ac:dyDescent="0.25">
      <c r="A892" s="12" t="s">
        <v>2123</v>
      </c>
      <c r="B892" s="12" t="s">
        <v>1755</v>
      </c>
      <c r="C892" s="12" t="s">
        <v>2124</v>
      </c>
    </row>
    <row r="893" spans="1:3" x14ac:dyDescent="0.25">
      <c r="A893" s="12" t="s">
        <v>2125</v>
      </c>
      <c r="B893" s="12" t="s">
        <v>1755</v>
      </c>
      <c r="C893" s="12" t="s">
        <v>2170</v>
      </c>
    </row>
    <row r="894" spans="1:3" x14ac:dyDescent="0.25">
      <c r="A894" s="12" t="s">
        <v>2127</v>
      </c>
      <c r="B894" s="12" t="s">
        <v>1755</v>
      </c>
      <c r="C894" s="12" t="s">
        <v>2128</v>
      </c>
    </row>
    <row r="895" spans="1:3" x14ac:dyDescent="0.25">
      <c r="A895" s="12" t="s">
        <v>2129</v>
      </c>
      <c r="B895" s="12" t="s">
        <v>1755</v>
      </c>
      <c r="C895" s="12" t="s">
        <v>2130</v>
      </c>
    </row>
    <row r="896" spans="1:3" x14ac:dyDescent="0.25">
      <c r="A896" s="12" t="s">
        <v>2131</v>
      </c>
      <c r="B896" s="12" t="s">
        <v>1755</v>
      </c>
      <c r="C896" s="12" t="s">
        <v>2132</v>
      </c>
    </row>
    <row r="897" spans="1:3" x14ac:dyDescent="0.25">
      <c r="A897" s="12" t="s">
        <v>2133</v>
      </c>
      <c r="B897" s="12" t="s">
        <v>1755</v>
      </c>
      <c r="C897" s="12" t="s">
        <v>2134</v>
      </c>
    </row>
    <row r="898" spans="1:3" x14ac:dyDescent="0.25">
      <c r="A898" s="12" t="s">
        <v>2135</v>
      </c>
      <c r="B898" s="12" t="s">
        <v>1755</v>
      </c>
      <c r="C898" s="12" t="s">
        <v>2136</v>
      </c>
    </row>
    <row r="899" spans="1:3" x14ac:dyDescent="0.25">
      <c r="A899" s="12" t="s">
        <v>2137</v>
      </c>
      <c r="B899" s="12" t="s">
        <v>1755</v>
      </c>
      <c r="C899" s="12" t="s">
        <v>2138</v>
      </c>
    </row>
    <row r="900" spans="1:3" x14ac:dyDescent="0.25">
      <c r="A900" s="12" t="s">
        <v>2139</v>
      </c>
      <c r="B900" s="12" t="s">
        <v>1755</v>
      </c>
      <c r="C900" s="12" t="s">
        <v>2140</v>
      </c>
    </row>
    <row r="901" spans="1:3" x14ac:dyDescent="0.25">
      <c r="A901" s="12" t="s">
        <v>2141</v>
      </c>
      <c r="B901" s="12" t="s">
        <v>1755</v>
      </c>
      <c r="C901" s="12" t="s">
        <v>2142</v>
      </c>
    </row>
    <row r="902" spans="1:3" x14ac:dyDescent="0.25">
      <c r="A902" s="12" t="s">
        <v>2143</v>
      </c>
      <c r="B902" s="12" t="s">
        <v>1755</v>
      </c>
      <c r="C902" s="12" t="s">
        <v>2144</v>
      </c>
    </row>
    <row r="903" spans="1:3" x14ac:dyDescent="0.25">
      <c r="A903" s="12" t="s">
        <v>2145</v>
      </c>
      <c r="B903" s="12" t="s">
        <v>1755</v>
      </c>
      <c r="C903" s="12" t="s">
        <v>2146</v>
      </c>
    </row>
    <row r="904" spans="1:3" x14ac:dyDescent="0.25">
      <c r="A904" s="12" t="s">
        <v>2147</v>
      </c>
      <c r="B904" s="12" t="s">
        <v>1755</v>
      </c>
      <c r="C904" s="12" t="s">
        <v>2148</v>
      </c>
    </row>
    <row r="905" spans="1:3" x14ac:dyDescent="0.25">
      <c r="A905" s="12" t="s">
        <v>2149</v>
      </c>
      <c r="B905" s="12" t="s">
        <v>1755</v>
      </c>
      <c r="C905" s="12" t="s">
        <v>2150</v>
      </c>
    </row>
    <row r="906" spans="1:3" x14ac:dyDescent="0.25">
      <c r="A906" s="12" t="s">
        <v>2151</v>
      </c>
      <c r="B906" s="12" t="s">
        <v>1755</v>
      </c>
      <c r="C906" s="12" t="s">
        <v>2152</v>
      </c>
    </row>
    <row r="907" spans="1:3" x14ac:dyDescent="0.25">
      <c r="A907" s="12" t="s">
        <v>2153</v>
      </c>
      <c r="B907" s="12" t="s">
        <v>1755</v>
      </c>
      <c r="C907" s="12" t="s">
        <v>2154</v>
      </c>
    </row>
    <row r="908" spans="1:3" x14ac:dyDescent="0.25">
      <c r="A908" s="12" t="s">
        <v>2155</v>
      </c>
      <c r="B908" s="12" t="s">
        <v>1755</v>
      </c>
      <c r="C908" s="12" t="s">
        <v>2156</v>
      </c>
    </row>
    <row r="909" spans="1:3" x14ac:dyDescent="0.25">
      <c r="A909" s="12" t="s">
        <v>2157</v>
      </c>
      <c r="B909" s="12" t="s">
        <v>1755</v>
      </c>
      <c r="C909" s="12" t="s">
        <v>2158</v>
      </c>
    </row>
    <row r="910" spans="1:3" x14ac:dyDescent="0.25">
      <c r="A910" s="12" t="s">
        <v>2161</v>
      </c>
      <c r="B910" s="12" t="s">
        <v>1755</v>
      </c>
      <c r="C910" s="12" t="s">
        <v>2162</v>
      </c>
    </row>
    <row r="911" spans="1:3" x14ac:dyDescent="0.25">
      <c r="A911" s="12" t="s">
        <v>2532</v>
      </c>
      <c r="B911" s="12" t="s">
        <v>1755</v>
      </c>
      <c r="C911" s="12" t="s">
        <v>2160</v>
      </c>
    </row>
    <row r="912" spans="1:3" x14ac:dyDescent="0.25">
      <c r="A912" s="12" t="s">
        <v>2163</v>
      </c>
      <c r="B912" s="12" t="s">
        <v>1755</v>
      </c>
      <c r="C912" s="12" t="s">
        <v>2164</v>
      </c>
    </row>
    <row r="913" spans="1:3" x14ac:dyDescent="0.25">
      <c r="A913" s="12" t="s">
        <v>2165</v>
      </c>
      <c r="B913" s="12" t="s">
        <v>1755</v>
      </c>
      <c r="C913" s="12" t="s">
        <v>2166</v>
      </c>
    </row>
    <row r="914" spans="1:3" x14ac:dyDescent="0.25">
      <c r="A914" s="12" t="s">
        <v>641</v>
      </c>
      <c r="B914" s="12" t="s">
        <v>641</v>
      </c>
      <c r="C914" s="12" t="s">
        <v>2176</v>
      </c>
    </row>
    <row r="915" spans="1:3" x14ac:dyDescent="0.25">
      <c r="A915" s="12" t="s">
        <v>2178</v>
      </c>
      <c r="B915" s="12" t="s">
        <v>2178</v>
      </c>
      <c r="C915" s="12" t="s">
        <v>2179</v>
      </c>
    </row>
    <row r="916" spans="1:3" x14ac:dyDescent="0.25">
      <c r="A916" s="12" t="s">
        <v>2186</v>
      </c>
      <c r="B916" s="12" t="s">
        <v>2184</v>
      </c>
      <c r="C916" s="12" t="s">
        <v>2187</v>
      </c>
    </row>
    <row r="917" spans="1:3" x14ac:dyDescent="0.25">
      <c r="A917" s="12" t="s">
        <v>2188</v>
      </c>
      <c r="B917" s="12" t="s">
        <v>2184</v>
      </c>
      <c r="C917" s="12" t="s">
        <v>2189</v>
      </c>
    </row>
    <row r="918" spans="1:3" x14ac:dyDescent="0.25">
      <c r="A918" s="12" t="s">
        <v>2190</v>
      </c>
      <c r="B918" s="12" t="s">
        <v>2184</v>
      </c>
      <c r="C918" s="12" t="s">
        <v>2191</v>
      </c>
    </row>
    <row r="919" spans="1:3" x14ac:dyDescent="0.25">
      <c r="A919" s="12" t="s">
        <v>2192</v>
      </c>
      <c r="B919" s="12" t="s">
        <v>2184</v>
      </c>
      <c r="C919" s="12" t="s">
        <v>2193</v>
      </c>
    </row>
    <row r="920" spans="1:3" x14ac:dyDescent="0.25">
      <c r="A920" s="12" t="s">
        <v>2194</v>
      </c>
      <c r="B920" s="12" t="s">
        <v>2184</v>
      </c>
      <c r="C920" s="12" t="s">
        <v>2195</v>
      </c>
    </row>
    <row r="921" spans="1:3" x14ac:dyDescent="0.25">
      <c r="A921" s="12" t="s">
        <v>2294</v>
      </c>
      <c r="B921" s="12" t="s">
        <v>2184</v>
      </c>
      <c r="C921" s="14" t="s">
        <v>2296</v>
      </c>
    </row>
    <row r="922" spans="1:3" x14ac:dyDescent="0.25">
      <c r="A922" s="12" t="s">
        <v>2196</v>
      </c>
      <c r="B922" s="12" t="s">
        <v>2184</v>
      </c>
      <c r="C922" s="12" t="s">
        <v>2197</v>
      </c>
    </row>
    <row r="923" spans="1:3" x14ac:dyDescent="0.25">
      <c r="A923" s="12" t="s">
        <v>2198</v>
      </c>
      <c r="B923" s="12" t="s">
        <v>2184</v>
      </c>
      <c r="C923" s="12" t="s">
        <v>2199</v>
      </c>
    </row>
    <row r="924" spans="1:3" x14ac:dyDescent="0.25">
      <c r="A924" s="12" t="s">
        <v>2200</v>
      </c>
      <c r="B924" s="12" t="s">
        <v>2184</v>
      </c>
      <c r="C924" s="8" t="s">
        <v>2201</v>
      </c>
    </row>
    <row r="925" spans="1:3" ht="15" customHeight="1" x14ac:dyDescent="0.25">
      <c r="A925" t="s">
        <v>671</v>
      </c>
      <c r="B925" t="s">
        <v>672</v>
      </c>
      <c r="C925" s="126" t="s">
        <v>673</v>
      </c>
    </row>
    <row r="926" spans="1:3" ht="15" customHeight="1" x14ac:dyDescent="0.25">
      <c r="A926" t="s">
        <v>2180</v>
      </c>
      <c r="B926" t="s">
        <v>2181</v>
      </c>
      <c r="C926" s="126" t="s">
        <v>2182</v>
      </c>
    </row>
    <row r="927" spans="1:3" ht="15" customHeight="1" x14ac:dyDescent="0.25">
      <c r="A927" t="s">
        <v>300</v>
      </c>
      <c r="B927" t="s">
        <v>138</v>
      </c>
      <c r="C927" s="126" t="s">
        <v>299</v>
      </c>
    </row>
    <row r="928" spans="1:3" ht="15" customHeight="1" x14ac:dyDescent="0.25">
      <c r="A928" t="s">
        <v>502</v>
      </c>
      <c r="B928" t="s">
        <v>432</v>
      </c>
      <c r="C928" s="126" t="s">
        <v>501</v>
      </c>
    </row>
    <row r="929" spans="1:3" x14ac:dyDescent="0.25">
      <c r="A929" s="12" t="s">
        <v>2206</v>
      </c>
      <c r="B929" s="12" t="s">
        <v>2184</v>
      </c>
      <c r="C929" s="12">
        <v>0</v>
      </c>
    </row>
    <row r="930" spans="1:3" x14ac:dyDescent="0.25">
      <c r="A930" s="12" t="s">
        <v>2207</v>
      </c>
      <c r="B930" s="12" t="s">
        <v>2184</v>
      </c>
      <c r="C930" s="12" t="s">
        <v>2208</v>
      </c>
    </row>
    <row r="931" spans="1:3" x14ac:dyDescent="0.25">
      <c r="A931" s="12" t="s">
        <v>2209</v>
      </c>
      <c r="B931" s="12" t="s">
        <v>2184</v>
      </c>
      <c r="C931" s="12" t="s">
        <v>2210</v>
      </c>
    </row>
    <row r="932" spans="1:3" x14ac:dyDescent="0.25">
      <c r="A932" s="12" t="s">
        <v>2211</v>
      </c>
      <c r="B932" s="12" t="s">
        <v>2184</v>
      </c>
      <c r="C932" s="12">
        <v>0</v>
      </c>
    </row>
    <row r="933" spans="1:3" x14ac:dyDescent="0.25">
      <c r="A933" s="12" t="s">
        <v>2212</v>
      </c>
      <c r="B933" s="12" t="s">
        <v>2184</v>
      </c>
      <c r="C933" s="12" t="s">
        <v>2213</v>
      </c>
    </row>
    <row r="934" spans="1:3" x14ac:dyDescent="0.25">
      <c r="A934" s="12" t="s">
        <v>2214</v>
      </c>
      <c r="B934" s="12" t="s">
        <v>2184</v>
      </c>
      <c r="C934" s="12" t="s">
        <v>2215</v>
      </c>
    </row>
    <row r="935" spans="1:3" x14ac:dyDescent="0.25">
      <c r="A935" s="12" t="s">
        <v>2216</v>
      </c>
      <c r="B935" s="12" t="s">
        <v>2184</v>
      </c>
      <c r="C935" s="12" t="s">
        <v>2217</v>
      </c>
    </row>
    <row r="936" spans="1:3" x14ac:dyDescent="0.25">
      <c r="A936" s="12" t="s">
        <v>2218</v>
      </c>
      <c r="B936" s="12" t="s">
        <v>2184</v>
      </c>
      <c r="C936" s="12" t="s">
        <v>2219</v>
      </c>
    </row>
    <row r="937" spans="1:3" x14ac:dyDescent="0.25">
      <c r="A937" s="12" t="s">
        <v>2220</v>
      </c>
      <c r="B937" s="12" t="s">
        <v>2184</v>
      </c>
      <c r="C937" s="12" t="s">
        <v>2221</v>
      </c>
    </row>
    <row r="938" spans="1:3" x14ac:dyDescent="0.25">
      <c r="A938" s="12" t="s">
        <v>2222</v>
      </c>
      <c r="B938" s="12" t="s">
        <v>2184</v>
      </c>
      <c r="C938" s="12" t="s">
        <v>2223</v>
      </c>
    </row>
    <row r="939" spans="1:3" x14ac:dyDescent="0.25">
      <c r="A939" s="12" t="s">
        <v>2224</v>
      </c>
      <c r="B939" s="12" t="s">
        <v>2184</v>
      </c>
      <c r="C939" s="12" t="s">
        <v>2225</v>
      </c>
    </row>
    <row r="940" spans="1:3" x14ac:dyDescent="0.25">
      <c r="A940" s="12" t="s">
        <v>2226</v>
      </c>
      <c r="B940" s="12" t="s">
        <v>2184</v>
      </c>
      <c r="C940" s="12">
        <v>0</v>
      </c>
    </row>
    <row r="941" spans="1:3" x14ac:dyDescent="0.25">
      <c r="A941" s="12" t="s">
        <v>2227</v>
      </c>
      <c r="B941" s="12" t="s">
        <v>2184</v>
      </c>
      <c r="C941" s="12" t="s">
        <v>2228</v>
      </c>
    </row>
    <row r="942" spans="1:3" x14ac:dyDescent="0.25">
      <c r="A942" s="12" t="s">
        <v>2229</v>
      </c>
      <c r="B942" s="12" t="s">
        <v>2184</v>
      </c>
      <c r="C942" s="12" t="s">
        <v>2230</v>
      </c>
    </row>
    <row r="943" spans="1:3" x14ac:dyDescent="0.25">
      <c r="A943" s="12" t="s">
        <v>2231</v>
      </c>
      <c r="B943" s="12" t="s">
        <v>2184</v>
      </c>
      <c r="C943" s="12" t="s">
        <v>2232</v>
      </c>
    </row>
    <row r="944" spans="1:3" x14ac:dyDescent="0.25">
      <c r="A944" s="12" t="s">
        <v>2233</v>
      </c>
      <c r="B944" s="12" t="s">
        <v>2184</v>
      </c>
      <c r="C944" s="12">
        <v>0</v>
      </c>
    </row>
    <row r="945" spans="1:3" x14ac:dyDescent="0.25">
      <c r="A945" s="12" t="s">
        <v>2234</v>
      </c>
      <c r="B945" s="12" t="s">
        <v>2184</v>
      </c>
      <c r="C945" s="12" t="s">
        <v>2235</v>
      </c>
    </row>
    <row r="946" spans="1:3" x14ac:dyDescent="0.25">
      <c r="A946" s="12" t="s">
        <v>2236</v>
      </c>
      <c r="B946" s="12" t="s">
        <v>2184</v>
      </c>
      <c r="C946" s="12">
        <v>0</v>
      </c>
    </row>
    <row r="947" spans="1:3" x14ac:dyDescent="0.25">
      <c r="A947" s="12" t="s">
        <v>2237</v>
      </c>
      <c r="B947" s="12" t="s">
        <v>2184</v>
      </c>
      <c r="C947" s="12" t="s">
        <v>2238</v>
      </c>
    </row>
    <row r="948" spans="1:3" x14ac:dyDescent="0.25">
      <c r="A948" s="12" t="s">
        <v>2239</v>
      </c>
      <c r="B948" s="12" t="s">
        <v>2184</v>
      </c>
      <c r="C948" s="12" t="s">
        <v>2240</v>
      </c>
    </row>
    <row r="949" spans="1:3" x14ac:dyDescent="0.25">
      <c r="A949" s="12" t="s">
        <v>2241</v>
      </c>
      <c r="B949" s="12" t="s">
        <v>2184</v>
      </c>
      <c r="C949" s="12" t="s">
        <v>2242</v>
      </c>
    </row>
    <row r="950" spans="1:3" x14ac:dyDescent="0.25">
      <c r="A950" s="12" t="s">
        <v>2243</v>
      </c>
      <c r="B950" s="12" t="s">
        <v>2184</v>
      </c>
      <c r="C950" s="12" t="s">
        <v>2244</v>
      </c>
    </row>
    <row r="951" spans="1:3" x14ac:dyDescent="0.25">
      <c r="A951" s="12" t="s">
        <v>2245</v>
      </c>
      <c r="B951" s="12" t="s">
        <v>2184</v>
      </c>
      <c r="C951" s="12">
        <v>0</v>
      </c>
    </row>
    <row r="952" spans="1:3" x14ac:dyDescent="0.25">
      <c r="A952" s="12" t="s">
        <v>2246</v>
      </c>
      <c r="B952" s="12" t="s">
        <v>2184</v>
      </c>
      <c r="C952" s="12" t="s">
        <v>2247</v>
      </c>
    </row>
    <row r="953" spans="1:3" x14ac:dyDescent="0.25">
      <c r="A953" s="12" t="s">
        <v>2248</v>
      </c>
      <c r="B953" s="12" t="s">
        <v>2184</v>
      </c>
      <c r="C953" s="12" t="s">
        <v>2249</v>
      </c>
    </row>
    <row r="954" spans="1:3" x14ac:dyDescent="0.25">
      <c r="A954" s="12" t="s">
        <v>2250</v>
      </c>
      <c r="B954" s="12" t="s">
        <v>2184</v>
      </c>
      <c r="C954" s="12" t="s">
        <v>2251</v>
      </c>
    </row>
    <row r="955" spans="1:3" x14ac:dyDescent="0.25">
      <c r="A955" s="12" t="s">
        <v>2254</v>
      </c>
      <c r="B955" s="12" t="s">
        <v>2184</v>
      </c>
      <c r="C955" s="12" t="s">
        <v>2255</v>
      </c>
    </row>
    <row r="956" spans="1:3" x14ac:dyDescent="0.25">
      <c r="A956" s="12" t="s">
        <v>2256</v>
      </c>
      <c r="B956" s="12" t="s">
        <v>2184</v>
      </c>
      <c r="C956" s="12" t="s">
        <v>2257</v>
      </c>
    </row>
    <row r="957" spans="1:3" x14ac:dyDescent="0.25">
      <c r="A957" s="12" t="s">
        <v>2258</v>
      </c>
      <c r="B957" s="12" t="s">
        <v>2184</v>
      </c>
      <c r="C957" s="12">
        <v>0</v>
      </c>
    </row>
    <row r="958" spans="1:3" x14ac:dyDescent="0.25">
      <c r="A958" s="12" t="s">
        <v>2259</v>
      </c>
      <c r="B958" s="12" t="s">
        <v>2184</v>
      </c>
      <c r="C958" s="12" t="s">
        <v>2260</v>
      </c>
    </row>
    <row r="959" spans="1:3" x14ac:dyDescent="0.25">
      <c r="A959" s="12" t="s">
        <v>2261</v>
      </c>
      <c r="B959" s="12" t="s">
        <v>2184</v>
      </c>
      <c r="C959" s="12" t="s">
        <v>2262</v>
      </c>
    </row>
    <row r="960" spans="1:3" x14ac:dyDescent="0.25">
      <c r="A960" s="12" t="s">
        <v>2263</v>
      </c>
      <c r="B960" s="12" t="s">
        <v>2184</v>
      </c>
      <c r="C960" s="12" t="s">
        <v>2264</v>
      </c>
    </row>
    <row r="961" spans="1:3" x14ac:dyDescent="0.25">
      <c r="A961" s="12" t="s">
        <v>2265</v>
      </c>
      <c r="B961" s="12" t="s">
        <v>2184</v>
      </c>
      <c r="C961" s="12" t="s">
        <v>2266</v>
      </c>
    </row>
    <row r="962" spans="1:3" x14ac:dyDescent="0.25">
      <c r="A962" s="12" t="s">
        <v>2267</v>
      </c>
      <c r="B962" s="12" t="s">
        <v>2184</v>
      </c>
      <c r="C962" s="12" t="s">
        <v>2268</v>
      </c>
    </row>
    <row r="963" spans="1:3" x14ac:dyDescent="0.25">
      <c r="A963" s="12" t="s">
        <v>2269</v>
      </c>
      <c r="B963" s="12" t="s">
        <v>2184</v>
      </c>
      <c r="C963" s="12">
        <v>0</v>
      </c>
    </row>
    <row r="964" spans="1:3" x14ac:dyDescent="0.25">
      <c r="A964" s="12" t="s">
        <v>2270</v>
      </c>
      <c r="B964" s="12" t="s">
        <v>2184</v>
      </c>
      <c r="C964" s="12" t="s">
        <v>2271</v>
      </c>
    </row>
    <row r="965" spans="1:3" x14ac:dyDescent="0.25">
      <c r="A965" s="12" t="s">
        <v>2272</v>
      </c>
      <c r="B965" s="12" t="s">
        <v>2184</v>
      </c>
      <c r="C965" s="12" t="s">
        <v>2273</v>
      </c>
    </row>
    <row r="966" spans="1:3" x14ac:dyDescent="0.25">
      <c r="A966" s="12" t="s">
        <v>2274</v>
      </c>
      <c r="B966" s="12" t="s">
        <v>2184</v>
      </c>
      <c r="C966" s="12" t="s">
        <v>2275</v>
      </c>
    </row>
    <row r="967" spans="1:3" x14ac:dyDescent="0.25">
      <c r="A967" s="12" t="s">
        <v>2276</v>
      </c>
      <c r="B967" s="12" t="s">
        <v>2184</v>
      </c>
      <c r="C967" s="12" t="s">
        <v>2277</v>
      </c>
    </row>
    <row r="968" spans="1:3" x14ac:dyDescent="0.25">
      <c r="A968" s="12" t="s">
        <v>2278</v>
      </c>
      <c r="B968" s="12" t="s">
        <v>2184</v>
      </c>
      <c r="C968" s="12" t="s">
        <v>2279</v>
      </c>
    </row>
    <row r="969" spans="1:3" x14ac:dyDescent="0.25">
      <c r="A969" s="12" t="s">
        <v>2280</v>
      </c>
      <c r="B969" s="12" t="s">
        <v>2184</v>
      </c>
      <c r="C969" s="12" t="s">
        <v>2281</v>
      </c>
    </row>
    <row r="970" spans="1:3" x14ac:dyDescent="0.25">
      <c r="A970" s="12" t="s">
        <v>2282</v>
      </c>
      <c r="B970" s="12" t="s">
        <v>2184</v>
      </c>
      <c r="C970" s="12">
        <v>0</v>
      </c>
    </row>
    <row r="971" spans="1:3" x14ac:dyDescent="0.25">
      <c r="A971" s="12" t="s">
        <v>2252</v>
      </c>
      <c r="B971" s="12" t="s">
        <v>2184</v>
      </c>
      <c r="C971" s="12" t="s">
        <v>2253</v>
      </c>
    </row>
    <row r="972" spans="1:3" x14ac:dyDescent="0.25">
      <c r="A972" s="12" t="s">
        <v>2284</v>
      </c>
      <c r="B972" s="12" t="s">
        <v>2184</v>
      </c>
      <c r="C972" s="12" t="s">
        <v>2285</v>
      </c>
    </row>
    <row r="973" spans="1:3" x14ac:dyDescent="0.25">
      <c r="A973" s="12" t="s">
        <v>2288</v>
      </c>
      <c r="B973" s="12" t="s">
        <v>2184</v>
      </c>
      <c r="C973" s="12" t="s">
        <v>2289</v>
      </c>
    </row>
    <row r="974" spans="1:3" x14ac:dyDescent="0.25">
      <c r="A974" s="12" t="s">
        <v>2290</v>
      </c>
      <c r="B974" s="12" t="s">
        <v>2184</v>
      </c>
      <c r="C974" s="12" t="s">
        <v>2291</v>
      </c>
    </row>
    <row r="975" spans="1:3" x14ac:dyDescent="0.25">
      <c r="A975" s="12" t="s">
        <v>2292</v>
      </c>
      <c r="B975" s="12" t="s">
        <v>2184</v>
      </c>
      <c r="C975" s="12" t="s">
        <v>2293</v>
      </c>
    </row>
    <row r="976" spans="1:3" x14ac:dyDescent="0.25">
      <c r="A976" s="12" t="s">
        <v>2300</v>
      </c>
      <c r="B976" s="12" t="s">
        <v>2301</v>
      </c>
      <c r="C976" s="12" t="s">
        <v>2302</v>
      </c>
    </row>
    <row r="977" spans="1:3" x14ac:dyDescent="0.25">
      <c r="A977" s="12" t="s">
        <v>2303</v>
      </c>
      <c r="B977" s="12" t="s">
        <v>2301</v>
      </c>
      <c r="C977" s="12" t="s">
        <v>2304</v>
      </c>
    </row>
    <row r="978" spans="1:3" x14ac:dyDescent="0.25">
      <c r="A978" s="12" t="s">
        <v>2305</v>
      </c>
      <c r="B978" s="12" t="s">
        <v>2301</v>
      </c>
      <c r="C978" s="12" t="s">
        <v>2306</v>
      </c>
    </row>
    <row r="979" spans="1:3" x14ac:dyDescent="0.25">
      <c r="A979" s="12" t="s">
        <v>2533</v>
      </c>
      <c r="B979" s="12" t="s">
        <v>19</v>
      </c>
      <c r="C979" s="12" t="s">
        <v>2377</v>
      </c>
    </row>
    <row r="980" spans="1:3" x14ac:dyDescent="0.25">
      <c r="A980" s="12" t="s">
        <v>35</v>
      </c>
      <c r="B980" s="12" t="s">
        <v>19</v>
      </c>
      <c r="C980" s="12" t="s">
        <v>34</v>
      </c>
    </row>
    <row r="981" spans="1:3" x14ac:dyDescent="0.25">
      <c r="A981" s="12" t="s">
        <v>35</v>
      </c>
      <c r="B981" s="12" t="s">
        <v>19</v>
      </c>
      <c r="C981" s="12" t="s">
        <v>2331</v>
      </c>
    </row>
    <row r="982" spans="1:3" x14ac:dyDescent="0.25">
      <c r="A982" s="12" t="s">
        <v>2329</v>
      </c>
      <c r="B982" s="12" t="s">
        <v>19</v>
      </c>
      <c r="C982" s="12" t="s">
        <v>2330</v>
      </c>
    </row>
    <row r="983" spans="1:3" ht="15" customHeight="1" x14ac:dyDescent="0.25">
      <c r="A983" t="s">
        <v>25</v>
      </c>
      <c r="B983" t="s">
        <v>19</v>
      </c>
      <c r="C983" s="126" t="s">
        <v>24</v>
      </c>
    </row>
    <row r="984" spans="1:3" x14ac:dyDescent="0.25">
      <c r="A984" s="12" t="s">
        <v>2307</v>
      </c>
      <c r="B984" s="12" t="s">
        <v>19</v>
      </c>
      <c r="C984" s="12" t="s">
        <v>2308</v>
      </c>
    </row>
    <row r="985" spans="1:3" x14ac:dyDescent="0.25">
      <c r="A985" s="12" t="s">
        <v>2309</v>
      </c>
      <c r="B985" s="12" t="s">
        <v>19</v>
      </c>
      <c r="C985" s="12" t="s">
        <v>2310</v>
      </c>
    </row>
    <row r="986" spans="1:3" ht="15" customHeight="1" x14ac:dyDescent="0.25">
      <c r="A986" t="s">
        <v>2327</v>
      </c>
      <c r="B986" t="s">
        <v>19</v>
      </c>
      <c r="C986" s="127" t="s">
        <v>2328</v>
      </c>
    </row>
    <row r="987" spans="1:3" ht="15" customHeight="1" x14ac:dyDescent="0.25">
      <c r="A987" t="s">
        <v>2348</v>
      </c>
      <c r="B987" t="s">
        <v>19</v>
      </c>
      <c r="C987" s="4" t="s">
        <v>2349</v>
      </c>
    </row>
    <row r="988" spans="1:3" x14ac:dyDescent="0.25">
      <c r="A988" s="12" t="s">
        <v>2311</v>
      </c>
      <c r="B988" s="12" t="s">
        <v>19</v>
      </c>
      <c r="C988" s="12" t="s">
        <v>2312</v>
      </c>
    </row>
    <row r="989" spans="1:3" x14ac:dyDescent="0.25">
      <c r="A989" s="12" t="s">
        <v>2315</v>
      </c>
      <c r="B989" s="12" t="s">
        <v>19</v>
      </c>
      <c r="C989" s="12" t="s">
        <v>2316</v>
      </c>
    </row>
    <row r="990" spans="1:3" x14ac:dyDescent="0.25">
      <c r="A990" s="12" t="s">
        <v>2317</v>
      </c>
      <c r="B990" s="12" t="s">
        <v>19</v>
      </c>
      <c r="C990" s="12" t="s">
        <v>2318</v>
      </c>
    </row>
    <row r="991" spans="1:3" x14ac:dyDescent="0.25">
      <c r="A991" s="12" t="s">
        <v>2319</v>
      </c>
      <c r="B991" s="12" t="s">
        <v>19</v>
      </c>
      <c r="C991" s="12" t="s">
        <v>2320</v>
      </c>
    </row>
    <row r="992" spans="1:3" x14ac:dyDescent="0.25">
      <c r="A992" s="12" t="s">
        <v>2321</v>
      </c>
      <c r="B992" s="12" t="s">
        <v>19</v>
      </c>
      <c r="C992" s="12" t="s">
        <v>2322</v>
      </c>
    </row>
    <row r="993" spans="1:3" x14ac:dyDescent="0.25">
      <c r="A993" s="12" t="s">
        <v>2325</v>
      </c>
      <c r="B993" s="12" t="s">
        <v>19</v>
      </c>
      <c r="C993" s="12" t="s">
        <v>2326</v>
      </c>
    </row>
    <row r="994" spans="1:3" x14ac:dyDescent="0.25">
      <c r="A994" s="12" t="s">
        <v>2332</v>
      </c>
      <c r="B994" s="12" t="s">
        <v>19</v>
      </c>
      <c r="C994" s="12" t="s">
        <v>2333</v>
      </c>
    </row>
    <row r="995" spans="1:3" x14ac:dyDescent="0.25">
      <c r="A995" s="12" t="s">
        <v>2334</v>
      </c>
      <c r="B995" s="12" t="s">
        <v>19</v>
      </c>
      <c r="C995" s="12" t="s">
        <v>2335</v>
      </c>
    </row>
    <row r="996" spans="1:3" x14ac:dyDescent="0.25">
      <c r="A996" s="12" t="s">
        <v>2336</v>
      </c>
      <c r="B996" s="12" t="s">
        <v>19</v>
      </c>
      <c r="C996" s="12" t="s">
        <v>2337</v>
      </c>
    </row>
    <row r="997" spans="1:3" x14ac:dyDescent="0.25">
      <c r="A997" s="12" t="s">
        <v>2338</v>
      </c>
      <c r="B997" s="12" t="s">
        <v>19</v>
      </c>
      <c r="C997" s="12" t="s">
        <v>2339</v>
      </c>
    </row>
    <row r="998" spans="1:3" x14ac:dyDescent="0.25">
      <c r="A998" s="12" t="s">
        <v>2340</v>
      </c>
      <c r="B998" s="12" t="s">
        <v>19</v>
      </c>
      <c r="C998" s="12" t="s">
        <v>2341</v>
      </c>
    </row>
    <row r="999" spans="1:3" x14ac:dyDescent="0.25">
      <c r="A999" s="12" t="s">
        <v>2342</v>
      </c>
      <c r="B999" s="12" t="s">
        <v>19</v>
      </c>
      <c r="C999" s="12" t="s">
        <v>2343</v>
      </c>
    </row>
    <row r="1000" spans="1:3" x14ac:dyDescent="0.25">
      <c r="A1000" s="12" t="s">
        <v>2350</v>
      </c>
      <c r="B1000" s="12" t="s">
        <v>19</v>
      </c>
      <c r="C1000" s="12" t="s">
        <v>2351</v>
      </c>
    </row>
    <row r="1001" spans="1:3" x14ac:dyDescent="0.25">
      <c r="A1001" s="12" t="s">
        <v>2366</v>
      </c>
      <c r="B1001" s="12" t="s">
        <v>19</v>
      </c>
      <c r="C1001" s="12" t="s">
        <v>2367</v>
      </c>
    </row>
    <row r="1002" spans="1:3" x14ac:dyDescent="0.25">
      <c r="A1002" s="132" t="s">
        <v>29</v>
      </c>
      <c r="B1002" s="13" t="s">
        <v>19</v>
      </c>
      <c r="C1002" s="129" t="s">
        <v>28</v>
      </c>
    </row>
    <row r="1003" spans="1:3" x14ac:dyDescent="0.25">
      <c r="A1003" s="132" t="s">
        <v>2368</v>
      </c>
      <c r="B1003" s="13" t="s">
        <v>19</v>
      </c>
      <c r="C1003" s="129" t="s">
        <v>2369</v>
      </c>
    </row>
    <row r="1004" spans="1:3" x14ac:dyDescent="0.25">
      <c r="A1004" s="132" t="s">
        <v>2534</v>
      </c>
      <c r="B1004" s="13" t="s">
        <v>2535</v>
      </c>
      <c r="C1004" s="129" t="s">
        <v>1487</v>
      </c>
    </row>
    <row r="1005" spans="1:3" x14ac:dyDescent="0.25">
      <c r="A1005" s="132" t="s">
        <v>2346</v>
      </c>
      <c r="B1005" s="13" t="s">
        <v>19</v>
      </c>
      <c r="C1005" s="129" t="s">
        <v>2347</v>
      </c>
    </row>
    <row r="1006" spans="1:3" x14ac:dyDescent="0.25">
      <c r="A1006" s="132" t="s">
        <v>21</v>
      </c>
      <c r="B1006" s="13" t="s">
        <v>19</v>
      </c>
      <c r="C1006" s="129" t="s">
        <v>20</v>
      </c>
    </row>
    <row r="1007" spans="1:3" x14ac:dyDescent="0.25">
      <c r="A1007" s="12" t="s">
        <v>2370</v>
      </c>
      <c r="B1007" s="12" t="s">
        <v>19</v>
      </c>
      <c r="C1007" s="12" t="s">
        <v>2371</v>
      </c>
    </row>
    <row r="1008" spans="1:3" x14ac:dyDescent="0.25">
      <c r="A1008" s="12" t="s">
        <v>2372</v>
      </c>
      <c r="B1008" s="12" t="s">
        <v>19</v>
      </c>
      <c r="C1008" s="12" t="s">
        <v>2373</v>
      </c>
    </row>
    <row r="1009" spans="1:3" ht="15" customHeight="1" x14ac:dyDescent="0.25">
      <c r="A1009" t="s">
        <v>2344</v>
      </c>
      <c r="B1009" t="s">
        <v>19</v>
      </c>
      <c r="C1009" s="5" t="s">
        <v>2345</v>
      </c>
    </row>
    <row r="1010" spans="1:3" x14ac:dyDescent="0.25">
      <c r="A1010" s="12" t="s">
        <v>2374</v>
      </c>
      <c r="B1010" s="12" t="s">
        <v>19</v>
      </c>
      <c r="C1010" s="12" t="s">
        <v>2375</v>
      </c>
    </row>
    <row r="1011" spans="1:3" ht="15" customHeight="1" x14ac:dyDescent="0.25">
      <c r="A1011" t="s">
        <v>27</v>
      </c>
      <c r="B1011" t="s">
        <v>19</v>
      </c>
      <c r="C1011" s="128" t="s">
        <v>26</v>
      </c>
    </row>
    <row r="1012" spans="1:3" ht="15" customHeight="1" x14ac:dyDescent="0.25">
      <c r="A1012" s="129" t="s">
        <v>2323</v>
      </c>
      <c r="B1012" t="s">
        <v>19</v>
      </c>
      <c r="C1012" s="149" t="s">
        <v>2324</v>
      </c>
    </row>
    <row r="1013" spans="1:3" x14ac:dyDescent="0.25">
      <c r="A1013" s="12" t="s">
        <v>2385</v>
      </c>
      <c r="B1013" s="12" t="s">
        <v>2379</v>
      </c>
      <c r="C1013" s="12" t="s">
        <v>2386</v>
      </c>
    </row>
    <row r="1014" spans="1:3" x14ac:dyDescent="0.25">
      <c r="A1014" s="12" t="s">
        <v>2389</v>
      </c>
      <c r="B1014" s="12" t="s">
        <v>2379</v>
      </c>
      <c r="C1014" s="12" t="s">
        <v>2390</v>
      </c>
    </row>
    <row r="1015" spans="1:3" x14ac:dyDescent="0.25">
      <c r="A1015" s="12" t="s">
        <v>2387</v>
      </c>
      <c r="B1015" s="12" t="s">
        <v>2379</v>
      </c>
      <c r="C1015" s="12" t="s">
        <v>2388</v>
      </c>
    </row>
    <row r="1016" spans="1:3" x14ac:dyDescent="0.25">
      <c r="A1016" s="12" t="s">
        <v>2389</v>
      </c>
      <c r="B1016" s="12" t="s">
        <v>2379</v>
      </c>
      <c r="C1016" s="12" t="s">
        <v>2391</v>
      </c>
    </row>
    <row r="1017" spans="1:3" x14ac:dyDescent="0.25">
      <c r="A1017" s="12" t="s">
        <v>2392</v>
      </c>
      <c r="B1017" s="12" t="s">
        <v>2379</v>
      </c>
      <c r="C1017" s="12" t="s">
        <v>2393</v>
      </c>
    </row>
    <row r="1018" spans="1:3" x14ac:dyDescent="0.25">
      <c r="A1018" s="12" t="s">
        <v>2378</v>
      </c>
      <c r="B1018" s="12" t="s">
        <v>2379</v>
      </c>
      <c r="C1018" s="12" t="s">
        <v>2380</v>
      </c>
    </row>
    <row r="1019" spans="1:3" x14ac:dyDescent="0.25">
      <c r="A1019" s="12" t="s">
        <v>2381</v>
      </c>
      <c r="B1019" s="12" t="s">
        <v>2379</v>
      </c>
      <c r="C1019" s="12" t="s">
        <v>2382</v>
      </c>
    </row>
    <row r="1020" spans="1:3" x14ac:dyDescent="0.25">
      <c r="A1020" s="12" t="s">
        <v>2383</v>
      </c>
      <c r="B1020" s="12" t="s">
        <v>2379</v>
      </c>
      <c r="C1020" s="12" t="s">
        <v>2384</v>
      </c>
    </row>
    <row r="1021" spans="1:3" x14ac:dyDescent="0.25">
      <c r="A1021" s="12" t="s">
        <v>2394</v>
      </c>
      <c r="B1021" s="12" t="s">
        <v>2379</v>
      </c>
      <c r="C1021" s="12" t="s">
        <v>2395</v>
      </c>
    </row>
    <row r="1022" spans="1:3" x14ac:dyDescent="0.25">
      <c r="A1022" s="12" t="s">
        <v>2396</v>
      </c>
      <c r="B1022" s="12" t="s">
        <v>2379</v>
      </c>
      <c r="C1022" s="12" t="s">
        <v>2397</v>
      </c>
    </row>
    <row r="1023" spans="1:3" x14ac:dyDescent="0.25">
      <c r="A1023" s="12" t="s">
        <v>2398</v>
      </c>
      <c r="B1023" s="12" t="s">
        <v>2379</v>
      </c>
      <c r="C1023" s="12" t="s">
        <v>2399</v>
      </c>
    </row>
    <row r="1024" spans="1:3" x14ac:dyDescent="0.25">
      <c r="A1024" s="12" t="s">
        <v>2400</v>
      </c>
      <c r="B1024" s="12" t="s">
        <v>642</v>
      </c>
      <c r="C1024" s="12" t="s">
        <v>2401</v>
      </c>
    </row>
    <row r="1025" spans="1:3" x14ac:dyDescent="0.25">
      <c r="A1025" s="12" t="s">
        <v>2402</v>
      </c>
      <c r="B1025" s="12" t="s">
        <v>642</v>
      </c>
      <c r="C1025" s="12" t="s">
        <v>2403</v>
      </c>
    </row>
    <row r="1026" spans="1:3" x14ac:dyDescent="0.25">
      <c r="A1026" s="12" t="s">
        <v>2404</v>
      </c>
      <c r="B1026" s="12" t="s">
        <v>642</v>
      </c>
      <c r="C1026" s="12" t="s">
        <v>2405</v>
      </c>
    </row>
    <row r="1027" spans="1:3" x14ac:dyDescent="0.25">
      <c r="A1027" s="12" t="s">
        <v>2406</v>
      </c>
      <c r="B1027" s="12" t="s">
        <v>642</v>
      </c>
      <c r="C1027" s="12" t="s">
        <v>2407</v>
      </c>
    </row>
    <row r="1028" spans="1:3" x14ac:dyDescent="0.25">
      <c r="A1028" s="12" t="s">
        <v>2408</v>
      </c>
      <c r="B1028" s="12" t="s">
        <v>642</v>
      </c>
      <c r="C1028" s="12" t="s">
        <v>2409</v>
      </c>
    </row>
    <row r="1029" spans="1:3" x14ac:dyDescent="0.25">
      <c r="A1029" s="12" t="s">
        <v>2410</v>
      </c>
      <c r="B1029" s="12" t="s">
        <v>642</v>
      </c>
      <c r="C1029" s="12" t="s">
        <v>2411</v>
      </c>
    </row>
    <row r="1030" spans="1:3" x14ac:dyDescent="0.25">
      <c r="A1030" s="12" t="s">
        <v>2412</v>
      </c>
      <c r="B1030" s="12" t="s">
        <v>642</v>
      </c>
      <c r="C1030" s="12" t="s">
        <v>2413</v>
      </c>
    </row>
    <row r="1031" spans="1:3" x14ac:dyDescent="0.25">
      <c r="A1031" s="12" t="s">
        <v>2414</v>
      </c>
      <c r="B1031" s="12" t="s">
        <v>642</v>
      </c>
      <c r="C1031" s="12" t="s">
        <v>2415</v>
      </c>
    </row>
    <row r="1032" spans="1:3" x14ac:dyDescent="0.25">
      <c r="A1032" s="12" t="s">
        <v>1383</v>
      </c>
      <c r="B1032" s="12" t="s">
        <v>1384</v>
      </c>
      <c r="C1032" s="12" t="s">
        <v>1385</v>
      </c>
    </row>
    <row r="1033" spans="1:3" x14ac:dyDescent="0.25">
      <c r="A1033" s="12" t="s">
        <v>1386</v>
      </c>
      <c r="B1033" s="12" t="s">
        <v>1384</v>
      </c>
      <c r="C1033" s="12" t="s">
        <v>1387</v>
      </c>
    </row>
    <row r="1034" spans="1:3" x14ac:dyDescent="0.25">
      <c r="A1034" s="12" t="s">
        <v>1388</v>
      </c>
      <c r="B1034" s="12" t="s">
        <v>1384</v>
      </c>
      <c r="C1034" s="12" t="s">
        <v>1389</v>
      </c>
    </row>
    <row r="1035" spans="1:3" x14ac:dyDescent="0.25">
      <c r="A1035" s="12" t="s">
        <v>1390</v>
      </c>
      <c r="B1035" s="12" t="s">
        <v>1384</v>
      </c>
      <c r="C1035" s="12" t="s">
        <v>1391</v>
      </c>
    </row>
    <row r="1036" spans="1:3" x14ac:dyDescent="0.25">
      <c r="A1036" s="12" t="s">
        <v>1392</v>
      </c>
      <c r="B1036" s="12" t="s">
        <v>1384</v>
      </c>
      <c r="C1036" s="12" t="s">
        <v>1393</v>
      </c>
    </row>
    <row r="1037" spans="1:3" x14ac:dyDescent="0.25">
      <c r="A1037" s="12" t="s">
        <v>682</v>
      </c>
      <c r="B1037" s="12" t="s">
        <v>683</v>
      </c>
      <c r="C1037" s="12" t="s">
        <v>684</v>
      </c>
    </row>
    <row r="1038" spans="1:3" x14ac:dyDescent="0.25">
      <c r="A1038" s="12" t="s">
        <v>687</v>
      </c>
      <c r="B1038" s="12" t="s">
        <v>683</v>
      </c>
      <c r="C1038" s="12" t="s">
        <v>688</v>
      </c>
    </row>
    <row r="1039" spans="1:3" x14ac:dyDescent="0.25">
      <c r="A1039" s="12" t="s">
        <v>697</v>
      </c>
      <c r="B1039" s="12" t="s">
        <v>683</v>
      </c>
      <c r="C1039" s="12" t="s">
        <v>698</v>
      </c>
    </row>
    <row r="1040" spans="1:3" x14ac:dyDescent="0.25">
      <c r="A1040" s="12" t="s">
        <v>689</v>
      </c>
      <c r="B1040" s="12" t="s">
        <v>683</v>
      </c>
      <c r="C1040" s="12" t="s">
        <v>690</v>
      </c>
    </row>
    <row r="1041" spans="1:3" x14ac:dyDescent="0.25">
      <c r="A1041" s="12" t="s">
        <v>693</v>
      </c>
      <c r="B1041" s="12" t="s">
        <v>683</v>
      </c>
      <c r="C1041" s="12" t="s">
        <v>694</v>
      </c>
    </row>
    <row r="1042" spans="1:3" x14ac:dyDescent="0.25">
      <c r="A1042" s="12" t="s">
        <v>691</v>
      </c>
      <c r="B1042" s="12" t="s">
        <v>683</v>
      </c>
      <c r="C1042" s="12" t="s">
        <v>692</v>
      </c>
    </row>
    <row r="1043" spans="1:3" x14ac:dyDescent="0.25">
      <c r="A1043" s="12" t="s">
        <v>695</v>
      </c>
      <c r="B1043" s="12" t="s">
        <v>683</v>
      </c>
      <c r="C1043" s="12" t="s">
        <v>696</v>
      </c>
    </row>
  </sheetData>
  <autoFilter ref="A1:C1043" xr:uid="{00000000-0009-0000-0000-000004000000}"/>
  <conditionalFormatting sqref="A6">
    <cfRule type="duplicateValues" dxfId="676" priority="1836"/>
  </conditionalFormatting>
  <conditionalFormatting sqref="A11:A13">
    <cfRule type="duplicateValues" dxfId="675" priority="4"/>
  </conditionalFormatting>
  <conditionalFormatting sqref="A14">
    <cfRule type="duplicateValues" dxfId="674" priority="1"/>
  </conditionalFormatting>
  <conditionalFormatting sqref="A21">
    <cfRule type="duplicateValues" dxfId="673" priority="331"/>
  </conditionalFormatting>
  <conditionalFormatting sqref="A22:A25 A27 B22:B23">
    <cfRule type="duplicateValues" dxfId="672" priority="12"/>
  </conditionalFormatting>
  <conditionalFormatting sqref="A39">
    <cfRule type="duplicateValues" dxfId="671" priority="16"/>
  </conditionalFormatting>
  <conditionalFormatting sqref="A40">
    <cfRule type="duplicateValues" dxfId="670" priority="325"/>
  </conditionalFormatting>
  <conditionalFormatting sqref="A41:A44 A72 A77">
    <cfRule type="duplicateValues" dxfId="669" priority="251"/>
  </conditionalFormatting>
  <conditionalFormatting sqref="A45:A48 A66">
    <cfRule type="duplicateValues" dxfId="668" priority="68"/>
  </conditionalFormatting>
  <conditionalFormatting sqref="A49:A52 A60:A62">
    <cfRule type="duplicateValues" dxfId="667" priority="64"/>
  </conditionalFormatting>
  <conditionalFormatting sqref="A53:A57 A59">
    <cfRule type="duplicateValues" dxfId="666" priority="60"/>
  </conditionalFormatting>
  <conditionalFormatting sqref="A58">
    <cfRule type="duplicateValues" dxfId="665" priority="58"/>
  </conditionalFormatting>
  <conditionalFormatting sqref="A63:A65">
    <cfRule type="duplicateValues" dxfId="664" priority="62"/>
  </conditionalFormatting>
  <conditionalFormatting sqref="A67:A71">
    <cfRule type="duplicateValues" dxfId="663" priority="70"/>
  </conditionalFormatting>
  <conditionalFormatting sqref="A73">
    <cfRule type="duplicateValues" dxfId="662" priority="66"/>
  </conditionalFormatting>
  <conditionalFormatting sqref="A74:A76">
    <cfRule type="duplicateValues" dxfId="661" priority="246"/>
  </conditionalFormatting>
  <conditionalFormatting sqref="A78:A79">
    <cfRule type="duplicateValues" dxfId="660" priority="154"/>
  </conditionalFormatting>
  <conditionalFormatting sqref="A80 A82">
    <cfRule type="duplicateValues" dxfId="659" priority="248"/>
  </conditionalFormatting>
  <conditionalFormatting sqref="A81">
    <cfRule type="duplicateValues" dxfId="658" priority="156"/>
  </conditionalFormatting>
  <conditionalFormatting sqref="A83">
    <cfRule type="duplicateValues" dxfId="657" priority="244"/>
  </conditionalFormatting>
  <conditionalFormatting sqref="A84:A85 A92">
    <cfRule type="duplicateValues" dxfId="656" priority="200"/>
  </conditionalFormatting>
  <conditionalFormatting sqref="A86:A88">
    <cfRule type="duplicateValues" dxfId="655" priority="195"/>
  </conditionalFormatting>
  <conditionalFormatting sqref="A89:A91">
    <cfRule type="duplicateValues" dxfId="654" priority="192"/>
  </conditionalFormatting>
  <conditionalFormatting sqref="A93:A94 A140:A142">
    <cfRule type="duplicateValues" dxfId="653" priority="198"/>
  </conditionalFormatting>
  <conditionalFormatting sqref="A95 A138:A139">
    <cfRule type="duplicateValues" dxfId="652" priority="138"/>
  </conditionalFormatting>
  <conditionalFormatting sqref="A96:A97">
    <cfRule type="duplicateValues" dxfId="651" priority="134"/>
  </conditionalFormatting>
  <conditionalFormatting sqref="A98:A99">
    <cfRule type="duplicateValues" dxfId="650" priority="132"/>
  </conditionalFormatting>
  <conditionalFormatting sqref="A100 A137">
    <cfRule type="duplicateValues" dxfId="649" priority="136"/>
  </conditionalFormatting>
  <conditionalFormatting sqref="A101:A104 A124:A125">
    <cfRule type="duplicateValues" dxfId="648" priority="93"/>
  </conditionalFormatting>
  <conditionalFormatting sqref="A105 A122:A123">
    <cfRule type="duplicateValues" dxfId="647" priority="89"/>
  </conditionalFormatting>
  <conditionalFormatting sqref="A106:A107">
    <cfRule type="duplicateValues" dxfId="646" priority="87"/>
  </conditionalFormatting>
  <conditionalFormatting sqref="A108:A110">
    <cfRule type="duplicateValues" dxfId="645" priority="83"/>
  </conditionalFormatting>
  <conditionalFormatting sqref="A111:A112">
    <cfRule type="duplicateValues" dxfId="644" priority="77"/>
  </conditionalFormatting>
  <conditionalFormatting sqref="A113">
    <cfRule type="duplicateValues" dxfId="643" priority="73"/>
  </conditionalFormatting>
  <conditionalFormatting sqref="A114">
    <cfRule type="duplicateValues" dxfId="642" priority="71"/>
  </conditionalFormatting>
  <conditionalFormatting sqref="A115">
    <cfRule type="duplicateValues" dxfId="641" priority="76"/>
  </conditionalFormatting>
  <conditionalFormatting sqref="A116:A117 D115:D116">
    <cfRule type="duplicateValues" dxfId="640" priority="1539"/>
  </conditionalFormatting>
  <conditionalFormatting sqref="A118:A119">
    <cfRule type="duplicateValues" dxfId="639" priority="81"/>
  </conditionalFormatting>
  <conditionalFormatting sqref="A120:A121">
    <cfRule type="duplicateValues" dxfId="638" priority="1538"/>
  </conditionalFormatting>
  <conditionalFormatting sqref="A126:A128">
    <cfRule type="duplicateValues" dxfId="637" priority="91"/>
  </conditionalFormatting>
  <conditionalFormatting sqref="A129:A132 A135:A136">
    <cfRule type="duplicateValues" dxfId="636" priority="97"/>
  </conditionalFormatting>
  <conditionalFormatting sqref="A133:A134">
    <cfRule type="duplicateValues" dxfId="635" priority="95"/>
  </conditionalFormatting>
  <conditionalFormatting sqref="A143:A144">
    <cfRule type="duplicateValues" dxfId="634" priority="241"/>
  </conditionalFormatting>
  <conditionalFormatting sqref="A145">
    <cfRule type="duplicateValues" dxfId="633" priority="237"/>
  </conditionalFormatting>
  <conditionalFormatting sqref="A146">
    <cfRule type="duplicateValues" dxfId="632" priority="233"/>
  </conditionalFormatting>
  <conditionalFormatting sqref="A147">
    <cfRule type="duplicateValues" dxfId="631" priority="229"/>
  </conditionalFormatting>
  <conditionalFormatting sqref="A148">
    <cfRule type="duplicateValues" dxfId="630" priority="225"/>
  </conditionalFormatting>
  <conditionalFormatting sqref="A149">
    <cfRule type="duplicateValues" dxfId="629" priority="221"/>
  </conditionalFormatting>
  <conditionalFormatting sqref="A150">
    <cfRule type="duplicateValues" dxfId="628" priority="217"/>
  </conditionalFormatting>
  <conditionalFormatting sqref="A151">
    <cfRule type="duplicateValues" dxfId="627" priority="213"/>
  </conditionalFormatting>
  <conditionalFormatting sqref="A152">
    <cfRule type="duplicateValues" dxfId="626" priority="210"/>
  </conditionalFormatting>
  <conditionalFormatting sqref="A156">
    <cfRule type="duplicateValues" dxfId="625" priority="208"/>
  </conditionalFormatting>
  <conditionalFormatting sqref="A157">
    <cfRule type="duplicateValues" dxfId="624" priority="206"/>
  </conditionalFormatting>
  <conditionalFormatting sqref="A158">
    <cfRule type="duplicateValues" dxfId="623" priority="204"/>
  </conditionalFormatting>
  <conditionalFormatting sqref="A159:A161">
    <cfRule type="duplicateValues" dxfId="622" priority="1272"/>
  </conditionalFormatting>
  <conditionalFormatting sqref="A162:A165 A188:A189">
    <cfRule type="duplicateValues" dxfId="621" priority="148"/>
  </conditionalFormatting>
  <conditionalFormatting sqref="A166">
    <cfRule type="duplicateValues" dxfId="620" priority="37"/>
  </conditionalFormatting>
  <conditionalFormatting sqref="A167:A170">
    <cfRule type="duplicateValues" dxfId="619" priority="33"/>
  </conditionalFormatting>
  <conditionalFormatting sqref="A171:A172 A175:A176 B176">
    <cfRule type="duplicateValues" dxfId="618" priority="25"/>
  </conditionalFormatting>
  <conditionalFormatting sqref="A173:A174 B174">
    <cfRule type="duplicateValues" dxfId="617" priority="23"/>
  </conditionalFormatting>
  <conditionalFormatting sqref="A177:A178">
    <cfRule type="duplicateValues" dxfId="616" priority="27"/>
  </conditionalFormatting>
  <conditionalFormatting sqref="A179:A182">
    <cfRule type="duplicateValues" dxfId="615" priority="29"/>
  </conditionalFormatting>
  <conditionalFormatting sqref="A183:A186">
    <cfRule type="duplicateValues" dxfId="614" priority="32"/>
  </conditionalFormatting>
  <conditionalFormatting sqref="A190">
    <cfRule type="duplicateValues" dxfId="613" priority="146"/>
  </conditionalFormatting>
  <conditionalFormatting sqref="A191:A193">
    <cfRule type="duplicateValues" dxfId="612" priority="184"/>
  </conditionalFormatting>
  <conditionalFormatting sqref="A194">
    <cfRule type="duplicateValues" dxfId="611" priority="141"/>
  </conditionalFormatting>
  <conditionalFormatting sqref="A195:A196">
    <cfRule type="duplicateValues" dxfId="610" priority="174"/>
  </conditionalFormatting>
  <conditionalFormatting sqref="A197">
    <cfRule type="duplicateValues" dxfId="609" priority="181"/>
  </conditionalFormatting>
  <conditionalFormatting sqref="A198">
    <cfRule type="duplicateValues" dxfId="608" priority="179"/>
  </conditionalFormatting>
  <conditionalFormatting sqref="A199">
    <cfRule type="duplicateValues" dxfId="607" priority="177"/>
  </conditionalFormatting>
  <conditionalFormatting sqref="A200:A201">
    <cfRule type="duplicateValues" dxfId="606" priority="190"/>
  </conditionalFormatting>
  <conditionalFormatting sqref="A202">
    <cfRule type="duplicateValues" dxfId="605" priority="150"/>
  </conditionalFormatting>
  <conditionalFormatting sqref="A203">
    <cfRule type="duplicateValues" dxfId="604" priority="202"/>
  </conditionalFormatting>
  <conditionalFormatting sqref="A204">
    <cfRule type="duplicateValues" dxfId="603" priority="323"/>
  </conditionalFormatting>
  <conditionalFormatting sqref="A205">
    <cfRule type="duplicateValues" dxfId="602" priority="312"/>
  </conditionalFormatting>
  <conditionalFormatting sqref="A242 A247">
    <cfRule type="duplicateValues" dxfId="601" priority="279"/>
  </conditionalFormatting>
  <conditionalFormatting sqref="A243">
    <cfRule type="duplicateValues" dxfId="600" priority="254"/>
  </conditionalFormatting>
  <conditionalFormatting sqref="A244:A245">
    <cfRule type="duplicateValues" dxfId="599" priority="276"/>
  </conditionalFormatting>
  <conditionalFormatting sqref="A246">
    <cfRule type="duplicateValues" dxfId="598" priority="269"/>
  </conditionalFormatting>
  <conditionalFormatting sqref="A248 A256:A261">
    <cfRule type="duplicateValues" dxfId="597" priority="400"/>
  </conditionalFormatting>
  <conditionalFormatting sqref="A249:A250 A253:A255">
    <cfRule type="duplicateValues" dxfId="596" priority="387"/>
  </conditionalFormatting>
  <conditionalFormatting sqref="A251:A252">
    <cfRule type="duplicateValues" dxfId="595" priority="385"/>
  </conditionalFormatting>
  <conditionalFormatting sqref="A266:A267">
    <cfRule type="duplicateValues" dxfId="594" priority="447"/>
  </conditionalFormatting>
  <conditionalFormatting sqref="A269 C269">
    <cfRule type="duplicateValues" dxfId="593" priority="339"/>
  </conditionalFormatting>
  <conditionalFormatting sqref="A270:A271 C270:C271">
    <cfRule type="duplicateValues" dxfId="592" priority="315"/>
  </conditionalFormatting>
  <conditionalFormatting sqref="A272:A274 A276">
    <cfRule type="duplicateValues" dxfId="591" priority="49"/>
  </conditionalFormatting>
  <conditionalFormatting sqref="A275">
    <cfRule type="duplicateValues" dxfId="590" priority="48"/>
  </conditionalFormatting>
  <conditionalFormatting sqref="A277:A278">
    <cfRule type="duplicateValues" dxfId="589" priority="52"/>
  </conditionalFormatting>
  <conditionalFormatting sqref="A279:A286">
    <cfRule type="duplicateValues" dxfId="588" priority="50"/>
  </conditionalFormatting>
  <conditionalFormatting sqref="A287:A290 A303">
    <cfRule type="duplicateValues" dxfId="587" priority="54"/>
  </conditionalFormatting>
  <conditionalFormatting sqref="A291:A292 A296:A300 A302">
    <cfRule type="duplicateValues" dxfId="586" priority="47"/>
  </conditionalFormatting>
  <conditionalFormatting sqref="A293">
    <cfRule type="duplicateValues" dxfId="585" priority="43"/>
  </conditionalFormatting>
  <conditionalFormatting sqref="A294">
    <cfRule type="duplicateValues" dxfId="584" priority="41"/>
  </conditionalFormatting>
  <conditionalFormatting sqref="A295">
    <cfRule type="duplicateValues" dxfId="583" priority="40"/>
  </conditionalFormatting>
  <conditionalFormatting sqref="A301">
    <cfRule type="duplicateValues" dxfId="582" priority="46"/>
  </conditionalFormatting>
  <conditionalFormatting sqref="A304">
    <cfRule type="duplicateValues" dxfId="581" priority="377"/>
  </conditionalFormatting>
  <conditionalFormatting sqref="A305">
    <cfRule type="duplicateValues" dxfId="580" priority="57"/>
  </conditionalFormatting>
  <conditionalFormatting sqref="A306">
    <cfRule type="duplicateValues" dxfId="579" priority="286"/>
  </conditionalFormatting>
  <conditionalFormatting sqref="A307">
    <cfRule type="duplicateValues" dxfId="578" priority="383"/>
  </conditionalFormatting>
  <conditionalFormatting sqref="A338">
    <cfRule type="duplicateValues" dxfId="577" priority="100"/>
  </conditionalFormatting>
  <conditionalFormatting sqref="A342 A352:A360">
    <cfRule type="duplicateValues" dxfId="576" priority="104"/>
  </conditionalFormatting>
  <conditionalFormatting sqref="A343:A351">
    <cfRule type="duplicateValues" dxfId="575" priority="101"/>
  </conditionalFormatting>
  <conditionalFormatting sqref="A361:A362">
    <cfRule type="duplicateValues" dxfId="574" priority="107"/>
  </conditionalFormatting>
  <conditionalFormatting sqref="A363">
    <cfRule type="duplicateValues" dxfId="573" priority="109"/>
  </conditionalFormatting>
  <conditionalFormatting sqref="A373 A375">
    <cfRule type="duplicateValues" dxfId="572" priority="321"/>
  </conditionalFormatting>
  <conditionalFormatting sqref="A374">
    <cfRule type="duplicateValues" dxfId="571" priority="317"/>
  </conditionalFormatting>
  <conditionalFormatting sqref="A376">
    <cfRule type="duplicateValues" dxfId="570" priority="318"/>
  </conditionalFormatting>
  <conditionalFormatting sqref="A377">
    <cfRule type="duplicateValues" dxfId="569" priority="257"/>
  </conditionalFormatting>
  <conditionalFormatting sqref="A384:A385">
    <cfRule type="duplicateValues" dxfId="568" priority="256"/>
  </conditionalFormatting>
  <conditionalFormatting sqref="A522">
    <cfRule type="duplicateValues" dxfId="567" priority="171"/>
  </conditionalFormatting>
  <conditionalFormatting sqref="A533">
    <cfRule type="duplicateValues" dxfId="566" priority="166"/>
  </conditionalFormatting>
  <conditionalFormatting sqref="A559">
    <cfRule type="duplicateValues" dxfId="565" priority="363"/>
  </conditionalFormatting>
  <conditionalFormatting sqref="A576">
    <cfRule type="duplicateValues" dxfId="564" priority="124"/>
  </conditionalFormatting>
  <conditionalFormatting sqref="A577:A579">
    <cfRule type="duplicateValues" dxfId="563" priority="111"/>
  </conditionalFormatting>
  <conditionalFormatting sqref="A580 A582">
    <cfRule type="duplicateValues" dxfId="562" priority="123"/>
  </conditionalFormatting>
  <conditionalFormatting sqref="A581">
    <cfRule type="duplicateValues" dxfId="561" priority="114"/>
  </conditionalFormatting>
  <conditionalFormatting sqref="A583">
    <cfRule type="duplicateValues" dxfId="560" priority="120"/>
  </conditionalFormatting>
  <conditionalFormatting sqref="A743">
    <cfRule type="duplicateValues" dxfId="559" priority="371"/>
  </conditionalFormatting>
  <conditionalFormatting sqref="A757">
    <cfRule type="duplicateValues" dxfId="558" priority="296"/>
  </conditionalFormatting>
  <conditionalFormatting sqref="A925:A928">
    <cfRule type="duplicateValues" dxfId="557" priority="267"/>
  </conditionalFormatting>
  <conditionalFormatting sqref="A983">
    <cfRule type="duplicateValues" dxfId="556" priority="261"/>
  </conditionalFormatting>
  <conditionalFormatting sqref="A986">
    <cfRule type="duplicateValues" dxfId="555" priority="290"/>
  </conditionalFormatting>
  <conditionalFormatting sqref="A987">
    <cfRule type="duplicateValues" dxfId="554" priority="365"/>
  </conditionalFormatting>
  <conditionalFormatting sqref="A1002:A1006">
    <cfRule type="duplicateValues" dxfId="553" priority="162"/>
  </conditionalFormatting>
  <conditionalFormatting sqref="A1009">
    <cfRule type="duplicateValues" dxfId="552" priority="353"/>
  </conditionalFormatting>
  <conditionalFormatting sqref="A1011">
    <cfRule type="duplicateValues" dxfId="551" priority="281"/>
  </conditionalFormatting>
  <conditionalFormatting sqref="A1012">
    <cfRule type="duplicateValues" dxfId="550" priority="164"/>
  </conditionalFormatting>
  <conditionalFormatting sqref="A4:B4">
    <cfRule type="duplicateValues" dxfId="549" priority="21"/>
  </conditionalFormatting>
  <conditionalFormatting sqref="A7:B10">
    <cfRule type="duplicateValues" dxfId="548" priority="6"/>
  </conditionalFormatting>
  <conditionalFormatting sqref="A15:B17">
    <cfRule type="duplicateValues" dxfId="547" priority="3"/>
  </conditionalFormatting>
  <conditionalFormatting sqref="A18:B20 D11:E17">
    <cfRule type="duplicateValues" dxfId="546" priority="8"/>
  </conditionalFormatting>
  <conditionalFormatting sqref="A26:B26">
    <cfRule type="duplicateValues" dxfId="545" priority="10"/>
  </conditionalFormatting>
  <conditionalFormatting sqref="A28:B38">
    <cfRule type="duplicateValues" dxfId="544" priority="14"/>
  </conditionalFormatting>
  <conditionalFormatting sqref="A187:B187">
    <cfRule type="duplicateValues" dxfId="543" priority="35"/>
  </conditionalFormatting>
  <conditionalFormatting sqref="A268:C268">
    <cfRule type="duplicateValues" dxfId="542" priority="340"/>
  </conditionalFormatting>
  <conditionalFormatting sqref="B6">
    <cfRule type="duplicateValues" dxfId="541" priority="1866"/>
  </conditionalFormatting>
  <conditionalFormatting sqref="B40">
    <cfRule type="duplicateValues" dxfId="540" priority="324"/>
  </conditionalFormatting>
  <conditionalFormatting sqref="B41:B42 B44">
    <cfRule type="duplicateValues" dxfId="539" priority="252"/>
  </conditionalFormatting>
  <conditionalFormatting sqref="B78">
    <cfRule type="duplicateValues" dxfId="538" priority="152"/>
  </conditionalFormatting>
  <conditionalFormatting sqref="B86 B88">
    <cfRule type="duplicateValues" dxfId="537" priority="196"/>
  </conditionalFormatting>
  <conditionalFormatting sqref="B89:B90">
    <cfRule type="duplicateValues" dxfId="536" priority="193"/>
  </conditionalFormatting>
  <conditionalFormatting sqref="B193">
    <cfRule type="duplicateValues" dxfId="535" priority="185"/>
  </conditionalFormatting>
  <conditionalFormatting sqref="B194">
    <cfRule type="duplicateValues" dxfId="534" priority="139"/>
  </conditionalFormatting>
  <conditionalFormatting sqref="B195:B196">
    <cfRule type="duplicateValues" dxfId="533" priority="175"/>
  </conditionalFormatting>
  <conditionalFormatting sqref="B197">
    <cfRule type="duplicateValues" dxfId="532" priority="182"/>
  </conditionalFormatting>
  <conditionalFormatting sqref="B198">
    <cfRule type="duplicateValues" dxfId="531" priority="180"/>
  </conditionalFormatting>
  <conditionalFormatting sqref="B199">
    <cfRule type="duplicateValues" dxfId="530" priority="178"/>
  </conditionalFormatting>
  <conditionalFormatting sqref="B244:B245">
    <cfRule type="duplicateValues" dxfId="529" priority="274"/>
  </conditionalFormatting>
  <conditionalFormatting sqref="B247">
    <cfRule type="duplicateValues" dxfId="528" priority="277"/>
  </conditionalFormatting>
  <conditionalFormatting sqref="B248 B256:B261">
    <cfRule type="duplicateValues" dxfId="527" priority="399"/>
  </conditionalFormatting>
  <conditionalFormatting sqref="B306">
    <cfRule type="duplicateValues" dxfId="526" priority="287"/>
  </conditionalFormatting>
  <conditionalFormatting sqref="B342 B352:B360">
    <cfRule type="duplicateValues" dxfId="525" priority="105"/>
  </conditionalFormatting>
  <conditionalFormatting sqref="B375:B376">
    <cfRule type="duplicateValues" dxfId="524" priority="319"/>
  </conditionalFormatting>
  <conditionalFormatting sqref="B377">
    <cfRule type="duplicateValues" dxfId="523" priority="258"/>
  </conditionalFormatting>
  <conditionalFormatting sqref="B580 B582">
    <cfRule type="duplicateValues" dxfId="522" priority="121"/>
  </conditionalFormatting>
  <conditionalFormatting sqref="C1:C2 C206:C208 C210:C211 C213:C233 C237:C241 C262 C308:C311 C313:C320 C322:C337 C339 C341 C364:C372 C378:C383 C386:C390 C392:C434 C437 C439:C442 C445:C503 C505:C521 C523 C525:C529 C534:C548 C551:C553 C556:C557 C560:C575 C584:C619 C621:C700 C702:C742 C744:C756 C758:C807 C809:C911 C914:C915 C920 C922:C924 C929:C970 C972:C978 C980 C982 C984:C985 C988:C990 C994:C995 C997:C1001 C1007:C1008 C1010 C1014:C1016 C1018:C1020 C1022:C1027 C1029:C1037 C1044:C1048576">
    <cfRule type="duplicateValues" dxfId="521" priority="444"/>
  </conditionalFormatting>
  <conditionalFormatting sqref="C3 C5">
    <cfRule type="duplicateValues" dxfId="520" priority="421"/>
  </conditionalFormatting>
  <conditionalFormatting sqref="C4">
    <cfRule type="duplicateValues" dxfId="519" priority="20"/>
    <cfRule type="duplicateValues" dxfId="518" priority="19"/>
    <cfRule type="duplicateValues" dxfId="517" priority="18"/>
  </conditionalFormatting>
  <conditionalFormatting sqref="C6">
    <cfRule type="duplicateValues" dxfId="516" priority="1872"/>
  </conditionalFormatting>
  <conditionalFormatting sqref="C7:C10">
    <cfRule type="duplicateValues" dxfId="515" priority="7"/>
  </conditionalFormatting>
  <conditionalFormatting sqref="C11:C13">
    <cfRule type="duplicateValues" dxfId="514" priority="5"/>
  </conditionalFormatting>
  <conditionalFormatting sqref="C14">
    <cfRule type="duplicateValues" dxfId="513" priority="2"/>
  </conditionalFormatting>
  <conditionalFormatting sqref="C15:C20 F11:F17">
    <cfRule type="duplicateValues" dxfId="512" priority="9"/>
  </conditionalFormatting>
  <conditionalFormatting sqref="C21">
    <cfRule type="duplicateValues" dxfId="511" priority="333"/>
    <cfRule type="duplicateValues" dxfId="510" priority="332"/>
    <cfRule type="duplicateValues" dxfId="509" priority="335"/>
    <cfRule type="duplicateValues" dxfId="508" priority="336"/>
    <cfRule type="duplicateValues" dxfId="507" priority="334"/>
  </conditionalFormatting>
  <conditionalFormatting sqref="C22:C25 C27">
    <cfRule type="duplicateValues" dxfId="506" priority="13"/>
  </conditionalFormatting>
  <conditionalFormatting sqref="C26">
    <cfRule type="duplicateValues" dxfId="505" priority="11"/>
  </conditionalFormatting>
  <conditionalFormatting sqref="C28:C38">
    <cfRule type="duplicateValues" dxfId="504" priority="15"/>
  </conditionalFormatting>
  <conditionalFormatting sqref="C39">
    <cfRule type="duplicateValues" dxfId="503" priority="17"/>
  </conditionalFormatting>
  <conditionalFormatting sqref="C40">
    <cfRule type="duplicateValues" dxfId="502" priority="326"/>
    <cfRule type="duplicateValues" dxfId="501" priority="327"/>
    <cfRule type="duplicateValues" dxfId="500" priority="328"/>
    <cfRule type="duplicateValues" dxfId="499" priority="329"/>
    <cfRule type="duplicateValues" dxfId="498" priority="330"/>
  </conditionalFormatting>
  <conditionalFormatting sqref="C41:C44 C72 C77">
    <cfRule type="duplicateValues" dxfId="497" priority="250"/>
  </conditionalFormatting>
  <conditionalFormatting sqref="C45:C48 C66">
    <cfRule type="duplicateValues" dxfId="496" priority="67"/>
  </conditionalFormatting>
  <conditionalFormatting sqref="C49:C52 C60:C62">
    <cfRule type="duplicateValues" dxfId="495" priority="63"/>
  </conditionalFormatting>
  <conditionalFormatting sqref="C53:C59">
    <cfRule type="duplicateValues" dxfId="494" priority="59"/>
  </conditionalFormatting>
  <conditionalFormatting sqref="C63:C65">
    <cfRule type="duplicateValues" dxfId="493" priority="61"/>
  </conditionalFormatting>
  <conditionalFormatting sqref="C67:C71">
    <cfRule type="duplicateValues" dxfId="492" priority="69"/>
  </conditionalFormatting>
  <conditionalFormatting sqref="C73">
    <cfRule type="duplicateValues" dxfId="491" priority="65"/>
  </conditionalFormatting>
  <conditionalFormatting sqref="C74:C76">
    <cfRule type="duplicateValues" dxfId="490" priority="245"/>
  </conditionalFormatting>
  <conditionalFormatting sqref="C78:C79">
    <cfRule type="duplicateValues" dxfId="489" priority="153"/>
  </conditionalFormatting>
  <conditionalFormatting sqref="C80 C82">
    <cfRule type="duplicateValues" dxfId="488" priority="247"/>
  </conditionalFormatting>
  <conditionalFormatting sqref="C81">
    <cfRule type="duplicateValues" dxfId="487" priority="157"/>
    <cfRule type="duplicateValues" dxfId="486" priority="155"/>
    <cfRule type="duplicateValues" dxfId="485" priority="158"/>
    <cfRule type="duplicateValues" dxfId="484" priority="159"/>
    <cfRule type="duplicateValues" dxfId="483" priority="160"/>
  </conditionalFormatting>
  <conditionalFormatting sqref="C83">
    <cfRule type="duplicateValues" dxfId="482" priority="243"/>
  </conditionalFormatting>
  <conditionalFormatting sqref="C84:C85 C92">
    <cfRule type="duplicateValues" dxfId="481" priority="199"/>
  </conditionalFormatting>
  <conditionalFormatting sqref="C86:C88">
    <cfRule type="duplicateValues" dxfId="480" priority="194"/>
  </conditionalFormatting>
  <conditionalFormatting sqref="C89:C91">
    <cfRule type="duplicateValues" dxfId="479" priority="191"/>
  </conditionalFormatting>
  <conditionalFormatting sqref="C93:C94 C140:C142">
    <cfRule type="duplicateValues" dxfId="478" priority="197"/>
  </conditionalFormatting>
  <conditionalFormatting sqref="C95 C138:C139">
    <cfRule type="duplicateValues" dxfId="477" priority="137"/>
  </conditionalFormatting>
  <conditionalFormatting sqref="C96:C97">
    <cfRule type="duplicateValues" dxfId="476" priority="133"/>
  </conditionalFormatting>
  <conditionalFormatting sqref="C98:C99">
    <cfRule type="duplicateValues" dxfId="475" priority="131"/>
  </conditionalFormatting>
  <conditionalFormatting sqref="C100 C137">
    <cfRule type="duplicateValues" dxfId="474" priority="135"/>
  </conditionalFormatting>
  <conditionalFormatting sqref="C101:C104 C124:C125">
    <cfRule type="duplicateValues" dxfId="473" priority="94"/>
  </conditionalFormatting>
  <conditionalFormatting sqref="C105 C122:C123">
    <cfRule type="duplicateValues" dxfId="472" priority="90"/>
  </conditionalFormatting>
  <conditionalFormatting sqref="C106:C107">
    <cfRule type="duplicateValues" dxfId="471" priority="88"/>
  </conditionalFormatting>
  <conditionalFormatting sqref="C108:C110">
    <cfRule type="duplicateValues" dxfId="470" priority="84"/>
  </conditionalFormatting>
  <conditionalFormatting sqref="C111:C112">
    <cfRule type="duplicateValues" dxfId="469" priority="78"/>
  </conditionalFormatting>
  <conditionalFormatting sqref="C113">
    <cfRule type="duplicateValues" dxfId="468" priority="74"/>
  </conditionalFormatting>
  <conditionalFormatting sqref="C114">
    <cfRule type="duplicateValues" dxfId="467" priority="72"/>
  </conditionalFormatting>
  <conditionalFormatting sqref="C115">
    <cfRule type="duplicateValues" dxfId="466" priority="75"/>
  </conditionalFormatting>
  <conditionalFormatting sqref="C116:C117 F115:F116">
    <cfRule type="duplicateValues" dxfId="465" priority="1541"/>
  </conditionalFormatting>
  <conditionalFormatting sqref="C118:C119">
    <cfRule type="duplicateValues" dxfId="464" priority="82"/>
  </conditionalFormatting>
  <conditionalFormatting sqref="C120:C121 D111:D114 F117:F121 I115:I116">
    <cfRule type="duplicateValues" dxfId="463" priority="1543"/>
  </conditionalFormatting>
  <conditionalFormatting sqref="C126:C128">
    <cfRule type="duplicateValues" dxfId="462" priority="92"/>
  </conditionalFormatting>
  <conditionalFormatting sqref="C129:C132 C135:C136">
    <cfRule type="duplicateValues" dxfId="461" priority="98"/>
  </conditionalFormatting>
  <conditionalFormatting sqref="C133:C134">
    <cfRule type="duplicateValues" dxfId="460" priority="96"/>
  </conditionalFormatting>
  <conditionalFormatting sqref="C143:C144">
    <cfRule type="duplicateValues" dxfId="459" priority="242"/>
    <cfRule type="duplicateValues" dxfId="458" priority="240"/>
    <cfRule type="duplicateValues" dxfId="457" priority="239"/>
  </conditionalFormatting>
  <conditionalFormatting sqref="C145">
    <cfRule type="duplicateValues" dxfId="456" priority="238"/>
    <cfRule type="duplicateValues" dxfId="455" priority="236"/>
    <cfRule type="duplicateValues" dxfId="454" priority="235"/>
  </conditionalFormatting>
  <conditionalFormatting sqref="C146">
    <cfRule type="duplicateValues" dxfId="453" priority="232"/>
    <cfRule type="duplicateValues" dxfId="452" priority="231"/>
    <cfRule type="duplicateValues" dxfId="451" priority="234"/>
  </conditionalFormatting>
  <conditionalFormatting sqref="C147">
    <cfRule type="duplicateValues" dxfId="450" priority="228"/>
    <cfRule type="duplicateValues" dxfId="449" priority="230"/>
    <cfRule type="duplicateValues" dxfId="448" priority="227"/>
  </conditionalFormatting>
  <conditionalFormatting sqref="C148">
    <cfRule type="duplicateValues" dxfId="447" priority="226"/>
    <cfRule type="duplicateValues" dxfId="446" priority="223"/>
    <cfRule type="duplicateValues" dxfId="445" priority="224"/>
  </conditionalFormatting>
  <conditionalFormatting sqref="C149">
    <cfRule type="duplicateValues" dxfId="444" priority="219"/>
    <cfRule type="duplicateValues" dxfId="443" priority="220"/>
    <cfRule type="duplicateValues" dxfId="442" priority="222"/>
  </conditionalFormatting>
  <conditionalFormatting sqref="C150">
    <cfRule type="duplicateValues" dxfId="441" priority="216"/>
    <cfRule type="duplicateValues" dxfId="440" priority="215"/>
    <cfRule type="duplicateValues" dxfId="439" priority="218"/>
  </conditionalFormatting>
  <conditionalFormatting sqref="C151">
    <cfRule type="duplicateValues" dxfId="438" priority="214"/>
    <cfRule type="duplicateValues" dxfId="437" priority="212"/>
    <cfRule type="duplicateValues" dxfId="436" priority="211"/>
  </conditionalFormatting>
  <conditionalFormatting sqref="C152">
    <cfRule type="duplicateValues" dxfId="435" priority="209"/>
  </conditionalFormatting>
  <conditionalFormatting sqref="C153:C155">
    <cfRule type="duplicateValues" dxfId="434" priority="110"/>
  </conditionalFormatting>
  <conditionalFormatting sqref="C156">
    <cfRule type="duplicateValues" dxfId="433" priority="207"/>
  </conditionalFormatting>
  <conditionalFormatting sqref="C157">
    <cfRule type="duplicateValues" dxfId="432" priority="205"/>
  </conditionalFormatting>
  <conditionalFormatting sqref="C158">
    <cfRule type="duplicateValues" dxfId="431" priority="203"/>
  </conditionalFormatting>
  <conditionalFormatting sqref="C159:C161">
    <cfRule type="duplicateValues" dxfId="430" priority="1281"/>
  </conditionalFormatting>
  <conditionalFormatting sqref="C162:C165 C188:C189">
    <cfRule type="duplicateValues" dxfId="429" priority="149"/>
  </conditionalFormatting>
  <conditionalFormatting sqref="C166">
    <cfRule type="duplicateValues" dxfId="428" priority="38"/>
  </conditionalFormatting>
  <conditionalFormatting sqref="C167:C170">
    <cfRule type="duplicateValues" dxfId="427" priority="34"/>
  </conditionalFormatting>
  <conditionalFormatting sqref="C171:C172 C175:C176">
    <cfRule type="duplicateValues" dxfId="426" priority="26"/>
  </conditionalFormatting>
  <conditionalFormatting sqref="C173:C174">
    <cfRule type="duplicateValues" dxfId="425" priority="24"/>
  </conditionalFormatting>
  <conditionalFormatting sqref="C177:C178">
    <cfRule type="duplicateValues" dxfId="424" priority="28"/>
  </conditionalFormatting>
  <conditionalFormatting sqref="C179:C182">
    <cfRule type="duplicateValues" dxfId="423" priority="30"/>
  </conditionalFormatting>
  <conditionalFormatting sqref="C183:C186">
    <cfRule type="duplicateValues" dxfId="422" priority="31"/>
  </conditionalFormatting>
  <conditionalFormatting sqref="C187">
    <cfRule type="duplicateValues" dxfId="421" priority="36"/>
  </conditionalFormatting>
  <conditionalFormatting sqref="C190">
    <cfRule type="duplicateValues" dxfId="420" priority="147"/>
  </conditionalFormatting>
  <conditionalFormatting sqref="C191:C193">
    <cfRule type="duplicateValues" dxfId="419" priority="186"/>
  </conditionalFormatting>
  <conditionalFormatting sqref="C194">
    <cfRule type="duplicateValues" dxfId="418" priority="143"/>
    <cfRule type="duplicateValues" dxfId="417" priority="144"/>
    <cfRule type="duplicateValues" dxfId="416" priority="145"/>
    <cfRule type="duplicateValues" dxfId="415" priority="140"/>
    <cfRule type="duplicateValues" dxfId="414" priority="142"/>
  </conditionalFormatting>
  <conditionalFormatting sqref="C195:C196">
    <cfRule type="duplicateValues" dxfId="413" priority="176"/>
  </conditionalFormatting>
  <conditionalFormatting sqref="C197:C199">
    <cfRule type="duplicateValues" dxfId="412" priority="183"/>
  </conditionalFormatting>
  <conditionalFormatting sqref="C200:C201">
    <cfRule type="duplicateValues" dxfId="411" priority="189"/>
  </conditionalFormatting>
  <conditionalFormatting sqref="C202">
    <cfRule type="duplicateValues" dxfId="410" priority="151"/>
  </conditionalFormatting>
  <conditionalFormatting sqref="C203">
    <cfRule type="duplicateValues" dxfId="409" priority="201"/>
  </conditionalFormatting>
  <conditionalFormatting sqref="C204">
    <cfRule type="duplicateValues" dxfId="408" priority="322"/>
  </conditionalFormatting>
  <conditionalFormatting sqref="C205">
    <cfRule type="duplicateValues" dxfId="407" priority="309"/>
    <cfRule type="duplicateValues" dxfId="406" priority="310"/>
    <cfRule type="duplicateValues" dxfId="405" priority="311"/>
    <cfRule type="duplicateValues" dxfId="404" priority="308"/>
    <cfRule type="duplicateValues" dxfId="403" priority="307"/>
  </conditionalFormatting>
  <conditionalFormatting sqref="C209">
    <cfRule type="duplicateValues" dxfId="402" priority="423"/>
  </conditionalFormatting>
  <conditionalFormatting sqref="C234:C235">
    <cfRule type="duplicateValues" dxfId="401" priority="436"/>
  </conditionalFormatting>
  <conditionalFormatting sqref="C236">
    <cfRule type="duplicateValues" dxfId="400" priority="435"/>
  </conditionalFormatting>
  <conditionalFormatting sqref="C242 C247">
    <cfRule type="duplicateValues" dxfId="399" priority="278"/>
  </conditionalFormatting>
  <conditionalFormatting sqref="C243">
    <cfRule type="duplicateValues" dxfId="398" priority="253"/>
  </conditionalFormatting>
  <conditionalFormatting sqref="C244:C245">
    <cfRule type="duplicateValues" dxfId="397" priority="275"/>
  </conditionalFormatting>
  <conditionalFormatting sqref="C246">
    <cfRule type="duplicateValues" dxfId="396" priority="273"/>
    <cfRule type="duplicateValues" dxfId="395" priority="272"/>
    <cfRule type="duplicateValues" dxfId="394" priority="271"/>
    <cfRule type="duplicateValues" dxfId="393" priority="270"/>
    <cfRule type="duplicateValues" dxfId="392" priority="268"/>
  </conditionalFormatting>
  <conditionalFormatting sqref="C248 C256 C258">
    <cfRule type="duplicateValues" dxfId="391" priority="398"/>
  </conditionalFormatting>
  <conditionalFormatting sqref="C249:C250 C253:C254">
    <cfRule type="duplicateValues" dxfId="390" priority="388"/>
  </conditionalFormatting>
  <conditionalFormatting sqref="C251:C252">
    <cfRule type="duplicateValues" dxfId="389" priority="386"/>
  </conditionalFormatting>
  <conditionalFormatting sqref="C255">
    <cfRule type="duplicateValues" dxfId="388" priority="384"/>
  </conditionalFormatting>
  <conditionalFormatting sqref="C257">
    <cfRule type="duplicateValues" dxfId="387" priority="397"/>
  </conditionalFormatting>
  <conditionalFormatting sqref="C259:C260">
    <cfRule type="duplicateValues" dxfId="386" priority="390"/>
  </conditionalFormatting>
  <conditionalFormatting sqref="C261">
    <cfRule type="duplicateValues" dxfId="385" priority="389"/>
  </conditionalFormatting>
  <conditionalFormatting sqref="C263">
    <cfRule type="duplicateValues" dxfId="384" priority="417"/>
  </conditionalFormatting>
  <conditionalFormatting sqref="C264">
    <cfRule type="duplicateValues" dxfId="383" priority="414"/>
  </conditionalFormatting>
  <conditionalFormatting sqref="C265">
    <cfRule type="duplicateValues" dxfId="382" priority="410"/>
  </conditionalFormatting>
  <conditionalFormatting sqref="C266:C267">
    <cfRule type="duplicateValues" dxfId="381" priority="446"/>
  </conditionalFormatting>
  <conditionalFormatting sqref="C277:C278">
    <cfRule type="duplicateValues" dxfId="380" priority="53"/>
  </conditionalFormatting>
  <conditionalFormatting sqref="C279:C286">
    <cfRule type="duplicateValues" dxfId="379" priority="51"/>
  </conditionalFormatting>
  <conditionalFormatting sqref="C287:C290 C303">
    <cfRule type="duplicateValues" dxfId="378" priority="55"/>
  </conditionalFormatting>
  <conditionalFormatting sqref="C293">
    <cfRule type="duplicateValues" dxfId="377" priority="44"/>
  </conditionalFormatting>
  <conditionalFormatting sqref="C294">
    <cfRule type="duplicateValues" dxfId="376" priority="42"/>
  </conditionalFormatting>
  <conditionalFormatting sqref="C295">
    <cfRule type="duplicateValues" dxfId="375" priority="39"/>
  </conditionalFormatting>
  <conditionalFormatting sqref="C301">
    <cfRule type="duplicateValues" dxfId="374" priority="45"/>
  </conditionalFormatting>
  <conditionalFormatting sqref="C304">
    <cfRule type="duplicateValues" dxfId="373" priority="380"/>
    <cfRule type="duplicateValues" dxfId="372" priority="378"/>
    <cfRule type="duplicateValues" dxfId="371" priority="376"/>
    <cfRule type="duplicateValues" dxfId="370" priority="381"/>
    <cfRule type="duplicateValues" dxfId="369" priority="379"/>
  </conditionalFormatting>
  <conditionalFormatting sqref="C305">
    <cfRule type="duplicateValues" dxfId="368" priority="56"/>
  </conditionalFormatting>
  <conditionalFormatting sqref="C306">
    <cfRule type="duplicateValues" dxfId="367" priority="288"/>
  </conditionalFormatting>
  <conditionalFormatting sqref="C307">
    <cfRule type="duplicateValues" dxfId="366" priority="382"/>
  </conditionalFormatting>
  <conditionalFormatting sqref="C312">
    <cfRule type="duplicateValues" dxfId="365" priority="434"/>
  </conditionalFormatting>
  <conditionalFormatting sqref="C321">
    <cfRule type="duplicateValues" dxfId="364" priority="441"/>
  </conditionalFormatting>
  <conditionalFormatting sqref="C338">
    <cfRule type="duplicateValues" dxfId="363" priority="99"/>
  </conditionalFormatting>
  <conditionalFormatting sqref="C340">
    <cfRule type="duplicateValues" dxfId="362" priority="433"/>
  </conditionalFormatting>
  <conditionalFormatting sqref="C342 C352:C360">
    <cfRule type="duplicateValues" dxfId="361" priority="103"/>
  </conditionalFormatting>
  <conditionalFormatting sqref="C343:C351">
    <cfRule type="duplicateValues" dxfId="360" priority="102"/>
  </conditionalFormatting>
  <conditionalFormatting sqref="C361:C362">
    <cfRule type="duplicateValues" dxfId="359" priority="106"/>
  </conditionalFormatting>
  <conditionalFormatting sqref="C363">
    <cfRule type="duplicateValues" dxfId="358" priority="108"/>
  </conditionalFormatting>
  <conditionalFormatting sqref="C373 C375:C376">
    <cfRule type="duplicateValues" dxfId="357" priority="320"/>
  </conditionalFormatting>
  <conditionalFormatting sqref="C374">
    <cfRule type="duplicateValues" dxfId="356" priority="316"/>
  </conditionalFormatting>
  <conditionalFormatting sqref="C377">
    <cfRule type="duplicateValues" dxfId="355" priority="259"/>
  </conditionalFormatting>
  <conditionalFormatting sqref="C384:C385">
    <cfRule type="duplicateValues" dxfId="354" priority="255"/>
  </conditionalFormatting>
  <conditionalFormatting sqref="C391">
    <cfRule type="duplicateValues" dxfId="353" priority="396"/>
  </conditionalFormatting>
  <conditionalFormatting sqref="C435">
    <cfRule type="duplicateValues" dxfId="352" priority="428"/>
  </conditionalFormatting>
  <conditionalFormatting sqref="C436">
    <cfRule type="duplicateValues" dxfId="351" priority="409"/>
  </conditionalFormatting>
  <conditionalFormatting sqref="C438">
    <cfRule type="duplicateValues" dxfId="350" priority="440"/>
  </conditionalFormatting>
  <conditionalFormatting sqref="C443">
    <cfRule type="duplicateValues" dxfId="349" priority="427"/>
  </conditionalFormatting>
  <conditionalFormatting sqref="C444">
    <cfRule type="duplicateValues" dxfId="348" priority="439"/>
  </conditionalFormatting>
  <conditionalFormatting sqref="C504">
    <cfRule type="duplicateValues" dxfId="347" priority="406"/>
  </conditionalFormatting>
  <conditionalFormatting sqref="C522">
    <cfRule type="duplicateValues" dxfId="346" priority="173"/>
  </conditionalFormatting>
  <conditionalFormatting sqref="C524">
    <cfRule type="duplicateValues" dxfId="345" priority="313"/>
  </conditionalFormatting>
  <conditionalFormatting sqref="C530">
    <cfRule type="duplicateValues" dxfId="344" priority="429"/>
  </conditionalFormatting>
  <conditionalFormatting sqref="C531">
    <cfRule type="duplicateValues" dxfId="343" priority="407"/>
  </conditionalFormatting>
  <conditionalFormatting sqref="C532">
    <cfRule type="duplicateValues" dxfId="342" priority="314"/>
  </conditionalFormatting>
  <conditionalFormatting sqref="C533">
    <cfRule type="duplicateValues" dxfId="341" priority="165"/>
    <cfRule type="duplicateValues" dxfId="340" priority="170"/>
    <cfRule type="duplicateValues" dxfId="339" priority="169"/>
    <cfRule type="duplicateValues" dxfId="338" priority="168"/>
    <cfRule type="duplicateValues" dxfId="337" priority="167"/>
  </conditionalFormatting>
  <conditionalFormatting sqref="C549">
    <cfRule type="duplicateValues" dxfId="336" priority="413"/>
  </conditionalFormatting>
  <conditionalFormatting sqref="C550">
    <cfRule type="duplicateValues" dxfId="335" priority="348"/>
    <cfRule type="duplicateValues" dxfId="334" priority="349"/>
    <cfRule type="duplicateValues" dxfId="333" priority="351"/>
    <cfRule type="duplicateValues" dxfId="332" priority="346"/>
    <cfRule type="duplicateValues" dxfId="331" priority="350"/>
    <cfRule type="duplicateValues" dxfId="330" priority="347"/>
  </conditionalFormatting>
  <conditionalFormatting sqref="C554">
    <cfRule type="duplicateValues" dxfId="329" priority="418"/>
  </conditionalFormatting>
  <conditionalFormatting sqref="C555">
    <cfRule type="duplicateValues" dxfId="328" priority="430"/>
  </conditionalFormatting>
  <conditionalFormatting sqref="C558">
    <cfRule type="duplicateValues" dxfId="327" priority="391"/>
    <cfRule type="duplicateValues" dxfId="326" priority="392"/>
    <cfRule type="duplicateValues" dxfId="325" priority="393"/>
    <cfRule type="duplicateValues" dxfId="324" priority="395"/>
    <cfRule type="duplicateValues" dxfId="323" priority="394"/>
  </conditionalFormatting>
  <conditionalFormatting sqref="C559">
    <cfRule type="duplicateValues" dxfId="322" priority="360"/>
    <cfRule type="duplicateValues" dxfId="321" priority="362"/>
    <cfRule type="duplicateValues" dxfId="320" priority="358"/>
    <cfRule type="duplicateValues" dxfId="319" priority="361"/>
    <cfRule type="duplicateValues" dxfId="318" priority="359"/>
  </conditionalFormatting>
  <conditionalFormatting sqref="C576">
    <cfRule type="duplicateValues" dxfId="317" priority="126"/>
    <cfRule type="duplicateValues" dxfId="316" priority="128"/>
    <cfRule type="duplicateValues" dxfId="315" priority="125"/>
    <cfRule type="duplicateValues" dxfId="314" priority="127"/>
    <cfRule type="duplicateValues" dxfId="313" priority="130"/>
    <cfRule type="duplicateValues" dxfId="312" priority="129"/>
  </conditionalFormatting>
  <conditionalFormatting sqref="C577:C579">
    <cfRule type="duplicateValues" dxfId="311" priority="112"/>
  </conditionalFormatting>
  <conditionalFormatting sqref="C580 C582">
    <cfRule type="duplicateValues" dxfId="310" priority="122"/>
  </conditionalFormatting>
  <conditionalFormatting sqref="C581">
    <cfRule type="duplicateValues" dxfId="309" priority="116"/>
    <cfRule type="duplicateValues" dxfId="308" priority="115"/>
    <cfRule type="duplicateValues" dxfId="307" priority="113"/>
    <cfRule type="duplicateValues" dxfId="306" priority="117"/>
    <cfRule type="duplicateValues" dxfId="305" priority="118"/>
  </conditionalFormatting>
  <conditionalFormatting sqref="C583">
    <cfRule type="duplicateValues" dxfId="304" priority="119"/>
  </conditionalFormatting>
  <conditionalFormatting sqref="C620">
    <cfRule type="duplicateValues" dxfId="303" priority="412"/>
  </conditionalFormatting>
  <conditionalFormatting sqref="C701">
    <cfRule type="duplicateValues" dxfId="302" priority="408"/>
  </conditionalFormatting>
  <conditionalFormatting sqref="C743">
    <cfRule type="duplicateValues" dxfId="301" priority="374"/>
    <cfRule type="duplicateValues" dxfId="300" priority="372"/>
    <cfRule type="duplicateValues" dxfId="299" priority="373"/>
    <cfRule type="duplicateValues" dxfId="298" priority="375"/>
    <cfRule type="duplicateValues" dxfId="297" priority="370"/>
  </conditionalFormatting>
  <conditionalFormatting sqref="C757">
    <cfRule type="duplicateValues" dxfId="296" priority="299"/>
    <cfRule type="duplicateValues" dxfId="295" priority="300"/>
    <cfRule type="duplicateValues" dxfId="294" priority="298"/>
    <cfRule type="duplicateValues" dxfId="293" priority="297"/>
    <cfRule type="duplicateValues" dxfId="292" priority="295"/>
  </conditionalFormatting>
  <conditionalFormatting sqref="C808">
    <cfRule type="duplicateValues" dxfId="291" priority="442"/>
  </conditionalFormatting>
  <conditionalFormatting sqref="C912">
    <cfRule type="duplicateValues" dxfId="290" priority="438"/>
  </conditionalFormatting>
  <conditionalFormatting sqref="C913">
    <cfRule type="duplicateValues" dxfId="289" priority="411"/>
  </conditionalFormatting>
  <conditionalFormatting sqref="C921">
    <cfRule type="duplicateValues" dxfId="288" priority="402"/>
    <cfRule type="duplicateValues" dxfId="287" priority="403"/>
    <cfRule type="duplicateValues" dxfId="286" priority="404"/>
    <cfRule type="duplicateValues" dxfId="285" priority="405"/>
    <cfRule type="duplicateValues" dxfId="284" priority="401"/>
  </conditionalFormatting>
  <conditionalFormatting sqref="C925:C928">
    <cfRule type="duplicateValues" dxfId="283" priority="266"/>
  </conditionalFormatting>
  <conditionalFormatting sqref="C971">
    <cfRule type="duplicateValues" dxfId="282" priority="437"/>
  </conditionalFormatting>
  <conditionalFormatting sqref="C979">
    <cfRule type="duplicateValues" dxfId="281" priority="341"/>
    <cfRule type="duplicateValues" dxfId="280" priority="342"/>
    <cfRule type="duplicateValues" dxfId="279" priority="343"/>
    <cfRule type="duplicateValues" dxfId="278" priority="345"/>
    <cfRule type="duplicateValues" dxfId="277" priority="344"/>
  </conditionalFormatting>
  <conditionalFormatting sqref="C981">
    <cfRule type="duplicateValues" dxfId="276" priority="443"/>
  </conditionalFormatting>
  <conditionalFormatting sqref="C983">
    <cfRule type="duplicateValues" dxfId="275" priority="264"/>
    <cfRule type="duplicateValues" dxfId="274" priority="263"/>
    <cfRule type="duplicateValues" dxfId="273" priority="262"/>
    <cfRule type="duplicateValues" dxfId="272" priority="260"/>
    <cfRule type="duplicateValues" dxfId="271" priority="265"/>
  </conditionalFormatting>
  <conditionalFormatting sqref="C986">
    <cfRule type="duplicateValues" dxfId="270" priority="289"/>
    <cfRule type="duplicateValues" dxfId="269" priority="292"/>
    <cfRule type="duplicateValues" dxfId="268" priority="293"/>
    <cfRule type="duplicateValues" dxfId="267" priority="294"/>
    <cfRule type="duplicateValues" dxfId="266" priority="291"/>
  </conditionalFormatting>
  <conditionalFormatting sqref="C987">
    <cfRule type="duplicateValues" dxfId="265" priority="369"/>
    <cfRule type="duplicateValues" dxfId="264" priority="368"/>
    <cfRule type="duplicateValues" dxfId="263" priority="367"/>
    <cfRule type="duplicateValues" dxfId="262" priority="366"/>
    <cfRule type="duplicateValues" dxfId="261" priority="364"/>
  </conditionalFormatting>
  <conditionalFormatting sqref="C991">
    <cfRule type="duplicateValues" dxfId="260" priority="425"/>
  </conditionalFormatting>
  <conditionalFormatting sqref="C992">
    <cfRule type="duplicateValues" dxfId="259" priority="420"/>
  </conditionalFormatting>
  <conditionalFormatting sqref="C993">
    <cfRule type="duplicateValues" dxfId="258" priority="419"/>
  </conditionalFormatting>
  <conditionalFormatting sqref="C996">
    <cfRule type="duplicateValues" dxfId="257" priority="424"/>
  </conditionalFormatting>
  <conditionalFormatting sqref="C1002:C1006">
    <cfRule type="duplicateValues" dxfId="256" priority="161"/>
  </conditionalFormatting>
  <conditionalFormatting sqref="C1009">
    <cfRule type="duplicateValues" dxfId="255" priority="352"/>
    <cfRule type="duplicateValues" dxfId="254" priority="354"/>
    <cfRule type="duplicateValues" dxfId="253" priority="355"/>
    <cfRule type="duplicateValues" dxfId="252" priority="356"/>
    <cfRule type="duplicateValues" dxfId="251" priority="357"/>
  </conditionalFormatting>
  <conditionalFormatting sqref="C1011">
    <cfRule type="duplicateValues" dxfId="250" priority="280"/>
    <cfRule type="duplicateValues" dxfId="249" priority="282"/>
    <cfRule type="duplicateValues" dxfId="248" priority="283"/>
    <cfRule type="duplicateValues" dxfId="247" priority="284"/>
    <cfRule type="duplicateValues" dxfId="246" priority="285"/>
  </conditionalFormatting>
  <conditionalFormatting sqref="C1012">
    <cfRule type="duplicateValues" dxfId="245" priority="163"/>
  </conditionalFormatting>
  <conditionalFormatting sqref="C1013">
    <cfRule type="duplicateValues" dxfId="244" priority="416"/>
  </conditionalFormatting>
  <conditionalFormatting sqref="C1017">
    <cfRule type="duplicateValues" dxfId="243" priority="445"/>
  </conditionalFormatting>
  <conditionalFormatting sqref="C1021">
    <cfRule type="duplicateValues" dxfId="242" priority="432"/>
  </conditionalFormatting>
  <conditionalFormatting sqref="C1028">
    <cfRule type="duplicateValues" dxfId="241" priority="422"/>
  </conditionalFormatting>
  <conditionalFormatting sqref="C1038:C1039">
    <cfRule type="duplicateValues" dxfId="240" priority="431"/>
  </conditionalFormatting>
  <conditionalFormatting sqref="C1040:C1041">
    <cfRule type="duplicateValues" dxfId="239" priority="426"/>
  </conditionalFormatting>
  <conditionalFormatting sqref="C1042:C1043">
    <cfRule type="duplicateValues" dxfId="238" priority="415"/>
  </conditionalFormatting>
  <conditionalFormatting sqref="G40:G82">
    <cfRule type="duplicateValues" dxfId="237" priority="304"/>
  </conditionalFormatting>
  <conditionalFormatting sqref="H40:H82">
    <cfRule type="duplicateValues" dxfId="236" priority="305"/>
  </conditionalFormatting>
  <conditionalFormatting sqref="I40:I82">
    <cfRule type="duplicateValues" dxfId="235" priority="306"/>
  </conditionalFormatting>
  <hyperlinks>
    <hyperlink ref="C6" r:id="rId1" xr:uid="{00000000-0004-0000-0400-000000000000}"/>
    <hyperlink ref="C7" r:id="rId2" xr:uid="{00000000-0004-0000-0400-000001000000}"/>
    <hyperlink ref="C8" r:id="rId3" xr:uid="{00000000-0004-0000-0400-000002000000}"/>
    <hyperlink ref="C9" r:id="rId4" xr:uid="{00000000-0004-0000-0400-000003000000}"/>
    <hyperlink ref="C10" r:id="rId5" xr:uid="{00000000-0004-0000-0400-000004000000}"/>
    <hyperlink ref="C11" r:id="rId6" xr:uid="{00000000-0004-0000-0400-000005000000}"/>
    <hyperlink ref="C12" r:id="rId7" xr:uid="{00000000-0004-0000-0400-000006000000}"/>
    <hyperlink ref="C13" r:id="rId8" xr:uid="{00000000-0004-0000-0400-000007000000}"/>
    <hyperlink ref="C14" r:id="rId9" xr:uid="{00000000-0004-0000-0400-000008000000}"/>
    <hyperlink ref="C15" r:id="rId10" xr:uid="{00000000-0004-0000-0400-000009000000}"/>
    <hyperlink ref="C16" r:id="rId11" xr:uid="{00000000-0004-0000-0400-00000A000000}"/>
    <hyperlink ref="C17" r:id="rId12" xr:uid="{00000000-0004-0000-0400-00000B000000}"/>
    <hyperlink ref="C18" r:id="rId13" xr:uid="{00000000-0004-0000-0400-00000C000000}"/>
    <hyperlink ref="C19" r:id="rId14" xr:uid="{00000000-0004-0000-0400-00000D000000}"/>
    <hyperlink ref="C20" r:id="rId15" xr:uid="{00000000-0004-0000-0400-00000E000000}"/>
    <hyperlink ref="C21" r:id="rId16" xr:uid="{00000000-0004-0000-0400-00000F000000}"/>
    <hyperlink ref="C22" r:id="rId17" xr:uid="{00000000-0004-0000-0400-000010000000}"/>
    <hyperlink ref="C23" r:id="rId18" xr:uid="{00000000-0004-0000-0400-000011000000}"/>
    <hyperlink ref="C24" r:id="rId19" xr:uid="{00000000-0004-0000-0400-000012000000}"/>
    <hyperlink ref="C25" r:id="rId20" xr:uid="{00000000-0004-0000-0400-000013000000}"/>
    <hyperlink ref="C26" r:id="rId21" xr:uid="{00000000-0004-0000-0400-000014000000}"/>
    <hyperlink ref="C27" r:id="rId22" xr:uid="{00000000-0004-0000-0400-000015000000}"/>
    <hyperlink ref="C28" r:id="rId23" xr:uid="{00000000-0004-0000-0400-000016000000}"/>
    <hyperlink ref="C29" r:id="rId24" xr:uid="{00000000-0004-0000-0400-000017000000}"/>
    <hyperlink ref="C30" r:id="rId25" xr:uid="{00000000-0004-0000-0400-000018000000}"/>
    <hyperlink ref="C31" r:id="rId26" xr:uid="{00000000-0004-0000-0400-000019000000}"/>
    <hyperlink ref="C32" r:id="rId27" xr:uid="{00000000-0004-0000-0400-00001A000000}"/>
    <hyperlink ref="C33" r:id="rId28" xr:uid="{00000000-0004-0000-0400-00001B000000}"/>
    <hyperlink ref="C34" r:id="rId29" xr:uid="{00000000-0004-0000-0400-00001C000000}"/>
    <hyperlink ref="C35" r:id="rId30" xr:uid="{00000000-0004-0000-0400-00001D000000}"/>
    <hyperlink ref="C36" r:id="rId31" xr:uid="{00000000-0004-0000-0400-00001E000000}"/>
    <hyperlink ref="C37" r:id="rId32" xr:uid="{00000000-0004-0000-0400-00001F000000}"/>
    <hyperlink ref="C38" r:id="rId33" xr:uid="{00000000-0004-0000-0400-000020000000}"/>
    <hyperlink ref="C39" r:id="rId34" xr:uid="{00000000-0004-0000-0400-000021000000}"/>
    <hyperlink ref="C40" r:id="rId35" xr:uid="{00000000-0004-0000-0400-000022000000}"/>
    <hyperlink ref="C41" r:id="rId36" xr:uid="{00000000-0004-0000-0400-000023000000}"/>
    <hyperlink ref="C42" r:id="rId37" xr:uid="{00000000-0004-0000-0400-000024000000}"/>
    <hyperlink ref="C43" r:id="rId38" xr:uid="{00000000-0004-0000-0400-000025000000}"/>
    <hyperlink ref="C44" r:id="rId39" xr:uid="{00000000-0004-0000-0400-000026000000}"/>
    <hyperlink ref="C49" r:id="rId40" xr:uid="{00000000-0004-0000-0400-000027000000}"/>
    <hyperlink ref="C50" r:id="rId41" xr:uid="{00000000-0004-0000-0400-000028000000}"/>
    <hyperlink ref="C51" r:id="rId42" xr:uid="{00000000-0004-0000-0400-000029000000}"/>
    <hyperlink ref="C52" r:id="rId43" xr:uid="{00000000-0004-0000-0400-00002A000000}"/>
    <hyperlink ref="C53" r:id="rId44" xr:uid="{00000000-0004-0000-0400-00002B000000}"/>
    <hyperlink ref="C54" r:id="rId45" xr:uid="{00000000-0004-0000-0400-00002C000000}"/>
    <hyperlink ref="C55" r:id="rId46" xr:uid="{00000000-0004-0000-0400-00002D000000}"/>
    <hyperlink ref="C56" r:id="rId47" xr:uid="{00000000-0004-0000-0400-00002E000000}"/>
    <hyperlink ref="C57" r:id="rId48" xr:uid="{00000000-0004-0000-0400-00002F000000}"/>
    <hyperlink ref="C59" r:id="rId49" xr:uid="{00000000-0004-0000-0400-000030000000}"/>
    <hyperlink ref="C60" r:id="rId50" xr:uid="{00000000-0004-0000-0400-000031000000}"/>
    <hyperlink ref="C61" r:id="rId51" xr:uid="{00000000-0004-0000-0400-000032000000}"/>
    <hyperlink ref="C62" r:id="rId52" xr:uid="{00000000-0004-0000-0400-000033000000}"/>
    <hyperlink ref="C67" r:id="rId53" xr:uid="{00000000-0004-0000-0400-000034000000}"/>
    <hyperlink ref="C68" r:id="rId54" xr:uid="{00000000-0004-0000-0400-000035000000}"/>
    <hyperlink ref="C69" r:id="rId55" xr:uid="{00000000-0004-0000-0400-000036000000}"/>
    <hyperlink ref="C70" r:id="rId56" xr:uid="{00000000-0004-0000-0400-000037000000}"/>
    <hyperlink ref="C71" r:id="rId57" xr:uid="{00000000-0004-0000-0400-000038000000}"/>
    <hyperlink ref="C72" r:id="rId58" xr:uid="{00000000-0004-0000-0400-000039000000}"/>
    <hyperlink ref="C73" r:id="rId59" xr:uid="{00000000-0004-0000-0400-00003A000000}"/>
    <hyperlink ref="C74" r:id="rId60" xr:uid="{00000000-0004-0000-0400-00003B000000}"/>
    <hyperlink ref="C75" r:id="rId61" xr:uid="{00000000-0004-0000-0400-00003C000000}"/>
    <hyperlink ref="C76" r:id="rId62" xr:uid="{00000000-0004-0000-0400-00003D000000}"/>
    <hyperlink ref="C78" r:id="rId63" xr:uid="{00000000-0004-0000-0400-00003E000000}"/>
    <hyperlink ref="C79" r:id="rId64" xr:uid="{00000000-0004-0000-0400-00003F000000}"/>
    <hyperlink ref="A80" r:id="rId65" xr:uid="{00000000-0004-0000-0400-000040000000}"/>
    <hyperlink ref="C81" r:id="rId66" xr:uid="{00000000-0004-0000-0400-000041000000}"/>
    <hyperlink ref="A82" r:id="rId67" xr:uid="{00000000-0004-0000-0400-000042000000}"/>
    <hyperlink ref="C83" r:id="rId68" xr:uid="{00000000-0004-0000-0400-000043000000}"/>
    <hyperlink ref="C84" r:id="rId69" xr:uid="{00000000-0004-0000-0400-000044000000}"/>
    <hyperlink ref="C85" r:id="rId70" xr:uid="{00000000-0004-0000-0400-000045000000}"/>
    <hyperlink ref="C86" r:id="rId71" xr:uid="{00000000-0004-0000-0400-000046000000}"/>
    <hyperlink ref="C87" r:id="rId72" xr:uid="{00000000-0004-0000-0400-000047000000}"/>
    <hyperlink ref="C88" r:id="rId73" xr:uid="{00000000-0004-0000-0400-000048000000}"/>
    <hyperlink ref="A89" r:id="rId74" display="SD_LBIEN" xr:uid="{00000000-0004-0000-0400-000049000000}"/>
    <hyperlink ref="C89" r:id="rId75" xr:uid="{00000000-0004-0000-0400-00004A000000}"/>
    <hyperlink ref="A90" r:id="rId76" display="BIGC_GO_PMY" xr:uid="{00000000-0004-0000-0400-00004B000000}"/>
    <hyperlink ref="C90" r:id="rId77" xr:uid="{00000000-0004-0000-0400-00004C000000}"/>
    <hyperlink ref="A91" r:id="rId78" display="COOP_NLB" xr:uid="{00000000-0004-0000-0400-00004D000000}"/>
    <hyperlink ref="C91" r:id="rId79" xr:uid="{00000000-0004-0000-0400-00004E000000}"/>
    <hyperlink ref="C92" r:id="rId80" xr:uid="{00000000-0004-0000-0400-00004F000000}"/>
    <hyperlink ref="C93" r:id="rId81" xr:uid="{00000000-0004-0000-0400-000050000000}"/>
    <hyperlink ref="A94" r:id="rId82" display="KOHNAN_NTT" xr:uid="{00000000-0004-0000-0400-000051000000}"/>
    <hyperlink ref="C94" r:id="rId83" xr:uid="{00000000-0004-0000-0400-000052000000}"/>
    <hyperlink ref="C95" r:id="rId84" xr:uid="{00000000-0004-0000-0400-000053000000}"/>
    <hyperlink ref="A96" r:id="rId85" display="BIGC_DBAN" xr:uid="{00000000-0004-0000-0400-000054000000}"/>
    <hyperlink ref="C96" r:id="rId86" xr:uid="{00000000-0004-0000-0400-000055000000}"/>
    <hyperlink ref="A97" r:id="rId87" display="6209_QL50" xr:uid="{00000000-0004-0000-0400-000056000000}"/>
    <hyperlink ref="C97" r:id="rId88" xr:uid="{00000000-0004-0000-0400-000057000000}"/>
    <hyperlink ref="C98" r:id="rId89" xr:uid="{00000000-0004-0000-0400-000058000000}"/>
    <hyperlink ref="C99" r:id="rId90" xr:uid="{00000000-0004-0000-0400-000059000000}"/>
    <hyperlink ref="C100" r:id="rId91" xr:uid="{00000000-0004-0000-0400-00005A000000}"/>
    <hyperlink ref="C101" r:id="rId92" xr:uid="{00000000-0004-0000-0400-00005B000000}"/>
    <hyperlink ref="C102" r:id="rId93" xr:uid="{00000000-0004-0000-0400-00005C000000}"/>
    <hyperlink ref="C103" r:id="rId94" xr:uid="{00000000-0004-0000-0400-00005D000000}"/>
    <hyperlink ref="C104" r:id="rId95" xr:uid="{00000000-0004-0000-0400-00005E000000}"/>
    <hyperlink ref="C105" r:id="rId96" xr:uid="{00000000-0004-0000-0400-00005F000000}"/>
    <hyperlink ref="C106" r:id="rId97" xr:uid="{00000000-0004-0000-0400-000060000000}"/>
    <hyperlink ref="C107" r:id="rId98" xr:uid="{00000000-0004-0000-0400-000061000000}"/>
    <hyperlink ref="C108" r:id="rId99" xr:uid="{00000000-0004-0000-0400-000062000000}"/>
    <hyperlink ref="C109" r:id="rId100" xr:uid="{00000000-0004-0000-0400-000063000000}"/>
    <hyperlink ref="C110" r:id="rId101" xr:uid="{00000000-0004-0000-0400-000064000000}"/>
    <hyperlink ref="C111" r:id="rId102" xr:uid="{00000000-0004-0000-0400-000065000000}"/>
    <hyperlink ref="C112" r:id="rId103" xr:uid="{00000000-0004-0000-0400-000066000000}"/>
    <hyperlink ref="C113" r:id="rId104" xr:uid="{00000000-0004-0000-0400-000067000000}"/>
    <hyperlink ref="C114" r:id="rId105" xr:uid="{00000000-0004-0000-0400-000068000000}"/>
    <hyperlink ref="C116" r:id="rId106" xr:uid="{00000000-0004-0000-0400-000069000000}"/>
    <hyperlink ref="C117" r:id="rId107" xr:uid="{00000000-0004-0000-0400-00006A000000}"/>
    <hyperlink ref="C118" r:id="rId108" xr:uid="{00000000-0004-0000-0400-00006B000000}"/>
    <hyperlink ref="C119" r:id="rId109" xr:uid="{00000000-0004-0000-0400-00006C000000}"/>
    <hyperlink ref="C122" r:id="rId110" xr:uid="{00000000-0004-0000-0400-00006D000000}"/>
    <hyperlink ref="C123" r:id="rId111" xr:uid="{00000000-0004-0000-0400-00006E000000}"/>
    <hyperlink ref="C124" r:id="rId112" xr:uid="{00000000-0004-0000-0400-00006F000000}"/>
    <hyperlink ref="C125" r:id="rId113" xr:uid="{00000000-0004-0000-0400-000070000000}"/>
    <hyperlink ref="C126" r:id="rId114" xr:uid="{00000000-0004-0000-0400-000071000000}"/>
    <hyperlink ref="C127" r:id="rId115" xr:uid="{00000000-0004-0000-0400-000072000000}"/>
    <hyperlink ref="C128" r:id="rId116" xr:uid="{00000000-0004-0000-0400-000073000000}"/>
    <hyperlink ref="C129" r:id="rId117" xr:uid="{00000000-0004-0000-0400-000074000000}"/>
    <hyperlink ref="C130" r:id="rId118" xr:uid="{00000000-0004-0000-0400-000075000000}"/>
    <hyperlink ref="C131" r:id="rId119" xr:uid="{00000000-0004-0000-0400-000076000000}"/>
    <hyperlink ref="C132" r:id="rId120" xr:uid="{00000000-0004-0000-0400-000077000000}"/>
    <hyperlink ref="C133" r:id="rId121" xr:uid="{00000000-0004-0000-0400-000078000000}"/>
    <hyperlink ref="C134" r:id="rId122" xr:uid="{00000000-0004-0000-0400-000079000000}"/>
    <hyperlink ref="C135" r:id="rId123" xr:uid="{00000000-0004-0000-0400-00007A000000}"/>
    <hyperlink ref="C136" r:id="rId124" xr:uid="{00000000-0004-0000-0400-00007B000000}"/>
    <hyperlink ref="C137" r:id="rId125" xr:uid="{00000000-0004-0000-0400-00007C000000}"/>
    <hyperlink ref="C138" r:id="rId126" xr:uid="{00000000-0004-0000-0400-00007D000000}"/>
    <hyperlink ref="C139" r:id="rId127" xr:uid="{00000000-0004-0000-0400-00007E000000}"/>
    <hyperlink ref="C140" r:id="rId128" xr:uid="{00000000-0004-0000-0400-00007F000000}"/>
    <hyperlink ref="C141" r:id="rId129" xr:uid="{00000000-0004-0000-0400-000080000000}"/>
    <hyperlink ref="C142" r:id="rId130" xr:uid="{00000000-0004-0000-0400-000081000000}"/>
    <hyperlink ref="C143" r:id="rId131" xr:uid="{00000000-0004-0000-0400-000082000000}"/>
    <hyperlink ref="C144" r:id="rId132" xr:uid="{00000000-0004-0000-0400-000083000000}"/>
    <hyperlink ref="C145" r:id="rId133" xr:uid="{00000000-0004-0000-0400-000084000000}"/>
    <hyperlink ref="C146" r:id="rId134" xr:uid="{00000000-0004-0000-0400-000085000000}"/>
    <hyperlink ref="C147" r:id="rId135" xr:uid="{00000000-0004-0000-0400-000086000000}"/>
    <hyperlink ref="C148" r:id="rId136" xr:uid="{00000000-0004-0000-0400-000087000000}"/>
    <hyperlink ref="C149" r:id="rId137" xr:uid="{00000000-0004-0000-0400-000088000000}"/>
    <hyperlink ref="C150" r:id="rId138" xr:uid="{00000000-0004-0000-0400-000089000000}"/>
    <hyperlink ref="A151" r:id="rId139" display="LC_HCM" xr:uid="{00000000-0004-0000-0400-00008A000000}"/>
    <hyperlink ref="C151" r:id="rId140" xr:uid="{00000000-0004-0000-0400-00008B000000}"/>
    <hyperlink ref="A152" r:id="rId141" display="HD_AUCO" xr:uid="{00000000-0004-0000-0400-00008C000000}"/>
    <hyperlink ref="C152" r:id="rId142" xr:uid="{00000000-0004-0000-0400-00008D000000}"/>
    <hyperlink ref="C153" r:id="rId143" xr:uid="{00000000-0004-0000-0400-00008E000000}"/>
    <hyperlink ref="C154" r:id="rId144" xr:uid="{00000000-0004-0000-0400-00008F000000}"/>
    <hyperlink ref="C155" r:id="rId145" xr:uid="{00000000-0004-0000-0400-000090000000}"/>
    <hyperlink ref="C156" r:id="rId146" xr:uid="{00000000-0004-0000-0400-000091000000}"/>
    <hyperlink ref="C157" r:id="rId147" xr:uid="{00000000-0004-0000-0400-000092000000}"/>
    <hyperlink ref="A158" r:id="rId148" display="TNH_VINCOMVTRI" xr:uid="{00000000-0004-0000-0400-000093000000}"/>
    <hyperlink ref="C158" r:id="rId149" xr:uid="{00000000-0004-0000-0400-000094000000}"/>
    <hyperlink ref="C159" r:id="rId150" xr:uid="{00000000-0004-0000-0400-000095000000}"/>
    <hyperlink ref="C160" r:id="rId151" xr:uid="{00000000-0004-0000-0400-000096000000}"/>
    <hyperlink ref="C161" r:id="rId152" xr:uid="{00000000-0004-0000-0400-000097000000}"/>
    <hyperlink ref="C166" r:id="rId153" xr:uid="{00000000-0004-0000-0400-000098000000}"/>
    <hyperlink ref="C167" r:id="rId154" xr:uid="{00000000-0004-0000-0400-000099000000}"/>
    <hyperlink ref="C168" r:id="rId155" xr:uid="{00000000-0004-0000-0400-00009A000000}"/>
    <hyperlink ref="C169" r:id="rId156" xr:uid="{00000000-0004-0000-0400-00009B000000}"/>
    <hyperlink ref="C170" r:id="rId157" xr:uid="{00000000-0004-0000-0400-00009C000000}"/>
    <hyperlink ref="C171" r:id="rId158" xr:uid="{00000000-0004-0000-0400-00009D000000}"/>
    <hyperlink ref="C172" r:id="rId159" xr:uid="{00000000-0004-0000-0400-00009E000000}"/>
    <hyperlink ref="C173" r:id="rId160" xr:uid="{00000000-0004-0000-0400-00009F000000}"/>
    <hyperlink ref="C174" r:id="rId161" xr:uid="{00000000-0004-0000-0400-0000A0000000}"/>
    <hyperlink ref="C175" r:id="rId162" xr:uid="{00000000-0004-0000-0400-0000A1000000}"/>
    <hyperlink ref="C176" r:id="rId163" xr:uid="{00000000-0004-0000-0400-0000A2000000}"/>
    <hyperlink ref="C177" r:id="rId164" display="COOP_GDAU" xr:uid="{00000000-0004-0000-0400-0000A3000000}"/>
    <hyperlink ref="C178" r:id="rId165" display="BIGC_MDONG" xr:uid="{00000000-0004-0000-0400-0000A4000000}"/>
    <hyperlink ref="C183" r:id="rId166" xr:uid="{00000000-0004-0000-0400-0000A5000000}"/>
    <hyperlink ref="C184" r:id="rId167" xr:uid="{00000000-0004-0000-0400-0000A6000000}"/>
    <hyperlink ref="C185" r:id="rId168" xr:uid="{00000000-0004-0000-0400-0000A7000000}"/>
    <hyperlink ref="C186" r:id="rId169" xr:uid="{00000000-0004-0000-0400-0000A8000000}"/>
    <hyperlink ref="C194" r:id="rId170" xr:uid="{00000000-0004-0000-0400-0000A9000000}"/>
    <hyperlink ref="C195" r:id="rId171" xr:uid="{00000000-0004-0000-0400-0000AA000000}"/>
    <hyperlink ref="C196" r:id="rId172" xr:uid="{00000000-0004-0000-0400-0000AB000000}"/>
    <hyperlink ref="C197" r:id="rId173" xr:uid="{00000000-0004-0000-0400-0000AC000000}"/>
    <hyperlink ref="C198" r:id="rId174" xr:uid="{00000000-0004-0000-0400-0000AD000000}"/>
    <hyperlink ref="C199" r:id="rId175" xr:uid="{00000000-0004-0000-0400-0000AE000000}"/>
    <hyperlink ref="C200" r:id="rId176" xr:uid="{00000000-0004-0000-0400-0000AF000000}"/>
    <hyperlink ref="C201" r:id="rId177" xr:uid="{00000000-0004-0000-0400-0000B0000000}"/>
    <hyperlink ref="C202" r:id="rId178" xr:uid="{00000000-0004-0000-0400-0000B1000000}"/>
    <hyperlink ref="C203" r:id="rId179" xr:uid="{00000000-0004-0000-0400-0000B2000000}"/>
    <hyperlink ref="C204" r:id="rId180" xr:uid="{00000000-0004-0000-0400-0000B3000000}"/>
    <hyperlink ref="C205" r:id="rId181" xr:uid="{00000000-0004-0000-0400-0000B4000000}"/>
    <hyperlink ref="C212" r:id="rId182" xr:uid="{00000000-0004-0000-0400-0000B5000000}"/>
    <hyperlink ref="C242" r:id="rId183" xr:uid="{00000000-0004-0000-0400-0000B6000000}"/>
    <hyperlink ref="C243" r:id="rId184" xr:uid="{00000000-0004-0000-0400-0000B7000000}"/>
    <hyperlink ref="C244" r:id="rId185" xr:uid="{00000000-0004-0000-0400-0000B8000000}"/>
    <hyperlink ref="C245" r:id="rId186" xr:uid="{00000000-0004-0000-0400-0000B9000000}"/>
    <hyperlink ref="C246" r:id="rId187" xr:uid="{00000000-0004-0000-0400-0000BA000000}"/>
    <hyperlink ref="C247" r:id="rId188" xr:uid="{00000000-0004-0000-0400-0000BB000000}"/>
    <hyperlink ref="C248" r:id="rId189" xr:uid="{00000000-0004-0000-0400-0000BC000000}"/>
    <hyperlink ref="C249" r:id="rId190" xr:uid="{00000000-0004-0000-0400-0000BD000000}"/>
    <hyperlink ref="C250" r:id="rId191" xr:uid="{00000000-0004-0000-0400-0000BE000000}"/>
    <hyperlink ref="C251" r:id="rId192" xr:uid="{00000000-0004-0000-0400-0000BF000000}"/>
    <hyperlink ref="C252" r:id="rId193" xr:uid="{00000000-0004-0000-0400-0000C0000000}"/>
    <hyperlink ref="C253" r:id="rId194" xr:uid="{00000000-0004-0000-0400-0000C1000000}"/>
    <hyperlink ref="C254" r:id="rId195" xr:uid="{00000000-0004-0000-0400-0000C2000000}"/>
    <hyperlink ref="C256" r:id="rId196" xr:uid="{00000000-0004-0000-0400-0000C3000000}"/>
    <hyperlink ref="C257" r:id="rId197" xr:uid="{00000000-0004-0000-0400-0000C4000000}"/>
    <hyperlink ref="C258" r:id="rId198" xr:uid="{00000000-0004-0000-0400-0000C5000000}"/>
    <hyperlink ref="C266" r:id="rId199" xr:uid="{00000000-0004-0000-0400-0000C6000000}"/>
    <hyperlink ref="C267" r:id="rId200" xr:uid="{00000000-0004-0000-0400-0000C7000000}"/>
    <hyperlink ref="C269" r:id="rId201" xr:uid="{00000000-0004-0000-0400-0000C8000000}"/>
    <hyperlink ref="C270" r:id="rId202" xr:uid="{00000000-0004-0000-0400-0000C9000000}"/>
    <hyperlink ref="C271" r:id="rId203" xr:uid="{00000000-0004-0000-0400-0000CA000000}"/>
    <hyperlink ref="C272" r:id="rId204" xr:uid="{00000000-0004-0000-0400-0000CB000000}"/>
    <hyperlink ref="C273" r:id="rId205" xr:uid="{00000000-0004-0000-0400-0000CC000000}"/>
    <hyperlink ref="C274" r:id="rId206" xr:uid="{00000000-0004-0000-0400-0000CD000000}"/>
    <hyperlink ref="C275" r:id="rId207" xr:uid="{00000000-0004-0000-0400-0000CE000000}"/>
    <hyperlink ref="C276" r:id="rId208" xr:uid="{00000000-0004-0000-0400-0000CF000000}"/>
    <hyperlink ref="C277" r:id="rId209" xr:uid="{00000000-0004-0000-0400-0000D0000000}"/>
    <hyperlink ref="C278" r:id="rId210" xr:uid="{00000000-0004-0000-0400-0000D1000000}"/>
    <hyperlink ref="C279" r:id="rId211" xr:uid="{00000000-0004-0000-0400-0000D2000000}"/>
    <hyperlink ref="C280" r:id="rId212" xr:uid="{00000000-0004-0000-0400-0000D3000000}"/>
    <hyperlink ref="C281" r:id="rId213" xr:uid="{00000000-0004-0000-0400-0000D4000000}"/>
    <hyperlink ref="C282" r:id="rId214" xr:uid="{00000000-0004-0000-0400-0000D5000000}"/>
    <hyperlink ref="C283" r:id="rId215" xr:uid="{00000000-0004-0000-0400-0000D6000000}"/>
    <hyperlink ref="C284" r:id="rId216" xr:uid="{00000000-0004-0000-0400-0000D7000000}"/>
    <hyperlink ref="C285" r:id="rId217" xr:uid="{00000000-0004-0000-0400-0000D8000000}"/>
    <hyperlink ref="C287" r:id="rId218" xr:uid="{00000000-0004-0000-0400-0000D9000000}"/>
    <hyperlink ref="C288" r:id="rId219" xr:uid="{00000000-0004-0000-0400-0000DA000000}"/>
    <hyperlink ref="C289" r:id="rId220" xr:uid="{00000000-0004-0000-0400-0000DB000000}"/>
    <hyperlink ref="C290" r:id="rId221" xr:uid="{00000000-0004-0000-0400-0000DC000000}"/>
    <hyperlink ref="C291" r:id="rId222" xr:uid="{00000000-0004-0000-0400-0000DD000000}"/>
    <hyperlink ref="C292" r:id="rId223" xr:uid="{00000000-0004-0000-0400-0000DE000000}"/>
    <hyperlink ref="C293" r:id="rId224" xr:uid="{00000000-0004-0000-0400-0000DF000000}"/>
    <hyperlink ref="C294" r:id="rId225" xr:uid="{00000000-0004-0000-0400-0000E0000000}"/>
    <hyperlink ref="A295" r:id="rId226" display="COOP_F_NXI" xr:uid="{00000000-0004-0000-0400-0000E1000000}"/>
    <hyperlink ref="C295" r:id="rId227" xr:uid="{00000000-0004-0000-0400-0000E2000000}"/>
    <hyperlink ref="C296" r:id="rId228" xr:uid="{00000000-0004-0000-0400-0000E3000000}"/>
    <hyperlink ref="C297" r:id="rId229" xr:uid="{00000000-0004-0000-0400-0000E4000000}"/>
    <hyperlink ref="C298" r:id="rId230" xr:uid="{00000000-0004-0000-0400-0000E5000000}"/>
    <hyperlink ref="C299" r:id="rId231" xr:uid="{00000000-0004-0000-0400-0000E6000000}"/>
    <hyperlink ref="C300" r:id="rId232" xr:uid="{00000000-0004-0000-0400-0000E7000000}"/>
    <hyperlink ref="C301" r:id="rId233" xr:uid="{00000000-0004-0000-0400-0000E8000000}"/>
    <hyperlink ref="C302" r:id="rId234" xr:uid="{00000000-0004-0000-0400-0000E9000000}"/>
    <hyperlink ref="C303" r:id="rId235" xr:uid="{00000000-0004-0000-0400-0000EA000000}"/>
    <hyperlink ref="C305" r:id="rId236" xr:uid="{00000000-0004-0000-0400-0000EB000000}"/>
    <hyperlink ref="C306" r:id="rId237" xr:uid="{00000000-0004-0000-0400-0000EC000000}"/>
    <hyperlink ref="C338" r:id="rId238" xr:uid="{00000000-0004-0000-0400-0000ED000000}"/>
    <hyperlink ref="C342" r:id="rId239" xr:uid="{00000000-0004-0000-0400-0000EE000000}"/>
    <hyperlink ref="C343" r:id="rId240" xr:uid="{00000000-0004-0000-0400-0000EF000000}"/>
    <hyperlink ref="C344" r:id="rId241" xr:uid="{00000000-0004-0000-0400-0000F0000000}"/>
    <hyperlink ref="C345" r:id="rId242" xr:uid="{00000000-0004-0000-0400-0000F1000000}"/>
    <hyperlink ref="C346" r:id="rId243" xr:uid="{00000000-0004-0000-0400-0000F2000000}"/>
    <hyperlink ref="C347" r:id="rId244" xr:uid="{00000000-0004-0000-0400-0000F3000000}"/>
    <hyperlink ref="C348" r:id="rId245" xr:uid="{00000000-0004-0000-0400-0000F4000000}"/>
    <hyperlink ref="C349" r:id="rId246" xr:uid="{00000000-0004-0000-0400-0000F5000000}"/>
    <hyperlink ref="C350" r:id="rId247" xr:uid="{00000000-0004-0000-0400-0000F6000000}"/>
    <hyperlink ref="C351" r:id="rId248" xr:uid="{00000000-0004-0000-0400-0000F7000000}"/>
    <hyperlink ref="C352" r:id="rId249" xr:uid="{00000000-0004-0000-0400-0000F8000000}"/>
    <hyperlink ref="C353" r:id="rId250" xr:uid="{00000000-0004-0000-0400-0000F9000000}"/>
    <hyperlink ref="C354" r:id="rId251" xr:uid="{00000000-0004-0000-0400-0000FA000000}"/>
    <hyperlink ref="C355" r:id="rId252" xr:uid="{00000000-0004-0000-0400-0000FB000000}"/>
    <hyperlink ref="C356" r:id="rId253" xr:uid="{00000000-0004-0000-0400-0000FC000000}"/>
    <hyperlink ref="C357" r:id="rId254" xr:uid="{00000000-0004-0000-0400-0000FD000000}"/>
    <hyperlink ref="C358" r:id="rId255" xr:uid="{00000000-0004-0000-0400-0000FE000000}"/>
    <hyperlink ref="C359" r:id="rId256" xr:uid="{00000000-0004-0000-0400-0000FF000000}"/>
    <hyperlink ref="C360" r:id="rId257" xr:uid="{00000000-0004-0000-0400-000000010000}"/>
    <hyperlink ref="C361" r:id="rId258" xr:uid="{00000000-0004-0000-0400-000001010000}"/>
    <hyperlink ref="A362" r:id="rId259" display="HD_RIVE" xr:uid="{00000000-0004-0000-0400-000002010000}"/>
    <hyperlink ref="C362" r:id="rId260" xr:uid="{00000000-0004-0000-0400-000003010000}"/>
    <hyperlink ref="C363" r:id="rId261" xr:uid="{00000000-0004-0000-0400-000004010000}"/>
    <hyperlink ref="C373" r:id="rId262" xr:uid="{00000000-0004-0000-0400-000005010000}"/>
    <hyperlink ref="C374" r:id="rId263" xr:uid="{00000000-0004-0000-0400-000006010000}"/>
    <hyperlink ref="C375" r:id="rId264" xr:uid="{00000000-0004-0000-0400-000007010000}"/>
    <hyperlink ref="C376" r:id="rId265" xr:uid="{00000000-0004-0000-0400-000008010000}"/>
    <hyperlink ref="C377" r:id="rId266" xr:uid="{00000000-0004-0000-0400-000009010000}"/>
    <hyperlink ref="A384" r:id="rId267" display="COOP_MDUC" xr:uid="{00000000-0004-0000-0400-00000A010000}"/>
    <hyperlink ref="C384" r:id="rId268" xr:uid="{00000000-0004-0000-0400-00000B010000}"/>
    <hyperlink ref="A385" r:id="rId269" display="COOP_QLO50" xr:uid="{00000000-0004-0000-0400-00000C010000}"/>
    <hyperlink ref="C385" r:id="rId270" xr:uid="{00000000-0004-0000-0400-00000D010000}"/>
    <hyperlink ref="C390" r:id="rId271" xr:uid="{00000000-0004-0000-0400-00000E010000}"/>
    <hyperlink ref="C391" r:id="rId272" xr:uid="{00000000-0004-0000-0400-00000F010000}"/>
    <hyperlink ref="C439" r:id="rId273" xr:uid="{00000000-0004-0000-0400-000010010000}"/>
    <hyperlink ref="C500" r:id="rId274" xr:uid="{00000000-0004-0000-0400-000011010000}"/>
    <hyperlink ref="C522" r:id="rId275" xr:uid="{00000000-0004-0000-0400-000012010000}"/>
    <hyperlink ref="C524" r:id="rId276" xr:uid="{00000000-0004-0000-0400-000013010000}"/>
    <hyperlink ref="C532" r:id="rId277" xr:uid="{00000000-0004-0000-0400-000014010000}"/>
    <hyperlink ref="C533" r:id="rId278" xr:uid="{00000000-0004-0000-0400-000015010000}"/>
    <hyperlink ref="C558" r:id="rId279" xr:uid="{00000000-0004-0000-0400-000016010000}"/>
    <hyperlink ref="C559" r:id="rId280" xr:uid="{00000000-0004-0000-0400-000017010000}"/>
    <hyperlink ref="C576" r:id="rId281" xr:uid="{00000000-0004-0000-0400-000018010000}"/>
    <hyperlink ref="C577" r:id="rId282" xr:uid="{00000000-0004-0000-0400-000019010000}"/>
    <hyperlink ref="C578" r:id="rId283" xr:uid="{00000000-0004-0000-0400-00001A010000}"/>
    <hyperlink ref="C579" r:id="rId284" xr:uid="{00000000-0004-0000-0400-00001B010000}"/>
    <hyperlink ref="C580" r:id="rId285" xr:uid="{00000000-0004-0000-0400-00001C010000}"/>
    <hyperlink ref="C581" r:id="rId286" xr:uid="{00000000-0004-0000-0400-00001D010000}"/>
    <hyperlink ref="C582" r:id="rId287" xr:uid="{00000000-0004-0000-0400-00001E010000}"/>
    <hyperlink ref="C583" r:id="rId288" xr:uid="{00000000-0004-0000-0400-00001F010000}"/>
    <hyperlink ref="C757" r:id="rId289" xr:uid="{00000000-0004-0000-0400-000020010000}"/>
    <hyperlink ref="C921" r:id="rId290" xr:uid="{00000000-0004-0000-0400-000021010000}"/>
    <hyperlink ref="C924" r:id="rId291" xr:uid="{00000000-0004-0000-0400-000022010000}"/>
    <hyperlink ref="C925" r:id="rId292" xr:uid="{00000000-0004-0000-0400-000023010000}"/>
    <hyperlink ref="C926" r:id="rId293" xr:uid="{00000000-0004-0000-0400-000024010000}"/>
    <hyperlink ref="C927" r:id="rId294" xr:uid="{00000000-0004-0000-0400-000025010000}"/>
    <hyperlink ref="C928" r:id="rId295" xr:uid="{00000000-0004-0000-0400-000026010000}"/>
    <hyperlink ref="C983" r:id="rId296" xr:uid="{00000000-0004-0000-0400-000027010000}"/>
    <hyperlink ref="C1002" r:id="rId297" xr:uid="{00000000-0004-0000-0400-000028010000}"/>
    <hyperlink ref="C1003" r:id="rId298" xr:uid="{00000000-0004-0000-0400-000029010000}"/>
    <hyperlink ref="C1004" r:id="rId299" xr:uid="{00000000-0004-0000-0400-00002A010000}"/>
    <hyperlink ref="C1005" r:id="rId300" xr:uid="{00000000-0004-0000-0400-00002B010000}"/>
    <hyperlink ref="C1006" r:id="rId301" xr:uid="{00000000-0004-0000-0400-00002C010000}"/>
    <hyperlink ref="C1009" r:id="rId302" xr:uid="{00000000-0004-0000-0400-00002D010000}"/>
    <hyperlink ref="A1012" r:id="rId303" display="VIN_KHO_HTINH" xr:uid="{00000000-0004-0000-0400-00002E010000}"/>
    <hyperlink ref="C1012" r:id="rId304" xr:uid="{00000000-0004-0000-0400-00002F01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X984"/>
  <sheetViews>
    <sheetView showGridLines="0" zoomScale="70" zoomScaleNormal="70" workbookViewId="0">
      <pane xSplit="7" ySplit="2" topLeftCell="H949" activePane="bottomRight" state="frozen"/>
      <selection pane="topRight" activeCell="H1" sqref="H1"/>
      <selection pane="bottomLeft" activeCell="A3" sqref="A3"/>
      <selection pane="bottomRight" activeCell="J981" sqref="J981"/>
    </sheetView>
  </sheetViews>
  <sheetFormatPr defaultColWidth="10.5703125" defaultRowHeight="15.75" x14ac:dyDescent="0.25"/>
  <cols>
    <col min="1" max="1" width="56.28515625" style="12" bestFit="1" customWidth="1"/>
    <col min="2" max="2" width="22" style="12" customWidth="1"/>
    <col min="3" max="3" width="29.7109375" style="13" bestFit="1" customWidth="1"/>
    <col min="4" max="4" width="11.5703125" style="12" bestFit="1" customWidth="1"/>
    <col min="5" max="5" width="31" style="17" bestFit="1" customWidth="1"/>
    <col min="6" max="6" width="28.7109375" style="12" bestFit="1" customWidth="1"/>
    <col min="7" max="7" width="10.140625" style="12" bestFit="1" customWidth="1"/>
    <col min="8" max="8" width="28" style="19" bestFit="1" customWidth="1"/>
    <col min="9" max="9" width="11" style="20" bestFit="1" customWidth="1"/>
    <col min="10" max="10" width="19.28515625" style="21" bestFit="1" customWidth="1"/>
    <col min="11" max="11" width="22.5703125" style="24" bestFit="1" customWidth="1"/>
    <col min="12" max="12" width="12.5703125" style="25" bestFit="1" customWidth="1"/>
    <col min="13" max="13" width="23" style="219" bestFit="1" customWidth="1"/>
    <col min="14" max="14" width="19.7109375" style="22" bestFit="1" customWidth="1"/>
    <col min="15" max="15" width="12.5703125" style="22" bestFit="1" customWidth="1"/>
    <col min="16" max="16" width="23" style="23" bestFit="1" customWidth="1"/>
    <col min="17" max="17" width="27.85546875" style="22" bestFit="1" customWidth="1"/>
    <col min="18" max="18" width="19.28515625" style="22" bestFit="1" customWidth="1"/>
    <col min="19" max="19" width="23" style="23" bestFit="1" customWidth="1"/>
    <col min="20" max="20" width="18.7109375" style="22" customWidth="1"/>
    <col min="21" max="21" width="6" style="22" bestFit="1" customWidth="1"/>
    <col min="22" max="22" width="17.7109375" style="23" bestFit="1" customWidth="1"/>
    <col min="23" max="23" width="14.85546875" style="12" bestFit="1" customWidth="1"/>
    <col min="24" max="24" width="18.28515625" style="12" bestFit="1" customWidth="1"/>
    <col min="25" max="27" width="10.5703125" style="12" customWidth="1"/>
    <col min="28" max="16384" width="10.5703125" style="12"/>
  </cols>
  <sheetData>
    <row r="1" spans="1:24" s="16" customFormat="1" ht="29.25" customHeight="1" x14ac:dyDescent="0.25">
      <c r="A1" s="169" t="s">
        <v>2487</v>
      </c>
      <c r="B1" s="170" t="s">
        <v>2486</v>
      </c>
      <c r="C1" s="299" t="s">
        <v>2</v>
      </c>
      <c r="D1" s="170" t="s">
        <v>664</v>
      </c>
      <c r="E1" s="170" t="s">
        <v>665</v>
      </c>
      <c r="F1" s="170" t="s">
        <v>666</v>
      </c>
      <c r="G1" s="170" t="s">
        <v>667</v>
      </c>
      <c r="H1" s="171" t="s">
        <v>2536</v>
      </c>
      <c r="I1" s="172" t="s">
        <v>635</v>
      </c>
      <c r="J1" s="173" t="s">
        <v>2537</v>
      </c>
      <c r="K1" s="174" t="s">
        <v>628</v>
      </c>
      <c r="L1" s="176" t="s">
        <v>635</v>
      </c>
      <c r="M1" s="217" t="s">
        <v>634</v>
      </c>
      <c r="N1" s="174" t="s">
        <v>629</v>
      </c>
      <c r="O1" s="174" t="s">
        <v>635</v>
      </c>
      <c r="P1" s="175" t="s">
        <v>634</v>
      </c>
      <c r="Q1" s="174" t="s">
        <v>631</v>
      </c>
      <c r="R1" s="174" t="s">
        <v>635</v>
      </c>
      <c r="S1" s="175" t="s">
        <v>634</v>
      </c>
      <c r="T1" s="174" t="s">
        <v>630</v>
      </c>
      <c r="U1" s="174" t="s">
        <v>635</v>
      </c>
      <c r="V1" s="175" t="s">
        <v>634</v>
      </c>
      <c r="W1" s="168"/>
      <c r="X1" s="274"/>
    </row>
    <row r="2" spans="1:24" s="16" customFormat="1" ht="18.75" customHeight="1" x14ac:dyDescent="0.25">
      <c r="A2" s="169">
        <v>1</v>
      </c>
      <c r="B2" s="177">
        <v>2</v>
      </c>
      <c r="C2" s="300">
        <v>3</v>
      </c>
      <c r="D2" s="177">
        <v>4</v>
      </c>
      <c r="E2" s="169">
        <v>5</v>
      </c>
      <c r="F2" s="177">
        <v>6</v>
      </c>
      <c r="G2" s="169">
        <v>7</v>
      </c>
      <c r="H2" s="177">
        <v>8</v>
      </c>
      <c r="I2" s="169">
        <v>9</v>
      </c>
      <c r="J2" s="177">
        <v>10</v>
      </c>
      <c r="K2" s="169">
        <v>11</v>
      </c>
      <c r="L2" s="177">
        <v>12</v>
      </c>
      <c r="M2" s="169">
        <v>13</v>
      </c>
      <c r="N2" s="177">
        <v>14</v>
      </c>
      <c r="O2" s="169">
        <v>15</v>
      </c>
      <c r="P2" s="177">
        <v>16</v>
      </c>
      <c r="Q2" s="169">
        <v>17</v>
      </c>
      <c r="R2" s="177">
        <v>18</v>
      </c>
      <c r="S2" s="169">
        <v>19</v>
      </c>
      <c r="T2" s="177">
        <v>20</v>
      </c>
      <c r="U2" s="169">
        <v>21</v>
      </c>
      <c r="V2" s="177">
        <v>22</v>
      </c>
      <c r="W2" s="168"/>
    </row>
    <row r="3" spans="1:24" ht="15.75" customHeight="1" x14ac:dyDescent="0.25">
      <c r="A3" s="178" t="s">
        <v>1139</v>
      </c>
      <c r="B3" s="178" t="s">
        <v>16</v>
      </c>
      <c r="C3" s="178" t="str">
        <f>VLOOKUP(A3,CUSTOMER!$A:$C,3,0)</f>
        <v>COOP_F_PVC2</v>
      </c>
      <c r="D3" s="178" t="s">
        <v>674</v>
      </c>
      <c r="E3" s="178" t="str">
        <f>VLOOKUP(A3,CUSTOMER!$A$2:$H$1094,5,0)</f>
        <v>VAVANCY-VU MINH TUAN</v>
      </c>
      <c r="F3" s="178" t="str">
        <f>VLOOKUP(A3,CUSTOMER!$A$2:$I$1094,6,0)</f>
        <v>"NO SALE"</v>
      </c>
      <c r="G3" s="178" t="s">
        <v>676</v>
      </c>
      <c r="H3" s="179">
        <f t="shared" ref="H3:H66" si="0">SUM(K3,N3,Q3,T3)</f>
        <v>1244767.1433199905</v>
      </c>
      <c r="I3" s="180">
        <f t="shared" ref="I3:I66" si="1">IFERROR(J3/H3,"")</f>
        <v>0</v>
      </c>
      <c r="J3" s="181">
        <f t="shared" ref="J3:J66" si="2">SUM(M3,P3,S3,V3)</f>
        <v>0</v>
      </c>
      <c r="K3" s="182"/>
      <c r="L3" s="182"/>
      <c r="M3" s="218">
        <f>SUMIFS(DATA!$L:$L,DATA!$O:$O,$B3,DATA!$N:$N,$A3,DATA!$M:$M,'SALES BY SYSTEM'!$O$1)</f>
        <v>0</v>
      </c>
      <c r="N3" s="182">
        <v>0</v>
      </c>
      <c r="O3" s="180" t="str">
        <f t="shared" ref="O3:O66" si="3">IFERROR(P3/N3,"")</f>
        <v/>
      </c>
      <c r="P3" s="218">
        <f>SUMIFS(DATA!$L:$L,DATA!$O:$O,$B3,DATA!$N:$N,$A3,DATA!$M:$M,'SALES BY SYSTEM'!$O$2)</f>
        <v>0</v>
      </c>
      <c r="Q3" s="182">
        <v>1244767.1433199905</v>
      </c>
      <c r="R3" s="180">
        <f t="shared" ref="R3:R66" si="4">IFERROR(S3/Q3,"")</f>
        <v>0</v>
      </c>
      <c r="S3" s="218">
        <f>SUMIFS(DATA!$L:$L,DATA!$O:$O,$B3,DATA!$N:$N,$A3,DATA!$M:$M,'SALES BY SYSTEM'!$O$4)</f>
        <v>0</v>
      </c>
      <c r="T3" s="182">
        <v>0</v>
      </c>
      <c r="U3" s="180" t="str">
        <f t="shared" ref="U3:U66" si="5">IFERROR(V3/T3,"")</f>
        <v/>
      </c>
      <c r="V3" s="218">
        <f>SUMIFS(DATA!$L:$L,DATA!$O:$O,$B3,DATA!$N:$N,$A3,DATA!$M:$M,'SALES BY SYSTEM'!$O$3)</f>
        <v>0</v>
      </c>
      <c r="W3" s="168"/>
    </row>
    <row r="4" spans="1:24" ht="15.75" customHeight="1" x14ac:dyDescent="0.25">
      <c r="A4" s="178" t="s">
        <v>1105</v>
      </c>
      <c r="B4" s="178" t="s">
        <v>16</v>
      </c>
      <c r="C4" s="178" t="str">
        <f>VLOOKUP(A4,CUSTOMER!$A:$C,3,0)</f>
        <v>COOP_F_PPHU88</v>
      </c>
      <c r="D4" s="178" t="s">
        <v>674</v>
      </c>
      <c r="E4" s="178" t="str">
        <f>VLOOKUP(A4,CUSTOMER!$A$2:$H$1094,5,0)</f>
        <v>VAVANCY-VU MINH TUAN</v>
      </c>
      <c r="F4" s="178" t="str">
        <f>VLOOKUP(A4,CUSTOMER!$A$2:$I$1094,6,0)</f>
        <v>NO SALE</v>
      </c>
      <c r="G4" s="178" t="str">
        <f>VLOOKUP(A4,CUSTOMER!$A$1:$J$1160,7,0)</f>
        <v>"NO PG"</v>
      </c>
      <c r="H4" s="179">
        <f t="shared" si="0"/>
        <v>1244767.1433199905</v>
      </c>
      <c r="I4" s="180">
        <f t="shared" si="1"/>
        <v>0</v>
      </c>
      <c r="J4" s="181">
        <f t="shared" si="2"/>
        <v>0</v>
      </c>
      <c r="K4" s="182">
        <v>0</v>
      </c>
      <c r="L4" s="180" t="str">
        <f t="shared" ref="L4:L11" si="6">IFERROR(M4/K4,"")</f>
        <v/>
      </c>
      <c r="M4" s="218">
        <f>SUMIFS(DATA!$L:$L,DATA!$O:$O,$B4,DATA!$N:$N,$A4,DATA!$M:$M,'SALES BY SYSTEM'!$O$1)</f>
        <v>0</v>
      </c>
      <c r="N4" s="182">
        <v>0</v>
      </c>
      <c r="O4" s="180" t="str">
        <f t="shared" si="3"/>
        <v/>
      </c>
      <c r="P4" s="218">
        <f>SUMIFS(DATA!$L:$L,DATA!$O:$O,$B4,DATA!$N:$N,$A4,DATA!$M:$M,'SALES BY SYSTEM'!$O$2)</f>
        <v>0</v>
      </c>
      <c r="Q4" s="182">
        <v>1244767.1433199905</v>
      </c>
      <c r="R4" s="180">
        <f t="shared" si="4"/>
        <v>0</v>
      </c>
      <c r="S4" s="218">
        <f>SUMIFS(DATA!$L:$L,DATA!$O:$O,$B4,DATA!$N:$N,$A4,DATA!$M:$M,'SALES BY SYSTEM'!$O$4)</f>
        <v>0</v>
      </c>
      <c r="T4" s="182">
        <v>0</v>
      </c>
      <c r="U4" s="180" t="str">
        <f t="shared" si="5"/>
        <v/>
      </c>
      <c r="V4" s="218">
        <f>SUMIFS(DATA!$L:$L,DATA!$O:$O,$B4,DATA!$N:$N,$A4,DATA!$M:$M,'SALES BY SYSTEM'!$O$3)</f>
        <v>0</v>
      </c>
      <c r="W4" s="168"/>
    </row>
    <row r="5" spans="1:24" ht="15.75" customHeight="1" x14ac:dyDescent="0.25">
      <c r="A5" s="178" t="s">
        <v>23</v>
      </c>
      <c r="B5" s="178" t="s">
        <v>19</v>
      </c>
      <c r="C5" s="178" t="str">
        <f>VLOOKUP(A5,CUSTOMER!$A:$C,3,0)</f>
        <v>VIN_BDUONG</v>
      </c>
      <c r="D5" s="178" t="s">
        <v>674</v>
      </c>
      <c r="E5" s="178" t="str">
        <f>VLOOKUP(A5,CUSTOMER!$A$2:$H$1094,5,0)</f>
        <v>TRAN THI THAO NGUYEN</v>
      </c>
      <c r="F5" s="178" t="str">
        <f>VLOOKUP(A5,CUSTOMER!$A$2:$I$1094,6,0)</f>
        <v>"NO SALE"</v>
      </c>
      <c r="G5" s="178" t="s">
        <v>676</v>
      </c>
      <c r="H5" s="179">
        <f t="shared" si="0"/>
        <v>477579090.01397097</v>
      </c>
      <c r="I5" s="180">
        <f t="shared" si="1"/>
        <v>0</v>
      </c>
      <c r="J5" s="181">
        <f t="shared" si="2"/>
        <v>0</v>
      </c>
      <c r="K5" s="182">
        <v>0</v>
      </c>
      <c r="L5" s="180" t="str">
        <f t="shared" si="6"/>
        <v/>
      </c>
      <c r="M5" s="218">
        <f>SUMIFS(DATA!$L:$L,DATA!$O:$O,$B5,DATA!$N:$N,$A5,DATA!$M:$M,'SALES BY SYSTEM'!$O$1)</f>
        <v>0</v>
      </c>
      <c r="N5" s="182">
        <v>182855411.15248179</v>
      </c>
      <c r="O5" s="180">
        <f t="shared" si="3"/>
        <v>0</v>
      </c>
      <c r="P5" s="218">
        <f>SUMIFS(DATA!$L:$L,DATA!$O:$O,$B5,DATA!$N:$N,$A5,DATA!$M:$M,'SALES BY SYSTEM'!$O$2)</f>
        <v>0</v>
      </c>
      <c r="Q5" s="182">
        <v>294723678.86148918</v>
      </c>
      <c r="R5" s="180">
        <f t="shared" si="4"/>
        <v>0</v>
      </c>
      <c r="S5" s="218">
        <f>SUMIFS(DATA!$L:$L,DATA!$O:$O,$B5,DATA!$N:$N,$A5,DATA!$M:$M,'SALES BY SYSTEM'!$O$4)</f>
        <v>0</v>
      </c>
      <c r="T5" s="182">
        <v>0</v>
      </c>
      <c r="U5" s="180" t="str">
        <f t="shared" si="5"/>
        <v/>
      </c>
      <c r="V5" s="218">
        <f>SUMIFS(DATA!$L:$L,DATA!$O:$O,$B5,DATA!$N:$N,$A5,DATA!$M:$M,'SALES BY SYSTEM'!$O$3)</f>
        <v>0</v>
      </c>
      <c r="W5" s="168"/>
    </row>
    <row r="6" spans="1:24" ht="15.75" customHeight="1" x14ac:dyDescent="0.25">
      <c r="A6" s="178" t="s">
        <v>2389</v>
      </c>
      <c r="B6" s="178" t="s">
        <v>19</v>
      </c>
      <c r="C6" s="178" t="str">
        <f>VLOOKUP(A6,CUSTOMER!$A:$C,3,0)</f>
        <v>VIN_KHO_BDUONG+</v>
      </c>
      <c r="D6" s="178" t="s">
        <v>674</v>
      </c>
      <c r="E6" s="178" t="e">
        <f>VLOOKUP(A6,CUSTOMER!$A$2:$H$1094,5,0)</f>
        <v>#N/A</v>
      </c>
      <c r="F6" s="178" t="e">
        <f>VLOOKUP(A6,CUSTOMER!$A$2:$I$1094,6,0)</f>
        <v>#N/A</v>
      </c>
      <c r="G6" s="178" t="s">
        <v>676</v>
      </c>
      <c r="H6" s="179">
        <f t="shared" si="0"/>
        <v>193259425.50443345</v>
      </c>
      <c r="I6" s="180">
        <f t="shared" si="1"/>
        <v>0</v>
      </c>
      <c r="J6" s="181">
        <f t="shared" si="2"/>
        <v>0</v>
      </c>
      <c r="K6" s="182">
        <v>0</v>
      </c>
      <c r="L6" s="180" t="str">
        <f t="shared" si="6"/>
        <v/>
      </c>
      <c r="M6" s="218">
        <f>SUMIFS(DATA!$L:$L,DATA!$O:$O,$B6,DATA!$N:$N,$A6,DATA!$M:$M,'SALES BY SYSTEM'!$O$1)</f>
        <v>0</v>
      </c>
      <c r="N6" s="182">
        <v>73982130.014489323</v>
      </c>
      <c r="O6" s="180">
        <f t="shared" si="3"/>
        <v>0</v>
      </c>
      <c r="P6" s="218">
        <f>SUMIFS(DATA!$L:$L,DATA!$O:$O,$B6,DATA!$N:$N,$A6,DATA!$M:$M,'SALES BY SYSTEM'!$O$2)</f>
        <v>0</v>
      </c>
      <c r="Q6" s="182">
        <v>119277295.48994412</v>
      </c>
      <c r="R6" s="180">
        <f t="shared" si="4"/>
        <v>0</v>
      </c>
      <c r="S6" s="218">
        <f>SUMIFS(DATA!$L:$L,DATA!$O:$O,$B6,DATA!$N:$N,$A6,DATA!$M:$M,'SALES BY SYSTEM'!$O$4)</f>
        <v>0</v>
      </c>
      <c r="T6" s="182">
        <v>0</v>
      </c>
      <c r="U6" s="180" t="str">
        <f t="shared" si="5"/>
        <v/>
      </c>
      <c r="V6" s="218">
        <f>SUMIFS(DATA!$L:$L,DATA!$O:$O,$B6,DATA!$N:$N,$A6,DATA!$M:$M,'SALES BY SYSTEM'!$O$3)</f>
        <v>0</v>
      </c>
      <c r="W6" s="168"/>
    </row>
    <row r="7" spans="1:24" ht="15.75" customHeight="1" x14ac:dyDescent="0.25">
      <c r="A7" s="178" t="s">
        <v>2381</v>
      </c>
      <c r="B7" s="178" t="s">
        <v>19</v>
      </c>
      <c r="C7" s="178" t="str">
        <f>VLOOKUP(A7,CUSTOMER!$A:$C,3,0)</f>
        <v>VIN+DNANG</v>
      </c>
      <c r="D7" s="178" t="s">
        <v>674</v>
      </c>
      <c r="E7" s="178" t="e">
        <f>VLOOKUP(A7,CUSTOMER!$A$2:$H$1094,5,0)</f>
        <v>#N/A</v>
      </c>
      <c r="F7" s="178" t="e">
        <f>VLOOKUP(A7,CUSTOMER!$A$2:$I$1094,6,0)</f>
        <v>#N/A</v>
      </c>
      <c r="G7" s="178" t="s">
        <v>676</v>
      </c>
      <c r="H7" s="179">
        <f t="shared" si="0"/>
        <v>145583091.45928687</v>
      </c>
      <c r="I7" s="180">
        <f t="shared" si="1"/>
        <v>0</v>
      </c>
      <c r="J7" s="181">
        <f t="shared" si="2"/>
        <v>0</v>
      </c>
      <c r="K7" s="182">
        <v>0</v>
      </c>
      <c r="L7" s="180" t="str">
        <f t="shared" si="6"/>
        <v/>
      </c>
      <c r="M7" s="218">
        <f>SUMIFS(DATA!$L:$L,DATA!$O:$O,$B7,DATA!$N:$N,$A7,DATA!$M:$M,'SALES BY SYSTEM'!$O$1)</f>
        <v>0</v>
      </c>
      <c r="N7" s="182">
        <v>55731031.86113514</v>
      </c>
      <c r="O7" s="180">
        <f t="shared" si="3"/>
        <v>0</v>
      </c>
      <c r="P7" s="218">
        <f>SUMIFS(DATA!$L:$L,DATA!$O:$O,$B7,DATA!$N:$N,$A7,DATA!$M:$M,'SALES BY SYSTEM'!$O$2)</f>
        <v>0</v>
      </c>
      <c r="Q7" s="182">
        <v>89852059.598151743</v>
      </c>
      <c r="R7" s="180">
        <f t="shared" si="4"/>
        <v>0</v>
      </c>
      <c r="S7" s="218">
        <f>SUMIFS(DATA!$L:$L,DATA!$O:$O,$B7,DATA!$N:$N,$A7,DATA!$M:$M,'SALES BY SYSTEM'!$O$4)</f>
        <v>0</v>
      </c>
      <c r="T7" s="182">
        <v>0</v>
      </c>
      <c r="U7" s="180" t="str">
        <f t="shared" si="5"/>
        <v/>
      </c>
      <c r="V7" s="218">
        <f>SUMIFS(DATA!$L:$L,DATA!$O:$O,$B7,DATA!$N:$N,$A7,DATA!$M:$M,'SALES BY SYSTEM'!$O$3)</f>
        <v>0</v>
      </c>
      <c r="W7" s="168"/>
    </row>
    <row r="8" spans="1:24" ht="15.75" customHeight="1" x14ac:dyDescent="0.25">
      <c r="A8" s="178" t="s">
        <v>93</v>
      </c>
      <c r="B8" s="178" t="s">
        <v>91</v>
      </c>
      <c r="C8" s="178" t="str">
        <f>VLOOKUP(A8,CUSTOMER!$A:$C,3,0)</f>
        <v>LC_HN</v>
      </c>
      <c r="D8" s="178" t="s">
        <v>674</v>
      </c>
      <c r="E8" s="178" t="str">
        <f>VLOOKUP(A8,CUSTOMER!$A$2:$H$1094,5,0)</f>
        <v>TRAN THI THAO NGUYEN</v>
      </c>
      <c r="F8" s="178" t="str">
        <f>VLOOKUP(A8,CUSTOMER!$A$2:$I$1094,6,0)</f>
        <v>"NO SALE"</v>
      </c>
      <c r="G8" s="178" t="s">
        <v>676</v>
      </c>
      <c r="H8" s="179">
        <f t="shared" si="0"/>
        <v>255127135.81365007</v>
      </c>
      <c r="I8" s="180">
        <f t="shared" si="1"/>
        <v>0</v>
      </c>
      <c r="J8" s="181">
        <f t="shared" si="2"/>
        <v>0</v>
      </c>
      <c r="K8" s="182">
        <v>0</v>
      </c>
      <c r="L8" s="180" t="str">
        <f t="shared" si="6"/>
        <v/>
      </c>
      <c r="M8" s="218">
        <f>SUMIFS(DATA!$L:$L,DATA!$O:$O,$B8,DATA!$N:$N,$A8,DATA!$M:$M,'SALES BY SYSTEM'!$O$1)</f>
        <v>0</v>
      </c>
      <c r="N8" s="182">
        <v>43516721.449251577</v>
      </c>
      <c r="O8" s="180">
        <f t="shared" si="3"/>
        <v>0</v>
      </c>
      <c r="P8" s="218">
        <f>SUMIFS(DATA!$L:$L,DATA!$O:$O,$B8,DATA!$N:$N,$A8,DATA!$M:$M,'SALES BY SYSTEM'!$O$2)</f>
        <v>0</v>
      </c>
      <c r="Q8" s="182">
        <v>211610414.36439848</v>
      </c>
      <c r="R8" s="180">
        <f t="shared" si="4"/>
        <v>0</v>
      </c>
      <c r="S8" s="218">
        <f>SUMIFS(DATA!$L:$L,DATA!$O:$O,$B8,DATA!$N:$N,$A8,DATA!$M:$M,'SALES BY SYSTEM'!$O$4)</f>
        <v>0</v>
      </c>
      <c r="T8" s="182">
        <v>0</v>
      </c>
      <c r="U8" s="180" t="str">
        <f t="shared" si="5"/>
        <v/>
      </c>
      <c r="V8" s="218">
        <f>SUMIFS(DATA!$L:$L,DATA!$O:$O,$B8,DATA!$N:$N,$A8,DATA!$M:$M,'SALES BY SYSTEM'!$O$3)</f>
        <v>0</v>
      </c>
      <c r="W8" s="168"/>
    </row>
    <row r="9" spans="1:24" ht="15.75" customHeight="1" x14ac:dyDescent="0.25">
      <c r="A9" s="178" t="s">
        <v>90</v>
      </c>
      <c r="B9" s="178" t="s">
        <v>91</v>
      </c>
      <c r="C9" s="178" t="str">
        <f>VLOOKUP(A9,CUSTOMER!$A:$C,3,0)</f>
        <v>LC_HCM</v>
      </c>
      <c r="D9" s="178" t="s">
        <v>674</v>
      </c>
      <c r="E9" s="178" t="str">
        <f>VLOOKUP(A9,CUSTOMER!$A$2:$H$1094,5,0)</f>
        <v>TRAN THI THAO NGUYEN</v>
      </c>
      <c r="F9" s="178" t="s">
        <v>675</v>
      </c>
      <c r="G9" s="178" t="s">
        <v>676</v>
      </c>
      <c r="H9" s="179">
        <f t="shared" si="0"/>
        <v>255127135.81365007</v>
      </c>
      <c r="I9" s="180">
        <f t="shared" si="1"/>
        <v>0</v>
      </c>
      <c r="J9" s="181">
        <f t="shared" si="2"/>
        <v>0</v>
      </c>
      <c r="K9" s="182">
        <v>0</v>
      </c>
      <c r="L9" s="180" t="str">
        <f t="shared" si="6"/>
        <v/>
      </c>
      <c r="M9" s="218">
        <f>SUMIFS(DATA!$L:$L,DATA!$O:$O,$B9,DATA!$N:$N,$A9,DATA!$M:$M,'SALES BY SYSTEM'!$O$1)</f>
        <v>0</v>
      </c>
      <c r="N9" s="182">
        <v>43516721.449251577</v>
      </c>
      <c r="O9" s="180">
        <f t="shared" si="3"/>
        <v>0</v>
      </c>
      <c r="P9" s="218">
        <f>SUMIFS(DATA!$L:$L,DATA!$O:$O,$B9,DATA!$N:$N,$A9,DATA!$M:$M,'SALES BY SYSTEM'!$O$2)</f>
        <v>0</v>
      </c>
      <c r="Q9" s="182">
        <v>211610414.36439848</v>
      </c>
      <c r="R9" s="180">
        <f t="shared" si="4"/>
        <v>0</v>
      </c>
      <c r="S9" s="218">
        <f>SUMIFS(DATA!$L:$L,DATA!$O:$O,$B9,DATA!$N:$N,$A9,DATA!$M:$M,'SALES BY SYSTEM'!$O$4)</f>
        <v>0</v>
      </c>
      <c r="T9" s="182">
        <v>0</v>
      </c>
      <c r="U9" s="180" t="str">
        <f t="shared" si="5"/>
        <v/>
      </c>
      <c r="V9" s="218">
        <f>SUMIFS(DATA!$L:$L,DATA!$O:$O,$B9,DATA!$N:$N,$A9,DATA!$M:$M,'SALES BY SYSTEM'!$O$3)</f>
        <v>0</v>
      </c>
      <c r="W9" s="168"/>
    </row>
    <row r="10" spans="1:24" ht="15.75" customHeight="1" x14ac:dyDescent="0.25">
      <c r="A10" s="139" t="s">
        <v>130</v>
      </c>
      <c r="B10" s="139" t="s">
        <v>131</v>
      </c>
      <c r="C10" s="178" t="str">
        <f>VLOOKUP(A10,CUSTOMER!$A:$C,3,0)</f>
        <v>4812_THISO</v>
      </c>
      <c r="D10" s="178" t="s">
        <v>674</v>
      </c>
      <c r="E10" s="178" t="str">
        <f>VLOOKUP(A10,CUSTOMER!$A$2:$H$1094,5,0)</f>
        <v>LE NAM PHUONG</v>
      </c>
      <c r="F10" s="178" t="str">
        <f>VLOOKUP(A10,CUSTOMER!$A$2:$I$1094,6,0)</f>
        <v>VU THUY MINH THAO</v>
      </c>
      <c r="G10" s="178" t="s">
        <v>676</v>
      </c>
      <c r="H10" s="179">
        <f t="shared" si="0"/>
        <v>43516721.449251577</v>
      </c>
      <c r="I10" s="180">
        <f t="shared" si="1"/>
        <v>0</v>
      </c>
      <c r="J10" s="181">
        <f t="shared" si="2"/>
        <v>0</v>
      </c>
      <c r="K10" s="182">
        <v>0</v>
      </c>
      <c r="L10" s="180" t="str">
        <f t="shared" si="6"/>
        <v/>
      </c>
      <c r="M10" s="218">
        <f>SUMIFS(DATA!$L:$L,DATA!$O:$O,$B10,DATA!$N:$N,$A10,DATA!$M:$M,'SALES BY SYSTEM'!$O$1)</f>
        <v>0</v>
      </c>
      <c r="N10" s="182">
        <v>43516721.449251577</v>
      </c>
      <c r="O10" s="180">
        <f t="shared" si="3"/>
        <v>0</v>
      </c>
      <c r="P10" s="218">
        <f>SUMIFS(DATA!$L:$L,DATA!$O:$O,$B10,DATA!$N:$N,$A10,DATA!$M:$M,'SALES BY SYSTEM'!$O$2)</f>
        <v>0</v>
      </c>
      <c r="Q10" s="182">
        <v>0</v>
      </c>
      <c r="R10" s="180" t="str">
        <f t="shared" si="4"/>
        <v/>
      </c>
      <c r="S10" s="218">
        <f>SUMIFS(DATA!$L:$L,DATA!$O:$O,$B10,DATA!$N:$N,$A10,DATA!$M:$M,'SALES BY SYSTEM'!$O$4)</f>
        <v>0</v>
      </c>
      <c r="T10" s="182">
        <v>0</v>
      </c>
      <c r="U10" s="180" t="str">
        <f t="shared" si="5"/>
        <v/>
      </c>
      <c r="V10" s="218">
        <f>SUMIFS(DATA!$L:$L,DATA!$O:$O,$B10,DATA!$N:$N,$A10,DATA!$M:$M,'SALES BY SYSTEM'!$O$3)</f>
        <v>0</v>
      </c>
      <c r="W10" s="168"/>
    </row>
    <row r="11" spans="1:24" ht="15.75" customHeight="1" x14ac:dyDescent="0.25">
      <c r="A11" s="178" t="s">
        <v>2392</v>
      </c>
      <c r="B11" s="178" t="s">
        <v>19</v>
      </c>
      <c r="C11" s="178" t="str">
        <f>VLOOKUP(A11,CUSTOMER!$A:$C,3,0)</f>
        <v>VIN_KHO_DNANG+</v>
      </c>
      <c r="D11" s="178" t="s">
        <v>674</v>
      </c>
      <c r="E11" s="178" t="e">
        <f>VLOOKUP(A11,CUSTOMER!$A$2:$H$1094,5,0)</f>
        <v>#N/A</v>
      </c>
      <c r="F11" s="178" t="e">
        <f>VLOOKUP(A11,CUSTOMER!$A$2:$I$1094,6,0)</f>
        <v>#N/A</v>
      </c>
      <c r="G11" s="178" t="s">
        <v>676</v>
      </c>
      <c r="H11" s="179">
        <f t="shared" si="0"/>
        <v>105569025.38568173</v>
      </c>
      <c r="I11" s="180">
        <f t="shared" si="1"/>
        <v>0</v>
      </c>
      <c r="J11" s="181">
        <f t="shared" si="2"/>
        <v>0</v>
      </c>
      <c r="K11" s="182">
        <v>0</v>
      </c>
      <c r="L11" s="180" t="str">
        <f t="shared" si="6"/>
        <v/>
      </c>
      <c r="M11" s="218">
        <f>SUMIFS(DATA!$L:$L,DATA!$O:$O,$B11,DATA!$N:$N,$A11,DATA!$M:$M,'SALES BY SYSTEM'!$O$1)</f>
        <v>0</v>
      </c>
      <c r="N11" s="182">
        <v>40413145.910998583</v>
      </c>
      <c r="O11" s="180">
        <f t="shared" si="3"/>
        <v>0</v>
      </c>
      <c r="P11" s="218">
        <f>SUMIFS(DATA!$L:$L,DATA!$O:$O,$B11,DATA!$N:$N,$A11,DATA!$M:$M,'SALES BY SYSTEM'!$O$2)</f>
        <v>0</v>
      </c>
      <c r="Q11" s="182">
        <v>65155879.474683151</v>
      </c>
      <c r="R11" s="180">
        <f t="shared" si="4"/>
        <v>0</v>
      </c>
      <c r="S11" s="218">
        <f>SUMIFS(DATA!$L:$L,DATA!$O:$O,$B11,DATA!$N:$N,$A11,DATA!$M:$M,'SALES BY SYSTEM'!$O$4)</f>
        <v>0</v>
      </c>
      <c r="T11" s="182">
        <v>0</v>
      </c>
      <c r="U11" s="180" t="str">
        <f t="shared" si="5"/>
        <v/>
      </c>
      <c r="V11" s="218">
        <f>SUMIFS(DATA!$L:$L,DATA!$O:$O,$B11,DATA!$N:$N,$A11,DATA!$M:$M,'SALES BY SYSTEM'!$O$3)</f>
        <v>0</v>
      </c>
      <c r="W11" s="168"/>
    </row>
    <row r="12" spans="1:24" ht="15.75" customHeight="1" x14ac:dyDescent="0.25">
      <c r="A12" s="139" t="s">
        <v>133</v>
      </c>
      <c r="B12" s="139" t="s">
        <v>131</v>
      </c>
      <c r="C12" s="178" t="str">
        <f>VLOOKUP(A12,CUSTOMER!$A:$C,3,0)</f>
        <v>4812_PHI</v>
      </c>
      <c r="D12" s="178" t="s">
        <v>674</v>
      </c>
      <c r="E12" s="178" t="str">
        <f>VLOOKUP(A12,CUSTOMER!$A$2:$H$1094,5,0)</f>
        <v>LE NAM PHUONG</v>
      </c>
      <c r="F12" s="178" t="str">
        <f>VLOOKUP(A12,CUSTOMER!$A$2:$I$1094,6,0)</f>
        <v>VU THUY MINH THAO</v>
      </c>
      <c r="G12" s="178" t="s">
        <v>676</v>
      </c>
      <c r="H12" s="179">
        <f t="shared" si="0"/>
        <v>21758360.724625789</v>
      </c>
      <c r="I12" s="180">
        <f t="shared" si="1"/>
        <v>0</v>
      </c>
      <c r="J12" s="181">
        <f t="shared" si="2"/>
        <v>0</v>
      </c>
      <c r="K12" s="182">
        <v>0</v>
      </c>
      <c r="L12" s="180" t="str">
        <f>IFERROR(M12/K16,"")</f>
        <v/>
      </c>
      <c r="M12" s="218">
        <f>SUMIFS(DATA!$L:$L,DATA!$O:$O,$B12,DATA!$N:$N,$A12,DATA!$M:$M,'SALES BY SYSTEM'!$O$1)</f>
        <v>0</v>
      </c>
      <c r="N12" s="182">
        <v>21758360.724625789</v>
      </c>
      <c r="O12" s="180">
        <f t="shared" si="3"/>
        <v>0</v>
      </c>
      <c r="P12" s="218">
        <f>SUMIFS(DATA!$L:$L,DATA!$O:$O,$B12,DATA!$N:$N,$A12,DATA!$M:$M,'SALES BY SYSTEM'!$O$2)</f>
        <v>0</v>
      </c>
      <c r="Q12" s="182">
        <v>0</v>
      </c>
      <c r="R12" s="180" t="str">
        <f t="shared" si="4"/>
        <v/>
      </c>
      <c r="S12" s="218">
        <f>SUMIFS(DATA!$L:$L,DATA!$O:$O,$B12,DATA!$N:$N,$A12,DATA!$M:$M,'SALES BY SYSTEM'!$O$4)</f>
        <v>0</v>
      </c>
      <c r="T12" s="182">
        <v>0</v>
      </c>
      <c r="U12" s="180" t="str">
        <f t="shared" si="5"/>
        <v/>
      </c>
      <c r="V12" s="218">
        <f>SUMIFS(DATA!$L:$L,DATA!$O:$O,$B12,DATA!$N:$N,$A12,DATA!$M:$M,'SALES BY SYSTEM'!$O$3)</f>
        <v>0</v>
      </c>
      <c r="W12" s="168"/>
    </row>
    <row r="13" spans="1:24" ht="15.75" customHeight="1" x14ac:dyDescent="0.25">
      <c r="A13" s="178" t="s">
        <v>2383</v>
      </c>
      <c r="B13" s="178" t="s">
        <v>19</v>
      </c>
      <c r="C13" s="178" t="str">
        <f>VLOOKUP(A13,CUSTOMER!$A:$C,3,0)</f>
        <v>VIN+DNAI</v>
      </c>
      <c r="D13" s="178" t="s">
        <v>674</v>
      </c>
      <c r="E13" s="178" t="e">
        <f>VLOOKUP(A13,CUSTOMER!$A$2:$H$1094,5,0)</f>
        <v>#N/A</v>
      </c>
      <c r="F13" s="178" t="e">
        <f>VLOOKUP(A13,CUSTOMER!$A$2:$I$1094,6,0)</f>
        <v>#N/A</v>
      </c>
      <c r="G13" s="178" t="s">
        <v>676</v>
      </c>
      <c r="H13" s="179">
        <f t="shared" si="0"/>
        <v>51081786.476942763</v>
      </c>
      <c r="I13" s="180">
        <f t="shared" si="1"/>
        <v>0</v>
      </c>
      <c r="J13" s="181">
        <f t="shared" si="2"/>
        <v>0</v>
      </c>
      <c r="K13" s="182">
        <v>0</v>
      </c>
      <c r="L13" s="180" t="str">
        <f t="shared" ref="L13:L76" si="7">IFERROR(M13/K13,"")</f>
        <v/>
      </c>
      <c r="M13" s="218">
        <f>SUMIFS(DATA!$L:$L,DATA!$O:$O,$B13,DATA!$N:$N,$A13,DATA!$M:$M,'SALES BY SYSTEM'!$O$1)</f>
        <v>0</v>
      </c>
      <c r="N13" s="182">
        <v>19554748.021450929</v>
      </c>
      <c r="O13" s="180">
        <f t="shared" si="3"/>
        <v>0</v>
      </c>
      <c r="P13" s="218">
        <f>SUMIFS(DATA!$L:$L,DATA!$O:$O,$B13,DATA!$N:$N,$A13,DATA!$M:$M,'SALES BY SYSTEM'!$O$2)</f>
        <v>0</v>
      </c>
      <c r="Q13" s="182">
        <v>31527038.45549183</v>
      </c>
      <c r="R13" s="180">
        <f t="shared" si="4"/>
        <v>0</v>
      </c>
      <c r="S13" s="218">
        <f>SUMIFS(DATA!$L:$L,DATA!$O:$O,$B13,DATA!$N:$N,$A13,DATA!$M:$M,'SALES BY SYSTEM'!$O$4)</f>
        <v>0</v>
      </c>
      <c r="T13" s="182">
        <v>0</v>
      </c>
      <c r="U13" s="180" t="str">
        <f t="shared" si="5"/>
        <v/>
      </c>
      <c r="V13" s="218">
        <f>SUMIFS(DATA!$L:$L,DATA!$O:$O,$B13,DATA!$N:$N,$A13,DATA!$M:$M,'SALES BY SYSTEM'!$O$3)</f>
        <v>0</v>
      </c>
      <c r="W13" s="168"/>
    </row>
    <row r="14" spans="1:24" ht="15.75" customHeight="1" x14ac:dyDescent="0.25">
      <c r="A14" s="178" t="s">
        <v>429</v>
      </c>
      <c r="B14" s="178" t="s">
        <v>429</v>
      </c>
      <c r="C14" s="178" t="str">
        <f>VLOOKUP(A14,CUSTOMER!$A:$C,3,0)</f>
        <v>COOP_CHEER</v>
      </c>
      <c r="D14" s="178" t="s">
        <v>674</v>
      </c>
      <c r="E14" s="178" t="str">
        <f>VLOOKUP(A14,CUSTOMER!$A$2:$H$1094,5,0)</f>
        <v>VAVANCY-VU MINH TUAN</v>
      </c>
      <c r="F14" s="178" t="str">
        <f>VLOOKUP(A14,CUSTOMER!$A$2:$I$1094,6,0)</f>
        <v>"NO SALE"</v>
      </c>
      <c r="G14" s="178" t="s">
        <v>676</v>
      </c>
      <c r="H14" s="179">
        <f t="shared" si="0"/>
        <v>13055016.434775479</v>
      </c>
      <c r="I14" s="180">
        <f t="shared" si="1"/>
        <v>0</v>
      </c>
      <c r="J14" s="181">
        <f t="shared" si="2"/>
        <v>0</v>
      </c>
      <c r="K14" s="182">
        <v>0</v>
      </c>
      <c r="L14" s="180" t="str">
        <f t="shared" si="7"/>
        <v/>
      </c>
      <c r="M14" s="218">
        <f>SUMIFS(DATA!$L:$L,DATA!$O:$O,$B14,DATA!$N:$N,$A14,DATA!$M:$M,'SALES BY SYSTEM'!$O$1)</f>
        <v>0</v>
      </c>
      <c r="N14" s="182">
        <v>13055016.434775479</v>
      </c>
      <c r="O14" s="180">
        <f t="shared" si="3"/>
        <v>0</v>
      </c>
      <c r="P14" s="218">
        <f>SUMIFS(DATA!$L:$L,DATA!$O:$O,$B14,DATA!$N:$N,$A14,DATA!$M:$M,'SALES BY SYSTEM'!$O$2)</f>
        <v>0</v>
      </c>
      <c r="Q14" s="182">
        <v>0</v>
      </c>
      <c r="R14" s="180" t="str">
        <f t="shared" si="4"/>
        <v/>
      </c>
      <c r="S14" s="218">
        <f>SUMIFS(DATA!$L:$L,DATA!$O:$O,$B14,DATA!$N:$N,$A14,DATA!$M:$M,'SALES BY SYSTEM'!$O$4)</f>
        <v>0</v>
      </c>
      <c r="T14" s="182">
        <v>0</v>
      </c>
      <c r="U14" s="180" t="str">
        <f t="shared" si="5"/>
        <v/>
      </c>
      <c r="V14" s="218">
        <f>SUMIFS(DATA!$L:$L,DATA!$O:$O,$B14,DATA!$N:$N,$A14,DATA!$M:$M,'SALES BY SYSTEM'!$O$3)</f>
        <v>0</v>
      </c>
      <c r="W14" s="168"/>
    </row>
    <row r="15" spans="1:24" ht="15.75" customHeight="1" x14ac:dyDescent="0.25">
      <c r="A15" s="178" t="s">
        <v>2378</v>
      </c>
      <c r="B15" s="178" t="s">
        <v>19</v>
      </c>
      <c r="C15" s="178" t="str">
        <f>VLOOKUP(A15,CUSTOMER!$A:$C,3,0)</f>
        <v>VIN+CTHO</v>
      </c>
      <c r="D15" s="178" t="s">
        <v>674</v>
      </c>
      <c r="E15" s="178" t="e">
        <f>VLOOKUP(A15,CUSTOMER!$A$2:$H$1094,5,0)</f>
        <v>#N/A</v>
      </c>
      <c r="F15" s="178" t="e">
        <f>VLOOKUP(A15,CUSTOMER!$A$2:$I$1094,6,0)</f>
        <v>#N/A</v>
      </c>
      <c r="G15" s="178" t="s">
        <v>676</v>
      </c>
      <c r="H15" s="179">
        <f t="shared" si="0"/>
        <v>31054550.654696919</v>
      </c>
      <c r="I15" s="180">
        <f t="shared" si="1"/>
        <v>0</v>
      </c>
      <c r="J15" s="181">
        <f t="shared" si="2"/>
        <v>0</v>
      </c>
      <c r="K15" s="182">
        <v>0</v>
      </c>
      <c r="L15" s="180" t="str">
        <f t="shared" si="7"/>
        <v/>
      </c>
      <c r="M15" s="218">
        <f>SUMIFS(DATA!$L:$L,DATA!$O:$O,$B15,DATA!$N:$N,$A15,DATA!$M:$M,'SALES BY SYSTEM'!$O$1)</f>
        <v>0</v>
      </c>
      <c r="N15" s="182">
        <v>12166988.764615349</v>
      </c>
      <c r="O15" s="180">
        <f t="shared" si="3"/>
        <v>0</v>
      </c>
      <c r="P15" s="218">
        <f>SUMIFS(DATA!$L:$L,DATA!$O:$O,$B15,DATA!$N:$N,$A15,DATA!$M:$M,'SALES BY SYSTEM'!$O$2)</f>
        <v>0</v>
      </c>
      <c r="Q15" s="182">
        <v>18887561.89008157</v>
      </c>
      <c r="R15" s="180">
        <f t="shared" si="4"/>
        <v>0</v>
      </c>
      <c r="S15" s="218">
        <f>SUMIFS(DATA!$L:$L,DATA!$O:$O,$B15,DATA!$N:$N,$A15,DATA!$M:$M,'SALES BY SYSTEM'!$O$4)</f>
        <v>0</v>
      </c>
      <c r="T15" s="182">
        <v>0</v>
      </c>
      <c r="U15" s="180" t="str">
        <f t="shared" si="5"/>
        <v/>
      </c>
      <c r="V15" s="218">
        <f>SUMIFS(DATA!$L:$L,DATA!$O:$O,$B15,DATA!$N:$N,$A15,DATA!$M:$M,'SALES BY SYSTEM'!$O$3)</f>
        <v>0</v>
      </c>
      <c r="W15" s="168"/>
    </row>
    <row r="16" spans="1:24" ht="15.75" customHeight="1" x14ac:dyDescent="0.25">
      <c r="A16" s="178" t="s">
        <v>2394</v>
      </c>
      <c r="B16" s="178" t="s">
        <v>19</v>
      </c>
      <c r="C16" s="178" t="str">
        <f>VLOOKUP(A16,CUSTOMER!$A:$C,3,0)</f>
        <v>VIN+NTRANG</v>
      </c>
      <c r="D16" s="178" t="s">
        <v>674</v>
      </c>
      <c r="E16" s="178" t="e">
        <f>VLOOKUP(A16,CUSTOMER!$A$2:$H$1094,5,0)</f>
        <v>#N/A</v>
      </c>
      <c r="F16" s="178" t="e">
        <f>VLOOKUP(A16,CUSTOMER!$A$2:$I$1094,6,0)</f>
        <v>#N/A</v>
      </c>
      <c r="G16" s="178" t="s">
        <v>676</v>
      </c>
      <c r="H16" s="179">
        <f t="shared" si="0"/>
        <v>22135440.806675196</v>
      </c>
      <c r="I16" s="180">
        <f t="shared" si="1"/>
        <v>0</v>
      </c>
      <c r="J16" s="181">
        <f t="shared" si="2"/>
        <v>0</v>
      </c>
      <c r="K16" s="182">
        <v>0</v>
      </c>
      <c r="L16" s="180" t="str">
        <f t="shared" si="7"/>
        <v/>
      </c>
      <c r="M16" s="218">
        <f>SUMIFS(DATA!$L:$L,DATA!$O:$O,$B16,DATA!$N:$N,$A16,DATA!$M:$M,'SALES BY SYSTEM'!$O$1)</f>
        <v>0</v>
      </c>
      <c r="N16" s="182">
        <v>8473724.1426287349</v>
      </c>
      <c r="O16" s="180">
        <f t="shared" si="3"/>
        <v>0</v>
      </c>
      <c r="P16" s="218">
        <f>SUMIFS(DATA!$L:$L,DATA!$O:$O,$B16,DATA!$N:$N,$A16,DATA!$M:$M,'SALES BY SYSTEM'!$O$2)</f>
        <v>0</v>
      </c>
      <c r="Q16" s="182">
        <v>13661716.664046461</v>
      </c>
      <c r="R16" s="180">
        <f t="shared" si="4"/>
        <v>0</v>
      </c>
      <c r="S16" s="218">
        <f>SUMIFS(DATA!$L:$L,DATA!$O:$O,$B16,DATA!$N:$N,$A16,DATA!$M:$M,'SALES BY SYSTEM'!$O$4)</f>
        <v>0</v>
      </c>
      <c r="T16" s="182">
        <v>0</v>
      </c>
      <c r="U16" s="180" t="str">
        <f t="shared" si="5"/>
        <v/>
      </c>
      <c r="V16" s="218">
        <f>SUMIFS(DATA!$L:$L,DATA!$O:$O,$B16,DATA!$N:$N,$A16,DATA!$M:$M,'SALES BY SYSTEM'!$O$3)</f>
        <v>0</v>
      </c>
      <c r="W16" s="168"/>
    </row>
    <row r="17" spans="1:23" ht="15.75" customHeight="1" x14ac:dyDescent="0.25">
      <c r="A17" s="178" t="s">
        <v>625</v>
      </c>
      <c r="B17" s="178" t="s">
        <v>617</v>
      </c>
      <c r="C17" s="178" t="str">
        <f>VLOOKUP(A17,CUSTOMER!$A:$C,3,0)</f>
        <v>ACE_SH</v>
      </c>
      <c r="D17" s="178" t="s">
        <v>674</v>
      </c>
      <c r="E17" s="178" t="str">
        <f>VLOOKUP(A17,CUSTOMER!$A$2:$H$1094,5,0)</f>
        <v>LE NAM PHUONG</v>
      </c>
      <c r="F17" s="178" t="str">
        <f>VLOOKUP(A17,CUSTOMER!$A$2:$I$1094,6,0)</f>
        <v>VU THUY MINH THAO</v>
      </c>
      <c r="G17" s="178" t="s">
        <v>676</v>
      </c>
      <c r="H17" s="179">
        <f t="shared" si="0"/>
        <v>23842702.3445502</v>
      </c>
      <c r="I17" s="180">
        <f t="shared" si="1"/>
        <v>0</v>
      </c>
      <c r="J17" s="181">
        <f t="shared" si="2"/>
        <v>0</v>
      </c>
      <c r="K17" s="182">
        <v>17315194.12716246</v>
      </c>
      <c r="L17" s="180">
        <f t="shared" si="7"/>
        <v>0</v>
      </c>
      <c r="M17" s="218">
        <f>SUMIFS(DATA!$L:$L,DATA!$O:$O,$B17,DATA!$N:$N,$A17,DATA!$M:$M,'SALES BY SYSTEM'!$O$1)</f>
        <v>0</v>
      </c>
      <c r="N17" s="182">
        <v>6527508.2173877377</v>
      </c>
      <c r="O17" s="180">
        <f t="shared" si="3"/>
        <v>0</v>
      </c>
      <c r="P17" s="218">
        <f>SUMIFS(DATA!$L:$L,DATA!$O:$O,$B17,DATA!$N:$N,$A17,DATA!$M:$M,'SALES BY SYSTEM'!$O$2)</f>
        <v>0</v>
      </c>
      <c r="Q17" s="182">
        <v>0</v>
      </c>
      <c r="R17" s="180" t="str">
        <f t="shared" si="4"/>
        <v/>
      </c>
      <c r="S17" s="218">
        <f>SUMIFS(DATA!$L:$L,DATA!$O:$O,$B17,DATA!$N:$N,$A17,DATA!$M:$M,'SALES BY SYSTEM'!$O$4)</f>
        <v>0</v>
      </c>
      <c r="T17" s="182">
        <v>0</v>
      </c>
      <c r="U17" s="180" t="str">
        <f t="shared" si="5"/>
        <v/>
      </c>
      <c r="V17" s="218">
        <f>SUMIFS(DATA!$L:$L,DATA!$O:$O,$B17,DATA!$N:$N,$A17,DATA!$M:$M,'SALES BY SYSTEM'!$O$3)</f>
        <v>0</v>
      </c>
      <c r="W17" s="168"/>
    </row>
    <row r="18" spans="1:23" ht="15.75" customHeight="1" x14ac:dyDescent="0.25">
      <c r="A18" s="139" t="s">
        <v>703</v>
      </c>
      <c r="B18" s="139" t="s">
        <v>617</v>
      </c>
      <c r="C18" s="178" t="str">
        <f>VLOOKUP(A18,CUSTOMER!$A:$C,3,0)</f>
        <v>ACE_SVH</v>
      </c>
      <c r="D18" s="178" t="s">
        <v>674</v>
      </c>
      <c r="E18" s="178" t="str">
        <f>VLOOKUP(A18,CUSTOMER!$A$2:$H$1094,5,0)</f>
        <v>LE NAM PHUONG</v>
      </c>
      <c r="F18" s="178" t="str">
        <f>VLOOKUP(A18,CUSTOMER!$A$2:$I$1094,6,0)</f>
        <v>VU THUY MINH THAO</v>
      </c>
      <c r="G18" s="178" t="s">
        <v>676</v>
      </c>
      <c r="H18" s="179">
        <f t="shared" si="0"/>
        <v>22418820.595183469</v>
      </c>
      <c r="I18" s="180">
        <f t="shared" si="1"/>
        <v>0</v>
      </c>
      <c r="J18" s="181">
        <f t="shared" si="2"/>
        <v>0</v>
      </c>
      <c r="K18" s="182">
        <v>15891312.37779573</v>
      </c>
      <c r="L18" s="180">
        <f t="shared" si="7"/>
        <v>0</v>
      </c>
      <c r="M18" s="218">
        <f>SUMIFS(DATA!$L:$L,DATA!$O:$O,$B18,DATA!$N:$N,$A18,DATA!$M:$M,'SALES BY SYSTEM'!$O$1)</f>
        <v>0</v>
      </c>
      <c r="N18" s="182">
        <v>6527508.2173877377</v>
      </c>
      <c r="O18" s="180">
        <f t="shared" si="3"/>
        <v>0</v>
      </c>
      <c r="P18" s="218">
        <f>SUMIFS(DATA!$L:$L,DATA!$O:$O,$B18,DATA!$N:$N,$A18,DATA!$M:$M,'SALES BY SYSTEM'!$O$2)</f>
        <v>0</v>
      </c>
      <c r="Q18" s="182">
        <v>0</v>
      </c>
      <c r="R18" s="180" t="str">
        <f t="shared" si="4"/>
        <v/>
      </c>
      <c r="S18" s="218">
        <f>SUMIFS(DATA!$L:$L,DATA!$O:$O,$B18,DATA!$N:$N,$A18,DATA!$M:$M,'SALES BY SYSTEM'!$O$4)</f>
        <v>0</v>
      </c>
      <c r="T18" s="182">
        <v>0</v>
      </c>
      <c r="U18" s="180" t="str">
        <f t="shared" si="5"/>
        <v/>
      </c>
      <c r="V18" s="218">
        <f>SUMIFS(DATA!$L:$L,DATA!$O:$O,$B18,DATA!$N:$N,$A18,DATA!$M:$M,'SALES BY SYSTEM'!$O$3)</f>
        <v>0</v>
      </c>
      <c r="W18" s="168"/>
    </row>
    <row r="19" spans="1:23" ht="15.75" customHeight="1" x14ac:dyDescent="0.25">
      <c r="A19" s="178" t="s">
        <v>427</v>
      </c>
      <c r="B19" s="178" t="s">
        <v>421</v>
      </c>
      <c r="C19" s="178" t="str">
        <f>VLOOKUP(A19,CUSTOMER!$A:$C,3,0)</f>
        <v>COOP_LTRUNG</v>
      </c>
      <c r="D19" s="178" t="s">
        <v>674</v>
      </c>
      <c r="E19" s="178" t="str">
        <f>VLOOKUP(A19,CUSTOMER!$A$2:$H$1094,5,0)</f>
        <v>VAVANCY-VU MINH TUAN</v>
      </c>
      <c r="F19" s="178" t="str">
        <f>VLOOKUP(A19,CUSTOMER!$A$2:$I$1094,6,0)</f>
        <v>TRAN THI THANH TRUC</v>
      </c>
      <c r="G19" s="178" t="s">
        <v>676</v>
      </c>
      <c r="H19" s="179">
        <f t="shared" si="0"/>
        <v>18602752.078930601</v>
      </c>
      <c r="I19" s="180">
        <f t="shared" si="1"/>
        <v>0</v>
      </c>
      <c r="J19" s="181">
        <f t="shared" si="2"/>
        <v>0</v>
      </c>
      <c r="K19" s="182">
        <v>0</v>
      </c>
      <c r="L19" s="180" t="str">
        <f t="shared" si="7"/>
        <v/>
      </c>
      <c r="M19" s="218">
        <f>SUMIFS(DATA!$L:$L,DATA!$O:$O,$B19,DATA!$N:$N,$A19,DATA!$M:$M,'SALES BY SYSTEM'!$O$1)</f>
        <v>0</v>
      </c>
      <c r="N19" s="182">
        <v>5657173.7884027036</v>
      </c>
      <c r="O19" s="180">
        <f t="shared" si="3"/>
        <v>0</v>
      </c>
      <c r="P19" s="218">
        <f>SUMIFS(DATA!$L:$L,DATA!$O:$O,$B19,DATA!$N:$N,$A19,DATA!$M:$M,'SALES BY SYSTEM'!$O$2)</f>
        <v>0</v>
      </c>
      <c r="Q19" s="182">
        <v>12945578.290527897</v>
      </c>
      <c r="R19" s="180">
        <f t="shared" si="4"/>
        <v>0</v>
      </c>
      <c r="S19" s="218">
        <f>SUMIFS(DATA!$L:$L,DATA!$O:$O,$B19,DATA!$N:$N,$A19,DATA!$M:$M,'SALES BY SYSTEM'!$O$4)</f>
        <v>0</v>
      </c>
      <c r="T19" s="182">
        <v>0</v>
      </c>
      <c r="U19" s="180" t="str">
        <f t="shared" si="5"/>
        <v/>
      </c>
      <c r="V19" s="218">
        <f>SUMIFS(DATA!$L:$L,DATA!$O:$O,$B19,DATA!$N:$N,$A19,DATA!$M:$M,'SALES BY SYSTEM'!$O$3)</f>
        <v>0</v>
      </c>
      <c r="W19" s="168"/>
    </row>
    <row r="20" spans="1:23" ht="15.75" customHeight="1" x14ac:dyDescent="0.25">
      <c r="A20" s="178" t="s">
        <v>425</v>
      </c>
      <c r="B20" s="178" t="s">
        <v>421</v>
      </c>
      <c r="C20" s="178" t="str">
        <f>VLOOKUP(A20,CUSTOMER!$A:$C,3,0)</f>
        <v>COOP_PVD</v>
      </c>
      <c r="D20" s="178" t="s">
        <v>674</v>
      </c>
      <c r="E20" s="178" t="str">
        <f>VLOOKUP(A20,CUSTOMER!$A$2:$H$1094,5,0)</f>
        <v>VAVANCY-VU MINH TUAN</v>
      </c>
      <c r="F20" s="178" t="str">
        <f>VLOOKUP(A20,CUSTOMER!$A$2:$I$1094,6,0)</f>
        <v>TRAN THI THANH TRUC</v>
      </c>
      <c r="G20" s="178" t="s">
        <v>676</v>
      </c>
      <c r="H20" s="179">
        <f t="shared" si="0"/>
        <v>18602752.078930601</v>
      </c>
      <c r="I20" s="180">
        <f t="shared" si="1"/>
        <v>0</v>
      </c>
      <c r="J20" s="181">
        <f t="shared" si="2"/>
        <v>0</v>
      </c>
      <c r="K20" s="182">
        <v>0</v>
      </c>
      <c r="L20" s="180" t="str">
        <f t="shared" si="7"/>
        <v/>
      </c>
      <c r="M20" s="218">
        <f>SUMIFS(DATA!$L:$L,DATA!$O:$O,$B20,DATA!$N:$N,$A20,DATA!$M:$M,'SALES BY SYSTEM'!$O$1)</f>
        <v>0</v>
      </c>
      <c r="N20" s="182">
        <v>5657173.7884027036</v>
      </c>
      <c r="O20" s="180">
        <f t="shared" si="3"/>
        <v>0</v>
      </c>
      <c r="P20" s="218">
        <f>SUMIFS(DATA!$L:$L,DATA!$O:$O,$B20,DATA!$N:$N,$A20,DATA!$M:$M,'SALES BY SYSTEM'!$O$2)</f>
        <v>0</v>
      </c>
      <c r="Q20" s="182">
        <v>12945578.290527897</v>
      </c>
      <c r="R20" s="180">
        <f t="shared" si="4"/>
        <v>0</v>
      </c>
      <c r="S20" s="218">
        <f>SUMIFS(DATA!$L:$L,DATA!$O:$O,$B20,DATA!$N:$N,$A20,DATA!$M:$M,'SALES BY SYSTEM'!$O$4)</f>
        <v>0</v>
      </c>
      <c r="T20" s="182">
        <v>0</v>
      </c>
      <c r="U20" s="180" t="str">
        <f t="shared" si="5"/>
        <v/>
      </c>
      <c r="V20" s="218">
        <f>SUMIFS(DATA!$L:$L,DATA!$O:$O,$B20,DATA!$N:$N,$A20,DATA!$M:$M,'SALES BY SYSTEM'!$O$3)</f>
        <v>0</v>
      </c>
      <c r="W20" s="168"/>
    </row>
    <row r="21" spans="1:23" ht="15.75" customHeight="1" x14ac:dyDescent="0.25">
      <c r="A21" s="178" t="s">
        <v>420</v>
      </c>
      <c r="B21" s="178" t="s">
        <v>421</v>
      </c>
      <c r="C21" s="178" t="str">
        <f>VLOOKUP(A21,CUSTOMER!$A:$C,3,0)</f>
        <v>COOP_SVH</v>
      </c>
      <c r="D21" s="178" t="s">
        <v>674</v>
      </c>
      <c r="E21" s="178" t="str">
        <f>VLOOKUP(A21,CUSTOMER!$A$2:$H$1094,5,0)</f>
        <v>VAVANCY-VU MINH TUAN</v>
      </c>
      <c r="F21" s="178" t="str">
        <f>VLOOKUP(A21,CUSTOMER!$A$2:$I$1094,6,0)</f>
        <v>TRAN THI THANH TRUC</v>
      </c>
      <c r="G21" s="178" t="s">
        <v>676</v>
      </c>
      <c r="H21" s="179">
        <f t="shared" si="0"/>
        <v>18602752.078930601</v>
      </c>
      <c r="I21" s="180">
        <f t="shared" si="1"/>
        <v>0</v>
      </c>
      <c r="J21" s="181">
        <f t="shared" si="2"/>
        <v>0</v>
      </c>
      <c r="K21" s="182">
        <v>0</v>
      </c>
      <c r="L21" s="180" t="str">
        <f t="shared" si="7"/>
        <v/>
      </c>
      <c r="M21" s="218">
        <f>SUMIFS(DATA!$L:$L,DATA!$O:$O,$B21,DATA!$N:$N,$A21,DATA!$M:$M,'SALES BY SYSTEM'!$O$1)</f>
        <v>0</v>
      </c>
      <c r="N21" s="182">
        <v>5657173.7884027036</v>
      </c>
      <c r="O21" s="180">
        <f t="shared" si="3"/>
        <v>0</v>
      </c>
      <c r="P21" s="218">
        <f>SUMIFS(DATA!$L:$L,DATA!$O:$O,$B21,DATA!$N:$N,$A21,DATA!$M:$M,'SALES BY SYSTEM'!$O$2)</f>
        <v>0</v>
      </c>
      <c r="Q21" s="182">
        <v>12945578.290527897</v>
      </c>
      <c r="R21" s="180">
        <f t="shared" si="4"/>
        <v>0</v>
      </c>
      <c r="S21" s="218">
        <f>SUMIFS(DATA!$L:$L,DATA!$O:$O,$B21,DATA!$N:$N,$A21,DATA!$M:$M,'SALES BY SYSTEM'!$O$4)</f>
        <v>0</v>
      </c>
      <c r="T21" s="182">
        <v>0</v>
      </c>
      <c r="U21" s="180" t="str">
        <f t="shared" si="5"/>
        <v/>
      </c>
      <c r="V21" s="218">
        <f>SUMIFS(DATA!$L:$L,DATA!$O:$O,$B21,DATA!$N:$N,$A21,DATA!$M:$M,'SALES BY SYSTEM'!$O$3)</f>
        <v>0</v>
      </c>
      <c r="W21" s="168"/>
    </row>
    <row r="22" spans="1:23" ht="15.75" customHeight="1" x14ac:dyDescent="0.25">
      <c r="A22" s="178" t="s">
        <v>423</v>
      </c>
      <c r="B22" s="178" t="s">
        <v>421</v>
      </c>
      <c r="C22" s="178" t="str">
        <f>VLOOKUP(A22,CUSTOMER!$A:$C,3,0)</f>
        <v>COOP_TPHONG</v>
      </c>
      <c r="D22" s="178" t="s">
        <v>674</v>
      </c>
      <c r="E22" s="178" t="str">
        <f>VLOOKUP(A22,CUSTOMER!$A$2:$H$1094,5,0)</f>
        <v>VAVANCY-VU MINH TUAN</v>
      </c>
      <c r="F22" s="178" t="str">
        <f>VLOOKUP(A22,CUSTOMER!$A$2:$I$1094,6,0)</f>
        <v>TRAN THI THANH TRUC</v>
      </c>
      <c r="G22" s="178" t="s">
        <v>676</v>
      </c>
      <c r="H22" s="179">
        <f t="shared" si="0"/>
        <v>18602752.078930601</v>
      </c>
      <c r="I22" s="180">
        <f t="shared" si="1"/>
        <v>0</v>
      </c>
      <c r="J22" s="181">
        <f t="shared" si="2"/>
        <v>0</v>
      </c>
      <c r="K22" s="182">
        <v>0</v>
      </c>
      <c r="L22" s="180" t="str">
        <f t="shared" si="7"/>
        <v/>
      </c>
      <c r="M22" s="218">
        <f>SUMIFS(DATA!$L:$L,DATA!$O:$O,$B22,DATA!$N:$N,$A22,DATA!$M:$M,'SALES BY SYSTEM'!$O$1)</f>
        <v>0</v>
      </c>
      <c r="N22" s="182">
        <v>5657173.7884027036</v>
      </c>
      <c r="O22" s="180">
        <f t="shared" si="3"/>
        <v>0</v>
      </c>
      <c r="P22" s="218">
        <f>SUMIFS(DATA!$L:$L,DATA!$O:$O,$B22,DATA!$N:$N,$A22,DATA!$M:$M,'SALES BY SYSTEM'!$O$2)</f>
        <v>0</v>
      </c>
      <c r="Q22" s="182">
        <v>12945578.290527897</v>
      </c>
      <c r="R22" s="180">
        <f t="shared" si="4"/>
        <v>0</v>
      </c>
      <c r="S22" s="218">
        <f>SUMIFS(DATA!$L:$L,DATA!$O:$O,$B22,DATA!$N:$N,$A22,DATA!$M:$M,'SALES BY SYSTEM'!$O$4)</f>
        <v>0</v>
      </c>
      <c r="T22" s="182">
        <v>0</v>
      </c>
      <c r="U22" s="180" t="str">
        <f t="shared" si="5"/>
        <v/>
      </c>
      <c r="V22" s="218">
        <f>SUMIFS(DATA!$L:$L,DATA!$O:$O,$B22,DATA!$N:$N,$A22,DATA!$M:$M,'SALES BY SYSTEM'!$O$3)</f>
        <v>0</v>
      </c>
      <c r="W22" s="168"/>
    </row>
    <row r="23" spans="1:23" ht="15.75" customHeight="1" x14ac:dyDescent="0.25">
      <c r="A23" s="139" t="s">
        <v>68</v>
      </c>
      <c r="B23" s="139" t="s">
        <v>60</v>
      </c>
      <c r="C23" s="178" t="str">
        <f>VLOOKUP(A23,CUSTOMER!$A:$C,3,0)</f>
        <v>LOTTE_BDINH</v>
      </c>
      <c r="D23" s="178" t="s">
        <v>674</v>
      </c>
      <c r="E23" s="178" t="str">
        <f>VLOOKUP(A23,CUSTOMER!$A$2:$H$1094,5,0)</f>
        <v>TRAN THI THAO NGUYEN</v>
      </c>
      <c r="F23" s="178" t="str">
        <f>VLOOKUP(A23,CUSTOMER!$A$2:$I$1094,6,0)</f>
        <v>LE THI HONG DIEP</v>
      </c>
      <c r="G23" s="178" t="str">
        <f>VLOOKUP(A23,CUSTOMER!$A$1:$J$1160,7,0)</f>
        <v>"NO PG"</v>
      </c>
      <c r="H23" s="179">
        <f t="shared" si="0"/>
        <v>31289691.856807213</v>
      </c>
      <c r="I23" s="180">
        <f t="shared" si="1"/>
        <v>0</v>
      </c>
      <c r="J23" s="181">
        <f t="shared" si="2"/>
        <v>0</v>
      </c>
      <c r="K23" s="182">
        <v>0</v>
      </c>
      <c r="L23" s="180" t="str">
        <f t="shared" si="7"/>
        <v/>
      </c>
      <c r="M23" s="218">
        <f>SUMIFS(DATA!$L:$L,DATA!$O:$O,$B23,DATA!$N:$N,$A23,DATA!$M:$M,'SALES BY SYSTEM'!$O$1)</f>
        <v>0</v>
      </c>
      <c r="N23" s="182">
        <v>4384156.6271987418</v>
      </c>
      <c r="O23" s="180">
        <f t="shared" si="3"/>
        <v>0</v>
      </c>
      <c r="P23" s="218">
        <f>SUMIFS(DATA!$L:$L,DATA!$O:$O,$B23,DATA!$N:$N,$A23,DATA!$M:$M,'SALES BY SYSTEM'!$O$2)</f>
        <v>0</v>
      </c>
      <c r="Q23" s="182">
        <v>26905535.229608472</v>
      </c>
      <c r="R23" s="180">
        <f t="shared" si="4"/>
        <v>0</v>
      </c>
      <c r="S23" s="218">
        <f>SUMIFS(DATA!$L:$L,DATA!$O:$O,$B23,DATA!$N:$N,$A23,DATA!$M:$M,'SALES BY SYSTEM'!$O$4)</f>
        <v>0</v>
      </c>
      <c r="T23" s="182">
        <v>0</v>
      </c>
      <c r="U23" s="180" t="str">
        <f t="shared" si="5"/>
        <v/>
      </c>
      <c r="V23" s="218">
        <f>SUMIFS(DATA!$L:$L,DATA!$O:$O,$B23,DATA!$N:$N,$A23,DATA!$M:$M,'SALES BY SYSTEM'!$O$3)</f>
        <v>0</v>
      </c>
      <c r="W23" s="168"/>
    </row>
    <row r="24" spans="1:23" ht="15.75" customHeight="1" x14ac:dyDescent="0.25">
      <c r="A24" s="139" t="s">
        <v>438</v>
      </c>
      <c r="B24" s="139" t="s">
        <v>432</v>
      </c>
      <c r="C24" s="178" t="str">
        <f>VLOOKUP(A24,CUSTOMER!$A:$C,3,0)</f>
        <v>BIGC_DIAN</v>
      </c>
      <c r="D24" s="178" t="s">
        <v>674</v>
      </c>
      <c r="E24" s="178" t="str">
        <f>VLOOKUP(A24,CUSTOMER!$A$2:$H$1094,5,0)</f>
        <v>LE NAM PHUONG</v>
      </c>
      <c r="F24" s="178" t="str">
        <f>VLOOKUP(A24,CUSTOMER!$A$2:$I$1094,6,0)</f>
        <v>VACANCY</v>
      </c>
      <c r="G24" s="178" t="s">
        <v>676</v>
      </c>
      <c r="H24" s="179">
        <f t="shared" si="0"/>
        <v>13065042.148165092</v>
      </c>
      <c r="I24" s="180">
        <f t="shared" si="1"/>
        <v>0</v>
      </c>
      <c r="J24" s="181">
        <f t="shared" si="2"/>
        <v>0</v>
      </c>
      <c r="K24" s="182">
        <v>0</v>
      </c>
      <c r="L24" s="180" t="str">
        <f t="shared" si="7"/>
        <v/>
      </c>
      <c r="M24" s="218">
        <f>SUMIFS(DATA!$L:$L,DATA!$O:$O,$B24,DATA!$N:$N,$A24,DATA!$M:$M,'SALES BY SYSTEM'!$O$1)</f>
        <v>0</v>
      </c>
      <c r="N24" s="182">
        <v>4351672.1449251575</v>
      </c>
      <c r="O24" s="180">
        <f t="shared" si="3"/>
        <v>0</v>
      </c>
      <c r="P24" s="218">
        <f>SUMIFS(DATA!$L:$L,DATA!$O:$O,$B24,DATA!$N:$N,$A24,DATA!$M:$M,'SALES BY SYSTEM'!$O$2)</f>
        <v>0</v>
      </c>
      <c r="Q24" s="182">
        <v>8713370.0032399334</v>
      </c>
      <c r="R24" s="180">
        <f t="shared" si="4"/>
        <v>0</v>
      </c>
      <c r="S24" s="218">
        <f>SUMIFS(DATA!$L:$L,DATA!$O:$O,$B24,DATA!$N:$N,$A24,DATA!$M:$M,'SALES BY SYSTEM'!$O$4)</f>
        <v>0</v>
      </c>
      <c r="T24" s="182">
        <v>0</v>
      </c>
      <c r="U24" s="180" t="str">
        <f t="shared" si="5"/>
        <v/>
      </c>
      <c r="V24" s="218">
        <f>SUMIFS(DATA!$L:$L,DATA!$O:$O,$B24,DATA!$N:$N,$A24,DATA!$M:$M,'SALES BY SYSTEM'!$O$3)</f>
        <v>0</v>
      </c>
      <c r="W24" s="168"/>
    </row>
    <row r="25" spans="1:23" ht="15.75" customHeight="1" x14ac:dyDescent="0.25">
      <c r="A25" s="178" t="s">
        <v>115</v>
      </c>
      <c r="B25" s="178" t="s">
        <v>107</v>
      </c>
      <c r="C25" s="178" t="str">
        <f>VLOOKUP(A25,CUSTOMER!$A:$C,3,0)</f>
        <v>HD_RIVE</v>
      </c>
      <c r="D25" s="178" t="s">
        <v>674</v>
      </c>
      <c r="E25" s="178" t="str">
        <f>VLOOKUP(A25,CUSTOMER!$A$2:$H$1094,5,0)</f>
        <v>TRAN THI THAO NGUYEN</v>
      </c>
      <c r="F25" s="178" t="str">
        <f>VLOOKUP(A25,CUSTOMER!$A$2:$I$1094,6,0)</f>
        <v>"NO PG"</v>
      </c>
      <c r="G25" s="178" t="str">
        <f>VLOOKUP(A25,CUSTOMER!$A$1:$J$1160,7,0)</f>
        <v>"NO PG"</v>
      </c>
      <c r="H25" s="179">
        <f t="shared" si="0"/>
        <v>8460406.2892200891</v>
      </c>
      <c r="I25" s="180">
        <f t="shared" si="1"/>
        <v>0</v>
      </c>
      <c r="J25" s="181">
        <f t="shared" si="2"/>
        <v>0</v>
      </c>
      <c r="K25" s="182">
        <v>0</v>
      </c>
      <c r="L25" s="180" t="str">
        <f t="shared" si="7"/>
        <v/>
      </c>
      <c r="M25" s="218">
        <f>SUMIFS(DATA!$L:$L,DATA!$O:$O,$B25,DATA!$N:$N,$A25,DATA!$M:$M,'SALES BY SYSTEM'!$O$1)</f>
        <v>0</v>
      </c>
      <c r="N25" s="182">
        <v>3481337.7159401262</v>
      </c>
      <c r="O25" s="180">
        <f t="shared" si="3"/>
        <v>0</v>
      </c>
      <c r="P25" s="218">
        <f>SUMIFS(DATA!$L:$L,DATA!$O:$O,$B25,DATA!$N:$N,$A25,DATA!$M:$M,'SALES BY SYSTEM'!$O$2)</f>
        <v>0</v>
      </c>
      <c r="Q25" s="182">
        <v>4979068.5732799629</v>
      </c>
      <c r="R25" s="180">
        <f t="shared" si="4"/>
        <v>0</v>
      </c>
      <c r="S25" s="218">
        <f>SUMIFS(DATA!$L:$L,DATA!$O:$O,$B25,DATA!$N:$N,$A25,DATA!$M:$M,'SALES BY SYSTEM'!$O$4)</f>
        <v>0</v>
      </c>
      <c r="T25" s="182">
        <v>0</v>
      </c>
      <c r="U25" s="180" t="str">
        <f t="shared" si="5"/>
        <v/>
      </c>
      <c r="V25" s="218">
        <f>SUMIFS(DATA!$L:$L,DATA!$O:$O,$B25,DATA!$N:$N,$A25,DATA!$M:$M,'SALES BY SYSTEM'!$O$3)</f>
        <v>0</v>
      </c>
      <c r="W25" s="168"/>
    </row>
    <row r="26" spans="1:23" ht="15.75" customHeight="1" x14ac:dyDescent="0.25">
      <c r="A26" s="139" t="s">
        <v>518</v>
      </c>
      <c r="B26" s="139" t="s">
        <v>432</v>
      </c>
      <c r="C26" s="178" t="str">
        <f>VLOOKUP(A26,CUSTOMER!$A:$C,3,0)</f>
        <v>BIGC_DNANG</v>
      </c>
      <c r="D26" s="178" t="s">
        <v>674</v>
      </c>
      <c r="E26" s="178" t="str">
        <f>VLOOKUP(A26,CUSTOMER!$A$2:$H$1094,5,0)</f>
        <v>LE NAM PHUONG</v>
      </c>
      <c r="F26" s="178" t="str">
        <f>VLOOKUP(A26,CUSTOMER!$A$2:$I$1094,6,0)</f>
        <v>PHAM THI BINH</v>
      </c>
      <c r="G26" s="178" t="s">
        <v>676</v>
      </c>
      <c r="H26" s="179">
        <f t="shared" si="0"/>
        <v>18979189.935943488</v>
      </c>
      <c r="I26" s="180">
        <f t="shared" si="1"/>
        <v>0</v>
      </c>
      <c r="J26" s="181">
        <f t="shared" si="2"/>
        <v>0</v>
      </c>
      <c r="K26" s="182">
        <v>0</v>
      </c>
      <c r="L26" s="180" t="str">
        <f t="shared" si="7"/>
        <v/>
      </c>
      <c r="M26" s="218">
        <f>SUMIFS(DATA!$L:$L,DATA!$O:$O,$B26,DATA!$N:$N,$A26,DATA!$M:$M,'SALES BY SYSTEM'!$O$1)</f>
        <v>0</v>
      </c>
      <c r="N26" s="182">
        <v>3046170.501447611</v>
      </c>
      <c r="O26" s="180">
        <f t="shared" si="3"/>
        <v>0</v>
      </c>
      <c r="P26" s="218">
        <f>SUMIFS(DATA!$L:$L,DATA!$O:$O,$B26,DATA!$N:$N,$A26,DATA!$M:$M,'SALES BY SYSTEM'!$O$2)</f>
        <v>0</v>
      </c>
      <c r="Q26" s="182">
        <v>15933019.434495877</v>
      </c>
      <c r="R26" s="180">
        <f t="shared" si="4"/>
        <v>0</v>
      </c>
      <c r="S26" s="218">
        <f>SUMIFS(DATA!$L:$L,DATA!$O:$O,$B26,DATA!$N:$N,$A26,DATA!$M:$M,'SALES BY SYSTEM'!$O$4)</f>
        <v>0</v>
      </c>
      <c r="T26" s="182">
        <v>0</v>
      </c>
      <c r="U26" s="180" t="str">
        <f t="shared" si="5"/>
        <v/>
      </c>
      <c r="V26" s="218">
        <f>SUMIFS(DATA!$L:$L,DATA!$O:$O,$B26,DATA!$N:$N,$A26,DATA!$M:$M,'SALES BY SYSTEM'!$O$3)</f>
        <v>0</v>
      </c>
      <c r="W26" s="168"/>
    </row>
    <row r="27" spans="1:23" ht="15.75" customHeight="1" x14ac:dyDescent="0.25">
      <c r="A27" s="139" t="s">
        <v>78</v>
      </c>
      <c r="B27" s="139" t="s">
        <v>60</v>
      </c>
      <c r="C27" s="178" t="str">
        <f>VLOOKUP(A27,CUSTOMER!$A:$C,3,0)</f>
        <v>LOTTE_Q11</v>
      </c>
      <c r="D27" s="178" t="s">
        <v>674</v>
      </c>
      <c r="E27" s="178" t="str">
        <f>VLOOKUP(A27,CUSTOMER!$A$2:$H$1094,5,0)</f>
        <v>TRAN THI THAO NGUYEN</v>
      </c>
      <c r="F27" s="178" t="str">
        <f>VLOOKUP(A27,CUSTOMER!$A$2:$I$1094,6,0)</f>
        <v>NGUYEN THI MUON</v>
      </c>
      <c r="G27" s="178" t="str">
        <f>VLOOKUP(A27,CUSTOMER!$A$1:$J$1160,7,0)</f>
        <v>"NO PG"</v>
      </c>
      <c r="H27" s="179">
        <f t="shared" si="0"/>
        <v>17259654.14683165</v>
      </c>
      <c r="I27" s="180">
        <f t="shared" si="1"/>
        <v>0</v>
      </c>
      <c r="J27" s="181">
        <f t="shared" si="2"/>
        <v>0</v>
      </c>
      <c r="K27" s="182">
        <v>0</v>
      </c>
      <c r="L27" s="180" t="str">
        <f t="shared" si="7"/>
        <v/>
      </c>
      <c r="M27" s="218">
        <f>SUMIFS(DATA!$L:$L,DATA!$O:$O,$B27,DATA!$N:$N,$A27,DATA!$M:$M,'SALES BY SYSTEM'!$O$1)</f>
        <v>0</v>
      </c>
      <c r="N27" s="182">
        <v>3046170.501447611</v>
      </c>
      <c r="O27" s="180">
        <f t="shared" si="3"/>
        <v>0</v>
      </c>
      <c r="P27" s="218">
        <f>SUMIFS(DATA!$L:$L,DATA!$O:$O,$B27,DATA!$N:$N,$A27,DATA!$M:$M,'SALES BY SYSTEM'!$O$2)</f>
        <v>0</v>
      </c>
      <c r="Q27" s="182">
        <v>14213483.64538404</v>
      </c>
      <c r="R27" s="180">
        <f t="shared" si="4"/>
        <v>0</v>
      </c>
      <c r="S27" s="218">
        <f>SUMIFS(DATA!$L:$L,DATA!$O:$O,$B27,DATA!$N:$N,$A27,DATA!$M:$M,'SALES BY SYSTEM'!$O$4)</f>
        <v>0</v>
      </c>
      <c r="T27" s="182">
        <v>0</v>
      </c>
      <c r="U27" s="180" t="str">
        <f t="shared" si="5"/>
        <v/>
      </c>
      <c r="V27" s="218">
        <f>SUMIFS(DATA!$L:$L,DATA!$O:$O,$B27,DATA!$N:$N,$A27,DATA!$M:$M,'SALES BY SYSTEM'!$O$3)</f>
        <v>0</v>
      </c>
      <c r="W27" s="168"/>
    </row>
    <row r="28" spans="1:23" ht="15.75" customHeight="1" x14ac:dyDescent="0.25">
      <c r="A28" s="139" t="s">
        <v>446</v>
      </c>
      <c r="B28" s="139" t="s">
        <v>432</v>
      </c>
      <c r="C28" s="178" t="str">
        <f>VLOOKUP(A28,CUSTOMER!$A:$C,3,0)</f>
        <v>BIGC_DNAI</v>
      </c>
      <c r="D28" s="178" t="s">
        <v>674</v>
      </c>
      <c r="E28" s="178" t="str">
        <f>VLOOKUP(A28,CUSTOMER!$A$2:$H$1094,5,0)</f>
        <v>LE NAM PHUONG</v>
      </c>
      <c r="F28" s="178" t="str">
        <f>VLOOKUP(A28,CUSTOMER!$A$2:$I$1094,6,0)</f>
        <v>TRAN THI NHAN</v>
      </c>
      <c r="G28" s="178" t="s">
        <v>676</v>
      </c>
      <c r="H28" s="179">
        <f t="shared" si="0"/>
        <v>17236515.935295504</v>
      </c>
      <c r="I28" s="180">
        <f t="shared" si="1"/>
        <v>0</v>
      </c>
      <c r="J28" s="181">
        <f t="shared" si="2"/>
        <v>0</v>
      </c>
      <c r="K28" s="182">
        <v>0</v>
      </c>
      <c r="L28" s="180" t="str">
        <f t="shared" si="7"/>
        <v/>
      </c>
      <c r="M28" s="218">
        <f>SUMIFS(DATA!$L:$L,DATA!$O:$O,$B28,DATA!$N:$N,$A28,DATA!$M:$M,'SALES BY SYSTEM'!$O$1)</f>
        <v>0</v>
      </c>
      <c r="N28" s="182">
        <v>3046170.501447611</v>
      </c>
      <c r="O28" s="180">
        <f t="shared" si="3"/>
        <v>0</v>
      </c>
      <c r="P28" s="218">
        <f>SUMIFS(DATA!$L:$L,DATA!$O:$O,$B28,DATA!$N:$N,$A28,DATA!$M:$M,'SALES BY SYSTEM'!$O$2)</f>
        <v>0</v>
      </c>
      <c r="Q28" s="182">
        <v>14190345.433847893</v>
      </c>
      <c r="R28" s="180">
        <f t="shared" si="4"/>
        <v>0</v>
      </c>
      <c r="S28" s="218">
        <f>SUMIFS(DATA!$L:$L,DATA!$O:$O,$B28,DATA!$N:$N,$A28,DATA!$M:$M,'SALES BY SYSTEM'!$O$4)</f>
        <v>0</v>
      </c>
      <c r="T28" s="182">
        <v>0</v>
      </c>
      <c r="U28" s="180" t="str">
        <f t="shared" si="5"/>
        <v/>
      </c>
      <c r="V28" s="218">
        <f>SUMIFS(DATA!$L:$L,DATA!$O:$O,$B28,DATA!$N:$N,$A28,DATA!$M:$M,'SALES BY SYSTEM'!$O$3)</f>
        <v>0</v>
      </c>
      <c r="W28" s="168"/>
    </row>
    <row r="29" spans="1:23" ht="15.75" customHeight="1" x14ac:dyDescent="0.25">
      <c r="A29" s="139" t="s">
        <v>462</v>
      </c>
      <c r="B29" s="139" t="s">
        <v>432</v>
      </c>
      <c r="C29" s="178" t="str">
        <f>VLOOKUP(A29,CUSTOMER!$A:$C,3,0)</f>
        <v>BIGC_NTRANG</v>
      </c>
      <c r="D29" s="178" t="s">
        <v>674</v>
      </c>
      <c r="E29" s="178" t="str">
        <f>VLOOKUP(A29,CUSTOMER!$A$2:$H$1094,5,0)</f>
        <v>LE NAM PHUONG</v>
      </c>
      <c r="F29" s="178" t="str">
        <f>VLOOKUP(A29,CUSTOMER!$A$2:$I$1094,6,0)</f>
        <v>TRAN THANH TUAN</v>
      </c>
      <c r="G29" s="178" t="s">
        <v>676</v>
      </c>
      <c r="H29" s="179">
        <f t="shared" si="0"/>
        <v>17236515.935295504</v>
      </c>
      <c r="I29" s="180">
        <f t="shared" si="1"/>
        <v>0</v>
      </c>
      <c r="J29" s="181">
        <f t="shared" si="2"/>
        <v>0</v>
      </c>
      <c r="K29" s="182">
        <v>0</v>
      </c>
      <c r="L29" s="180" t="str">
        <f t="shared" si="7"/>
        <v/>
      </c>
      <c r="M29" s="218">
        <f>SUMIFS(DATA!$L:$L,DATA!$O:$O,$B29,DATA!$N:$N,$A29,DATA!$M:$M,'SALES BY SYSTEM'!$O$1)</f>
        <v>0</v>
      </c>
      <c r="N29" s="182">
        <v>3046170.501447611</v>
      </c>
      <c r="O29" s="180">
        <f t="shared" si="3"/>
        <v>0</v>
      </c>
      <c r="P29" s="218">
        <f>SUMIFS(DATA!$L:$L,DATA!$O:$O,$B29,DATA!$N:$N,$A29,DATA!$M:$M,'SALES BY SYSTEM'!$O$2)</f>
        <v>0</v>
      </c>
      <c r="Q29" s="182">
        <v>14190345.433847893</v>
      </c>
      <c r="R29" s="180">
        <f t="shared" si="4"/>
        <v>0</v>
      </c>
      <c r="S29" s="218">
        <f>SUMIFS(DATA!$L:$L,DATA!$O:$O,$B29,DATA!$N:$N,$A29,DATA!$M:$M,'SALES BY SYSTEM'!$O$4)</f>
        <v>0</v>
      </c>
      <c r="T29" s="182">
        <v>0</v>
      </c>
      <c r="U29" s="180" t="str">
        <f t="shared" si="5"/>
        <v/>
      </c>
      <c r="V29" s="218">
        <f>SUMIFS(DATA!$L:$L,DATA!$O:$O,$B29,DATA!$N:$N,$A29,DATA!$M:$M,'SALES BY SYSTEM'!$O$3)</f>
        <v>0</v>
      </c>
      <c r="W29" s="168"/>
    </row>
    <row r="30" spans="1:23" ht="15.75" customHeight="1" x14ac:dyDescent="0.25">
      <c r="A30" s="139" t="s">
        <v>512</v>
      </c>
      <c r="B30" s="139" t="s">
        <v>432</v>
      </c>
      <c r="C30" s="178" t="str">
        <f>VLOOKUP(A30,CUSTOMER!$A:$C,3,0)</f>
        <v>BIGC_LBIEN</v>
      </c>
      <c r="D30" s="178" t="s">
        <v>674</v>
      </c>
      <c r="E30" s="178" t="str">
        <f>VLOOKUP(A30,CUSTOMER!$A$2:$H$1094,5,0)</f>
        <v>LE NAM PHUONG</v>
      </c>
      <c r="F30" s="178" t="str">
        <f>VLOOKUP(A30,CUSTOMER!$A$2:$I$1094,6,0)</f>
        <v>LE THI HONG DIEP</v>
      </c>
      <c r="G30" s="178" t="s">
        <v>676</v>
      </c>
      <c r="H30" s="179">
        <f t="shared" si="0"/>
        <v>11012680.218695549</v>
      </c>
      <c r="I30" s="180">
        <f t="shared" si="1"/>
        <v>0</v>
      </c>
      <c r="J30" s="181">
        <f t="shared" si="2"/>
        <v>0</v>
      </c>
      <c r="K30" s="182">
        <v>0</v>
      </c>
      <c r="L30" s="180" t="str">
        <f t="shared" si="7"/>
        <v/>
      </c>
      <c r="M30" s="218">
        <f>SUMIFS(DATA!$L:$L,DATA!$O:$O,$B30,DATA!$N:$N,$A30,DATA!$M:$M,'SALES BY SYSTEM'!$O$1)</f>
        <v>0</v>
      </c>
      <c r="N30" s="182">
        <v>3046170.501447611</v>
      </c>
      <c r="O30" s="180">
        <f t="shared" si="3"/>
        <v>0</v>
      </c>
      <c r="P30" s="218">
        <f>SUMIFS(DATA!$L:$L,DATA!$O:$O,$B30,DATA!$N:$N,$A30,DATA!$M:$M,'SALES BY SYSTEM'!$O$2)</f>
        <v>0</v>
      </c>
      <c r="Q30" s="182">
        <v>7966509.7172479387</v>
      </c>
      <c r="R30" s="180">
        <f t="shared" si="4"/>
        <v>0</v>
      </c>
      <c r="S30" s="218">
        <f>SUMIFS(DATA!$L:$L,DATA!$O:$O,$B30,DATA!$N:$N,$A30,DATA!$M:$M,'SALES BY SYSTEM'!$O$4)</f>
        <v>0</v>
      </c>
      <c r="T30" s="182">
        <v>0</v>
      </c>
      <c r="U30" s="180" t="str">
        <f t="shared" si="5"/>
        <v/>
      </c>
      <c r="V30" s="218">
        <f>SUMIFS(DATA!$L:$L,DATA!$O:$O,$B30,DATA!$N:$N,$A30,DATA!$M:$M,'SALES BY SYSTEM'!$O$3)</f>
        <v>0</v>
      </c>
      <c r="W30" s="168"/>
    </row>
    <row r="31" spans="1:23" ht="15.75" customHeight="1" x14ac:dyDescent="0.25">
      <c r="A31" s="139" t="s">
        <v>80</v>
      </c>
      <c r="B31" s="139" t="s">
        <v>60</v>
      </c>
      <c r="C31" s="178" t="str">
        <f>VLOOKUP(A31,CUSTOMER!$A:$C,3,0)</f>
        <v>LOTTE_VTAU</v>
      </c>
      <c r="D31" s="178" t="s">
        <v>674</v>
      </c>
      <c r="E31" s="178" t="str">
        <f>VLOOKUP(A31,CUSTOMER!$A$2:$H$1094,5,0)</f>
        <v>TRAN THI THAO NGUYEN</v>
      </c>
      <c r="F31" s="178" t="str">
        <f>VLOOKUP(A31,CUSTOMER!$A$2:$I$1094,6,0)</f>
        <v>VACANCY</v>
      </c>
      <c r="G31" s="178" t="str">
        <f>VLOOKUP(A31,CUSTOMER!$A$1:$J$1160,7,0)</f>
        <v>"NO PG"</v>
      </c>
      <c r="H31" s="179">
        <f t="shared" si="0"/>
        <v>28061573.314321075</v>
      </c>
      <c r="I31" s="180">
        <f t="shared" si="1"/>
        <v>0</v>
      </c>
      <c r="J31" s="181">
        <f t="shared" si="2"/>
        <v>0</v>
      </c>
      <c r="K31" s="182">
        <v>0</v>
      </c>
      <c r="L31" s="180" t="str">
        <f t="shared" si="7"/>
        <v/>
      </c>
      <c r="M31" s="218">
        <f>SUMIFS(DATA!$L:$L,DATA!$O:$O,$B31,DATA!$N:$N,$A31,DATA!$M:$M,'SALES BY SYSTEM'!$O$1)</f>
        <v>0</v>
      </c>
      <c r="N31" s="182">
        <v>2894144.0847767158</v>
      </c>
      <c r="O31" s="180">
        <f t="shared" si="3"/>
        <v>0</v>
      </c>
      <c r="P31" s="218">
        <f>SUMIFS(DATA!$L:$L,DATA!$O:$O,$B31,DATA!$N:$N,$A31,DATA!$M:$M,'SALES BY SYSTEM'!$O$2)</f>
        <v>0</v>
      </c>
      <c r="Q31" s="182">
        <v>25167429.22954436</v>
      </c>
      <c r="R31" s="180">
        <f t="shared" si="4"/>
        <v>0</v>
      </c>
      <c r="S31" s="218">
        <f>SUMIFS(DATA!$L:$L,DATA!$O:$O,$B31,DATA!$N:$N,$A31,DATA!$M:$M,'SALES BY SYSTEM'!$O$4)</f>
        <v>0</v>
      </c>
      <c r="T31" s="182">
        <v>0</v>
      </c>
      <c r="U31" s="180" t="str">
        <f t="shared" si="5"/>
        <v/>
      </c>
      <c r="V31" s="218">
        <f>SUMIFS(DATA!$L:$L,DATA!$O:$O,$B31,DATA!$N:$N,$A31,DATA!$M:$M,'SALES BY SYSTEM'!$O$3)</f>
        <v>0</v>
      </c>
      <c r="W31" s="168"/>
    </row>
    <row r="32" spans="1:23" ht="15.75" customHeight="1" x14ac:dyDescent="0.25">
      <c r="A32" s="139" t="s">
        <v>88</v>
      </c>
      <c r="B32" s="139" t="s">
        <v>60</v>
      </c>
      <c r="C32" s="178" t="str">
        <f>VLOOKUP(A32,CUSTOMER!$A:$C,3,0)</f>
        <v>LOTTE_DNANG</v>
      </c>
      <c r="D32" s="178" t="s">
        <v>674</v>
      </c>
      <c r="E32" s="178" t="str">
        <f>VLOOKUP(A32,CUSTOMER!$A$2:$H$1094,5,0)</f>
        <v>TRAN THI THAO NGUYEN</v>
      </c>
      <c r="F32" s="178" t="s">
        <v>675</v>
      </c>
      <c r="G32" s="178" t="str">
        <f>VLOOKUP(A32,CUSTOMER!$A$1:$J$1160,7,0)</f>
        <v>"NO PG"</v>
      </c>
      <c r="H32" s="179">
        <f t="shared" si="0"/>
        <v>28061573.31432071</v>
      </c>
      <c r="I32" s="180">
        <f t="shared" si="1"/>
        <v>0</v>
      </c>
      <c r="J32" s="181">
        <f t="shared" si="2"/>
        <v>0</v>
      </c>
      <c r="K32" s="182">
        <v>0</v>
      </c>
      <c r="L32" s="180" t="str">
        <f t="shared" si="7"/>
        <v/>
      </c>
      <c r="M32" s="218">
        <f>SUMIFS(DATA!$L:$L,DATA!$O:$O,$B32,DATA!$N:$N,$A32,DATA!$M:$M,'SALES BY SYSTEM'!$O$1)</f>
        <v>0</v>
      </c>
      <c r="N32" s="182">
        <v>2894144.084776348</v>
      </c>
      <c r="O32" s="180">
        <f t="shared" si="3"/>
        <v>0</v>
      </c>
      <c r="P32" s="218">
        <f>SUMIFS(DATA!$L:$L,DATA!$O:$O,$B32,DATA!$N:$N,$A32,DATA!$M:$M,'SALES BY SYSTEM'!$O$2)</f>
        <v>0</v>
      </c>
      <c r="Q32" s="182">
        <v>25167429.22954436</v>
      </c>
      <c r="R32" s="180">
        <f t="shared" si="4"/>
        <v>0</v>
      </c>
      <c r="S32" s="218">
        <f>SUMIFS(DATA!$L:$L,DATA!$O:$O,$B32,DATA!$N:$N,$A32,DATA!$M:$M,'SALES BY SYSTEM'!$O$4)</f>
        <v>0</v>
      </c>
      <c r="T32" s="182">
        <v>0</v>
      </c>
      <c r="U32" s="180" t="str">
        <f t="shared" si="5"/>
        <v/>
      </c>
      <c r="V32" s="218">
        <f>SUMIFS(DATA!$L:$L,DATA!$O:$O,$B32,DATA!$N:$N,$A32,DATA!$M:$M,'SALES BY SYSTEM'!$O$3)</f>
        <v>0</v>
      </c>
      <c r="W32" s="168"/>
    </row>
    <row r="33" spans="1:23" ht="15.75" customHeight="1" x14ac:dyDescent="0.25">
      <c r="A33" s="139" t="s">
        <v>64</v>
      </c>
      <c r="B33" s="139" t="s">
        <v>60</v>
      </c>
      <c r="C33" s="178" t="str">
        <f>VLOOKUP(A33,CUSTOMER!$A:$C,3,0)</f>
        <v>LOTTE_NTRANG</v>
      </c>
      <c r="D33" s="178" t="s">
        <v>674</v>
      </c>
      <c r="E33" s="178" t="str">
        <f>VLOOKUP(A33,CUSTOMER!$A$2:$H$1094,5,0)</f>
        <v>TRAN THI THAO NGUYEN</v>
      </c>
      <c r="F33" s="178" t="str">
        <f>VLOOKUP(A33,CUSTOMER!$A$2:$I$1094,6,0)</f>
        <v>TRAN THANH TUAN</v>
      </c>
      <c r="G33" s="178" t="str">
        <f>VLOOKUP(A33,CUSTOMER!$A$1:$J$1160,7,0)</f>
        <v>"NO PG"</v>
      </c>
      <c r="H33" s="179">
        <f t="shared" si="0"/>
        <v>23716308.314160444</v>
      </c>
      <c r="I33" s="180">
        <f t="shared" si="1"/>
        <v>0</v>
      </c>
      <c r="J33" s="181">
        <f t="shared" si="2"/>
        <v>0</v>
      </c>
      <c r="K33" s="182">
        <v>0</v>
      </c>
      <c r="L33" s="180" t="str">
        <f t="shared" si="7"/>
        <v/>
      </c>
      <c r="M33" s="218">
        <f>SUMIFS(DATA!$L:$L,DATA!$O:$O,$B33,DATA!$N:$N,$A33,DATA!$M:$M,'SALES BY SYSTEM'!$O$1)</f>
        <v>0</v>
      </c>
      <c r="N33" s="182">
        <v>2894144.084776348</v>
      </c>
      <c r="O33" s="180">
        <f t="shared" si="3"/>
        <v>0</v>
      </c>
      <c r="P33" s="218">
        <f>SUMIFS(DATA!$L:$L,DATA!$O:$O,$B33,DATA!$N:$N,$A33,DATA!$M:$M,'SALES BY SYSTEM'!$O$2)</f>
        <v>0</v>
      </c>
      <c r="Q33" s="182">
        <v>20822164.229384094</v>
      </c>
      <c r="R33" s="180">
        <f t="shared" si="4"/>
        <v>0</v>
      </c>
      <c r="S33" s="218">
        <f>SUMIFS(DATA!$L:$L,DATA!$O:$O,$B33,DATA!$N:$N,$A33,DATA!$M:$M,'SALES BY SYSTEM'!$O$4)</f>
        <v>0</v>
      </c>
      <c r="T33" s="182">
        <v>0</v>
      </c>
      <c r="U33" s="180" t="str">
        <f t="shared" si="5"/>
        <v/>
      </c>
      <c r="V33" s="218">
        <f>SUMIFS(DATA!$L:$L,DATA!$O:$O,$B33,DATA!$N:$N,$A33,DATA!$M:$M,'SALES BY SYSTEM'!$O$3)</f>
        <v>0</v>
      </c>
      <c r="W33" s="168"/>
    </row>
    <row r="34" spans="1:23" ht="15.75" customHeight="1" x14ac:dyDescent="0.25">
      <c r="A34" s="139" t="s">
        <v>66</v>
      </c>
      <c r="B34" s="139" t="s">
        <v>60</v>
      </c>
      <c r="C34" s="178" t="str">
        <f>VLOOKUP(A34,CUSTOMER!$A:$C,3,0)</f>
        <v>LOTTE_PTHIET</v>
      </c>
      <c r="D34" s="178" t="s">
        <v>674</v>
      </c>
      <c r="E34" s="178" t="str">
        <f>VLOOKUP(A34,CUSTOMER!$A$2:$H$1094,5,0)</f>
        <v>TRAN THI THAO NGUYEN</v>
      </c>
      <c r="F34" s="178" t="str">
        <f>VLOOKUP(A34,CUSTOMER!$A$2:$I$1094,6,0)</f>
        <v>VACANCY</v>
      </c>
      <c r="G34" s="178" t="str">
        <f>VLOOKUP(A34,CUSTOMER!$A$1:$J$1160,7,0)</f>
        <v>"NO PG"</v>
      </c>
      <c r="H34" s="179">
        <f t="shared" si="0"/>
        <v>19371043.314000186</v>
      </c>
      <c r="I34" s="180">
        <f t="shared" si="1"/>
        <v>0</v>
      </c>
      <c r="J34" s="181">
        <f t="shared" si="2"/>
        <v>0</v>
      </c>
      <c r="K34" s="182">
        <v>0</v>
      </c>
      <c r="L34" s="180" t="str">
        <f t="shared" si="7"/>
        <v/>
      </c>
      <c r="M34" s="218">
        <f>SUMIFS(DATA!$L:$L,DATA!$O:$O,$B34,DATA!$N:$N,$A34,DATA!$M:$M,'SALES BY SYSTEM'!$O$1)</f>
        <v>0</v>
      </c>
      <c r="N34" s="182">
        <v>2894144.084776348</v>
      </c>
      <c r="O34" s="180">
        <f t="shared" si="3"/>
        <v>0</v>
      </c>
      <c r="P34" s="218">
        <f>SUMIFS(DATA!$L:$L,DATA!$O:$O,$B34,DATA!$N:$N,$A34,DATA!$M:$M,'SALES BY SYSTEM'!$O$2)</f>
        <v>0</v>
      </c>
      <c r="Q34" s="182">
        <v>16476899.229223836</v>
      </c>
      <c r="R34" s="180">
        <f t="shared" si="4"/>
        <v>0</v>
      </c>
      <c r="S34" s="218">
        <f>SUMIFS(DATA!$L:$L,DATA!$O:$O,$B34,DATA!$N:$N,$A34,DATA!$M:$M,'SALES BY SYSTEM'!$O$4)</f>
        <v>0</v>
      </c>
      <c r="T34" s="182">
        <v>0</v>
      </c>
      <c r="U34" s="180" t="str">
        <f t="shared" si="5"/>
        <v/>
      </c>
      <c r="V34" s="218">
        <f>SUMIFS(DATA!$L:$L,DATA!$O:$O,$B34,DATA!$N:$N,$A34,DATA!$M:$M,'SALES BY SYSTEM'!$O$3)</f>
        <v>0</v>
      </c>
      <c r="W34" s="168"/>
    </row>
    <row r="35" spans="1:23" ht="15.75" customHeight="1" x14ac:dyDescent="0.25">
      <c r="A35" s="178" t="s">
        <v>33</v>
      </c>
      <c r="B35" s="178" t="s">
        <v>19</v>
      </c>
      <c r="C35" s="178" t="str">
        <f>VLOOKUP(A35,CUSTOMER!$A:$C,3,0)</f>
        <v>VIN_CTHO</v>
      </c>
      <c r="D35" s="178" t="s">
        <v>674</v>
      </c>
      <c r="E35" s="178" t="str">
        <f>VLOOKUP(A35,CUSTOMER!$A$2:$H$1094,5,0)</f>
        <v>TRAN THI THAO NGUYEN</v>
      </c>
      <c r="F35" s="178" t="str">
        <f>VLOOKUP(A35,CUSTOMER!$A$2:$I$1094,6,0)</f>
        <v>HUYNH NGOC HIEU</v>
      </c>
      <c r="G35" s="178" t="s">
        <v>676</v>
      </c>
      <c r="H35" s="179">
        <f t="shared" si="0"/>
        <v>7973177.9555795658</v>
      </c>
      <c r="I35" s="180">
        <f t="shared" si="1"/>
        <v>0</v>
      </c>
      <c r="J35" s="181">
        <f t="shared" si="2"/>
        <v>0</v>
      </c>
      <c r="K35" s="182">
        <v>0</v>
      </c>
      <c r="L35" s="180" t="str">
        <f t="shared" si="7"/>
        <v/>
      </c>
      <c r="M35" s="218">
        <f>SUMIFS(DATA!$L:$L,DATA!$O:$O,$B35,DATA!$N:$N,$A35,DATA!$M:$M,'SALES BY SYSTEM'!$O$1)</f>
        <v>0</v>
      </c>
      <c r="N35" s="182">
        <v>2773527.0202269899</v>
      </c>
      <c r="O35" s="180">
        <f t="shared" si="3"/>
        <v>0</v>
      </c>
      <c r="P35" s="218">
        <f>SUMIFS(DATA!$L:$L,DATA!$O:$O,$B35,DATA!$N:$N,$A35,DATA!$M:$M,'SALES BY SYSTEM'!$O$2)</f>
        <v>0</v>
      </c>
      <c r="Q35" s="182">
        <v>5199650.935352576</v>
      </c>
      <c r="R35" s="180">
        <f t="shared" si="4"/>
        <v>0</v>
      </c>
      <c r="S35" s="218">
        <f>SUMIFS(DATA!$L:$L,DATA!$O:$O,$B35,DATA!$N:$N,$A35,DATA!$M:$M,'SALES BY SYSTEM'!$O$4)</f>
        <v>0</v>
      </c>
      <c r="T35" s="182">
        <v>0</v>
      </c>
      <c r="U35" s="180" t="str">
        <f t="shared" si="5"/>
        <v/>
      </c>
      <c r="V35" s="218">
        <f>SUMIFS(DATA!$L:$L,DATA!$O:$O,$B35,DATA!$N:$N,$A35,DATA!$M:$M,'SALES BY SYSTEM'!$O$3)</f>
        <v>0</v>
      </c>
      <c r="W35" s="168"/>
    </row>
    <row r="36" spans="1:23" ht="15.75" customHeight="1" x14ac:dyDescent="0.25">
      <c r="A36" s="139" t="s">
        <v>59</v>
      </c>
      <c r="B36" s="139" t="s">
        <v>60</v>
      </c>
      <c r="C36" s="178" t="str">
        <f>VLOOKUP(A36,CUSTOMER!$A:$C,3,0)</f>
        <v>LOTTE_Q7</v>
      </c>
      <c r="D36" s="178" t="s">
        <v>674</v>
      </c>
      <c r="E36" s="178" t="str">
        <f>VLOOKUP(A36,CUSTOMER!$A$2:$H$1094,5,0)</f>
        <v>TRAN THI THAO NGUYEN</v>
      </c>
      <c r="F36" s="178" t="str">
        <f>VLOOKUP(A36,CUSTOMER!$A$2:$I$1094,6,0)</f>
        <v>NGUYEN THI MUON</v>
      </c>
      <c r="G36" s="178" t="str">
        <f>VLOOKUP(A36,CUSTOMER!$A$1:$J$1160,7,0)</f>
        <v>"NO PG"</v>
      </c>
      <c r="H36" s="179">
        <f t="shared" si="0"/>
        <v>10787389.843271825</v>
      </c>
      <c r="I36" s="180">
        <f t="shared" si="1"/>
        <v>0</v>
      </c>
      <c r="J36" s="181">
        <f t="shared" si="2"/>
        <v>0</v>
      </c>
      <c r="K36" s="182">
        <v>0</v>
      </c>
      <c r="L36" s="180" t="str">
        <f t="shared" si="7"/>
        <v/>
      </c>
      <c r="M36" s="218">
        <f>SUMIFS(DATA!$L:$L,DATA!$O:$O,$B36,DATA!$N:$N,$A36,DATA!$M:$M,'SALES BY SYSTEM'!$O$1)</f>
        <v>0</v>
      </c>
      <c r="N36" s="182">
        <v>2665399.1887666588</v>
      </c>
      <c r="O36" s="180">
        <f t="shared" si="3"/>
        <v>0</v>
      </c>
      <c r="P36" s="218">
        <f>SUMIFS(DATA!$L:$L,DATA!$O:$O,$B36,DATA!$N:$N,$A36,DATA!$M:$M,'SALES BY SYSTEM'!$O$2)</f>
        <v>0</v>
      </c>
      <c r="Q36" s="182">
        <v>8121990.6545051672</v>
      </c>
      <c r="R36" s="180">
        <f t="shared" si="4"/>
        <v>0</v>
      </c>
      <c r="S36" s="218">
        <f>SUMIFS(DATA!$L:$L,DATA!$O:$O,$B36,DATA!$N:$N,$A36,DATA!$M:$M,'SALES BY SYSTEM'!$O$4)</f>
        <v>0</v>
      </c>
      <c r="T36" s="182">
        <v>0</v>
      </c>
      <c r="U36" s="180" t="str">
        <f t="shared" si="5"/>
        <v/>
      </c>
      <c r="V36" s="218">
        <f>SUMIFS(DATA!$L:$L,DATA!$O:$O,$B36,DATA!$N:$N,$A36,DATA!$M:$M,'SALES BY SYSTEM'!$O$3)</f>
        <v>0</v>
      </c>
      <c r="W36" s="168"/>
    </row>
    <row r="37" spans="1:23" ht="15.75" customHeight="1" x14ac:dyDescent="0.25">
      <c r="A37" s="139" t="s">
        <v>470</v>
      </c>
      <c r="B37" s="139" t="s">
        <v>432</v>
      </c>
      <c r="C37" s="178" t="str">
        <f>VLOOKUP(A37,CUSTOMER!$A:$C,3,0)</f>
        <v>BIGC_TLONG</v>
      </c>
      <c r="D37" s="178" t="s">
        <v>674</v>
      </c>
      <c r="E37" s="178" t="str">
        <f>VLOOKUP(A37,CUSTOMER!$A$2:$H$1094,5,0)</f>
        <v>LE NAM PHUONG</v>
      </c>
      <c r="F37" s="178" t="str">
        <f>VLOOKUP(A37,CUSTOMER!$A$2:$I$1094,6,0)</f>
        <v>LE THI HONG DIEP</v>
      </c>
      <c r="G37" s="178" t="s">
        <v>676</v>
      </c>
      <c r="H37" s="179">
        <f t="shared" si="0"/>
        <v>16552395.292138996</v>
      </c>
      <c r="I37" s="180">
        <f t="shared" si="1"/>
        <v>0</v>
      </c>
      <c r="J37" s="181">
        <f t="shared" si="2"/>
        <v>0</v>
      </c>
      <c r="K37" s="182">
        <v>0</v>
      </c>
      <c r="L37" s="180" t="str">
        <f t="shared" si="7"/>
        <v/>
      </c>
      <c r="M37" s="218">
        <f>SUMIFS(DATA!$L:$L,DATA!$O:$O,$B37,DATA!$N:$N,$A37,DATA!$M:$M,'SALES BY SYSTEM'!$O$1)</f>
        <v>0</v>
      </c>
      <c r="N37" s="182">
        <v>2611003.286955094</v>
      </c>
      <c r="O37" s="180">
        <f t="shared" si="3"/>
        <v>0</v>
      </c>
      <c r="P37" s="218">
        <f>SUMIFS(DATA!$L:$L,DATA!$O:$O,$B37,DATA!$N:$N,$A37,DATA!$M:$M,'SALES BY SYSTEM'!$O$2)</f>
        <v>0</v>
      </c>
      <c r="Q37" s="182">
        <v>13941392.005183902</v>
      </c>
      <c r="R37" s="180">
        <f t="shared" si="4"/>
        <v>0</v>
      </c>
      <c r="S37" s="218">
        <f>SUMIFS(DATA!$L:$L,DATA!$O:$O,$B37,DATA!$N:$N,$A37,DATA!$M:$M,'SALES BY SYSTEM'!$O$4)</f>
        <v>0</v>
      </c>
      <c r="T37" s="182">
        <v>0</v>
      </c>
      <c r="U37" s="180" t="str">
        <f t="shared" si="5"/>
        <v/>
      </c>
      <c r="V37" s="218">
        <f>SUMIFS(DATA!$L:$L,DATA!$O:$O,$B37,DATA!$N:$N,$A37,DATA!$M:$M,'SALES BY SYSTEM'!$O$3)</f>
        <v>0</v>
      </c>
      <c r="W37" s="168"/>
    </row>
    <row r="38" spans="1:23" ht="15.75" customHeight="1" x14ac:dyDescent="0.25">
      <c r="A38" s="139" t="s">
        <v>538</v>
      </c>
      <c r="B38" s="139" t="s">
        <v>432</v>
      </c>
      <c r="C38" s="178" t="str">
        <f>VLOOKUP(A38,CUSTOMER!$A:$C,3,0)</f>
        <v>BIGC_BGIANG</v>
      </c>
      <c r="D38" s="178" t="s">
        <v>674</v>
      </c>
      <c r="E38" s="178" t="str">
        <f>VLOOKUP(A38,CUSTOMER!$A$2:$H$1094,5,0)</f>
        <v>LE NAM PHUONG</v>
      </c>
      <c r="F38" s="178" t="str">
        <f>VLOOKUP(A38,CUSTOMER!$A$2:$I$1094,6,0)</f>
        <v>VACANCY</v>
      </c>
      <c r="G38" s="178" t="s">
        <v>676</v>
      </c>
      <c r="H38" s="179">
        <f t="shared" si="0"/>
        <v>10328559.575539038</v>
      </c>
      <c r="I38" s="180">
        <f t="shared" si="1"/>
        <v>0</v>
      </c>
      <c r="J38" s="181">
        <f t="shared" si="2"/>
        <v>0</v>
      </c>
      <c r="K38" s="182">
        <v>0</v>
      </c>
      <c r="L38" s="180" t="str">
        <f t="shared" si="7"/>
        <v/>
      </c>
      <c r="M38" s="218">
        <f>SUMIFS(DATA!$L:$L,DATA!$O:$O,$B38,DATA!$N:$N,$A38,DATA!$M:$M,'SALES BY SYSTEM'!$O$1)</f>
        <v>0</v>
      </c>
      <c r="N38" s="182">
        <v>2611003.286955094</v>
      </c>
      <c r="O38" s="180">
        <f t="shared" si="3"/>
        <v>0</v>
      </c>
      <c r="P38" s="218">
        <f>SUMIFS(DATA!$L:$L,DATA!$O:$O,$B38,DATA!$N:$N,$A38,DATA!$M:$M,'SALES BY SYSTEM'!$O$2)</f>
        <v>0</v>
      </c>
      <c r="Q38" s="182">
        <v>7717556.2885839427</v>
      </c>
      <c r="R38" s="180">
        <f t="shared" si="4"/>
        <v>0</v>
      </c>
      <c r="S38" s="218">
        <f>SUMIFS(DATA!$L:$L,DATA!$O:$O,$B38,DATA!$N:$N,$A38,DATA!$M:$M,'SALES BY SYSTEM'!$O$4)</f>
        <v>0</v>
      </c>
      <c r="T38" s="182">
        <v>0</v>
      </c>
      <c r="U38" s="180" t="str">
        <f t="shared" si="5"/>
        <v/>
      </c>
      <c r="V38" s="218">
        <f>SUMIFS(DATA!$L:$L,DATA!$O:$O,$B38,DATA!$N:$N,$A38,DATA!$M:$M,'SALES BY SYSTEM'!$O$3)</f>
        <v>0</v>
      </c>
      <c r="W38" s="168"/>
    </row>
    <row r="39" spans="1:23" ht="15.75" customHeight="1" x14ac:dyDescent="0.25">
      <c r="A39" s="139" t="s">
        <v>522</v>
      </c>
      <c r="B39" s="139" t="s">
        <v>432</v>
      </c>
      <c r="C39" s="178" t="str">
        <f>VLOOKUP(A39,CUSTOMER!$A:$C,3,0)</f>
        <v>BIGC_GO_BTRE</v>
      </c>
      <c r="D39" s="178" t="s">
        <v>674</v>
      </c>
      <c r="E39" s="178" t="str">
        <f>VLOOKUP(A39,CUSTOMER!$A$2:$H$1094,5,0)</f>
        <v>LE NAM PHUONG</v>
      </c>
      <c r="F39" s="178" t="str">
        <f>VLOOKUP(A39,CUSTOMER!$A$2:$I$1094,6,0)</f>
        <v>VACANCY</v>
      </c>
      <c r="G39" s="178" t="s">
        <v>676</v>
      </c>
      <c r="H39" s="179">
        <f t="shared" si="0"/>
        <v>10328559.575539038</v>
      </c>
      <c r="I39" s="180">
        <f t="shared" si="1"/>
        <v>0</v>
      </c>
      <c r="J39" s="181">
        <f t="shared" si="2"/>
        <v>0</v>
      </c>
      <c r="K39" s="182">
        <v>0</v>
      </c>
      <c r="L39" s="180" t="str">
        <f t="shared" si="7"/>
        <v/>
      </c>
      <c r="M39" s="218">
        <f>SUMIFS(DATA!$L:$L,DATA!$O:$O,$B39,DATA!$N:$N,$A39,DATA!$M:$M,'SALES BY SYSTEM'!$O$1)</f>
        <v>0</v>
      </c>
      <c r="N39" s="182">
        <v>2611003.286955094</v>
      </c>
      <c r="O39" s="180">
        <f t="shared" si="3"/>
        <v>0</v>
      </c>
      <c r="P39" s="218">
        <f>SUMIFS(DATA!$L:$L,DATA!$O:$O,$B39,DATA!$N:$N,$A39,DATA!$M:$M,'SALES BY SYSTEM'!$O$2)</f>
        <v>0</v>
      </c>
      <c r="Q39" s="182">
        <v>7717556.2885839427</v>
      </c>
      <c r="R39" s="180">
        <f t="shared" si="4"/>
        <v>0</v>
      </c>
      <c r="S39" s="218">
        <f>SUMIFS(DATA!$L:$L,DATA!$O:$O,$B39,DATA!$N:$N,$A39,DATA!$M:$M,'SALES BY SYSTEM'!$O$4)</f>
        <v>0</v>
      </c>
      <c r="T39" s="182">
        <v>0</v>
      </c>
      <c r="U39" s="180" t="str">
        <f t="shared" si="5"/>
        <v/>
      </c>
      <c r="V39" s="218">
        <f>SUMIFS(DATA!$L:$L,DATA!$O:$O,$B39,DATA!$N:$N,$A39,DATA!$M:$M,'SALES BY SYSTEM'!$O$3)</f>
        <v>0</v>
      </c>
      <c r="W39" s="168"/>
    </row>
    <row r="40" spans="1:23" ht="15.75" customHeight="1" x14ac:dyDescent="0.25">
      <c r="A40" s="139" t="s">
        <v>492</v>
      </c>
      <c r="B40" s="139" t="s">
        <v>432</v>
      </c>
      <c r="C40" s="178" t="str">
        <f>VLOOKUP(A40,CUSTOMER!$A:$C,3,0)</f>
        <v>BIGC_BDUONG</v>
      </c>
      <c r="D40" s="178" t="s">
        <v>674</v>
      </c>
      <c r="E40" s="178" t="str">
        <f>VLOOKUP(A40,CUSTOMER!$A$2:$H$1094,5,0)</f>
        <v>LE NAM PHUONG</v>
      </c>
      <c r="F40" s="178" t="str">
        <f>VLOOKUP(A40,CUSTOMER!$A$2:$I$1094,6,0)</f>
        <v>VACANCY</v>
      </c>
      <c r="G40" s="178" t="s">
        <v>676</v>
      </c>
      <c r="H40" s="179">
        <f t="shared" si="0"/>
        <v>10328559.575539038</v>
      </c>
      <c r="I40" s="180">
        <f t="shared" si="1"/>
        <v>0</v>
      </c>
      <c r="J40" s="181">
        <f t="shared" si="2"/>
        <v>0</v>
      </c>
      <c r="K40" s="182">
        <v>0</v>
      </c>
      <c r="L40" s="180" t="str">
        <f t="shared" si="7"/>
        <v/>
      </c>
      <c r="M40" s="218">
        <f>SUMIFS(DATA!$L:$L,DATA!$O:$O,$B40,DATA!$N:$N,$A40,DATA!$M:$M,'SALES BY SYSTEM'!$O$1)</f>
        <v>0</v>
      </c>
      <c r="N40" s="182">
        <v>2611003.286955094</v>
      </c>
      <c r="O40" s="180">
        <f t="shared" si="3"/>
        <v>0</v>
      </c>
      <c r="P40" s="218">
        <f>SUMIFS(DATA!$L:$L,DATA!$O:$O,$B40,DATA!$N:$N,$A40,DATA!$M:$M,'SALES BY SYSTEM'!$O$2)</f>
        <v>0</v>
      </c>
      <c r="Q40" s="182">
        <v>7717556.2885839427</v>
      </c>
      <c r="R40" s="180">
        <f t="shared" si="4"/>
        <v>0</v>
      </c>
      <c r="S40" s="218">
        <f>SUMIFS(DATA!$L:$L,DATA!$O:$O,$B40,DATA!$N:$N,$A40,DATA!$M:$M,'SALES BY SYSTEM'!$O$4)</f>
        <v>0</v>
      </c>
      <c r="T40" s="182">
        <v>0</v>
      </c>
      <c r="U40" s="180" t="str">
        <f t="shared" si="5"/>
        <v/>
      </c>
      <c r="V40" s="218">
        <f>SUMIFS(DATA!$L:$L,DATA!$O:$O,$B40,DATA!$N:$N,$A40,DATA!$M:$M,'SALES BY SYSTEM'!$O$3)</f>
        <v>0</v>
      </c>
      <c r="W40" s="168"/>
    </row>
    <row r="41" spans="1:23" ht="15.75" customHeight="1" x14ac:dyDescent="0.25">
      <c r="A41" s="139" t="s">
        <v>466</v>
      </c>
      <c r="B41" s="139" t="s">
        <v>432</v>
      </c>
      <c r="C41" s="178" t="str">
        <f>VLOOKUP(A41,CUSTOMER!$A:$C,3,0)</f>
        <v>BIGC_CTHO</v>
      </c>
      <c r="D41" s="178" t="s">
        <v>674</v>
      </c>
      <c r="E41" s="178" t="str">
        <f>VLOOKUP(A41,CUSTOMER!$A$2:$H$1094,5,0)</f>
        <v>LE NAM PHUONG</v>
      </c>
      <c r="F41" s="178" t="str">
        <f>VLOOKUP(A41,CUSTOMER!$A$2:$I$1094,6,0)</f>
        <v>HUYNH NGOC HIEU</v>
      </c>
      <c r="G41" s="178" t="s">
        <v>676</v>
      </c>
      <c r="H41" s="179">
        <f t="shared" si="0"/>
        <v>10328559.575539038</v>
      </c>
      <c r="I41" s="180">
        <f t="shared" si="1"/>
        <v>0</v>
      </c>
      <c r="J41" s="181">
        <f t="shared" si="2"/>
        <v>0</v>
      </c>
      <c r="K41" s="182">
        <v>0</v>
      </c>
      <c r="L41" s="180" t="str">
        <f t="shared" si="7"/>
        <v/>
      </c>
      <c r="M41" s="218">
        <f>SUMIFS(DATA!$L:$L,DATA!$O:$O,$B41,DATA!$N:$N,$A41,DATA!$M:$M,'SALES BY SYSTEM'!$O$1)</f>
        <v>0</v>
      </c>
      <c r="N41" s="182">
        <v>2611003.286955094</v>
      </c>
      <c r="O41" s="180">
        <f t="shared" si="3"/>
        <v>0</v>
      </c>
      <c r="P41" s="218">
        <f>SUMIFS(DATA!$L:$L,DATA!$O:$O,$B41,DATA!$N:$N,$A41,DATA!$M:$M,'SALES BY SYSTEM'!$O$2)</f>
        <v>0</v>
      </c>
      <c r="Q41" s="182">
        <v>7717556.2885839427</v>
      </c>
      <c r="R41" s="180">
        <f t="shared" si="4"/>
        <v>0</v>
      </c>
      <c r="S41" s="218">
        <f>SUMIFS(DATA!$L:$L,DATA!$O:$O,$B41,DATA!$N:$N,$A41,DATA!$M:$M,'SALES BY SYSTEM'!$O$4)</f>
        <v>0</v>
      </c>
      <c r="T41" s="182">
        <v>0</v>
      </c>
      <c r="U41" s="180" t="str">
        <f t="shared" si="5"/>
        <v/>
      </c>
      <c r="V41" s="218">
        <f>SUMIFS(DATA!$L:$L,DATA!$O:$O,$B41,DATA!$N:$N,$A41,DATA!$M:$M,'SALES BY SYSTEM'!$O$3)</f>
        <v>0</v>
      </c>
      <c r="W41" s="168"/>
    </row>
    <row r="42" spans="1:23" ht="15.75" customHeight="1" x14ac:dyDescent="0.25">
      <c r="A42" s="139" t="s">
        <v>464</v>
      </c>
      <c r="B42" s="139" t="s">
        <v>432</v>
      </c>
      <c r="C42" s="178" t="str">
        <f>VLOOKUP(A42,CUSTOMER!$A:$C,3,0)</f>
        <v>BIGC_DLAT</v>
      </c>
      <c r="D42" s="178" t="s">
        <v>674</v>
      </c>
      <c r="E42" s="178" t="str">
        <f>VLOOKUP(A42,CUSTOMER!$A$2:$H$1094,5,0)</f>
        <v>LE NAM PHUONG</v>
      </c>
      <c r="F42" s="178" t="str">
        <f>VLOOKUP(A42,CUSTOMER!$A$2:$I$1094,6,0)</f>
        <v>VACANCY</v>
      </c>
      <c r="G42" s="178" t="s">
        <v>676</v>
      </c>
      <c r="H42" s="179">
        <f t="shared" si="0"/>
        <v>10328559.575539038</v>
      </c>
      <c r="I42" s="180">
        <f t="shared" si="1"/>
        <v>0</v>
      </c>
      <c r="J42" s="181">
        <f t="shared" si="2"/>
        <v>0</v>
      </c>
      <c r="K42" s="182">
        <v>0</v>
      </c>
      <c r="L42" s="180" t="str">
        <f t="shared" si="7"/>
        <v/>
      </c>
      <c r="M42" s="218">
        <f>SUMIFS(DATA!$L:$L,DATA!$O:$O,$B42,DATA!$N:$N,$A42,DATA!$M:$M,'SALES BY SYSTEM'!$O$1)</f>
        <v>0</v>
      </c>
      <c r="N42" s="182">
        <v>2611003.286955094</v>
      </c>
      <c r="O42" s="180">
        <f t="shared" si="3"/>
        <v>0</v>
      </c>
      <c r="P42" s="218">
        <f>SUMIFS(DATA!$L:$L,DATA!$O:$O,$B42,DATA!$N:$N,$A42,DATA!$M:$M,'SALES BY SYSTEM'!$O$2)</f>
        <v>0</v>
      </c>
      <c r="Q42" s="182">
        <v>7717556.2885839427</v>
      </c>
      <c r="R42" s="180">
        <f t="shared" si="4"/>
        <v>0</v>
      </c>
      <c r="S42" s="218">
        <f>SUMIFS(DATA!$L:$L,DATA!$O:$O,$B42,DATA!$N:$N,$A42,DATA!$M:$M,'SALES BY SYSTEM'!$O$4)</f>
        <v>0</v>
      </c>
      <c r="T42" s="182">
        <v>0</v>
      </c>
      <c r="U42" s="180" t="str">
        <f t="shared" si="5"/>
        <v/>
      </c>
      <c r="V42" s="218">
        <f>SUMIFS(DATA!$L:$L,DATA!$O:$O,$B42,DATA!$N:$N,$A42,DATA!$M:$M,'SALES BY SYSTEM'!$O$3)</f>
        <v>0</v>
      </c>
      <c r="W42" s="168"/>
    </row>
    <row r="43" spans="1:23" ht="15.75" customHeight="1" x14ac:dyDescent="0.25">
      <c r="A43" s="139" t="s">
        <v>484</v>
      </c>
      <c r="B43" s="139" t="s">
        <v>432</v>
      </c>
      <c r="C43" s="178" t="str">
        <f>VLOOKUP(A43,CUSTOMER!$A:$C,3,0)</f>
        <v>BIGC_HLONG</v>
      </c>
      <c r="D43" s="178" t="s">
        <v>674</v>
      </c>
      <c r="E43" s="178" t="str">
        <f>VLOOKUP(A43,CUSTOMER!$A$2:$H$1094,5,0)</f>
        <v>LE NAM PHUONG</v>
      </c>
      <c r="F43" s="178" t="str">
        <f>VLOOKUP(A43,CUSTOMER!$A$2:$I$1094,6,0)</f>
        <v>VACANCY</v>
      </c>
      <c r="G43" s="178" t="s">
        <v>676</v>
      </c>
      <c r="H43" s="179">
        <f t="shared" si="0"/>
        <v>10328559.575539038</v>
      </c>
      <c r="I43" s="180">
        <f t="shared" si="1"/>
        <v>0</v>
      </c>
      <c r="J43" s="181">
        <f t="shared" si="2"/>
        <v>0</v>
      </c>
      <c r="K43" s="182">
        <v>0</v>
      </c>
      <c r="L43" s="180" t="str">
        <f t="shared" si="7"/>
        <v/>
      </c>
      <c r="M43" s="218">
        <f>SUMIFS(DATA!$L:$L,DATA!$O:$O,$B43,DATA!$N:$N,$A43,DATA!$M:$M,'SALES BY SYSTEM'!$O$1)</f>
        <v>0</v>
      </c>
      <c r="N43" s="182">
        <v>2611003.286955094</v>
      </c>
      <c r="O43" s="180">
        <f t="shared" si="3"/>
        <v>0</v>
      </c>
      <c r="P43" s="218">
        <f>SUMIFS(DATA!$L:$L,DATA!$O:$O,$B43,DATA!$N:$N,$A43,DATA!$M:$M,'SALES BY SYSTEM'!$O$2)</f>
        <v>0</v>
      </c>
      <c r="Q43" s="182">
        <v>7717556.2885839427</v>
      </c>
      <c r="R43" s="180">
        <f t="shared" si="4"/>
        <v>0</v>
      </c>
      <c r="S43" s="218">
        <f>SUMIFS(DATA!$L:$L,DATA!$O:$O,$B43,DATA!$N:$N,$A43,DATA!$M:$M,'SALES BY SYSTEM'!$O$4)</f>
        <v>0</v>
      </c>
      <c r="T43" s="182">
        <v>0</v>
      </c>
      <c r="U43" s="180" t="str">
        <f t="shared" si="5"/>
        <v/>
      </c>
      <c r="V43" s="218">
        <f>SUMIFS(DATA!$L:$L,DATA!$O:$O,$B43,DATA!$N:$N,$A43,DATA!$M:$M,'SALES BY SYSTEM'!$O$3)</f>
        <v>0</v>
      </c>
      <c r="W43" s="168"/>
    </row>
    <row r="44" spans="1:23" ht="15.75" customHeight="1" x14ac:dyDescent="0.25">
      <c r="A44" s="139" t="s">
        <v>510</v>
      </c>
      <c r="B44" s="139" t="s">
        <v>432</v>
      </c>
      <c r="C44" s="178" t="str">
        <f>VLOOKUP(A44,CUSTOMER!$A:$C,3,0)</f>
        <v>BIGC_HDUONG</v>
      </c>
      <c r="D44" s="178" t="s">
        <v>674</v>
      </c>
      <c r="E44" s="178" t="str">
        <f>VLOOKUP(A44,CUSTOMER!$A$2:$H$1094,5,0)</f>
        <v>LE NAM PHUONG</v>
      </c>
      <c r="F44" s="178" t="str">
        <f>VLOOKUP(A44,CUSTOMER!$A$2:$I$1094,6,0)</f>
        <v>VACANCY</v>
      </c>
      <c r="G44" s="178" t="s">
        <v>676</v>
      </c>
      <c r="H44" s="179">
        <f t="shared" si="0"/>
        <v>10328559.575539038</v>
      </c>
      <c r="I44" s="180">
        <f t="shared" si="1"/>
        <v>0</v>
      </c>
      <c r="J44" s="181">
        <f t="shared" si="2"/>
        <v>0</v>
      </c>
      <c r="K44" s="182">
        <v>0</v>
      </c>
      <c r="L44" s="180" t="str">
        <f t="shared" si="7"/>
        <v/>
      </c>
      <c r="M44" s="218">
        <f>SUMIFS(DATA!$L:$L,DATA!$O:$O,$B44,DATA!$N:$N,$A44,DATA!$M:$M,'SALES BY SYSTEM'!$O$1)</f>
        <v>0</v>
      </c>
      <c r="N44" s="182">
        <v>2611003.286955094</v>
      </c>
      <c r="O44" s="180">
        <f t="shared" si="3"/>
        <v>0</v>
      </c>
      <c r="P44" s="218">
        <f>SUMIFS(DATA!$L:$L,DATA!$O:$O,$B44,DATA!$N:$N,$A44,DATA!$M:$M,'SALES BY SYSTEM'!$O$2)</f>
        <v>0</v>
      </c>
      <c r="Q44" s="182">
        <v>7717556.2885839427</v>
      </c>
      <c r="R44" s="180">
        <f t="shared" si="4"/>
        <v>0</v>
      </c>
      <c r="S44" s="218">
        <f>SUMIFS(DATA!$L:$L,DATA!$O:$O,$B44,DATA!$N:$N,$A44,DATA!$M:$M,'SALES BY SYSTEM'!$O$4)</f>
        <v>0</v>
      </c>
      <c r="T44" s="182">
        <v>0</v>
      </c>
      <c r="U44" s="180" t="str">
        <f t="shared" si="5"/>
        <v/>
      </c>
      <c r="V44" s="218">
        <f>SUMIFS(DATA!$L:$L,DATA!$O:$O,$B44,DATA!$N:$N,$A44,DATA!$M:$M,'SALES BY SYSTEM'!$O$3)</f>
        <v>0</v>
      </c>
      <c r="W44" s="168"/>
    </row>
    <row r="45" spans="1:23" ht="15.75" customHeight="1" x14ac:dyDescent="0.25">
      <c r="A45" s="139" t="s">
        <v>520</v>
      </c>
      <c r="B45" s="139" t="s">
        <v>432</v>
      </c>
      <c r="C45" s="178" t="str">
        <f>VLOOKUP(A45,CUSTOMER!$A:$C,3,0)</f>
        <v>BIGC_HPHONG</v>
      </c>
      <c r="D45" s="178" t="s">
        <v>674</v>
      </c>
      <c r="E45" s="178" t="str">
        <f>VLOOKUP(A45,CUSTOMER!$A$2:$H$1094,5,0)</f>
        <v>LE NAM PHUONG</v>
      </c>
      <c r="F45" s="178" t="str">
        <f>VLOOKUP(A45,CUSTOMER!$A$2:$I$1094,6,0)</f>
        <v>VACANCY</v>
      </c>
      <c r="G45" s="178" t="s">
        <v>676</v>
      </c>
      <c r="H45" s="179">
        <f t="shared" si="0"/>
        <v>10328559.575539038</v>
      </c>
      <c r="I45" s="180">
        <f t="shared" si="1"/>
        <v>0</v>
      </c>
      <c r="J45" s="181">
        <f t="shared" si="2"/>
        <v>0</v>
      </c>
      <c r="K45" s="182">
        <v>0</v>
      </c>
      <c r="L45" s="180" t="str">
        <f t="shared" si="7"/>
        <v/>
      </c>
      <c r="M45" s="218">
        <f>SUMIFS(DATA!$L:$L,DATA!$O:$O,$B45,DATA!$N:$N,$A45,DATA!$M:$M,'SALES BY SYSTEM'!$O$1)</f>
        <v>0</v>
      </c>
      <c r="N45" s="182">
        <v>2611003.286955094</v>
      </c>
      <c r="O45" s="180">
        <f t="shared" si="3"/>
        <v>0</v>
      </c>
      <c r="P45" s="218">
        <f>SUMIFS(DATA!$L:$L,DATA!$O:$O,$B45,DATA!$N:$N,$A45,DATA!$M:$M,'SALES BY SYSTEM'!$O$2)</f>
        <v>0</v>
      </c>
      <c r="Q45" s="182">
        <v>7717556.2885839427</v>
      </c>
      <c r="R45" s="180">
        <f t="shared" si="4"/>
        <v>0</v>
      </c>
      <c r="S45" s="218">
        <f>SUMIFS(DATA!$L:$L,DATA!$O:$O,$B45,DATA!$N:$N,$A45,DATA!$M:$M,'SALES BY SYSTEM'!$O$4)</f>
        <v>0</v>
      </c>
      <c r="T45" s="182">
        <v>0</v>
      </c>
      <c r="U45" s="180" t="str">
        <f t="shared" si="5"/>
        <v/>
      </c>
      <c r="V45" s="218">
        <f>SUMIFS(DATA!$L:$L,DATA!$O:$O,$B45,DATA!$N:$N,$A45,DATA!$M:$M,'SALES BY SYSTEM'!$O$3)</f>
        <v>0</v>
      </c>
      <c r="W45" s="168"/>
    </row>
    <row r="46" spans="1:23" ht="15.75" customHeight="1" x14ac:dyDescent="0.25">
      <c r="A46" s="139" t="s">
        <v>516</v>
      </c>
      <c r="B46" s="139" t="s">
        <v>432</v>
      </c>
      <c r="C46" s="178" t="str">
        <f>VLOOKUP(A46,CUSTOMER!$A:$C,3,0)</f>
        <v>BIGC_HUE</v>
      </c>
      <c r="D46" s="178" t="s">
        <v>674</v>
      </c>
      <c r="E46" s="178" t="str">
        <f>VLOOKUP(A46,CUSTOMER!$A$2:$H$1094,5,0)</f>
        <v>LE NAM PHUONG</v>
      </c>
      <c r="F46" s="178" t="str">
        <f>VLOOKUP(A46,CUSTOMER!$A$2:$I$1094,6,0)</f>
        <v>VACANCY</v>
      </c>
      <c r="G46" s="178" t="s">
        <v>676</v>
      </c>
      <c r="H46" s="179">
        <f t="shared" si="0"/>
        <v>10328559.575539038</v>
      </c>
      <c r="I46" s="180">
        <f t="shared" si="1"/>
        <v>0</v>
      </c>
      <c r="J46" s="181">
        <f t="shared" si="2"/>
        <v>0</v>
      </c>
      <c r="K46" s="182">
        <v>0</v>
      </c>
      <c r="L46" s="180" t="str">
        <f t="shared" si="7"/>
        <v/>
      </c>
      <c r="M46" s="218">
        <f>SUMIFS(DATA!$L:$L,DATA!$O:$O,$B46,DATA!$N:$N,$A46,DATA!$M:$M,'SALES BY SYSTEM'!$O$1)</f>
        <v>0</v>
      </c>
      <c r="N46" s="182">
        <v>2611003.286955094</v>
      </c>
      <c r="O46" s="180">
        <f t="shared" si="3"/>
        <v>0</v>
      </c>
      <c r="P46" s="218">
        <f>SUMIFS(DATA!$L:$L,DATA!$O:$O,$B46,DATA!$N:$N,$A46,DATA!$M:$M,'SALES BY SYSTEM'!$O$2)</f>
        <v>0</v>
      </c>
      <c r="Q46" s="182">
        <v>7717556.2885839427</v>
      </c>
      <c r="R46" s="180">
        <f t="shared" si="4"/>
        <v>0</v>
      </c>
      <c r="S46" s="218">
        <f>SUMIFS(DATA!$L:$L,DATA!$O:$O,$B46,DATA!$N:$N,$A46,DATA!$M:$M,'SALES BY SYSTEM'!$O$4)</f>
        <v>0</v>
      </c>
      <c r="T46" s="182">
        <v>0</v>
      </c>
      <c r="U46" s="180" t="str">
        <f t="shared" si="5"/>
        <v/>
      </c>
      <c r="V46" s="218">
        <f>SUMIFS(DATA!$L:$L,DATA!$O:$O,$B46,DATA!$N:$N,$A46,DATA!$M:$M,'SALES BY SYSTEM'!$O$3)</f>
        <v>0</v>
      </c>
      <c r="W46" s="168"/>
    </row>
    <row r="47" spans="1:23" ht="15.75" customHeight="1" x14ac:dyDescent="0.25">
      <c r="A47" s="139" t="s">
        <v>546</v>
      </c>
      <c r="B47" s="139" t="s">
        <v>432</v>
      </c>
      <c r="C47" s="178" t="str">
        <f>VLOOKUP(A47,CUSTOMER!$A:$C,3,0)</f>
        <v>BIGC_MLINH</v>
      </c>
      <c r="D47" s="178" t="s">
        <v>674</v>
      </c>
      <c r="E47" s="178" t="str">
        <f>VLOOKUP(A47,CUSTOMER!$A$2:$H$1094,5,0)</f>
        <v>LE NAM PHUONG</v>
      </c>
      <c r="F47" s="178" t="str">
        <f>VLOOKUP(A47,CUSTOMER!$A$2:$I$1094,6,0)</f>
        <v>LE THI HONG DIEP</v>
      </c>
      <c r="G47" s="178" t="s">
        <v>676</v>
      </c>
      <c r="H47" s="179">
        <f t="shared" si="0"/>
        <v>10328559.575539038</v>
      </c>
      <c r="I47" s="180">
        <f t="shared" si="1"/>
        <v>0</v>
      </c>
      <c r="J47" s="181">
        <f t="shared" si="2"/>
        <v>0</v>
      </c>
      <c r="K47" s="182">
        <v>0</v>
      </c>
      <c r="L47" s="180" t="str">
        <f t="shared" si="7"/>
        <v/>
      </c>
      <c r="M47" s="218">
        <f>SUMIFS(DATA!$L:$L,DATA!$O:$O,$B47,DATA!$N:$N,$A47,DATA!$M:$M,'SALES BY SYSTEM'!$O$1)</f>
        <v>0</v>
      </c>
      <c r="N47" s="182">
        <v>2611003.286955094</v>
      </c>
      <c r="O47" s="180">
        <f t="shared" si="3"/>
        <v>0</v>
      </c>
      <c r="P47" s="218">
        <f>SUMIFS(DATA!$L:$L,DATA!$O:$O,$B47,DATA!$N:$N,$A47,DATA!$M:$M,'SALES BY SYSTEM'!$O$2)</f>
        <v>0</v>
      </c>
      <c r="Q47" s="182">
        <v>7717556.2885839427</v>
      </c>
      <c r="R47" s="180">
        <f t="shared" si="4"/>
        <v>0</v>
      </c>
      <c r="S47" s="218">
        <f>SUMIFS(DATA!$L:$L,DATA!$O:$O,$B47,DATA!$N:$N,$A47,DATA!$M:$M,'SALES BY SYSTEM'!$O$4)</f>
        <v>0</v>
      </c>
      <c r="T47" s="182">
        <v>0</v>
      </c>
      <c r="U47" s="180" t="str">
        <f t="shared" si="5"/>
        <v/>
      </c>
      <c r="V47" s="218">
        <f>SUMIFS(DATA!$L:$L,DATA!$O:$O,$B47,DATA!$N:$N,$A47,DATA!$M:$M,'SALES BY SYSTEM'!$O$3)</f>
        <v>0</v>
      </c>
      <c r="W47" s="168"/>
    </row>
    <row r="48" spans="1:23" ht="15.75" customHeight="1" x14ac:dyDescent="0.25">
      <c r="A48" s="139" t="s">
        <v>460</v>
      </c>
      <c r="B48" s="139" t="s">
        <v>432</v>
      </c>
      <c r="C48" s="178" t="str">
        <f>VLOOKUP(A48,CUSTOMER!$A:$C,3,0)</f>
        <v>BIGC_MTHO</v>
      </c>
      <c r="D48" s="178" t="s">
        <v>674</v>
      </c>
      <c r="E48" s="178" t="str">
        <f>VLOOKUP(A48,CUSTOMER!$A$2:$H$1094,5,0)</f>
        <v>LE NAM PHUONG</v>
      </c>
      <c r="F48" s="178" t="str">
        <f>VLOOKUP(A48,CUSTOMER!$A$2:$I$1094,6,0)</f>
        <v>VACANCY</v>
      </c>
      <c r="G48" s="178" t="s">
        <v>676</v>
      </c>
      <c r="H48" s="179">
        <f t="shared" si="0"/>
        <v>10328559.575539038</v>
      </c>
      <c r="I48" s="180">
        <f t="shared" si="1"/>
        <v>0</v>
      </c>
      <c r="J48" s="181">
        <f t="shared" si="2"/>
        <v>0</v>
      </c>
      <c r="K48" s="182">
        <v>0</v>
      </c>
      <c r="L48" s="180" t="str">
        <f t="shared" si="7"/>
        <v/>
      </c>
      <c r="M48" s="218">
        <f>SUMIFS(DATA!$L:$L,DATA!$O:$O,$B48,DATA!$N:$N,$A48,DATA!$M:$M,'SALES BY SYSTEM'!$O$1)</f>
        <v>0</v>
      </c>
      <c r="N48" s="182">
        <v>2611003.286955094</v>
      </c>
      <c r="O48" s="180">
        <f t="shared" si="3"/>
        <v>0</v>
      </c>
      <c r="P48" s="218">
        <f>SUMIFS(DATA!$L:$L,DATA!$O:$O,$B48,DATA!$N:$N,$A48,DATA!$M:$M,'SALES BY SYSTEM'!$O$2)</f>
        <v>0</v>
      </c>
      <c r="Q48" s="182">
        <v>7717556.2885839427</v>
      </c>
      <c r="R48" s="180">
        <f t="shared" si="4"/>
        <v>0</v>
      </c>
      <c r="S48" s="218">
        <f>SUMIFS(DATA!$L:$L,DATA!$O:$O,$B48,DATA!$N:$N,$A48,DATA!$M:$M,'SALES BY SYSTEM'!$O$4)</f>
        <v>0</v>
      </c>
      <c r="T48" s="182">
        <v>0</v>
      </c>
      <c r="U48" s="180" t="str">
        <f t="shared" si="5"/>
        <v/>
      </c>
      <c r="V48" s="218">
        <f>SUMIFS(DATA!$L:$L,DATA!$O:$O,$B48,DATA!$N:$N,$A48,DATA!$M:$M,'SALES BY SYSTEM'!$O$3)</f>
        <v>0</v>
      </c>
      <c r="W48" s="168"/>
    </row>
    <row r="49" spans="1:23" ht="15.75" customHeight="1" x14ac:dyDescent="0.25">
      <c r="A49" s="139" t="s">
        <v>542</v>
      </c>
      <c r="B49" s="139" t="s">
        <v>432</v>
      </c>
      <c r="C49" s="178" t="str">
        <f>VLOOKUP(A49,CUSTOMER!$A:$C,3,0)</f>
        <v>BIGC_NDINH</v>
      </c>
      <c r="D49" s="178" t="s">
        <v>674</v>
      </c>
      <c r="E49" s="178" t="str">
        <f>VLOOKUP(A49,CUSTOMER!$A$2:$H$1094,5,0)</f>
        <v>LE NAM PHUONG</v>
      </c>
      <c r="F49" s="178" t="str">
        <f>VLOOKUP(A49,CUSTOMER!$A$2:$I$1094,6,0)</f>
        <v>VACANCY</v>
      </c>
      <c r="G49" s="178" t="s">
        <v>676</v>
      </c>
      <c r="H49" s="179">
        <f t="shared" si="0"/>
        <v>10328559.575539038</v>
      </c>
      <c r="I49" s="180">
        <f t="shared" si="1"/>
        <v>0</v>
      </c>
      <c r="J49" s="181">
        <f t="shared" si="2"/>
        <v>0</v>
      </c>
      <c r="K49" s="182">
        <v>0</v>
      </c>
      <c r="L49" s="180" t="str">
        <f t="shared" si="7"/>
        <v/>
      </c>
      <c r="M49" s="218">
        <f>SUMIFS(DATA!$L:$L,DATA!$O:$O,$B49,DATA!$N:$N,$A49,DATA!$M:$M,'SALES BY SYSTEM'!$O$1)</f>
        <v>0</v>
      </c>
      <c r="N49" s="182">
        <v>2611003.286955094</v>
      </c>
      <c r="O49" s="180">
        <f t="shared" si="3"/>
        <v>0</v>
      </c>
      <c r="P49" s="218">
        <f>SUMIFS(DATA!$L:$L,DATA!$O:$O,$B49,DATA!$N:$N,$A49,DATA!$M:$M,'SALES BY SYSTEM'!$O$2)</f>
        <v>0</v>
      </c>
      <c r="Q49" s="182">
        <v>7717556.2885839427</v>
      </c>
      <c r="R49" s="180">
        <f t="shared" si="4"/>
        <v>0</v>
      </c>
      <c r="S49" s="218">
        <f>SUMIFS(DATA!$L:$L,DATA!$O:$O,$B49,DATA!$N:$N,$A49,DATA!$M:$M,'SALES BY SYSTEM'!$O$4)</f>
        <v>0</v>
      </c>
      <c r="T49" s="182">
        <v>0</v>
      </c>
      <c r="U49" s="180" t="str">
        <f t="shared" si="5"/>
        <v/>
      </c>
      <c r="V49" s="218">
        <f>SUMIFS(DATA!$L:$L,DATA!$O:$O,$B49,DATA!$N:$N,$A49,DATA!$M:$M,'SALES BY SYSTEM'!$O$3)</f>
        <v>0</v>
      </c>
      <c r="W49" s="168"/>
    </row>
    <row r="50" spans="1:23" ht="15.75" customHeight="1" x14ac:dyDescent="0.25">
      <c r="A50" s="139" t="s">
        <v>548</v>
      </c>
      <c r="B50" s="139" t="s">
        <v>432</v>
      </c>
      <c r="C50" s="178" t="str">
        <f>VLOOKUP(A50,CUSTOMER!$A:$C,3,0)</f>
        <v>BIGC_NBINH</v>
      </c>
      <c r="D50" s="178" t="s">
        <v>674</v>
      </c>
      <c r="E50" s="178" t="str">
        <f>VLOOKUP(A50,CUSTOMER!$A$2:$H$1094,5,0)</f>
        <v>LE NAM PHUONG</v>
      </c>
      <c r="F50" s="178" t="str">
        <f>VLOOKUP(A50,CUSTOMER!$A$2:$I$1094,6,0)</f>
        <v>VACANCY</v>
      </c>
      <c r="G50" s="178" t="s">
        <v>676</v>
      </c>
      <c r="H50" s="179">
        <f t="shared" si="0"/>
        <v>10079606.146875042</v>
      </c>
      <c r="I50" s="180">
        <f t="shared" si="1"/>
        <v>0</v>
      </c>
      <c r="J50" s="181">
        <f t="shared" si="2"/>
        <v>0</v>
      </c>
      <c r="K50" s="182">
        <v>0</v>
      </c>
      <c r="L50" s="180" t="str">
        <f t="shared" si="7"/>
        <v/>
      </c>
      <c r="M50" s="218">
        <f>SUMIFS(DATA!$L:$L,DATA!$O:$O,$B50,DATA!$N:$N,$A50,DATA!$M:$M,'SALES BY SYSTEM'!$O$1)</f>
        <v>0</v>
      </c>
      <c r="N50" s="182">
        <v>2611003.286955094</v>
      </c>
      <c r="O50" s="180">
        <f t="shared" si="3"/>
        <v>0</v>
      </c>
      <c r="P50" s="218">
        <f>SUMIFS(DATA!$L:$L,DATA!$O:$O,$B50,DATA!$N:$N,$A50,DATA!$M:$M,'SALES BY SYSTEM'!$O$2)</f>
        <v>0</v>
      </c>
      <c r="Q50" s="182">
        <v>7468602.8599199476</v>
      </c>
      <c r="R50" s="180">
        <f t="shared" si="4"/>
        <v>0</v>
      </c>
      <c r="S50" s="218">
        <f>SUMIFS(DATA!$L:$L,DATA!$O:$O,$B50,DATA!$N:$N,$A50,DATA!$M:$M,'SALES BY SYSTEM'!$O$4)</f>
        <v>0</v>
      </c>
      <c r="T50" s="182">
        <v>0</v>
      </c>
      <c r="U50" s="180" t="str">
        <f t="shared" si="5"/>
        <v/>
      </c>
      <c r="V50" s="218">
        <f>SUMIFS(DATA!$L:$L,DATA!$O:$O,$B50,DATA!$N:$N,$A50,DATA!$M:$M,'SALES BY SYSTEM'!$O$3)</f>
        <v>0</v>
      </c>
      <c r="W50" s="168"/>
    </row>
    <row r="51" spans="1:23" ht="15.75" customHeight="1" x14ac:dyDescent="0.25">
      <c r="A51" s="139" t="s">
        <v>458</v>
      </c>
      <c r="B51" s="139" t="s">
        <v>432</v>
      </c>
      <c r="C51" s="178" t="str">
        <f>VLOOKUP(A51,CUSTOMER!$A:$C,3,0)</f>
        <v>BIGC_QNGAI</v>
      </c>
      <c r="D51" s="178" t="s">
        <v>674</v>
      </c>
      <c r="E51" s="178" t="str">
        <f>VLOOKUP(A51,CUSTOMER!$A$2:$H$1094,5,0)</f>
        <v>LE NAM PHUONG</v>
      </c>
      <c r="F51" s="178" t="str">
        <f>VLOOKUP(A51,CUSTOMER!$A$2:$I$1094,6,0)</f>
        <v>VACANCY</v>
      </c>
      <c r="G51" s="178" t="s">
        <v>676</v>
      </c>
      <c r="H51" s="179">
        <f t="shared" si="0"/>
        <v>10079606.146875042</v>
      </c>
      <c r="I51" s="180">
        <f t="shared" si="1"/>
        <v>0</v>
      </c>
      <c r="J51" s="181">
        <f t="shared" si="2"/>
        <v>0</v>
      </c>
      <c r="K51" s="182">
        <v>0</v>
      </c>
      <c r="L51" s="180" t="str">
        <f t="shared" si="7"/>
        <v/>
      </c>
      <c r="M51" s="218">
        <f>SUMIFS(DATA!$L:$L,DATA!$O:$O,$B51,DATA!$N:$N,$A51,DATA!$M:$M,'SALES BY SYSTEM'!$O$1)</f>
        <v>0</v>
      </c>
      <c r="N51" s="182">
        <v>2611003.286955094</v>
      </c>
      <c r="O51" s="180">
        <f t="shared" si="3"/>
        <v>0</v>
      </c>
      <c r="P51" s="218">
        <f>SUMIFS(DATA!$L:$L,DATA!$O:$O,$B51,DATA!$N:$N,$A51,DATA!$M:$M,'SALES BY SYSTEM'!$O$2)</f>
        <v>0</v>
      </c>
      <c r="Q51" s="182">
        <v>7468602.8599199476</v>
      </c>
      <c r="R51" s="180">
        <f t="shared" si="4"/>
        <v>0</v>
      </c>
      <c r="S51" s="218">
        <f>SUMIFS(DATA!$L:$L,DATA!$O:$O,$B51,DATA!$N:$N,$A51,DATA!$M:$M,'SALES BY SYSTEM'!$O$4)</f>
        <v>0</v>
      </c>
      <c r="T51" s="182">
        <v>0</v>
      </c>
      <c r="U51" s="180" t="str">
        <f t="shared" si="5"/>
        <v/>
      </c>
      <c r="V51" s="218">
        <f>SUMIFS(DATA!$L:$L,DATA!$O:$O,$B51,DATA!$N:$N,$A51,DATA!$M:$M,'SALES BY SYSTEM'!$O$3)</f>
        <v>0</v>
      </c>
      <c r="W51" s="168"/>
    </row>
    <row r="52" spans="1:23" ht="15.75" customHeight="1" x14ac:dyDescent="0.25">
      <c r="A52" s="139" t="s">
        <v>506</v>
      </c>
      <c r="B52" s="139" t="s">
        <v>432</v>
      </c>
      <c r="C52" s="178" t="str">
        <f>VLOOKUP(A52,CUSTOMER!$A:$C,3,0)</f>
        <v>BIGC_QNHON</v>
      </c>
      <c r="D52" s="178" t="s">
        <v>674</v>
      </c>
      <c r="E52" s="178" t="str">
        <f>VLOOKUP(A52,CUSTOMER!$A$2:$H$1094,5,0)</f>
        <v>LE NAM PHUONG</v>
      </c>
      <c r="F52" s="178" t="str">
        <f>VLOOKUP(A52,CUSTOMER!$A$2:$I$1094,6,0)</f>
        <v>VACANCY</v>
      </c>
      <c r="G52" s="178" t="s">
        <v>676</v>
      </c>
      <c r="H52" s="179">
        <f t="shared" si="0"/>
        <v>10079606.146875042</v>
      </c>
      <c r="I52" s="180">
        <f t="shared" si="1"/>
        <v>0</v>
      </c>
      <c r="J52" s="181">
        <f t="shared" si="2"/>
        <v>0</v>
      </c>
      <c r="K52" s="182">
        <v>0</v>
      </c>
      <c r="L52" s="180" t="str">
        <f t="shared" si="7"/>
        <v/>
      </c>
      <c r="M52" s="218">
        <f>SUMIFS(DATA!$L:$L,DATA!$O:$O,$B52,DATA!$N:$N,$A52,DATA!$M:$M,'SALES BY SYSTEM'!$O$1)</f>
        <v>0</v>
      </c>
      <c r="N52" s="182">
        <v>2611003.286955094</v>
      </c>
      <c r="O52" s="180">
        <f t="shared" si="3"/>
        <v>0</v>
      </c>
      <c r="P52" s="218">
        <f>SUMIFS(DATA!$L:$L,DATA!$O:$O,$B52,DATA!$N:$N,$A52,DATA!$M:$M,'SALES BY SYSTEM'!$O$2)</f>
        <v>0</v>
      </c>
      <c r="Q52" s="182">
        <v>7468602.8599199476</v>
      </c>
      <c r="R52" s="180">
        <f t="shared" si="4"/>
        <v>0</v>
      </c>
      <c r="S52" s="218">
        <f>SUMIFS(DATA!$L:$L,DATA!$O:$O,$B52,DATA!$N:$N,$A52,DATA!$M:$M,'SALES BY SYSTEM'!$O$4)</f>
        <v>0</v>
      </c>
      <c r="T52" s="182">
        <v>0</v>
      </c>
      <c r="U52" s="180" t="str">
        <f t="shared" si="5"/>
        <v/>
      </c>
      <c r="V52" s="218">
        <f>SUMIFS(DATA!$L:$L,DATA!$O:$O,$B52,DATA!$N:$N,$A52,DATA!$M:$M,'SALES BY SYSTEM'!$O$3)</f>
        <v>0</v>
      </c>
      <c r="W52" s="168"/>
    </row>
    <row r="53" spans="1:23" ht="15.75" customHeight="1" x14ac:dyDescent="0.25">
      <c r="A53" s="139" t="s">
        <v>434</v>
      </c>
      <c r="B53" s="139" t="s">
        <v>432</v>
      </c>
      <c r="C53" s="178" t="str">
        <f>VLOOKUP(A53,CUSTOMER!$A:$C,3,0)</f>
        <v>BIGC_THIEP</v>
      </c>
      <c r="D53" s="178" t="s">
        <v>674</v>
      </c>
      <c r="E53" s="178" t="str">
        <f>VLOOKUP(A53,CUSTOMER!$A$2:$H$1094,5,0)</f>
        <v>LE NAM PHUONG</v>
      </c>
      <c r="F53" s="178" t="str">
        <f>VLOOKUP(A53,CUSTOMER!$A$2:$I$1094,6,0)</f>
        <v>TRAN THI NHAN</v>
      </c>
      <c r="G53" s="178" t="s">
        <v>676</v>
      </c>
      <c r="H53" s="179">
        <f t="shared" si="0"/>
        <v>10079606.146875042</v>
      </c>
      <c r="I53" s="180">
        <f t="shared" si="1"/>
        <v>0</v>
      </c>
      <c r="J53" s="181">
        <f t="shared" si="2"/>
        <v>0</v>
      </c>
      <c r="K53" s="182">
        <v>0</v>
      </c>
      <c r="L53" s="180" t="str">
        <f t="shared" si="7"/>
        <v/>
      </c>
      <c r="M53" s="218">
        <f>SUMIFS(DATA!$L:$L,DATA!$O:$O,$B53,DATA!$N:$N,$A53,DATA!$M:$M,'SALES BY SYSTEM'!$O$1)</f>
        <v>0</v>
      </c>
      <c r="N53" s="182">
        <v>2611003.286955094</v>
      </c>
      <c r="O53" s="180">
        <f t="shared" si="3"/>
        <v>0</v>
      </c>
      <c r="P53" s="218">
        <f>SUMIFS(DATA!$L:$L,DATA!$O:$O,$B53,DATA!$N:$N,$A53,DATA!$M:$M,'SALES BY SYSTEM'!$O$2)</f>
        <v>0</v>
      </c>
      <c r="Q53" s="182">
        <v>7468602.8599199476</v>
      </c>
      <c r="R53" s="180">
        <f t="shared" si="4"/>
        <v>0</v>
      </c>
      <c r="S53" s="218">
        <f>SUMIFS(DATA!$L:$L,DATA!$O:$O,$B53,DATA!$N:$N,$A53,DATA!$M:$M,'SALES BY SYSTEM'!$O$4)</f>
        <v>0</v>
      </c>
      <c r="T53" s="182">
        <v>0</v>
      </c>
      <c r="U53" s="180" t="str">
        <f t="shared" si="5"/>
        <v/>
      </c>
      <c r="V53" s="218">
        <f>SUMIFS(DATA!$L:$L,DATA!$O:$O,$B53,DATA!$N:$N,$A53,DATA!$M:$M,'SALES BY SYSTEM'!$O$3)</f>
        <v>0</v>
      </c>
      <c r="W53" s="168"/>
    </row>
    <row r="54" spans="1:23" ht="15.75" customHeight="1" x14ac:dyDescent="0.25">
      <c r="A54" s="139" t="s">
        <v>454</v>
      </c>
      <c r="B54" s="139" t="s">
        <v>432</v>
      </c>
      <c r="C54" s="178" t="str">
        <f>VLOOKUP(A54,CUSTOMER!$A:$C,3,0)</f>
        <v>BIGC_GO_TNGUYEN</v>
      </c>
      <c r="D54" s="178" t="s">
        <v>674</v>
      </c>
      <c r="E54" s="178" t="str">
        <f>VLOOKUP(A54,CUSTOMER!$A$2:$H$1094,5,0)</f>
        <v>LE NAM PHUONG</v>
      </c>
      <c r="F54" s="178" t="str">
        <f>VLOOKUP(A54,CUSTOMER!$A$2:$I$1094,6,0)</f>
        <v>VACANCY</v>
      </c>
      <c r="G54" s="178" t="s">
        <v>676</v>
      </c>
      <c r="H54" s="179">
        <f t="shared" si="0"/>
        <v>10079606.146875042</v>
      </c>
      <c r="I54" s="180">
        <f t="shared" si="1"/>
        <v>0</v>
      </c>
      <c r="J54" s="181">
        <f t="shared" si="2"/>
        <v>0</v>
      </c>
      <c r="K54" s="182">
        <v>0</v>
      </c>
      <c r="L54" s="180" t="str">
        <f t="shared" si="7"/>
        <v/>
      </c>
      <c r="M54" s="218">
        <f>SUMIFS(DATA!$L:$L,DATA!$O:$O,$B54,DATA!$N:$N,$A54,DATA!$M:$M,'SALES BY SYSTEM'!$O$1)</f>
        <v>0</v>
      </c>
      <c r="N54" s="182">
        <v>2611003.286955094</v>
      </c>
      <c r="O54" s="180">
        <f t="shared" si="3"/>
        <v>0</v>
      </c>
      <c r="P54" s="218">
        <f>SUMIFS(DATA!$L:$L,DATA!$O:$O,$B54,DATA!$N:$N,$A54,DATA!$M:$M,'SALES BY SYSTEM'!$O$2)</f>
        <v>0</v>
      </c>
      <c r="Q54" s="182">
        <v>7468602.8599199476</v>
      </c>
      <c r="R54" s="180">
        <f t="shared" si="4"/>
        <v>0</v>
      </c>
      <c r="S54" s="218">
        <f>SUMIFS(DATA!$L:$L,DATA!$O:$O,$B54,DATA!$N:$N,$A54,DATA!$M:$M,'SALES BY SYSTEM'!$O$4)</f>
        <v>0</v>
      </c>
      <c r="T54" s="182">
        <v>0</v>
      </c>
      <c r="U54" s="180" t="str">
        <f t="shared" si="5"/>
        <v/>
      </c>
      <c r="V54" s="218">
        <f>SUMIFS(DATA!$L:$L,DATA!$O:$O,$B54,DATA!$N:$N,$A54,DATA!$M:$M,'SALES BY SYSTEM'!$O$3)</f>
        <v>0</v>
      </c>
      <c r="W54" s="168"/>
    </row>
    <row r="55" spans="1:23" ht="15.75" customHeight="1" x14ac:dyDescent="0.25">
      <c r="A55" s="139" t="s">
        <v>508</v>
      </c>
      <c r="B55" s="139" t="s">
        <v>432</v>
      </c>
      <c r="C55" s="178" t="str">
        <f>VLOOKUP(A55,CUSTOMER!$A:$C,3,0)</f>
        <v>BIGC_THOA</v>
      </c>
      <c r="D55" s="178" t="s">
        <v>674</v>
      </c>
      <c r="E55" s="178" t="str">
        <f>VLOOKUP(A55,CUSTOMER!$A$2:$H$1094,5,0)</f>
        <v>LE NAM PHUONG</v>
      </c>
      <c r="F55" s="178" t="str">
        <f>VLOOKUP(A55,CUSTOMER!$A$2:$I$1094,6,0)</f>
        <v>VACANCY</v>
      </c>
      <c r="G55" s="178" t="s">
        <v>676</v>
      </c>
      <c r="H55" s="179">
        <f t="shared" si="0"/>
        <v>10079606.146875042</v>
      </c>
      <c r="I55" s="180">
        <f t="shared" si="1"/>
        <v>0</v>
      </c>
      <c r="J55" s="181">
        <f t="shared" si="2"/>
        <v>0</v>
      </c>
      <c r="K55" s="182">
        <v>0</v>
      </c>
      <c r="L55" s="180" t="str">
        <f t="shared" si="7"/>
        <v/>
      </c>
      <c r="M55" s="218">
        <f>SUMIFS(DATA!$L:$L,DATA!$O:$O,$B55,DATA!$N:$N,$A55,DATA!$M:$M,'SALES BY SYSTEM'!$O$1)</f>
        <v>0</v>
      </c>
      <c r="N55" s="182">
        <v>2611003.286955094</v>
      </c>
      <c r="O55" s="180">
        <f t="shared" si="3"/>
        <v>0</v>
      </c>
      <c r="P55" s="218">
        <f>SUMIFS(DATA!$L:$L,DATA!$O:$O,$B55,DATA!$N:$N,$A55,DATA!$M:$M,'SALES BY SYSTEM'!$O$2)</f>
        <v>0</v>
      </c>
      <c r="Q55" s="182">
        <v>7468602.8599199476</v>
      </c>
      <c r="R55" s="180">
        <f t="shared" si="4"/>
        <v>0</v>
      </c>
      <c r="S55" s="218">
        <f>SUMIFS(DATA!$L:$L,DATA!$O:$O,$B55,DATA!$N:$N,$A55,DATA!$M:$M,'SALES BY SYSTEM'!$O$4)</f>
        <v>0</v>
      </c>
      <c r="T55" s="182">
        <v>0</v>
      </c>
      <c r="U55" s="180" t="str">
        <f t="shared" si="5"/>
        <v/>
      </c>
      <c r="V55" s="218">
        <f>SUMIFS(DATA!$L:$L,DATA!$O:$O,$B55,DATA!$N:$N,$A55,DATA!$M:$M,'SALES BY SYSTEM'!$O$3)</f>
        <v>0</v>
      </c>
      <c r="W55" s="168"/>
    </row>
    <row r="56" spans="1:23" ht="15.75" customHeight="1" x14ac:dyDescent="0.25">
      <c r="A56" s="139" t="s">
        <v>558</v>
      </c>
      <c r="B56" s="139" t="s">
        <v>432</v>
      </c>
      <c r="C56" s="178" t="str">
        <f>VLOOKUP(A56,CUSTOMER!$A:$C,3,0)</f>
        <v>BIGC_TVINH</v>
      </c>
      <c r="D56" s="178" t="s">
        <v>674</v>
      </c>
      <c r="E56" s="178" t="str">
        <f>VLOOKUP(A56,CUSTOMER!$A$2:$H$1094,5,0)</f>
        <v>LE NAM PHUONG</v>
      </c>
      <c r="F56" s="178" t="str">
        <f>VLOOKUP(A56,CUSTOMER!$A$2:$I$1094,6,0)</f>
        <v>VACANCY</v>
      </c>
      <c r="G56" s="178" t="s">
        <v>676</v>
      </c>
      <c r="H56" s="179">
        <f t="shared" si="0"/>
        <v>10079606.146875042</v>
      </c>
      <c r="I56" s="180">
        <f t="shared" si="1"/>
        <v>0</v>
      </c>
      <c r="J56" s="181">
        <f t="shared" si="2"/>
        <v>0</v>
      </c>
      <c r="K56" s="182">
        <v>0</v>
      </c>
      <c r="L56" s="180" t="str">
        <f t="shared" si="7"/>
        <v/>
      </c>
      <c r="M56" s="218">
        <f>SUMIFS(DATA!$L:$L,DATA!$O:$O,$B56,DATA!$N:$N,$A56,DATA!$M:$M,'SALES BY SYSTEM'!$O$1)</f>
        <v>0</v>
      </c>
      <c r="N56" s="182">
        <v>2611003.286955094</v>
      </c>
      <c r="O56" s="180">
        <f t="shared" si="3"/>
        <v>0</v>
      </c>
      <c r="P56" s="218">
        <f>SUMIFS(DATA!$L:$L,DATA!$O:$O,$B56,DATA!$N:$N,$A56,DATA!$M:$M,'SALES BY SYSTEM'!$O$2)</f>
        <v>0</v>
      </c>
      <c r="Q56" s="182">
        <v>7468602.8599199476</v>
      </c>
      <c r="R56" s="180">
        <f t="shared" si="4"/>
        <v>0</v>
      </c>
      <c r="S56" s="218">
        <f>SUMIFS(DATA!$L:$L,DATA!$O:$O,$B56,DATA!$N:$N,$A56,DATA!$M:$M,'SALES BY SYSTEM'!$O$4)</f>
        <v>0</v>
      </c>
      <c r="T56" s="182">
        <v>0</v>
      </c>
      <c r="U56" s="180" t="str">
        <f t="shared" si="5"/>
        <v/>
      </c>
      <c r="V56" s="218">
        <f>SUMIFS(DATA!$L:$L,DATA!$O:$O,$B56,DATA!$N:$N,$A56,DATA!$M:$M,'SALES BY SYSTEM'!$O$3)</f>
        <v>0</v>
      </c>
      <c r="W56" s="168"/>
    </row>
    <row r="57" spans="1:23" ht="15.75" customHeight="1" x14ac:dyDescent="0.25">
      <c r="A57" s="139" t="s">
        <v>436</v>
      </c>
      <c r="B57" s="139" t="s">
        <v>432</v>
      </c>
      <c r="C57" s="178" t="str">
        <f>VLOOKUP(A57,CUSTOMER!$A:$C,3,0)</f>
        <v>BIGC_TCHINH</v>
      </c>
      <c r="D57" s="178" t="s">
        <v>674</v>
      </c>
      <c r="E57" s="178" t="str">
        <f>VLOOKUP(A57,CUSTOMER!$A$2:$H$1094,5,0)</f>
        <v>LE NAM PHUONG</v>
      </c>
      <c r="F57" s="178" t="str">
        <f>VLOOKUP(A57,CUSTOMER!$A$2:$I$1094,6,0)</f>
        <v>NGUYEN THI OANH</v>
      </c>
      <c r="G57" s="178" t="s">
        <v>676</v>
      </c>
      <c r="H57" s="179">
        <f t="shared" si="0"/>
        <v>10079606.146875042</v>
      </c>
      <c r="I57" s="180">
        <f t="shared" si="1"/>
        <v>0</v>
      </c>
      <c r="J57" s="181">
        <f t="shared" si="2"/>
        <v>0</v>
      </c>
      <c r="K57" s="182">
        <v>0</v>
      </c>
      <c r="L57" s="180" t="str">
        <f t="shared" si="7"/>
        <v/>
      </c>
      <c r="M57" s="218">
        <f>SUMIFS(DATA!$L:$L,DATA!$O:$O,$B57,DATA!$N:$N,$A57,DATA!$M:$M,'SALES BY SYSTEM'!$O$1)</f>
        <v>0</v>
      </c>
      <c r="N57" s="182">
        <v>2611003.286955094</v>
      </c>
      <c r="O57" s="180">
        <f t="shared" si="3"/>
        <v>0</v>
      </c>
      <c r="P57" s="218">
        <f>SUMIFS(DATA!$L:$L,DATA!$O:$O,$B57,DATA!$N:$N,$A57,DATA!$M:$M,'SALES BY SYSTEM'!$O$2)</f>
        <v>0</v>
      </c>
      <c r="Q57" s="182">
        <v>7468602.8599199476</v>
      </c>
      <c r="R57" s="180">
        <f t="shared" si="4"/>
        <v>0</v>
      </c>
      <c r="S57" s="218">
        <f>SUMIFS(DATA!$L:$L,DATA!$O:$O,$B57,DATA!$N:$N,$A57,DATA!$M:$M,'SALES BY SYSTEM'!$O$4)</f>
        <v>0</v>
      </c>
      <c r="T57" s="182">
        <v>0</v>
      </c>
      <c r="U57" s="180" t="str">
        <f t="shared" si="5"/>
        <v/>
      </c>
      <c r="V57" s="218">
        <f>SUMIFS(DATA!$L:$L,DATA!$O:$O,$B57,DATA!$N:$N,$A57,DATA!$M:$M,'SALES BY SYSTEM'!$O$3)</f>
        <v>0</v>
      </c>
      <c r="W57" s="168"/>
    </row>
    <row r="58" spans="1:23" ht="15.75" customHeight="1" x14ac:dyDescent="0.25">
      <c r="A58" s="139" t="s">
        <v>540</v>
      </c>
      <c r="B58" s="139" t="s">
        <v>432</v>
      </c>
      <c r="C58" s="178" t="str">
        <f>VLOOKUP(A58,CUSTOMER!$A:$C,3,0)</f>
        <v>BIGC_VTRI</v>
      </c>
      <c r="D58" s="178" t="s">
        <v>674</v>
      </c>
      <c r="E58" s="178" t="str">
        <f>VLOOKUP(A58,CUSTOMER!$A$2:$H$1094,5,0)</f>
        <v>LE NAM PHUONG</v>
      </c>
      <c r="F58" s="178" t="str">
        <f>VLOOKUP(A58,CUSTOMER!$A$2:$I$1094,6,0)</f>
        <v>VACANCY</v>
      </c>
      <c r="G58" s="178" t="s">
        <v>676</v>
      </c>
      <c r="H58" s="179">
        <f t="shared" si="0"/>
        <v>10079606.146875042</v>
      </c>
      <c r="I58" s="180">
        <f t="shared" si="1"/>
        <v>0</v>
      </c>
      <c r="J58" s="181">
        <f t="shared" si="2"/>
        <v>0</v>
      </c>
      <c r="K58" s="182">
        <v>0</v>
      </c>
      <c r="L58" s="180" t="str">
        <f t="shared" si="7"/>
        <v/>
      </c>
      <c r="M58" s="218">
        <f>SUMIFS(DATA!$L:$L,DATA!$O:$O,$B58,DATA!$N:$N,$A58,DATA!$M:$M,'SALES BY SYSTEM'!$O$1)</f>
        <v>0</v>
      </c>
      <c r="N58" s="182">
        <v>2611003.286955094</v>
      </c>
      <c r="O58" s="180">
        <f t="shared" si="3"/>
        <v>0</v>
      </c>
      <c r="P58" s="218">
        <f>SUMIFS(DATA!$L:$L,DATA!$O:$O,$B58,DATA!$N:$N,$A58,DATA!$M:$M,'SALES BY SYSTEM'!$O$2)</f>
        <v>0</v>
      </c>
      <c r="Q58" s="182">
        <v>7468602.8599199476</v>
      </c>
      <c r="R58" s="180">
        <f t="shared" si="4"/>
        <v>0</v>
      </c>
      <c r="S58" s="218">
        <f>SUMIFS(DATA!$L:$L,DATA!$O:$O,$B58,DATA!$N:$N,$A58,DATA!$M:$M,'SALES BY SYSTEM'!$O$4)</f>
        <v>0</v>
      </c>
      <c r="T58" s="182">
        <v>0</v>
      </c>
      <c r="U58" s="180" t="str">
        <f t="shared" si="5"/>
        <v/>
      </c>
      <c r="V58" s="218">
        <f>SUMIFS(DATA!$L:$L,DATA!$O:$O,$B58,DATA!$N:$N,$A58,DATA!$M:$M,'SALES BY SYSTEM'!$O$3)</f>
        <v>0</v>
      </c>
      <c r="W58" s="168"/>
    </row>
    <row r="59" spans="1:23" ht="15.75" customHeight="1" x14ac:dyDescent="0.25">
      <c r="A59" s="139" t="s">
        <v>468</v>
      </c>
      <c r="B59" s="139" t="s">
        <v>432</v>
      </c>
      <c r="C59" s="178" t="str">
        <f>VLOOKUP(A59,CUSTOMER!$A:$C,3,0)</f>
        <v>BIGC_VPHUC</v>
      </c>
      <c r="D59" s="178" t="s">
        <v>674</v>
      </c>
      <c r="E59" s="178" t="str">
        <f>VLOOKUP(A59,CUSTOMER!$A$2:$H$1094,5,0)</f>
        <v>LE NAM PHUONG</v>
      </c>
      <c r="F59" s="178" t="str">
        <f>VLOOKUP(A59,CUSTOMER!$A$2:$I$1094,6,0)</f>
        <v>VACANCY</v>
      </c>
      <c r="G59" s="178" t="s">
        <v>676</v>
      </c>
      <c r="H59" s="179">
        <f t="shared" si="0"/>
        <v>10079606.146875042</v>
      </c>
      <c r="I59" s="180">
        <f t="shared" si="1"/>
        <v>0</v>
      </c>
      <c r="J59" s="181">
        <f t="shared" si="2"/>
        <v>0</v>
      </c>
      <c r="K59" s="182">
        <v>0</v>
      </c>
      <c r="L59" s="180" t="str">
        <f t="shared" si="7"/>
        <v/>
      </c>
      <c r="M59" s="218">
        <f>SUMIFS(DATA!$L:$L,DATA!$O:$O,$B59,DATA!$N:$N,$A59,DATA!$M:$M,'SALES BY SYSTEM'!$O$1)</f>
        <v>0</v>
      </c>
      <c r="N59" s="182">
        <v>2611003.286955094</v>
      </c>
      <c r="O59" s="180">
        <f t="shared" si="3"/>
        <v>0</v>
      </c>
      <c r="P59" s="218">
        <f>SUMIFS(DATA!$L:$L,DATA!$O:$O,$B59,DATA!$N:$N,$A59,DATA!$M:$M,'SALES BY SYSTEM'!$O$2)</f>
        <v>0</v>
      </c>
      <c r="Q59" s="182">
        <v>7468602.8599199476</v>
      </c>
      <c r="R59" s="180">
        <f t="shared" si="4"/>
        <v>0</v>
      </c>
      <c r="S59" s="218">
        <f>SUMIFS(DATA!$L:$L,DATA!$O:$O,$B59,DATA!$N:$N,$A59,DATA!$M:$M,'SALES BY SYSTEM'!$O$4)</f>
        <v>0</v>
      </c>
      <c r="T59" s="182">
        <v>0</v>
      </c>
      <c r="U59" s="180" t="str">
        <f t="shared" si="5"/>
        <v/>
      </c>
      <c r="V59" s="218">
        <f>SUMIFS(DATA!$L:$L,DATA!$O:$O,$B59,DATA!$N:$N,$A59,DATA!$M:$M,'SALES BY SYSTEM'!$O$3)</f>
        <v>0</v>
      </c>
      <c r="W59" s="168"/>
    </row>
    <row r="60" spans="1:23" ht="15.75" customHeight="1" x14ac:dyDescent="0.25">
      <c r="A60" s="139" t="s">
        <v>431</v>
      </c>
      <c r="B60" s="139" t="s">
        <v>432</v>
      </c>
      <c r="C60" s="178" t="str">
        <f>VLOOKUP(A60,CUSTOMER!$A:$C,3,0)</f>
        <v>BIGC_MDONG</v>
      </c>
      <c r="D60" s="178" t="s">
        <v>674</v>
      </c>
      <c r="E60" s="178" t="str">
        <f>VLOOKUP(A60,CUSTOMER!$A$2:$H$1094,5,0)</f>
        <v>LE NAM PHUONG</v>
      </c>
      <c r="F60" s="178" t="str">
        <f>VLOOKUP(A60,CUSTOMER!$A$2:$I$1094,6,0)</f>
        <v>NGUYEN THI OANH</v>
      </c>
      <c r="G60" s="178" t="s">
        <v>676</v>
      </c>
      <c r="H60" s="179">
        <f t="shared" si="0"/>
        <v>8585885.5748910494</v>
      </c>
      <c r="I60" s="180">
        <f t="shared" si="1"/>
        <v>0</v>
      </c>
      <c r="J60" s="181">
        <f t="shared" si="2"/>
        <v>0</v>
      </c>
      <c r="K60" s="182">
        <v>0</v>
      </c>
      <c r="L60" s="180" t="str">
        <f t="shared" si="7"/>
        <v/>
      </c>
      <c r="M60" s="218">
        <f>SUMIFS(DATA!$L:$L,DATA!$O:$O,$B60,DATA!$N:$N,$A60,DATA!$M:$M,'SALES BY SYSTEM'!$O$1)</f>
        <v>0</v>
      </c>
      <c r="N60" s="182">
        <v>2611003.286955094</v>
      </c>
      <c r="O60" s="180">
        <f t="shared" si="3"/>
        <v>0</v>
      </c>
      <c r="P60" s="218">
        <f>SUMIFS(DATA!$L:$L,DATA!$O:$O,$B60,DATA!$N:$N,$A60,DATA!$M:$M,'SALES BY SYSTEM'!$O$2)</f>
        <v>0</v>
      </c>
      <c r="Q60" s="182">
        <v>5974882.2879359554</v>
      </c>
      <c r="R60" s="180">
        <f t="shared" si="4"/>
        <v>0</v>
      </c>
      <c r="S60" s="218">
        <f>SUMIFS(DATA!$L:$L,DATA!$O:$O,$B60,DATA!$N:$N,$A60,DATA!$M:$M,'SALES BY SYSTEM'!$O$4)</f>
        <v>0</v>
      </c>
      <c r="T60" s="182">
        <v>0</v>
      </c>
      <c r="U60" s="180" t="str">
        <f t="shared" si="5"/>
        <v/>
      </c>
      <c r="V60" s="218">
        <f>SUMIFS(DATA!$L:$L,DATA!$O:$O,$B60,DATA!$N:$N,$A60,DATA!$M:$M,'SALES BY SYSTEM'!$O$3)</f>
        <v>0</v>
      </c>
      <c r="W60" s="168"/>
    </row>
    <row r="61" spans="1:23" ht="15.75" customHeight="1" x14ac:dyDescent="0.25">
      <c r="A61" s="139" t="s">
        <v>76</v>
      </c>
      <c r="B61" s="139" t="s">
        <v>60</v>
      </c>
      <c r="C61" s="178" t="str">
        <f>VLOOKUP(A61,CUSTOMER!$A:$C,3,0)</f>
        <v>LOTTE_GVAP</v>
      </c>
      <c r="D61" s="178" t="s">
        <v>674</v>
      </c>
      <c r="E61" s="178" t="str">
        <f>VLOOKUP(A61,CUSTOMER!$A$2:$H$1094,5,0)</f>
        <v>TRAN THI THAO NGUYEN</v>
      </c>
      <c r="F61" s="178" t="str">
        <f>VLOOKUP(A61,CUSTOMER!$A$2:$I$1094,6,0)</f>
        <v>NGUYEN THI MUON</v>
      </c>
      <c r="G61" s="178" t="str">
        <f>VLOOKUP(A61,CUSTOMER!$A$1:$J$1160,7,0)</f>
        <v>"NO PG"</v>
      </c>
      <c r="H61" s="179">
        <f t="shared" si="0"/>
        <v>39739033.20878727</v>
      </c>
      <c r="I61" s="180">
        <f t="shared" si="1"/>
        <v>0</v>
      </c>
      <c r="J61" s="181">
        <f t="shared" si="2"/>
        <v>0</v>
      </c>
      <c r="K61" s="182">
        <v>0</v>
      </c>
      <c r="L61" s="180" t="str">
        <f t="shared" si="7"/>
        <v/>
      </c>
      <c r="M61" s="218">
        <f>SUMIFS(DATA!$L:$L,DATA!$O:$O,$B61,DATA!$N:$N,$A61,DATA!$M:$M,'SALES BY SYSTEM'!$O$1)</f>
        <v>0</v>
      </c>
      <c r="N61" s="182">
        <v>2284627.8760857079</v>
      </c>
      <c r="O61" s="180">
        <f t="shared" si="3"/>
        <v>0</v>
      </c>
      <c r="P61" s="218">
        <f>SUMIFS(DATA!$L:$L,DATA!$O:$O,$B61,DATA!$N:$N,$A61,DATA!$M:$M,'SALES BY SYSTEM'!$O$2)</f>
        <v>0</v>
      </c>
      <c r="Q61" s="182">
        <v>37454405.332701564</v>
      </c>
      <c r="R61" s="180">
        <f t="shared" si="4"/>
        <v>0</v>
      </c>
      <c r="S61" s="218">
        <f>SUMIFS(DATA!$L:$L,DATA!$O:$O,$B61,DATA!$N:$N,$A61,DATA!$M:$M,'SALES BY SYSTEM'!$O$4)</f>
        <v>0</v>
      </c>
      <c r="T61" s="182">
        <v>0</v>
      </c>
      <c r="U61" s="180" t="str">
        <f t="shared" si="5"/>
        <v/>
      </c>
      <c r="V61" s="218">
        <f>SUMIFS(DATA!$L:$L,DATA!$O:$O,$B61,DATA!$N:$N,$A61,DATA!$M:$M,'SALES BY SYSTEM'!$O$3)</f>
        <v>0</v>
      </c>
      <c r="W61" s="168"/>
    </row>
    <row r="62" spans="1:23" ht="15.75" customHeight="1" x14ac:dyDescent="0.25">
      <c r="A62" s="178" t="s">
        <v>101</v>
      </c>
      <c r="B62" s="178" t="s">
        <v>101</v>
      </c>
      <c r="C62" s="178" t="str">
        <f>VLOOKUP(A62,CUSTOMER!$A:$C,3,0)</f>
        <v>JM_BVD</v>
      </c>
      <c r="D62" s="178" t="s">
        <v>674</v>
      </c>
      <c r="E62" s="178" t="str">
        <f>VLOOKUP(A62,CUSTOMER!$A$2:$H$1094,5,0)</f>
        <v>TRAN THI THAO NGUYEN</v>
      </c>
      <c r="F62" s="178" t="str">
        <f>VLOOKUP(A62,CUSTOMER!$A$2:$I$1094,6,0)</f>
        <v>NGUYEN THI MUON</v>
      </c>
      <c r="G62" s="178" t="s">
        <v>676</v>
      </c>
      <c r="H62" s="179">
        <f t="shared" si="0"/>
        <v>9644438.9323825259</v>
      </c>
      <c r="I62" s="180">
        <f t="shared" si="1"/>
        <v>0</v>
      </c>
      <c r="J62" s="181">
        <f t="shared" si="2"/>
        <v>0</v>
      </c>
      <c r="K62" s="182">
        <v>0</v>
      </c>
      <c r="L62" s="180" t="str">
        <f t="shared" si="7"/>
        <v/>
      </c>
      <c r="M62" s="218">
        <f>SUMIFS(DATA!$L:$L,DATA!$O:$O,$B62,DATA!$N:$N,$A62,DATA!$M:$M,'SALES BY SYSTEM'!$O$1)</f>
        <v>0</v>
      </c>
      <c r="N62" s="182">
        <v>2175836.0724625788</v>
      </c>
      <c r="O62" s="180">
        <f t="shared" si="3"/>
        <v>0</v>
      </c>
      <c r="P62" s="218">
        <f>SUMIFS(DATA!$L:$L,DATA!$O:$O,$B62,DATA!$N:$N,$A62,DATA!$M:$M,'SALES BY SYSTEM'!$O$2)</f>
        <v>0</v>
      </c>
      <c r="Q62" s="182">
        <v>7468602.8599199476</v>
      </c>
      <c r="R62" s="180">
        <f t="shared" si="4"/>
        <v>0</v>
      </c>
      <c r="S62" s="218">
        <f>SUMIFS(DATA!$L:$L,DATA!$O:$O,$B62,DATA!$N:$N,$A62,DATA!$M:$M,'SALES BY SYSTEM'!$O$4)</f>
        <v>0</v>
      </c>
      <c r="T62" s="182">
        <v>0</v>
      </c>
      <c r="U62" s="180" t="str">
        <f t="shared" si="5"/>
        <v/>
      </c>
      <c r="V62" s="218">
        <f>SUMIFS(DATA!$L:$L,DATA!$O:$O,$B62,DATA!$N:$N,$A62,DATA!$M:$M,'SALES BY SYSTEM'!$O$3)</f>
        <v>0</v>
      </c>
      <c r="W62" s="168"/>
    </row>
    <row r="63" spans="1:23" ht="15.75" customHeight="1" x14ac:dyDescent="0.25">
      <c r="A63" s="178" t="s">
        <v>1448</v>
      </c>
      <c r="B63" s="178" t="s">
        <v>99</v>
      </c>
      <c r="C63" s="178" t="str">
        <f>VLOOKUP(A63,CUSTOMER!$A:$C,3,0)</f>
        <v>3733</v>
      </c>
      <c r="D63" s="178" t="s">
        <v>674</v>
      </c>
      <c r="E63" s="178" t="str">
        <f>VLOOKUP(A63,CUSTOMER!$A$2:$H$1094,5,0)</f>
        <v>TRAN THI THAO NGUYEN</v>
      </c>
      <c r="F63" s="178" t="str">
        <f>VLOOKUP(A63,CUSTOMER!$A$2:$I$1094,6,0)</f>
        <v>VACANCY</v>
      </c>
      <c r="G63" s="178" t="s">
        <v>676</v>
      </c>
      <c r="H63" s="179">
        <f t="shared" si="0"/>
        <v>3420603.2157825693</v>
      </c>
      <c r="I63" s="180">
        <f t="shared" si="1"/>
        <v>0</v>
      </c>
      <c r="J63" s="181">
        <f t="shared" si="2"/>
        <v>0</v>
      </c>
      <c r="K63" s="182">
        <v>0</v>
      </c>
      <c r="L63" s="180" t="str">
        <f t="shared" si="7"/>
        <v/>
      </c>
      <c r="M63" s="218">
        <f>SUMIFS(DATA!$L:$L,DATA!$O:$O,$B63,DATA!$N:$N,$A63,DATA!$M:$M,'SALES BY SYSTEM'!$O$1)</f>
        <v>0</v>
      </c>
      <c r="N63" s="182">
        <v>2175836.0724625788</v>
      </c>
      <c r="O63" s="180">
        <f t="shared" si="3"/>
        <v>0</v>
      </c>
      <c r="P63" s="218">
        <f>SUMIFS(DATA!$L:$L,DATA!$O:$O,$B63,DATA!$N:$N,$A63,DATA!$M:$M,'SALES BY SYSTEM'!$O$2)</f>
        <v>0</v>
      </c>
      <c r="Q63" s="182">
        <v>1244767.1433199905</v>
      </c>
      <c r="R63" s="180">
        <f t="shared" si="4"/>
        <v>0</v>
      </c>
      <c r="S63" s="218">
        <f>SUMIFS(DATA!$L:$L,DATA!$O:$O,$B63,DATA!$N:$N,$A63,DATA!$M:$M,'SALES BY SYSTEM'!$O$4)</f>
        <v>0</v>
      </c>
      <c r="T63" s="182">
        <v>0</v>
      </c>
      <c r="U63" s="180" t="str">
        <f t="shared" si="5"/>
        <v/>
      </c>
      <c r="V63" s="218">
        <f>SUMIFS(DATA!$L:$L,DATA!$O:$O,$B63,DATA!$N:$N,$A63,DATA!$M:$M,'SALES BY SYSTEM'!$O$3)</f>
        <v>0</v>
      </c>
      <c r="W63" s="168"/>
    </row>
    <row r="64" spans="1:23" ht="15.75" customHeight="1" x14ac:dyDescent="0.25">
      <c r="A64" s="139" t="s">
        <v>70</v>
      </c>
      <c r="B64" s="139" t="s">
        <v>60</v>
      </c>
      <c r="C64" s="178" t="str">
        <f>VLOOKUP(A64,CUSTOMER!$A:$C,3,0)</f>
        <v>LOTTE_CTHO</v>
      </c>
      <c r="D64" s="178" t="s">
        <v>674</v>
      </c>
      <c r="E64" s="178" t="str">
        <f>VLOOKUP(A64,CUSTOMER!$A$2:$H$1094,5,0)</f>
        <v>TRAN THI THAO NGUYEN</v>
      </c>
      <c r="F64" s="178" t="str">
        <f>VLOOKUP(A64,CUSTOMER!$A$2:$I$1094,6,0)</f>
        <v>HUYNH NGOC HIEU</v>
      </c>
      <c r="G64" s="178" t="str">
        <f>VLOOKUP(A64,CUSTOMER!$A$1:$J$1160,7,0)</f>
        <v>"NO PG"</v>
      </c>
      <c r="H64" s="179">
        <f t="shared" si="0"/>
        <v>17756984.042756945</v>
      </c>
      <c r="I64" s="180">
        <f t="shared" si="1"/>
        <v>0</v>
      </c>
      <c r="J64" s="181">
        <f t="shared" si="2"/>
        <v>0</v>
      </c>
      <c r="K64" s="182">
        <v>0</v>
      </c>
      <c r="L64" s="180" t="str">
        <f t="shared" si="7"/>
        <v/>
      </c>
      <c r="M64" s="218">
        <f>SUMIFS(DATA!$L:$L,DATA!$O:$O,$B64,DATA!$N:$N,$A64,DATA!$M:$M,'SALES BY SYSTEM'!$O$1)</f>
        <v>0</v>
      </c>
      <c r="N64" s="182">
        <v>2149137.813565162</v>
      </c>
      <c r="O64" s="180">
        <f t="shared" si="3"/>
        <v>0</v>
      </c>
      <c r="P64" s="218">
        <f>SUMIFS(DATA!$L:$L,DATA!$O:$O,$B64,DATA!$N:$N,$A64,DATA!$M:$M,'SALES BY SYSTEM'!$O$2)</f>
        <v>0</v>
      </c>
      <c r="Q64" s="182">
        <v>15607846.229191784</v>
      </c>
      <c r="R64" s="180">
        <f t="shared" si="4"/>
        <v>0</v>
      </c>
      <c r="S64" s="218">
        <f>SUMIFS(DATA!$L:$L,DATA!$O:$O,$B64,DATA!$N:$N,$A64,DATA!$M:$M,'SALES BY SYSTEM'!$O$4)</f>
        <v>0</v>
      </c>
      <c r="T64" s="182">
        <v>0</v>
      </c>
      <c r="U64" s="180" t="str">
        <f t="shared" si="5"/>
        <v/>
      </c>
      <c r="V64" s="218">
        <f>SUMIFS(DATA!$L:$L,DATA!$O:$O,$B64,DATA!$N:$N,$A64,DATA!$M:$M,'SALES BY SYSTEM'!$O$3)</f>
        <v>0</v>
      </c>
      <c r="W64" s="168"/>
    </row>
    <row r="65" spans="1:23" ht="15.75" customHeight="1" x14ac:dyDescent="0.25">
      <c r="A65" s="139" t="s">
        <v>72</v>
      </c>
      <c r="B65" s="139" t="s">
        <v>60</v>
      </c>
      <c r="C65" s="178" t="str">
        <f>VLOOKUP(A65,CUSTOMER!$A:$C,3,0)</f>
        <v>LOTTE_NTRANG2</v>
      </c>
      <c r="D65" s="178" t="s">
        <v>674</v>
      </c>
      <c r="E65" s="178" t="str">
        <f>VLOOKUP(A65,CUSTOMER!$A$2:$H$1094,5,0)</f>
        <v>TRAN THI THAO NGUYEN</v>
      </c>
      <c r="F65" s="178" t="str">
        <f>VLOOKUP(A65,CUSTOMER!$A$2:$I$1094,6,0)</f>
        <v>TRAN THANH TUAN</v>
      </c>
      <c r="G65" s="178" t="str">
        <f>VLOOKUP(A65,CUSTOMER!$A$1:$J$1160,7,0)</f>
        <v>"NO PG"</v>
      </c>
      <c r="H65" s="179">
        <f t="shared" si="0"/>
        <v>17756984.042756945</v>
      </c>
      <c r="I65" s="180">
        <f t="shared" si="1"/>
        <v>0</v>
      </c>
      <c r="J65" s="181">
        <f t="shared" si="2"/>
        <v>0</v>
      </c>
      <c r="K65" s="182">
        <v>0</v>
      </c>
      <c r="L65" s="180" t="str">
        <f t="shared" si="7"/>
        <v/>
      </c>
      <c r="M65" s="218">
        <f>SUMIFS(DATA!$L:$L,DATA!$O:$O,$B65,DATA!$N:$N,$A65,DATA!$M:$M,'SALES BY SYSTEM'!$O$1)</f>
        <v>0</v>
      </c>
      <c r="N65" s="182">
        <v>2149137.813565162</v>
      </c>
      <c r="O65" s="180">
        <f t="shared" si="3"/>
        <v>0</v>
      </c>
      <c r="P65" s="218">
        <f>SUMIFS(DATA!$L:$L,DATA!$O:$O,$B65,DATA!$N:$N,$A65,DATA!$M:$M,'SALES BY SYSTEM'!$O$2)</f>
        <v>0</v>
      </c>
      <c r="Q65" s="182">
        <v>15607846.229191784</v>
      </c>
      <c r="R65" s="180">
        <f t="shared" si="4"/>
        <v>0</v>
      </c>
      <c r="S65" s="218">
        <f>SUMIFS(DATA!$L:$L,DATA!$O:$O,$B65,DATA!$N:$N,$A65,DATA!$M:$M,'SALES BY SYSTEM'!$O$4)</f>
        <v>0</v>
      </c>
      <c r="T65" s="182">
        <v>0</v>
      </c>
      <c r="U65" s="180" t="str">
        <f t="shared" si="5"/>
        <v/>
      </c>
      <c r="V65" s="218">
        <f>SUMIFS(DATA!$L:$L,DATA!$O:$O,$B65,DATA!$N:$N,$A65,DATA!$M:$M,'SALES BY SYSTEM'!$O$3)</f>
        <v>0</v>
      </c>
      <c r="W65" s="168"/>
    </row>
    <row r="66" spans="1:23" ht="15.75" customHeight="1" x14ac:dyDescent="0.25">
      <c r="A66" s="139" t="s">
        <v>440</v>
      </c>
      <c r="B66" s="139" t="s">
        <v>432</v>
      </c>
      <c r="C66" s="178" t="str">
        <f>VLOOKUP(A66,CUSTOMER!$A:$C,3,0)</f>
        <v>BIGC_LAND</v>
      </c>
      <c r="D66" s="178" t="s">
        <v>674</v>
      </c>
      <c r="E66" s="178" t="str">
        <f>VLOOKUP(A66,CUSTOMER!$A$2:$H$1094,5,0)</f>
        <v>LE NAM PHUONG</v>
      </c>
      <c r="F66" s="178" t="str">
        <f>VLOOKUP(A66,CUSTOMER!$A$2:$I$1094,6,0)</f>
        <v>NGUYEN THI OANH</v>
      </c>
      <c r="G66" s="178" t="s">
        <v>676</v>
      </c>
      <c r="H66" s="179">
        <f t="shared" si="0"/>
        <v>19900752.951191228</v>
      </c>
      <c r="I66" s="180">
        <f t="shared" si="1"/>
        <v>0</v>
      </c>
      <c r="J66" s="181">
        <f t="shared" si="2"/>
        <v>0</v>
      </c>
      <c r="K66" s="182">
        <v>0</v>
      </c>
      <c r="L66" s="180" t="str">
        <f t="shared" si="7"/>
        <v/>
      </c>
      <c r="M66" s="218">
        <f>SUMIFS(DATA!$L:$L,DATA!$O:$O,$B66,DATA!$N:$N,$A66,DATA!$M:$M,'SALES BY SYSTEM'!$O$1)</f>
        <v>0</v>
      </c>
      <c r="N66" s="182">
        <v>2127967.6788684018</v>
      </c>
      <c r="O66" s="180">
        <f t="shared" si="3"/>
        <v>0</v>
      </c>
      <c r="P66" s="218">
        <f>SUMIFS(DATA!$L:$L,DATA!$O:$O,$B66,DATA!$N:$N,$A66,DATA!$M:$M,'SALES BY SYSTEM'!$O$2)</f>
        <v>0</v>
      </c>
      <c r="Q66" s="182">
        <v>17772785.272322826</v>
      </c>
      <c r="R66" s="180">
        <f t="shared" si="4"/>
        <v>0</v>
      </c>
      <c r="S66" s="218">
        <f>SUMIFS(DATA!$L:$L,DATA!$O:$O,$B66,DATA!$N:$N,$A66,DATA!$M:$M,'SALES BY SYSTEM'!$O$4)</f>
        <v>0</v>
      </c>
      <c r="T66" s="182">
        <v>0</v>
      </c>
      <c r="U66" s="180" t="str">
        <f t="shared" si="5"/>
        <v/>
      </c>
      <c r="V66" s="218">
        <f>SUMIFS(DATA!$L:$L,DATA!$O:$O,$B66,DATA!$N:$N,$A66,DATA!$M:$M,'SALES BY SYSTEM'!$O$3)</f>
        <v>0</v>
      </c>
      <c r="W66" s="168"/>
    </row>
    <row r="67" spans="1:23" ht="15.75" customHeight="1" x14ac:dyDescent="0.25">
      <c r="A67" s="178" t="s">
        <v>172</v>
      </c>
      <c r="B67" s="178" t="s">
        <v>138</v>
      </c>
      <c r="C67" s="178" t="str">
        <f>VLOOKUP(A67,CUSTOMER!$A:$C,3,0)</f>
        <v>COOP_PYEN</v>
      </c>
      <c r="D67" s="178" t="s">
        <v>674</v>
      </c>
      <c r="E67" s="178" t="str">
        <f>VLOOKUP(A67,CUSTOMER!$A$2:$H$1094,5,0)</f>
        <v>VAVANCY-VU MINH TUAN</v>
      </c>
      <c r="F67" s="178" t="str">
        <f>VLOOKUP(A67,CUSTOMER!$A$2:$I$1094,6,0)</f>
        <v>VACANCY</v>
      </c>
      <c r="G67" s="178" t="s">
        <v>676</v>
      </c>
      <c r="H67" s="179">
        <f t="shared" ref="H67:H130" si="8">SUM(K67,N67,Q67,T67)</f>
        <v>9924762.1824642587</v>
      </c>
      <c r="I67" s="180">
        <f t="shared" ref="I67:I130" si="9">IFERROR(J67/H67,"")</f>
        <v>0</v>
      </c>
      <c r="J67" s="181">
        <f t="shared" ref="J67:J130" si="10">SUM(M67,P67,S67,V67)</f>
        <v>0</v>
      </c>
      <c r="K67" s="182">
        <v>0</v>
      </c>
      <c r="L67" s="180" t="str">
        <f t="shared" si="7"/>
        <v/>
      </c>
      <c r="M67" s="218">
        <f>SUMIFS(DATA!$L:$L,DATA!$O:$O,$B67,DATA!$N:$N,$A67,DATA!$M:$M,'SALES BY SYSTEM'!$O$1)</f>
        <v>0</v>
      </c>
      <c r="N67" s="182">
        <v>1958252.46521632</v>
      </c>
      <c r="O67" s="180">
        <f t="shared" ref="O67:O130" si="11">IFERROR(P67/N67,"")</f>
        <v>0</v>
      </c>
      <c r="P67" s="218">
        <f>SUMIFS(DATA!$L:$L,DATA!$O:$O,$B67,DATA!$N:$N,$A67,DATA!$M:$M,'SALES BY SYSTEM'!$O$2)</f>
        <v>0</v>
      </c>
      <c r="Q67" s="182">
        <v>7966509.7172479387</v>
      </c>
      <c r="R67" s="180">
        <f t="shared" ref="R67:R130" si="12">IFERROR(S67/Q67,"")</f>
        <v>0</v>
      </c>
      <c r="S67" s="218">
        <f>SUMIFS(DATA!$L:$L,DATA!$O:$O,$B67,DATA!$N:$N,$A67,DATA!$M:$M,'SALES BY SYSTEM'!$O$4)</f>
        <v>0</v>
      </c>
      <c r="T67" s="182">
        <v>0</v>
      </c>
      <c r="U67" s="180" t="str">
        <f t="shared" ref="U67:U130" si="13">IFERROR(V67/T67,"")</f>
        <v/>
      </c>
      <c r="V67" s="218">
        <f>SUMIFS(DATA!$L:$L,DATA!$O:$O,$B67,DATA!$N:$N,$A67,DATA!$M:$M,'SALES BY SYSTEM'!$O$3)</f>
        <v>0</v>
      </c>
      <c r="W67" s="168"/>
    </row>
    <row r="68" spans="1:23" ht="15.75" customHeight="1" x14ac:dyDescent="0.25">
      <c r="A68" s="178" t="s">
        <v>148</v>
      </c>
      <c r="B68" s="178" t="s">
        <v>138</v>
      </c>
      <c r="C68" s="178" t="str">
        <f>VLOOKUP(A68,CUSTOMER!$A:$C,3,0)</f>
        <v>COOP_TNINH</v>
      </c>
      <c r="D68" s="178" t="s">
        <v>674</v>
      </c>
      <c r="E68" s="178" t="str">
        <f>VLOOKUP(A68,CUSTOMER!$A$2:$H$1094,5,0)</f>
        <v>VAVANCY-VU MINH TUAN</v>
      </c>
      <c r="F68" s="178" t="str">
        <f>VLOOKUP(A68,CUSTOMER!$A$2:$I$1094,6,0)</f>
        <v>VACANCY</v>
      </c>
      <c r="G68" s="178" t="s">
        <v>676</v>
      </c>
      <c r="H68" s="179">
        <f t="shared" si="8"/>
        <v>7933134.7531522755</v>
      </c>
      <c r="I68" s="180">
        <f t="shared" si="9"/>
        <v>0</v>
      </c>
      <c r="J68" s="181">
        <f t="shared" si="10"/>
        <v>0</v>
      </c>
      <c r="K68" s="182">
        <v>0</v>
      </c>
      <c r="L68" s="180" t="str">
        <f t="shared" si="7"/>
        <v/>
      </c>
      <c r="M68" s="218">
        <f>SUMIFS(DATA!$L:$L,DATA!$O:$O,$B68,DATA!$N:$N,$A68,DATA!$M:$M,'SALES BY SYSTEM'!$O$1)</f>
        <v>0</v>
      </c>
      <c r="N68" s="182">
        <v>1958252.46521632</v>
      </c>
      <c r="O68" s="180">
        <f t="shared" si="11"/>
        <v>0</v>
      </c>
      <c r="P68" s="218">
        <f>SUMIFS(DATA!$L:$L,DATA!$O:$O,$B68,DATA!$N:$N,$A68,DATA!$M:$M,'SALES BY SYSTEM'!$O$2)</f>
        <v>0</v>
      </c>
      <c r="Q68" s="182">
        <v>5974882.2879359554</v>
      </c>
      <c r="R68" s="180">
        <f t="shared" si="12"/>
        <v>0</v>
      </c>
      <c r="S68" s="218">
        <f>SUMIFS(DATA!$L:$L,DATA!$O:$O,$B68,DATA!$N:$N,$A68,DATA!$M:$M,'SALES BY SYSTEM'!$O$4)</f>
        <v>0</v>
      </c>
      <c r="T68" s="182">
        <v>0</v>
      </c>
      <c r="U68" s="180" t="str">
        <f t="shared" si="13"/>
        <v/>
      </c>
      <c r="V68" s="218">
        <f>SUMIFS(DATA!$L:$L,DATA!$O:$O,$B68,DATA!$N:$N,$A68,DATA!$M:$M,'SALES BY SYSTEM'!$O$3)</f>
        <v>0</v>
      </c>
      <c r="W68" s="168"/>
    </row>
    <row r="69" spans="1:23" ht="15.75" customHeight="1" x14ac:dyDescent="0.25">
      <c r="A69" s="178" t="s">
        <v>204</v>
      </c>
      <c r="B69" s="178" t="s">
        <v>138</v>
      </c>
      <c r="C69" s="178" t="str">
        <f>VLOOKUP(A69,CUSTOMER!$A:$C,3,0)</f>
        <v>COOP_QBINH</v>
      </c>
      <c r="D69" s="178" t="s">
        <v>674</v>
      </c>
      <c r="E69" s="178" t="str">
        <f>VLOOKUP(A69,CUSTOMER!$A$2:$H$1094,5,0)</f>
        <v>VAVANCY-VU MINH TUAN</v>
      </c>
      <c r="F69" s="178" t="str">
        <f>VLOOKUP(A69,CUSTOMER!$A$2:$I$1094,6,0)</f>
        <v>VACANCY</v>
      </c>
      <c r="G69" s="178" t="s">
        <v>676</v>
      </c>
      <c r="H69" s="179">
        <f t="shared" si="8"/>
        <v>6439414.1811682861</v>
      </c>
      <c r="I69" s="180">
        <f t="shared" si="9"/>
        <v>0</v>
      </c>
      <c r="J69" s="181">
        <f t="shared" si="10"/>
        <v>0</v>
      </c>
      <c r="K69" s="182">
        <v>0</v>
      </c>
      <c r="L69" s="180" t="str">
        <f t="shared" si="7"/>
        <v/>
      </c>
      <c r="M69" s="218">
        <f>SUMIFS(DATA!$L:$L,DATA!$O:$O,$B69,DATA!$N:$N,$A69,DATA!$M:$M,'SALES BY SYSTEM'!$O$1)</f>
        <v>0</v>
      </c>
      <c r="N69" s="182">
        <v>1958252.46521632</v>
      </c>
      <c r="O69" s="180">
        <f t="shared" si="11"/>
        <v>0</v>
      </c>
      <c r="P69" s="218">
        <f>SUMIFS(DATA!$L:$L,DATA!$O:$O,$B69,DATA!$N:$N,$A69,DATA!$M:$M,'SALES BY SYSTEM'!$O$2)</f>
        <v>0</v>
      </c>
      <c r="Q69" s="182">
        <v>4481161.7159519661</v>
      </c>
      <c r="R69" s="180">
        <f t="shared" si="12"/>
        <v>0</v>
      </c>
      <c r="S69" s="218">
        <f>SUMIFS(DATA!$L:$L,DATA!$O:$O,$B69,DATA!$N:$N,$A69,DATA!$M:$M,'SALES BY SYSTEM'!$O$4)</f>
        <v>0</v>
      </c>
      <c r="T69" s="182">
        <v>0</v>
      </c>
      <c r="U69" s="180" t="str">
        <f t="shared" si="13"/>
        <v/>
      </c>
      <c r="V69" s="218">
        <f>SUMIFS(DATA!$L:$L,DATA!$O:$O,$B69,DATA!$N:$N,$A69,DATA!$M:$M,'SALES BY SYSTEM'!$O$3)</f>
        <v>0</v>
      </c>
      <c r="W69" s="168"/>
    </row>
    <row r="70" spans="1:23" ht="15.75" customHeight="1" x14ac:dyDescent="0.25">
      <c r="A70" s="178" t="s">
        <v>1256</v>
      </c>
      <c r="B70" s="178" t="s">
        <v>138</v>
      </c>
      <c r="C70" s="178" t="str">
        <f>VLOOKUP(A70,CUSTOMER!$A:$C,3,0)</f>
        <v>COOP_BTHUY</v>
      </c>
      <c r="D70" s="178" t="s">
        <v>674</v>
      </c>
      <c r="E70" s="178" t="str">
        <f>VLOOKUP(A70,CUSTOMER!$A$2:$H$1094,5,0)</f>
        <v>VAVANCY-VU MINH TUAN</v>
      </c>
      <c r="F70" s="178" t="str">
        <f>VLOOKUP(A70,CUSTOMER!$A$2:$I$1094,6,0)</f>
        <v>HUYNH NGOC HIEU</v>
      </c>
      <c r="G70" s="178" t="s">
        <v>676</v>
      </c>
      <c r="H70" s="179">
        <f t="shared" si="8"/>
        <v>5941507.3238402894</v>
      </c>
      <c r="I70" s="180">
        <f t="shared" si="9"/>
        <v>0</v>
      </c>
      <c r="J70" s="181">
        <f t="shared" si="10"/>
        <v>0</v>
      </c>
      <c r="K70" s="182">
        <v>0</v>
      </c>
      <c r="L70" s="180" t="str">
        <f t="shared" si="7"/>
        <v/>
      </c>
      <c r="M70" s="218">
        <f>SUMIFS(DATA!$L:$L,DATA!$O:$O,$B70,DATA!$N:$N,$A70,DATA!$M:$M,'SALES BY SYSTEM'!$O$1)</f>
        <v>0</v>
      </c>
      <c r="N70" s="182">
        <v>1958252.46521632</v>
      </c>
      <c r="O70" s="180">
        <f t="shared" si="11"/>
        <v>0</v>
      </c>
      <c r="P70" s="218">
        <f>SUMIFS(DATA!$L:$L,DATA!$O:$O,$B70,DATA!$N:$N,$A70,DATA!$M:$M,'SALES BY SYSTEM'!$O$2)</f>
        <v>0</v>
      </c>
      <c r="Q70" s="182">
        <v>3983254.8586239694</v>
      </c>
      <c r="R70" s="180">
        <f t="shared" si="12"/>
        <v>0</v>
      </c>
      <c r="S70" s="218">
        <f>SUMIFS(DATA!$L:$L,DATA!$O:$O,$B70,DATA!$N:$N,$A70,DATA!$M:$M,'SALES BY SYSTEM'!$O$4)</f>
        <v>0</v>
      </c>
      <c r="T70" s="182">
        <v>0</v>
      </c>
      <c r="U70" s="180" t="str">
        <f t="shared" si="13"/>
        <v/>
      </c>
      <c r="V70" s="218">
        <f>SUMIFS(DATA!$L:$L,DATA!$O:$O,$B70,DATA!$N:$N,$A70,DATA!$M:$M,'SALES BY SYSTEM'!$O$3)</f>
        <v>0</v>
      </c>
      <c r="W70" s="168"/>
    </row>
    <row r="71" spans="1:23" ht="15.75" customHeight="1" x14ac:dyDescent="0.25">
      <c r="A71" s="178" t="s">
        <v>276</v>
      </c>
      <c r="B71" s="178" t="s">
        <v>138</v>
      </c>
      <c r="C71" s="178" t="str">
        <f>VLOOKUP(A71,CUSTOMER!$A:$C,3,0)</f>
        <v>COOP_BHO</v>
      </c>
      <c r="D71" s="178" t="s">
        <v>674</v>
      </c>
      <c r="E71" s="178" t="str">
        <f>VLOOKUP(A71,CUSTOMER!$A$2:$H$1094,5,0)</f>
        <v>VAVANCY-VU MINH TUAN</v>
      </c>
      <c r="F71" s="178" t="str">
        <f>VLOOKUP(A71,CUSTOMER!$A$2:$I$1094,6,0)</f>
        <v>TRAN THI THANH TRUC</v>
      </c>
      <c r="G71" s="178" t="s">
        <v>676</v>
      </c>
      <c r="H71" s="179">
        <f t="shared" si="8"/>
        <v>5941507.3238402894</v>
      </c>
      <c r="I71" s="180">
        <f t="shared" si="9"/>
        <v>0</v>
      </c>
      <c r="J71" s="181">
        <f t="shared" si="10"/>
        <v>0</v>
      </c>
      <c r="K71" s="182">
        <v>0</v>
      </c>
      <c r="L71" s="180" t="str">
        <f t="shared" si="7"/>
        <v/>
      </c>
      <c r="M71" s="218">
        <f>SUMIFS(DATA!$L:$L,DATA!$O:$O,$B71,DATA!$N:$N,$A71,DATA!$M:$M,'SALES BY SYSTEM'!$O$1)</f>
        <v>0</v>
      </c>
      <c r="N71" s="182">
        <v>1958252.46521632</v>
      </c>
      <c r="O71" s="180">
        <f t="shared" si="11"/>
        <v>0</v>
      </c>
      <c r="P71" s="218">
        <f>SUMIFS(DATA!$L:$L,DATA!$O:$O,$B71,DATA!$N:$N,$A71,DATA!$M:$M,'SALES BY SYSTEM'!$O$2)</f>
        <v>0</v>
      </c>
      <c r="Q71" s="182">
        <v>3983254.8586239694</v>
      </c>
      <c r="R71" s="180">
        <f t="shared" si="12"/>
        <v>0</v>
      </c>
      <c r="S71" s="218">
        <f>SUMIFS(DATA!$L:$L,DATA!$O:$O,$B71,DATA!$N:$N,$A71,DATA!$M:$M,'SALES BY SYSTEM'!$O$4)</f>
        <v>0</v>
      </c>
      <c r="T71" s="182">
        <v>0</v>
      </c>
      <c r="U71" s="180" t="str">
        <f t="shared" si="13"/>
        <v/>
      </c>
      <c r="V71" s="218">
        <f>SUMIFS(DATA!$L:$L,DATA!$O:$O,$B71,DATA!$N:$N,$A71,DATA!$M:$M,'SALES BY SYSTEM'!$O$3)</f>
        <v>0</v>
      </c>
      <c r="W71" s="168"/>
    </row>
    <row r="72" spans="1:23" ht="15.75" customHeight="1" x14ac:dyDescent="0.25">
      <c r="A72" s="178" t="s">
        <v>202</v>
      </c>
      <c r="B72" s="178" t="s">
        <v>138</v>
      </c>
      <c r="C72" s="178" t="str">
        <f>VLOOKUP(A72,CUSTOMER!$A:$C,3,0)</f>
        <v>COOP_BMT</v>
      </c>
      <c r="D72" s="178" t="s">
        <v>674</v>
      </c>
      <c r="E72" s="178" t="str">
        <f>VLOOKUP(A72,CUSTOMER!$A$2:$H$1094,5,0)</f>
        <v>VAVANCY-VU MINH TUAN</v>
      </c>
      <c r="F72" s="178" t="str">
        <f>VLOOKUP(A72,CUSTOMER!$A$2:$I$1094,6,0)</f>
        <v>TRAN THI THANH TRUC</v>
      </c>
      <c r="G72" s="178" t="s">
        <v>676</v>
      </c>
      <c r="H72" s="179">
        <f t="shared" si="8"/>
        <v>5941507.3238402894</v>
      </c>
      <c r="I72" s="180">
        <f t="shared" si="9"/>
        <v>0</v>
      </c>
      <c r="J72" s="181">
        <f t="shared" si="10"/>
        <v>0</v>
      </c>
      <c r="K72" s="182">
        <v>0</v>
      </c>
      <c r="L72" s="180" t="str">
        <f t="shared" si="7"/>
        <v/>
      </c>
      <c r="M72" s="218">
        <f>SUMIFS(DATA!$L:$L,DATA!$O:$O,$B72,DATA!$N:$N,$A72,DATA!$M:$M,'SALES BY SYSTEM'!$O$1)</f>
        <v>0</v>
      </c>
      <c r="N72" s="182">
        <v>1958252.46521632</v>
      </c>
      <c r="O72" s="180">
        <f t="shared" si="11"/>
        <v>0</v>
      </c>
      <c r="P72" s="218">
        <f>SUMIFS(DATA!$L:$L,DATA!$O:$O,$B72,DATA!$N:$N,$A72,DATA!$M:$M,'SALES BY SYSTEM'!$O$2)</f>
        <v>0</v>
      </c>
      <c r="Q72" s="182">
        <v>3983254.8586239694</v>
      </c>
      <c r="R72" s="180">
        <f t="shared" si="12"/>
        <v>0</v>
      </c>
      <c r="S72" s="218">
        <f>SUMIFS(DATA!$L:$L,DATA!$O:$O,$B72,DATA!$N:$N,$A72,DATA!$M:$M,'SALES BY SYSTEM'!$O$4)</f>
        <v>0</v>
      </c>
      <c r="T72" s="182">
        <v>0</v>
      </c>
      <c r="U72" s="180" t="str">
        <f t="shared" si="13"/>
        <v/>
      </c>
      <c r="V72" s="218">
        <f>SUMIFS(DATA!$L:$L,DATA!$O:$O,$B72,DATA!$N:$N,$A72,DATA!$M:$M,'SALES BY SYSTEM'!$O$3)</f>
        <v>0</v>
      </c>
      <c r="W72" s="168"/>
    </row>
    <row r="73" spans="1:23" ht="15.75" customHeight="1" x14ac:dyDescent="0.25">
      <c r="A73" s="178" t="s">
        <v>250</v>
      </c>
      <c r="B73" s="178" t="s">
        <v>138</v>
      </c>
      <c r="C73" s="178" t="str">
        <f>VLOOKUP(A73,CUSTOMER!$A:$C,3,0)</f>
        <v>COOP_CMAU</v>
      </c>
      <c r="D73" s="178" t="s">
        <v>674</v>
      </c>
      <c r="E73" s="178" t="str">
        <f>VLOOKUP(A73,CUSTOMER!$A$2:$H$1094,5,0)</f>
        <v>VAVANCY-VU MINH TUAN</v>
      </c>
      <c r="F73" s="178" t="str">
        <f>VLOOKUP(A73,CUSTOMER!$A$2:$I$1094,6,0)</f>
        <v>"NO SALE"</v>
      </c>
      <c r="G73" s="178" t="s">
        <v>676</v>
      </c>
      <c r="H73" s="179">
        <f t="shared" si="8"/>
        <v>5941507.3238402894</v>
      </c>
      <c r="I73" s="180">
        <f t="shared" si="9"/>
        <v>0</v>
      </c>
      <c r="J73" s="181">
        <f t="shared" si="10"/>
        <v>0</v>
      </c>
      <c r="K73" s="182">
        <v>0</v>
      </c>
      <c r="L73" s="180" t="str">
        <f t="shared" si="7"/>
        <v/>
      </c>
      <c r="M73" s="218">
        <f>SUMIFS(DATA!$L:$L,DATA!$O:$O,$B73,DATA!$N:$N,$A73,DATA!$M:$M,'SALES BY SYSTEM'!$O$1)</f>
        <v>0</v>
      </c>
      <c r="N73" s="182">
        <v>1958252.46521632</v>
      </c>
      <c r="O73" s="180">
        <f t="shared" si="11"/>
        <v>0</v>
      </c>
      <c r="P73" s="218">
        <f>SUMIFS(DATA!$L:$L,DATA!$O:$O,$B73,DATA!$N:$N,$A73,DATA!$M:$M,'SALES BY SYSTEM'!$O$2)</f>
        <v>0</v>
      </c>
      <c r="Q73" s="182">
        <v>3983254.8586239694</v>
      </c>
      <c r="R73" s="180">
        <f t="shared" si="12"/>
        <v>0</v>
      </c>
      <c r="S73" s="218">
        <f>SUMIFS(DATA!$L:$L,DATA!$O:$O,$B73,DATA!$N:$N,$A73,DATA!$M:$M,'SALES BY SYSTEM'!$O$4)</f>
        <v>0</v>
      </c>
      <c r="T73" s="182">
        <v>0</v>
      </c>
      <c r="U73" s="180" t="str">
        <f t="shared" si="13"/>
        <v/>
      </c>
      <c r="V73" s="218">
        <f>SUMIFS(DATA!$L:$L,DATA!$O:$O,$B73,DATA!$N:$N,$A73,DATA!$M:$M,'SALES BY SYSTEM'!$O$3)</f>
        <v>0</v>
      </c>
      <c r="W73" s="168"/>
    </row>
    <row r="74" spans="1:23" ht="15.75" customHeight="1" x14ac:dyDescent="0.25">
      <c r="A74" s="178" t="s">
        <v>200</v>
      </c>
      <c r="B74" s="178" t="s">
        <v>138</v>
      </c>
      <c r="C74" s="178" t="str">
        <f>VLOOKUP(A74,CUSTOMER!$A:$C,3,0)</f>
        <v>COOP_CLAY</v>
      </c>
      <c r="D74" s="178" t="s">
        <v>674</v>
      </c>
      <c r="E74" s="178" t="str">
        <f>VLOOKUP(A74,CUSTOMER!$A$2:$H$1094,5,0)</f>
        <v>VAVANCY-VU MINH TUAN</v>
      </c>
      <c r="F74" s="178" t="str">
        <f>VLOOKUP(A74,CUSTOMER!$A$2:$I$1094,6,0)</f>
        <v>VACANCY</v>
      </c>
      <c r="G74" s="178" t="s">
        <v>676</v>
      </c>
      <c r="H74" s="179">
        <f t="shared" si="8"/>
        <v>5941507.3238402894</v>
      </c>
      <c r="I74" s="180">
        <f t="shared" si="9"/>
        <v>0</v>
      </c>
      <c r="J74" s="181">
        <f t="shared" si="10"/>
        <v>0</v>
      </c>
      <c r="K74" s="182">
        <v>0</v>
      </c>
      <c r="L74" s="180" t="str">
        <f t="shared" si="7"/>
        <v/>
      </c>
      <c r="M74" s="218">
        <f>SUMIFS(DATA!$L:$L,DATA!$O:$O,$B74,DATA!$N:$N,$A74,DATA!$M:$M,'SALES BY SYSTEM'!$O$1)</f>
        <v>0</v>
      </c>
      <c r="N74" s="182">
        <v>1958252.46521632</v>
      </c>
      <c r="O74" s="180">
        <f t="shared" si="11"/>
        <v>0</v>
      </c>
      <c r="P74" s="218">
        <f>SUMIFS(DATA!$L:$L,DATA!$O:$O,$B74,DATA!$N:$N,$A74,DATA!$M:$M,'SALES BY SYSTEM'!$O$2)</f>
        <v>0</v>
      </c>
      <c r="Q74" s="182">
        <v>3983254.8586239694</v>
      </c>
      <c r="R74" s="180">
        <f t="shared" si="12"/>
        <v>0</v>
      </c>
      <c r="S74" s="218">
        <f>SUMIFS(DATA!$L:$L,DATA!$O:$O,$B74,DATA!$N:$N,$A74,DATA!$M:$M,'SALES BY SYSTEM'!$O$4)</f>
        <v>0</v>
      </c>
      <c r="T74" s="182">
        <v>0</v>
      </c>
      <c r="U74" s="180" t="str">
        <f t="shared" si="13"/>
        <v/>
      </c>
      <c r="V74" s="218">
        <f>SUMIFS(DATA!$L:$L,DATA!$O:$O,$B74,DATA!$N:$N,$A74,DATA!$M:$M,'SALES BY SYSTEM'!$O$3)</f>
        <v>0</v>
      </c>
      <c r="W74" s="168"/>
    </row>
    <row r="75" spans="1:23" ht="15.75" customHeight="1" x14ac:dyDescent="0.25">
      <c r="A75" s="178" t="s">
        <v>1262</v>
      </c>
      <c r="B75" s="178" t="s">
        <v>138</v>
      </c>
      <c r="C75" s="178" t="str">
        <f>VLOOKUP(A75,CUSTOMER!$A:$C,3,0)</f>
        <v>COOP_CRANH</v>
      </c>
      <c r="D75" s="178" t="s">
        <v>674</v>
      </c>
      <c r="E75" s="178" t="str">
        <f>VLOOKUP(A75,CUSTOMER!$A$2:$H$1094,5,0)</f>
        <v>VAVANCY-VU MINH TUAN</v>
      </c>
      <c r="F75" s="178" t="str">
        <f>VLOOKUP(A75,CUSTOMER!$A$2:$I$1094,6,0)</f>
        <v>VACANCY</v>
      </c>
      <c r="G75" s="178" t="s">
        <v>676</v>
      </c>
      <c r="H75" s="179">
        <f t="shared" si="8"/>
        <v>5941507.3238402894</v>
      </c>
      <c r="I75" s="180">
        <f t="shared" si="9"/>
        <v>0</v>
      </c>
      <c r="J75" s="181">
        <f t="shared" si="10"/>
        <v>0</v>
      </c>
      <c r="K75" s="182">
        <v>0</v>
      </c>
      <c r="L75" s="180" t="str">
        <f t="shared" si="7"/>
        <v/>
      </c>
      <c r="M75" s="218">
        <f>SUMIFS(DATA!$L:$L,DATA!$O:$O,$B75,DATA!$N:$N,$A75,DATA!$M:$M,'SALES BY SYSTEM'!$O$1)</f>
        <v>0</v>
      </c>
      <c r="N75" s="182">
        <v>1958252.46521632</v>
      </c>
      <c r="O75" s="180">
        <f t="shared" si="11"/>
        <v>0</v>
      </c>
      <c r="P75" s="218">
        <f>SUMIFS(DATA!$L:$L,DATA!$O:$O,$B75,DATA!$N:$N,$A75,DATA!$M:$M,'SALES BY SYSTEM'!$O$2)</f>
        <v>0</v>
      </c>
      <c r="Q75" s="182">
        <v>3983254.8586239694</v>
      </c>
      <c r="R75" s="180">
        <f t="shared" si="12"/>
        <v>0</v>
      </c>
      <c r="S75" s="218">
        <f>SUMIFS(DATA!$L:$L,DATA!$O:$O,$B75,DATA!$N:$N,$A75,DATA!$M:$M,'SALES BY SYSTEM'!$O$4)</f>
        <v>0</v>
      </c>
      <c r="T75" s="182">
        <v>0</v>
      </c>
      <c r="U75" s="180" t="str">
        <f t="shared" si="13"/>
        <v/>
      </c>
      <c r="V75" s="218">
        <f>SUMIFS(DATA!$L:$L,DATA!$O:$O,$B75,DATA!$N:$N,$A75,DATA!$M:$M,'SALES BY SYSTEM'!$O$3)</f>
        <v>0</v>
      </c>
      <c r="W75" s="168"/>
    </row>
    <row r="76" spans="1:23" ht="15.75" customHeight="1" x14ac:dyDescent="0.25">
      <c r="A76" s="178" t="s">
        <v>272</v>
      </c>
      <c r="B76" s="178" t="s">
        <v>138</v>
      </c>
      <c r="C76" s="178" t="str">
        <f>VLOOKUP(A76,CUSTOMER!$A:$C,3,0)</f>
        <v>COOP_CGIO</v>
      </c>
      <c r="D76" s="178" t="s">
        <v>674</v>
      </c>
      <c r="E76" s="178" t="str">
        <f>VLOOKUP(A76,CUSTOMER!$A$2:$H$1094,5,0)</f>
        <v>VAVANCY-VU MINH TUAN</v>
      </c>
      <c r="F76" s="178" t="str">
        <f>VLOOKUP(A76,CUSTOMER!$A$2:$I$1094,6,0)</f>
        <v>TRAN THI THANH TRUC</v>
      </c>
      <c r="G76" s="178" t="s">
        <v>676</v>
      </c>
      <c r="H76" s="179">
        <f t="shared" si="8"/>
        <v>5941507.3238402894</v>
      </c>
      <c r="I76" s="180">
        <f t="shared" si="9"/>
        <v>0</v>
      </c>
      <c r="J76" s="181">
        <f t="shared" si="10"/>
        <v>0</v>
      </c>
      <c r="K76" s="182">
        <v>0</v>
      </c>
      <c r="L76" s="180" t="str">
        <f t="shared" si="7"/>
        <v/>
      </c>
      <c r="M76" s="218">
        <f>SUMIFS(DATA!$L:$L,DATA!$O:$O,$B76,DATA!$N:$N,$A76,DATA!$M:$M,'SALES BY SYSTEM'!$O$1)</f>
        <v>0</v>
      </c>
      <c r="N76" s="182">
        <v>1958252.46521632</v>
      </c>
      <c r="O76" s="180">
        <f t="shared" si="11"/>
        <v>0</v>
      </c>
      <c r="P76" s="218">
        <f>SUMIFS(DATA!$L:$L,DATA!$O:$O,$B76,DATA!$N:$N,$A76,DATA!$M:$M,'SALES BY SYSTEM'!$O$2)</f>
        <v>0</v>
      </c>
      <c r="Q76" s="182">
        <v>3983254.8586239694</v>
      </c>
      <c r="R76" s="180">
        <f t="shared" si="12"/>
        <v>0</v>
      </c>
      <c r="S76" s="218">
        <f>SUMIFS(DATA!$L:$L,DATA!$O:$O,$B76,DATA!$N:$N,$A76,DATA!$M:$M,'SALES BY SYSTEM'!$O$4)</f>
        <v>0</v>
      </c>
      <c r="T76" s="182">
        <v>0</v>
      </c>
      <c r="U76" s="180" t="str">
        <f t="shared" si="13"/>
        <v/>
      </c>
      <c r="V76" s="218">
        <f>SUMIFS(DATA!$L:$L,DATA!$O:$O,$B76,DATA!$N:$N,$A76,DATA!$M:$M,'SALES BY SYSTEM'!$O$3)</f>
        <v>0</v>
      </c>
      <c r="W76" s="168"/>
    </row>
    <row r="77" spans="1:23" ht="15.75" customHeight="1" x14ac:dyDescent="0.25">
      <c r="A77" s="178" t="s">
        <v>1265</v>
      </c>
      <c r="B77" s="178" t="s">
        <v>138</v>
      </c>
      <c r="C77" s="178" t="str">
        <f>VLOOKUP(A77,CUSTOMER!$A:$C,3,0)</f>
        <v>COOP_CGUOC</v>
      </c>
      <c r="D77" s="178" t="s">
        <v>674</v>
      </c>
      <c r="E77" s="178" t="str">
        <f>VLOOKUP(A77,CUSTOMER!$A$2:$H$1094,5,0)</f>
        <v>VAVANCY-VU MINH TUAN</v>
      </c>
      <c r="F77" s="178" t="str">
        <f>VLOOKUP(A77,CUSTOMER!$A$2:$I$1094,6,0)</f>
        <v>TRAN THI THANH TRUC</v>
      </c>
      <c r="G77" s="178" t="s">
        <v>676</v>
      </c>
      <c r="H77" s="179">
        <f t="shared" si="8"/>
        <v>5941507.3238402894</v>
      </c>
      <c r="I77" s="180">
        <f t="shared" si="9"/>
        <v>0</v>
      </c>
      <c r="J77" s="181">
        <f t="shared" si="10"/>
        <v>0</v>
      </c>
      <c r="K77" s="182">
        <v>0</v>
      </c>
      <c r="L77" s="180" t="str">
        <f t="shared" ref="L77:L140" si="14">IFERROR(M77/K77,"")</f>
        <v/>
      </c>
      <c r="M77" s="218">
        <f>SUMIFS(DATA!$L:$L,DATA!$O:$O,$B77,DATA!$N:$N,$A77,DATA!$M:$M,'SALES BY SYSTEM'!$O$1)</f>
        <v>0</v>
      </c>
      <c r="N77" s="182">
        <v>1958252.46521632</v>
      </c>
      <c r="O77" s="180">
        <f t="shared" si="11"/>
        <v>0</v>
      </c>
      <c r="P77" s="218">
        <f>SUMIFS(DATA!$L:$L,DATA!$O:$O,$B77,DATA!$N:$N,$A77,DATA!$M:$M,'SALES BY SYSTEM'!$O$2)</f>
        <v>0</v>
      </c>
      <c r="Q77" s="182">
        <v>3983254.8586239694</v>
      </c>
      <c r="R77" s="180">
        <f t="shared" si="12"/>
        <v>0</v>
      </c>
      <c r="S77" s="218">
        <f>SUMIFS(DATA!$L:$L,DATA!$O:$O,$B77,DATA!$N:$N,$A77,DATA!$M:$M,'SALES BY SYSTEM'!$O$4)</f>
        <v>0</v>
      </c>
      <c r="T77" s="182">
        <v>0</v>
      </c>
      <c r="U77" s="180" t="str">
        <f t="shared" si="13"/>
        <v/>
      </c>
      <c r="V77" s="218">
        <f>SUMIFS(DATA!$L:$L,DATA!$O:$O,$B77,DATA!$N:$N,$A77,DATA!$M:$M,'SALES BY SYSTEM'!$O$3)</f>
        <v>0</v>
      </c>
      <c r="W77" s="168"/>
    </row>
    <row r="78" spans="1:23" ht="15.75" customHeight="1" x14ac:dyDescent="0.25">
      <c r="A78" s="178" t="s">
        <v>244</v>
      </c>
      <c r="B78" s="178" t="s">
        <v>138</v>
      </c>
      <c r="C78" s="178" t="str">
        <f>VLOOKUP(A78,CUSTOMER!$A:$C,3,0)</f>
        <v>COOP_CTHO</v>
      </c>
      <c r="D78" s="178" t="s">
        <v>674</v>
      </c>
      <c r="E78" s="178" t="str">
        <f>VLOOKUP(A78,CUSTOMER!$A$2:$H$1094,5,0)</f>
        <v>VAVANCY-VU MINH TUAN</v>
      </c>
      <c r="F78" s="178" t="str">
        <f>VLOOKUP(A78,CUSTOMER!$A$2:$I$1094,6,0)</f>
        <v>HUYNH NGOC HIEU</v>
      </c>
      <c r="G78" s="178" t="s">
        <v>676</v>
      </c>
      <c r="H78" s="179">
        <f t="shared" si="8"/>
        <v>5941507.3238402894</v>
      </c>
      <c r="I78" s="180">
        <f t="shared" si="9"/>
        <v>0</v>
      </c>
      <c r="J78" s="181">
        <f t="shared" si="10"/>
        <v>0</v>
      </c>
      <c r="K78" s="182">
        <v>0</v>
      </c>
      <c r="L78" s="180" t="str">
        <f t="shared" si="14"/>
        <v/>
      </c>
      <c r="M78" s="218">
        <f>SUMIFS(DATA!$L:$L,DATA!$O:$O,$B78,DATA!$N:$N,$A78,DATA!$M:$M,'SALES BY SYSTEM'!$O$1)</f>
        <v>0</v>
      </c>
      <c r="N78" s="182">
        <v>1958252.46521632</v>
      </c>
      <c r="O78" s="180">
        <f t="shared" si="11"/>
        <v>0</v>
      </c>
      <c r="P78" s="218">
        <f>SUMIFS(DATA!$L:$L,DATA!$O:$O,$B78,DATA!$N:$N,$A78,DATA!$M:$M,'SALES BY SYSTEM'!$O$2)</f>
        <v>0</v>
      </c>
      <c r="Q78" s="182">
        <v>3983254.8586239694</v>
      </c>
      <c r="R78" s="180">
        <f t="shared" si="12"/>
        <v>0</v>
      </c>
      <c r="S78" s="218">
        <f>SUMIFS(DATA!$L:$L,DATA!$O:$O,$B78,DATA!$N:$N,$A78,DATA!$M:$M,'SALES BY SYSTEM'!$O$4)</f>
        <v>0</v>
      </c>
      <c r="T78" s="182">
        <v>0</v>
      </c>
      <c r="U78" s="180" t="str">
        <f t="shared" si="13"/>
        <v/>
      </c>
      <c r="V78" s="218">
        <f>SUMIFS(DATA!$L:$L,DATA!$O:$O,$B78,DATA!$N:$N,$A78,DATA!$M:$M,'SALES BY SYSTEM'!$O$3)</f>
        <v>0</v>
      </c>
      <c r="W78" s="168"/>
    </row>
    <row r="79" spans="1:23" ht="15.75" customHeight="1" x14ac:dyDescent="0.25">
      <c r="A79" s="178" t="s">
        <v>268</v>
      </c>
      <c r="B79" s="178" t="s">
        <v>138</v>
      </c>
      <c r="C79" s="178" t="str">
        <f>VLOOKUP(A79,CUSTOMER!$A:$C,3,0)</f>
        <v>COOP_CLANH</v>
      </c>
      <c r="D79" s="178" t="s">
        <v>674</v>
      </c>
      <c r="E79" s="178" t="str">
        <f>VLOOKUP(A79,CUSTOMER!$A$2:$H$1094,5,0)</f>
        <v>VAVANCY-VU MINH TUAN</v>
      </c>
      <c r="F79" s="178" t="str">
        <f>VLOOKUP(A79,CUSTOMER!$A$2:$I$1094,6,0)</f>
        <v>VACANCY</v>
      </c>
      <c r="G79" s="178" t="s">
        <v>676</v>
      </c>
      <c r="H79" s="179">
        <f t="shared" si="8"/>
        <v>5941507.3238402894</v>
      </c>
      <c r="I79" s="180">
        <f t="shared" si="9"/>
        <v>0</v>
      </c>
      <c r="J79" s="181">
        <f t="shared" si="10"/>
        <v>0</v>
      </c>
      <c r="K79" s="182">
        <v>0</v>
      </c>
      <c r="L79" s="180" t="str">
        <f t="shared" si="14"/>
        <v/>
      </c>
      <c r="M79" s="218">
        <f>SUMIFS(DATA!$L:$L,DATA!$O:$O,$B79,DATA!$N:$N,$A79,DATA!$M:$M,'SALES BY SYSTEM'!$O$1)</f>
        <v>0</v>
      </c>
      <c r="N79" s="182">
        <v>1958252.46521632</v>
      </c>
      <c r="O79" s="180">
        <f t="shared" si="11"/>
        <v>0</v>
      </c>
      <c r="P79" s="218">
        <f>SUMIFS(DATA!$L:$L,DATA!$O:$O,$B79,DATA!$N:$N,$A79,DATA!$M:$M,'SALES BY SYSTEM'!$O$2)</f>
        <v>0</v>
      </c>
      <c r="Q79" s="182">
        <v>3983254.8586239694</v>
      </c>
      <c r="R79" s="180">
        <f t="shared" si="12"/>
        <v>0</v>
      </c>
      <c r="S79" s="218">
        <f>SUMIFS(DATA!$L:$L,DATA!$O:$O,$B79,DATA!$N:$N,$A79,DATA!$M:$M,'SALES BY SYSTEM'!$O$4)</f>
        <v>0</v>
      </c>
      <c r="T79" s="182">
        <v>0</v>
      </c>
      <c r="U79" s="180" t="str">
        <f t="shared" si="13"/>
        <v/>
      </c>
      <c r="V79" s="218">
        <f>SUMIFS(DATA!$L:$L,DATA!$O:$O,$B79,DATA!$N:$N,$A79,DATA!$M:$M,'SALES BY SYSTEM'!$O$3)</f>
        <v>0</v>
      </c>
      <c r="W79" s="168"/>
    </row>
    <row r="80" spans="1:23" ht="15.75" customHeight="1" x14ac:dyDescent="0.25">
      <c r="A80" s="178" t="s">
        <v>1268</v>
      </c>
      <c r="B80" s="178" t="s">
        <v>138</v>
      </c>
      <c r="C80" s="178" t="str">
        <f>VLOOKUP(A80,CUSTOMER!$A:$C,3,0)</f>
        <v>COOP_CDOC</v>
      </c>
      <c r="D80" s="178" t="s">
        <v>674</v>
      </c>
      <c r="E80" s="178" t="str">
        <f>VLOOKUP(A80,CUSTOMER!$A$2:$H$1094,5,0)</f>
        <v>VAVANCY-VU MINH TUAN</v>
      </c>
      <c r="F80" s="178" t="str">
        <f>VLOOKUP(A80,CUSTOMER!$A$2:$I$1094,6,0)</f>
        <v>VACANCY</v>
      </c>
      <c r="G80" s="178" t="s">
        <v>676</v>
      </c>
      <c r="H80" s="179">
        <f t="shared" si="8"/>
        <v>5941507.3238402894</v>
      </c>
      <c r="I80" s="180">
        <f t="shared" si="9"/>
        <v>0</v>
      </c>
      <c r="J80" s="181">
        <f t="shared" si="10"/>
        <v>0</v>
      </c>
      <c r="K80" s="182">
        <v>0</v>
      </c>
      <c r="L80" s="180" t="str">
        <f t="shared" si="14"/>
        <v/>
      </c>
      <c r="M80" s="218">
        <f>SUMIFS(DATA!$L:$L,DATA!$O:$O,$B80,DATA!$N:$N,$A80,DATA!$M:$M,'SALES BY SYSTEM'!$O$1)</f>
        <v>0</v>
      </c>
      <c r="N80" s="182">
        <v>1958252.46521632</v>
      </c>
      <c r="O80" s="180">
        <f t="shared" si="11"/>
        <v>0</v>
      </c>
      <c r="P80" s="218">
        <f>SUMIFS(DATA!$L:$L,DATA!$O:$O,$B80,DATA!$N:$N,$A80,DATA!$M:$M,'SALES BY SYSTEM'!$O$2)</f>
        <v>0</v>
      </c>
      <c r="Q80" s="182">
        <v>3983254.8586239694</v>
      </c>
      <c r="R80" s="180">
        <f t="shared" si="12"/>
        <v>0</v>
      </c>
      <c r="S80" s="218">
        <f>SUMIFS(DATA!$L:$L,DATA!$O:$O,$B80,DATA!$N:$N,$A80,DATA!$M:$M,'SALES BY SYSTEM'!$O$4)</f>
        <v>0</v>
      </c>
      <c r="T80" s="182">
        <v>0</v>
      </c>
      <c r="U80" s="180" t="str">
        <f t="shared" si="13"/>
        <v/>
      </c>
      <c r="V80" s="218">
        <f>SUMIFS(DATA!$L:$L,DATA!$O:$O,$B80,DATA!$N:$N,$A80,DATA!$M:$M,'SALES BY SYSTEM'!$O$3)</f>
        <v>0</v>
      </c>
      <c r="W80" s="168"/>
    </row>
    <row r="81" spans="1:23" ht="15.75" customHeight="1" x14ac:dyDescent="0.25">
      <c r="A81" s="178" t="s">
        <v>1270</v>
      </c>
      <c r="B81" s="178" t="s">
        <v>138</v>
      </c>
      <c r="C81" s="178" t="str">
        <f>VLOOKUP(A81,CUSTOMER!$A:$C,3,0)</f>
        <v>COOP_CTHANH</v>
      </c>
      <c r="D81" s="178" t="s">
        <v>674</v>
      </c>
      <c r="E81" s="178" t="str">
        <f>VLOOKUP(A81,CUSTOMER!$A$2:$H$1094,5,0)</f>
        <v>VAVANCY-VU MINH TUAN</v>
      </c>
      <c r="F81" s="178" t="str">
        <f>VLOOKUP(A81,CUSTOMER!$A$2:$I$1094,6,0)</f>
        <v>"NO SALE"</v>
      </c>
      <c r="G81" s="178" t="s">
        <v>676</v>
      </c>
      <c r="H81" s="179">
        <f t="shared" si="8"/>
        <v>5941507.3238402894</v>
      </c>
      <c r="I81" s="180">
        <f t="shared" si="9"/>
        <v>0</v>
      </c>
      <c r="J81" s="181">
        <f t="shared" si="10"/>
        <v>0</v>
      </c>
      <c r="K81" s="182">
        <v>0</v>
      </c>
      <c r="L81" s="180" t="str">
        <f t="shared" si="14"/>
        <v/>
      </c>
      <c r="M81" s="218">
        <f>SUMIFS(DATA!$L:$L,DATA!$O:$O,$B81,DATA!$N:$N,$A81,DATA!$M:$M,'SALES BY SYSTEM'!$O$1)</f>
        <v>0</v>
      </c>
      <c r="N81" s="182">
        <v>1958252.46521632</v>
      </c>
      <c r="O81" s="180">
        <f t="shared" si="11"/>
        <v>0</v>
      </c>
      <c r="P81" s="218">
        <f>SUMIFS(DATA!$L:$L,DATA!$O:$O,$B81,DATA!$N:$N,$A81,DATA!$M:$M,'SALES BY SYSTEM'!$O$2)</f>
        <v>0</v>
      </c>
      <c r="Q81" s="182">
        <v>3983254.8586239694</v>
      </c>
      <c r="R81" s="180">
        <f t="shared" si="12"/>
        <v>0</v>
      </c>
      <c r="S81" s="218">
        <f>SUMIFS(DATA!$L:$L,DATA!$O:$O,$B81,DATA!$N:$N,$A81,DATA!$M:$M,'SALES BY SYSTEM'!$O$4)</f>
        <v>0</v>
      </c>
      <c r="T81" s="182">
        <v>0</v>
      </c>
      <c r="U81" s="180" t="str">
        <f t="shared" si="13"/>
        <v/>
      </c>
      <c r="V81" s="218">
        <f>SUMIFS(DATA!$L:$L,DATA!$O:$O,$B81,DATA!$N:$N,$A81,DATA!$M:$M,'SALES BY SYSTEM'!$O$3)</f>
        <v>0</v>
      </c>
      <c r="W81" s="168"/>
    </row>
    <row r="82" spans="1:23" ht="15.75" customHeight="1" x14ac:dyDescent="0.25">
      <c r="A82" s="178" t="s">
        <v>256</v>
      </c>
      <c r="B82" s="178" t="s">
        <v>138</v>
      </c>
      <c r="C82" s="178" t="str">
        <f>VLOOKUP(A82,CUSTOMER!$A:$C,3,0)</f>
        <v>COOP_CSE</v>
      </c>
      <c r="D82" s="178" t="s">
        <v>674</v>
      </c>
      <c r="E82" s="178" t="str">
        <f>VLOOKUP(A82,CUSTOMER!$A$2:$H$1094,5,0)</f>
        <v>VAVANCY-VU MINH TUAN</v>
      </c>
      <c r="F82" s="178" t="str">
        <f>VLOOKUP(A82,CUSTOMER!$A$2:$I$1094,6,0)</f>
        <v>"NO SALE"</v>
      </c>
      <c r="G82" s="178" t="s">
        <v>676</v>
      </c>
      <c r="H82" s="179">
        <f t="shared" si="8"/>
        <v>5941507.3238402894</v>
      </c>
      <c r="I82" s="180">
        <f t="shared" si="9"/>
        <v>0</v>
      </c>
      <c r="J82" s="181">
        <f t="shared" si="10"/>
        <v>0</v>
      </c>
      <c r="K82" s="182">
        <v>0</v>
      </c>
      <c r="L82" s="180" t="str">
        <f t="shared" si="14"/>
        <v/>
      </c>
      <c r="M82" s="218">
        <f>SUMIFS(DATA!$L:$L,DATA!$O:$O,$B82,DATA!$N:$N,$A82,DATA!$M:$M,'SALES BY SYSTEM'!$O$1)</f>
        <v>0</v>
      </c>
      <c r="N82" s="182">
        <v>1958252.46521632</v>
      </c>
      <c r="O82" s="180">
        <f t="shared" si="11"/>
        <v>0</v>
      </c>
      <c r="P82" s="218">
        <f>SUMIFS(DATA!$L:$L,DATA!$O:$O,$B82,DATA!$N:$N,$A82,DATA!$M:$M,'SALES BY SYSTEM'!$O$2)</f>
        <v>0</v>
      </c>
      <c r="Q82" s="182">
        <v>3983254.8586239694</v>
      </c>
      <c r="R82" s="180">
        <f t="shared" si="12"/>
        <v>0</v>
      </c>
      <c r="S82" s="218">
        <f>SUMIFS(DATA!$L:$L,DATA!$O:$O,$B82,DATA!$N:$N,$A82,DATA!$M:$M,'SALES BY SYSTEM'!$O$4)</f>
        <v>0</v>
      </c>
      <c r="T82" s="182">
        <v>0</v>
      </c>
      <c r="U82" s="180" t="str">
        <f t="shared" si="13"/>
        <v/>
      </c>
      <c r="V82" s="218">
        <f>SUMIFS(DATA!$L:$L,DATA!$O:$O,$B82,DATA!$N:$N,$A82,DATA!$M:$M,'SALES BY SYSTEM'!$O$3)</f>
        <v>0</v>
      </c>
      <c r="W82" s="168"/>
    </row>
    <row r="83" spans="1:23" ht="15.75" customHeight="1" x14ac:dyDescent="0.25">
      <c r="A83" s="178" t="s">
        <v>206</v>
      </c>
      <c r="B83" s="178" t="s">
        <v>138</v>
      </c>
      <c r="C83" s="178" t="str">
        <f>VLOOKUP(A83,CUSTOMER!$A:$C,3,0)</f>
        <v>COOP_MGAR</v>
      </c>
      <c r="D83" s="178" t="s">
        <v>674</v>
      </c>
      <c r="E83" s="178" t="str">
        <f>VLOOKUP(A83,CUSTOMER!$A$2:$H$1094,5,0)</f>
        <v>VAVANCY-VU MINH TUAN</v>
      </c>
      <c r="F83" s="178" t="str">
        <f>VLOOKUP(A83,CUSTOMER!$A$2:$I$1094,6,0)</f>
        <v>VACANCY</v>
      </c>
      <c r="G83" s="178" t="s">
        <v>676</v>
      </c>
      <c r="H83" s="179">
        <f t="shared" si="8"/>
        <v>5941507.3238402894</v>
      </c>
      <c r="I83" s="180">
        <f t="shared" si="9"/>
        <v>0</v>
      </c>
      <c r="J83" s="181">
        <f t="shared" si="10"/>
        <v>0</v>
      </c>
      <c r="K83" s="182">
        <v>0</v>
      </c>
      <c r="L83" s="180" t="str">
        <f t="shared" si="14"/>
        <v/>
      </c>
      <c r="M83" s="218">
        <f>SUMIFS(DATA!$L:$L,DATA!$O:$O,$B83,DATA!$N:$N,$A83,DATA!$M:$M,'SALES BY SYSTEM'!$O$1)</f>
        <v>0</v>
      </c>
      <c r="N83" s="182">
        <v>1958252.46521632</v>
      </c>
      <c r="O83" s="180">
        <f t="shared" si="11"/>
        <v>0</v>
      </c>
      <c r="P83" s="218">
        <f>SUMIFS(DATA!$L:$L,DATA!$O:$O,$B83,DATA!$N:$N,$A83,DATA!$M:$M,'SALES BY SYSTEM'!$O$2)</f>
        <v>0</v>
      </c>
      <c r="Q83" s="182">
        <v>3983254.8586239694</v>
      </c>
      <c r="R83" s="180">
        <f t="shared" si="12"/>
        <v>0</v>
      </c>
      <c r="S83" s="218">
        <f>SUMIFS(DATA!$L:$L,DATA!$O:$O,$B83,DATA!$N:$N,$A83,DATA!$M:$M,'SALES BY SYSTEM'!$O$4)</f>
        <v>0</v>
      </c>
      <c r="T83" s="182">
        <v>0</v>
      </c>
      <c r="U83" s="180" t="str">
        <f t="shared" si="13"/>
        <v/>
      </c>
      <c r="V83" s="218">
        <f>SUMIFS(DATA!$L:$L,DATA!$O:$O,$B83,DATA!$N:$N,$A83,DATA!$M:$M,'SALES BY SYSTEM'!$O$3)</f>
        <v>0</v>
      </c>
      <c r="W83" s="168"/>
    </row>
    <row r="84" spans="1:23" ht="15.75" customHeight="1" x14ac:dyDescent="0.25">
      <c r="A84" s="178" t="s">
        <v>160</v>
      </c>
      <c r="B84" s="178" t="s">
        <v>138</v>
      </c>
      <c r="C84" s="178" t="str">
        <f>VLOOKUP(A84,CUSTOMER!$A:$C,3,0)</f>
        <v>COOP_KTUM</v>
      </c>
      <c r="D84" s="178" t="s">
        <v>674</v>
      </c>
      <c r="E84" s="178" t="str">
        <f>VLOOKUP(A84,CUSTOMER!$A$2:$H$1094,5,0)</f>
        <v>VAVANCY-VU MINH TUAN</v>
      </c>
      <c r="F84" s="178" t="str">
        <f>VLOOKUP(A84,CUSTOMER!$A$2:$I$1094,6,0)</f>
        <v>VACANCY</v>
      </c>
      <c r="G84" s="178" t="s">
        <v>676</v>
      </c>
      <c r="H84" s="179">
        <f t="shared" si="8"/>
        <v>5941507.3238402894</v>
      </c>
      <c r="I84" s="180">
        <f t="shared" si="9"/>
        <v>0</v>
      </c>
      <c r="J84" s="181">
        <f t="shared" si="10"/>
        <v>0</v>
      </c>
      <c r="K84" s="182">
        <v>0</v>
      </c>
      <c r="L84" s="180" t="str">
        <f t="shared" si="14"/>
        <v/>
      </c>
      <c r="M84" s="218">
        <f>SUMIFS(DATA!$L:$L,DATA!$O:$O,$B84,DATA!$N:$N,$A84,DATA!$M:$M,'SALES BY SYSTEM'!$O$1)</f>
        <v>0</v>
      </c>
      <c r="N84" s="182">
        <v>1958252.46521632</v>
      </c>
      <c r="O84" s="180">
        <f t="shared" si="11"/>
        <v>0</v>
      </c>
      <c r="P84" s="218">
        <f>SUMIFS(DATA!$L:$L,DATA!$O:$O,$B84,DATA!$N:$N,$A84,DATA!$M:$M,'SALES BY SYSTEM'!$O$2)</f>
        <v>0</v>
      </c>
      <c r="Q84" s="182">
        <v>3983254.8586239694</v>
      </c>
      <c r="R84" s="180">
        <f t="shared" si="12"/>
        <v>0</v>
      </c>
      <c r="S84" s="218">
        <f>SUMIFS(DATA!$L:$L,DATA!$O:$O,$B84,DATA!$N:$N,$A84,DATA!$M:$M,'SALES BY SYSTEM'!$O$4)</f>
        <v>0</v>
      </c>
      <c r="T84" s="182">
        <v>0</v>
      </c>
      <c r="U84" s="180" t="str">
        <f t="shared" si="13"/>
        <v/>
      </c>
      <c r="V84" s="218">
        <f>SUMIFS(DATA!$L:$L,DATA!$O:$O,$B84,DATA!$N:$N,$A84,DATA!$M:$M,'SALES BY SYSTEM'!$O$3)</f>
        <v>0</v>
      </c>
      <c r="W84" s="168"/>
    </row>
    <row r="85" spans="1:23" ht="15.75" customHeight="1" x14ac:dyDescent="0.25">
      <c r="A85" s="178" t="s">
        <v>306</v>
      </c>
      <c r="B85" s="178" t="s">
        <v>138</v>
      </c>
      <c r="C85" s="178" t="str">
        <f>VLOOKUP(A85,CUSTOMER!$A:$C,3,0)</f>
        <v>COOP_QNHON</v>
      </c>
      <c r="D85" s="178" t="s">
        <v>674</v>
      </c>
      <c r="E85" s="178" t="str">
        <f>VLOOKUP(A85,CUSTOMER!$A$2:$H$1094,5,0)</f>
        <v>VAVANCY-VU MINH TUAN</v>
      </c>
      <c r="F85" s="178" t="str">
        <f>VLOOKUP(A85,CUSTOMER!$A$2:$I$1094,6,0)</f>
        <v>VACANCY</v>
      </c>
      <c r="G85" s="178" t="s">
        <v>676</v>
      </c>
      <c r="H85" s="179">
        <f t="shared" si="8"/>
        <v>5941507.3238402894</v>
      </c>
      <c r="I85" s="180">
        <f t="shared" si="9"/>
        <v>0</v>
      </c>
      <c r="J85" s="181">
        <f t="shared" si="10"/>
        <v>0</v>
      </c>
      <c r="K85" s="182">
        <v>0</v>
      </c>
      <c r="L85" s="180" t="str">
        <f t="shared" si="14"/>
        <v/>
      </c>
      <c r="M85" s="218">
        <f>SUMIFS(DATA!$L:$L,DATA!$O:$O,$B85,DATA!$N:$N,$A85,DATA!$M:$M,'SALES BY SYSTEM'!$O$1)</f>
        <v>0</v>
      </c>
      <c r="N85" s="182">
        <v>1958252.46521632</v>
      </c>
      <c r="O85" s="180">
        <f t="shared" si="11"/>
        <v>0</v>
      </c>
      <c r="P85" s="218">
        <f>SUMIFS(DATA!$L:$L,DATA!$O:$O,$B85,DATA!$N:$N,$A85,DATA!$M:$M,'SALES BY SYSTEM'!$O$2)</f>
        <v>0</v>
      </c>
      <c r="Q85" s="182">
        <v>3983254.8586239694</v>
      </c>
      <c r="R85" s="180">
        <f t="shared" si="12"/>
        <v>0</v>
      </c>
      <c r="S85" s="218">
        <f>SUMIFS(DATA!$L:$L,DATA!$O:$O,$B85,DATA!$N:$N,$A85,DATA!$M:$M,'SALES BY SYSTEM'!$O$4)</f>
        <v>0</v>
      </c>
      <c r="T85" s="182">
        <v>0</v>
      </c>
      <c r="U85" s="180" t="str">
        <f t="shared" si="13"/>
        <v/>
      </c>
      <c r="V85" s="218">
        <f>SUMIFS(DATA!$L:$L,DATA!$O:$O,$B85,DATA!$N:$N,$A85,DATA!$M:$M,'SALES BY SYSTEM'!$O$3)</f>
        <v>0</v>
      </c>
      <c r="W85" s="168"/>
    </row>
    <row r="86" spans="1:23" ht="15.75" customHeight="1" x14ac:dyDescent="0.25">
      <c r="A86" s="178" t="s">
        <v>1340</v>
      </c>
      <c r="B86" s="178" t="s">
        <v>138</v>
      </c>
      <c r="C86" s="178" t="str">
        <f>VLOOKUP(A86,CUSTOMER!$A:$C,3,0)</f>
        <v>COOP_RGIA</v>
      </c>
      <c r="D86" s="178" t="s">
        <v>674</v>
      </c>
      <c r="E86" s="178" t="str">
        <f>VLOOKUP(A86,CUSTOMER!$A$2:$H$1094,5,0)</f>
        <v>VAVANCY-VU MINH TUAN</v>
      </c>
      <c r="F86" s="178" t="str">
        <f>VLOOKUP(A86,CUSTOMER!$A$2:$I$1094,6,0)</f>
        <v>VACANCY</v>
      </c>
      <c r="G86" s="178" t="s">
        <v>676</v>
      </c>
      <c r="H86" s="179">
        <f t="shared" si="8"/>
        <v>5941507.3238402894</v>
      </c>
      <c r="I86" s="180">
        <f t="shared" si="9"/>
        <v>0</v>
      </c>
      <c r="J86" s="181">
        <f t="shared" si="10"/>
        <v>0</v>
      </c>
      <c r="K86" s="182">
        <v>0</v>
      </c>
      <c r="L86" s="180" t="str">
        <f t="shared" si="14"/>
        <v/>
      </c>
      <c r="M86" s="218">
        <f>SUMIFS(DATA!$L:$L,DATA!$O:$O,$B86,DATA!$N:$N,$A86,DATA!$M:$M,'SALES BY SYSTEM'!$O$1)</f>
        <v>0</v>
      </c>
      <c r="N86" s="182">
        <v>1958252.46521632</v>
      </c>
      <c r="O86" s="180">
        <f t="shared" si="11"/>
        <v>0</v>
      </c>
      <c r="P86" s="218">
        <f>SUMIFS(DATA!$L:$L,DATA!$O:$O,$B86,DATA!$N:$N,$A86,DATA!$M:$M,'SALES BY SYSTEM'!$O$2)</f>
        <v>0</v>
      </c>
      <c r="Q86" s="182">
        <v>3983254.8586239694</v>
      </c>
      <c r="R86" s="180">
        <f t="shared" si="12"/>
        <v>0</v>
      </c>
      <c r="S86" s="218">
        <f>SUMIFS(DATA!$L:$L,DATA!$O:$O,$B86,DATA!$N:$N,$A86,DATA!$M:$M,'SALES BY SYSTEM'!$O$4)</f>
        <v>0</v>
      </c>
      <c r="T86" s="182">
        <v>0</v>
      </c>
      <c r="U86" s="180" t="str">
        <f t="shared" si="13"/>
        <v/>
      </c>
      <c r="V86" s="218">
        <f>SUMIFS(DATA!$L:$L,DATA!$O:$O,$B86,DATA!$N:$N,$A86,DATA!$M:$M,'SALES BY SYSTEM'!$O$3)</f>
        <v>0</v>
      </c>
      <c r="W86" s="168"/>
    </row>
    <row r="87" spans="1:23" ht="15.75" customHeight="1" x14ac:dyDescent="0.25">
      <c r="A87" s="178" t="s">
        <v>196</v>
      </c>
      <c r="B87" s="178" t="s">
        <v>138</v>
      </c>
      <c r="C87" s="178" t="str">
        <f>VLOOKUP(A87,CUSTOMER!$A:$C,3,0)</f>
        <v>COOP_SDEC</v>
      </c>
      <c r="D87" s="178" t="s">
        <v>674</v>
      </c>
      <c r="E87" s="178" t="str">
        <f>VLOOKUP(A87,CUSTOMER!$A$2:$H$1094,5,0)</f>
        <v>VAVANCY-VU MINH TUAN</v>
      </c>
      <c r="F87" s="178" t="str">
        <f>VLOOKUP(A87,CUSTOMER!$A$2:$I$1094,6,0)</f>
        <v>VACANCY</v>
      </c>
      <c r="G87" s="178" t="s">
        <v>676</v>
      </c>
      <c r="H87" s="179">
        <f t="shared" si="8"/>
        <v>5941507.3238402894</v>
      </c>
      <c r="I87" s="180">
        <f t="shared" si="9"/>
        <v>0</v>
      </c>
      <c r="J87" s="181">
        <f t="shared" si="10"/>
        <v>0</v>
      </c>
      <c r="K87" s="182">
        <v>0</v>
      </c>
      <c r="L87" s="180" t="str">
        <f t="shared" si="14"/>
        <v/>
      </c>
      <c r="M87" s="218">
        <f>SUMIFS(DATA!$L:$L,DATA!$O:$O,$B87,DATA!$N:$N,$A87,DATA!$M:$M,'SALES BY SYSTEM'!$O$1)</f>
        <v>0</v>
      </c>
      <c r="N87" s="182">
        <v>1958252.46521632</v>
      </c>
      <c r="O87" s="180">
        <f t="shared" si="11"/>
        <v>0</v>
      </c>
      <c r="P87" s="218">
        <f>SUMIFS(DATA!$L:$L,DATA!$O:$O,$B87,DATA!$N:$N,$A87,DATA!$M:$M,'SALES BY SYSTEM'!$O$2)</f>
        <v>0</v>
      </c>
      <c r="Q87" s="182">
        <v>3983254.8586239694</v>
      </c>
      <c r="R87" s="180">
        <f t="shared" si="12"/>
        <v>0</v>
      </c>
      <c r="S87" s="218">
        <f>SUMIFS(DATA!$L:$L,DATA!$O:$O,$B87,DATA!$N:$N,$A87,DATA!$M:$M,'SALES BY SYSTEM'!$O$4)</f>
        <v>0</v>
      </c>
      <c r="T87" s="182">
        <v>0</v>
      </c>
      <c r="U87" s="180" t="str">
        <f t="shared" si="13"/>
        <v/>
      </c>
      <c r="V87" s="218">
        <f>SUMIFS(DATA!$L:$L,DATA!$O:$O,$B87,DATA!$N:$N,$A87,DATA!$M:$M,'SALES BY SYSTEM'!$O$3)</f>
        <v>0</v>
      </c>
      <c r="W87" s="168"/>
    </row>
    <row r="88" spans="1:23" ht="15.75" customHeight="1" x14ac:dyDescent="0.25">
      <c r="A88" s="178" t="s">
        <v>144</v>
      </c>
      <c r="B88" s="178" t="s">
        <v>138</v>
      </c>
      <c r="C88" s="178" t="str">
        <f>VLOOKUP(A88,CUSTOMER!$A:$C,3,0)</f>
        <v>COOP_STRANG</v>
      </c>
      <c r="D88" s="178" t="s">
        <v>674</v>
      </c>
      <c r="E88" s="178" t="str">
        <f>VLOOKUP(A88,CUSTOMER!$A$2:$H$1094,5,0)</f>
        <v>VAVANCY-VU MINH TUAN</v>
      </c>
      <c r="F88" s="178" t="str">
        <f>VLOOKUP(A88,CUSTOMER!$A$2:$I$1094,6,0)</f>
        <v>VACANCY</v>
      </c>
      <c r="G88" s="178" t="s">
        <v>676</v>
      </c>
      <c r="H88" s="179">
        <f t="shared" si="8"/>
        <v>5941507.3238402894</v>
      </c>
      <c r="I88" s="180">
        <f t="shared" si="9"/>
        <v>0</v>
      </c>
      <c r="J88" s="181">
        <f t="shared" si="10"/>
        <v>0</v>
      </c>
      <c r="K88" s="182">
        <v>0</v>
      </c>
      <c r="L88" s="180" t="str">
        <f t="shared" si="14"/>
        <v/>
      </c>
      <c r="M88" s="218">
        <f>SUMIFS(DATA!$L:$L,DATA!$O:$O,$B88,DATA!$N:$N,$A88,DATA!$M:$M,'SALES BY SYSTEM'!$O$1)</f>
        <v>0</v>
      </c>
      <c r="N88" s="182">
        <v>1958252.46521632</v>
      </c>
      <c r="O88" s="180">
        <f t="shared" si="11"/>
        <v>0</v>
      </c>
      <c r="P88" s="218">
        <f>SUMIFS(DATA!$L:$L,DATA!$O:$O,$B88,DATA!$N:$N,$A88,DATA!$M:$M,'SALES BY SYSTEM'!$O$2)</f>
        <v>0</v>
      </c>
      <c r="Q88" s="182">
        <v>3983254.8586239694</v>
      </c>
      <c r="R88" s="180">
        <f t="shared" si="12"/>
        <v>0</v>
      </c>
      <c r="S88" s="218">
        <f>SUMIFS(DATA!$L:$L,DATA!$O:$O,$B88,DATA!$N:$N,$A88,DATA!$M:$M,'SALES BY SYSTEM'!$O$4)</f>
        <v>0</v>
      </c>
      <c r="T88" s="182">
        <v>0</v>
      </c>
      <c r="U88" s="180" t="str">
        <f t="shared" si="13"/>
        <v/>
      </c>
      <c r="V88" s="218">
        <f>SUMIFS(DATA!$L:$L,DATA!$O:$O,$B88,DATA!$N:$N,$A88,DATA!$M:$M,'SALES BY SYSTEM'!$O$3)</f>
        <v>0</v>
      </c>
      <c r="W88" s="168"/>
    </row>
    <row r="89" spans="1:23" ht="15.75" customHeight="1" x14ac:dyDescent="0.25">
      <c r="A89" s="178" t="s">
        <v>170</v>
      </c>
      <c r="B89" s="178" t="s">
        <v>138</v>
      </c>
      <c r="C89" s="178" t="str">
        <f>VLOOKUP(A89,CUSTOMER!$A:$C,3,0)</f>
        <v>COOP_TAMBINH</v>
      </c>
      <c r="D89" s="178" t="s">
        <v>674</v>
      </c>
      <c r="E89" s="178" t="str">
        <f>VLOOKUP(A89,CUSTOMER!$A$2:$H$1094,5,0)</f>
        <v>VAVANCY-VU MINH TUAN</v>
      </c>
      <c r="F89" s="178" t="str">
        <f>VLOOKUP(A89,CUSTOMER!$A$2:$I$1094,6,0)</f>
        <v>VACANCY</v>
      </c>
      <c r="G89" s="178" t="s">
        <v>676</v>
      </c>
      <c r="H89" s="179">
        <f t="shared" si="8"/>
        <v>5941507.3238402894</v>
      </c>
      <c r="I89" s="180">
        <f t="shared" si="9"/>
        <v>0</v>
      </c>
      <c r="J89" s="181">
        <f t="shared" si="10"/>
        <v>0</v>
      </c>
      <c r="K89" s="182">
        <v>0</v>
      </c>
      <c r="L89" s="180" t="str">
        <f t="shared" si="14"/>
        <v/>
      </c>
      <c r="M89" s="218">
        <f>SUMIFS(DATA!$L:$L,DATA!$O:$O,$B89,DATA!$N:$N,$A89,DATA!$M:$M,'SALES BY SYSTEM'!$O$1)</f>
        <v>0</v>
      </c>
      <c r="N89" s="182">
        <v>1958252.46521632</v>
      </c>
      <c r="O89" s="180">
        <f t="shared" si="11"/>
        <v>0</v>
      </c>
      <c r="P89" s="218">
        <f>SUMIFS(DATA!$L:$L,DATA!$O:$O,$B89,DATA!$N:$N,$A89,DATA!$M:$M,'SALES BY SYSTEM'!$O$2)</f>
        <v>0</v>
      </c>
      <c r="Q89" s="182">
        <v>3983254.8586239694</v>
      </c>
      <c r="R89" s="180">
        <f t="shared" si="12"/>
        <v>0</v>
      </c>
      <c r="S89" s="218">
        <f>SUMIFS(DATA!$L:$L,DATA!$O:$O,$B89,DATA!$N:$N,$A89,DATA!$M:$M,'SALES BY SYSTEM'!$O$4)</f>
        <v>0</v>
      </c>
      <c r="T89" s="182">
        <v>0</v>
      </c>
      <c r="U89" s="180" t="str">
        <f t="shared" si="13"/>
        <v/>
      </c>
      <c r="V89" s="218">
        <f>SUMIFS(DATA!$L:$L,DATA!$O:$O,$B89,DATA!$N:$N,$A89,DATA!$M:$M,'SALES BY SYSTEM'!$O$3)</f>
        <v>0</v>
      </c>
      <c r="W89" s="168"/>
    </row>
    <row r="90" spans="1:23" ht="15.75" customHeight="1" x14ac:dyDescent="0.25">
      <c r="A90" s="178" t="s">
        <v>262</v>
      </c>
      <c r="B90" s="178" t="s">
        <v>138</v>
      </c>
      <c r="C90" s="178" t="str">
        <f>VLOOKUP(A90,CUSTOMER!$A:$C,3,0)</f>
        <v>COOP_TKY</v>
      </c>
      <c r="D90" s="178" t="s">
        <v>674</v>
      </c>
      <c r="E90" s="178" t="str">
        <f>VLOOKUP(A90,CUSTOMER!$A$2:$H$1094,5,0)</f>
        <v>VAVANCY-VU MINH TUAN</v>
      </c>
      <c r="F90" s="178" t="str">
        <f>VLOOKUP(A90,CUSTOMER!$A$2:$I$1094,6,0)</f>
        <v>VACANCY</v>
      </c>
      <c r="G90" s="178" t="s">
        <v>676</v>
      </c>
      <c r="H90" s="179">
        <f t="shared" si="8"/>
        <v>5941507.3238402894</v>
      </c>
      <c r="I90" s="180">
        <f t="shared" si="9"/>
        <v>0</v>
      </c>
      <c r="J90" s="181">
        <f t="shared" si="10"/>
        <v>0</v>
      </c>
      <c r="K90" s="182">
        <v>0</v>
      </c>
      <c r="L90" s="180" t="str">
        <f t="shared" si="14"/>
        <v/>
      </c>
      <c r="M90" s="218">
        <f>SUMIFS(DATA!$L:$L,DATA!$O:$O,$B90,DATA!$N:$N,$A90,DATA!$M:$M,'SALES BY SYSTEM'!$O$1)</f>
        <v>0</v>
      </c>
      <c r="N90" s="182">
        <v>1958252.46521632</v>
      </c>
      <c r="O90" s="180">
        <f t="shared" si="11"/>
        <v>0</v>
      </c>
      <c r="P90" s="218">
        <f>SUMIFS(DATA!$L:$L,DATA!$O:$O,$B90,DATA!$N:$N,$A90,DATA!$M:$M,'SALES BY SYSTEM'!$O$2)</f>
        <v>0</v>
      </c>
      <c r="Q90" s="182">
        <v>3983254.8586239694</v>
      </c>
      <c r="R90" s="180">
        <f t="shared" si="12"/>
        <v>0</v>
      </c>
      <c r="S90" s="218">
        <f>SUMIFS(DATA!$L:$L,DATA!$O:$O,$B90,DATA!$N:$N,$A90,DATA!$M:$M,'SALES BY SYSTEM'!$O$4)</f>
        <v>0</v>
      </c>
      <c r="T90" s="182">
        <v>0</v>
      </c>
      <c r="U90" s="180" t="str">
        <f t="shared" si="13"/>
        <v/>
      </c>
      <c r="V90" s="218">
        <f>SUMIFS(DATA!$L:$L,DATA!$O:$O,$B90,DATA!$N:$N,$A90,DATA!$M:$M,'SALES BY SYSTEM'!$O$3)</f>
        <v>0</v>
      </c>
      <c r="W90" s="168"/>
    </row>
    <row r="91" spans="1:23" ht="15.75" customHeight="1" x14ac:dyDescent="0.25">
      <c r="A91" s="178" t="s">
        <v>292</v>
      </c>
      <c r="B91" s="178" t="s">
        <v>138</v>
      </c>
      <c r="C91" s="178" t="str">
        <f>VLOOKUP(A91,CUSTOMER!$A:$C,3,0)</f>
        <v>COOP_TAN</v>
      </c>
      <c r="D91" s="178" t="s">
        <v>674</v>
      </c>
      <c r="E91" s="178" t="str">
        <f>VLOOKUP(A91,CUSTOMER!$A$2:$H$1094,5,0)</f>
        <v>VAVANCY-VU MINH TUAN</v>
      </c>
      <c r="F91" s="178" t="str">
        <f>VLOOKUP(A91,CUSTOMER!$A$2:$I$1094,6,0)</f>
        <v>VACANCY</v>
      </c>
      <c r="G91" s="178" t="s">
        <v>676</v>
      </c>
      <c r="H91" s="179">
        <f t="shared" si="8"/>
        <v>5941507.3238402894</v>
      </c>
      <c r="I91" s="180">
        <f t="shared" si="9"/>
        <v>0</v>
      </c>
      <c r="J91" s="181">
        <f t="shared" si="10"/>
        <v>0</v>
      </c>
      <c r="K91" s="182">
        <v>0</v>
      </c>
      <c r="L91" s="180" t="str">
        <f t="shared" si="14"/>
        <v/>
      </c>
      <c r="M91" s="218">
        <f>SUMIFS(DATA!$L:$L,DATA!$O:$O,$B91,DATA!$N:$N,$A91,DATA!$M:$M,'SALES BY SYSTEM'!$O$1)</f>
        <v>0</v>
      </c>
      <c r="N91" s="182">
        <v>1958252.46521632</v>
      </c>
      <c r="O91" s="180">
        <f t="shared" si="11"/>
        <v>0</v>
      </c>
      <c r="P91" s="218">
        <f>SUMIFS(DATA!$L:$L,DATA!$O:$O,$B91,DATA!$N:$N,$A91,DATA!$M:$M,'SALES BY SYSTEM'!$O$2)</f>
        <v>0</v>
      </c>
      <c r="Q91" s="182">
        <v>3983254.8586239694</v>
      </c>
      <c r="R91" s="180">
        <f t="shared" si="12"/>
        <v>0</v>
      </c>
      <c r="S91" s="218">
        <f>SUMIFS(DATA!$L:$L,DATA!$O:$O,$B91,DATA!$N:$N,$A91,DATA!$M:$M,'SALES BY SYSTEM'!$O$4)</f>
        <v>0</v>
      </c>
      <c r="T91" s="182">
        <v>0</v>
      </c>
      <c r="U91" s="180" t="str">
        <f t="shared" si="13"/>
        <v/>
      </c>
      <c r="V91" s="218">
        <f>SUMIFS(DATA!$L:$L,DATA!$O:$O,$B91,DATA!$N:$N,$A91,DATA!$M:$M,'SALES BY SYSTEM'!$O$3)</f>
        <v>0</v>
      </c>
      <c r="W91" s="168"/>
    </row>
    <row r="92" spans="1:23" ht="15.75" customHeight="1" x14ac:dyDescent="0.25">
      <c r="A92" s="178" t="s">
        <v>1344</v>
      </c>
      <c r="B92" s="178" t="s">
        <v>138</v>
      </c>
      <c r="C92" s="178" t="str">
        <f>VLOOKUP(A92,CUSTOMER!$A:$C,3,0)</f>
        <v>COOP_TBIEN</v>
      </c>
      <c r="D92" s="178" t="s">
        <v>674</v>
      </c>
      <c r="E92" s="178" t="str">
        <f>VLOOKUP(A92,CUSTOMER!$A$2:$H$1094,5,0)</f>
        <v>VAVANCY-VU MINH TUAN</v>
      </c>
      <c r="F92" s="178" t="str">
        <f>VLOOKUP(A92,CUSTOMER!$A$2:$I$1094,6,0)</f>
        <v>VACANCY</v>
      </c>
      <c r="G92" s="178" t="s">
        <v>676</v>
      </c>
      <c r="H92" s="179">
        <f t="shared" si="8"/>
        <v>5941507.3238402894</v>
      </c>
      <c r="I92" s="180">
        <f t="shared" si="9"/>
        <v>0</v>
      </c>
      <c r="J92" s="181">
        <f t="shared" si="10"/>
        <v>0</v>
      </c>
      <c r="K92" s="182">
        <v>0</v>
      </c>
      <c r="L92" s="180" t="str">
        <f t="shared" si="14"/>
        <v/>
      </c>
      <c r="M92" s="218">
        <f>SUMIFS(DATA!$L:$L,DATA!$O:$O,$B92,DATA!$N:$N,$A92,DATA!$M:$M,'SALES BY SYSTEM'!$O$1)</f>
        <v>0</v>
      </c>
      <c r="N92" s="182">
        <v>1958252.46521632</v>
      </c>
      <c r="O92" s="180">
        <f t="shared" si="11"/>
        <v>0</v>
      </c>
      <c r="P92" s="218">
        <f>SUMIFS(DATA!$L:$L,DATA!$O:$O,$B92,DATA!$N:$N,$A92,DATA!$M:$M,'SALES BY SYSTEM'!$O$2)</f>
        <v>0</v>
      </c>
      <c r="Q92" s="182">
        <v>3983254.8586239694</v>
      </c>
      <c r="R92" s="180">
        <f t="shared" si="12"/>
        <v>0</v>
      </c>
      <c r="S92" s="218">
        <f>SUMIFS(DATA!$L:$L,DATA!$O:$O,$B92,DATA!$N:$N,$A92,DATA!$M:$M,'SALES BY SYSTEM'!$O$4)</f>
        <v>0</v>
      </c>
      <c r="T92" s="182">
        <v>0</v>
      </c>
      <c r="U92" s="180" t="str">
        <f t="shared" si="13"/>
        <v/>
      </c>
      <c r="V92" s="218">
        <f>SUMIFS(DATA!$L:$L,DATA!$O:$O,$B92,DATA!$N:$N,$A92,DATA!$M:$M,'SALES BY SYSTEM'!$O$3)</f>
        <v>0</v>
      </c>
      <c r="W92" s="168"/>
    </row>
    <row r="93" spans="1:23" ht="15.75" customHeight="1" x14ac:dyDescent="0.25">
      <c r="A93" s="178" t="s">
        <v>214</v>
      </c>
      <c r="B93" s="178" t="s">
        <v>138</v>
      </c>
      <c r="C93" s="178" t="str">
        <f>VLOOKUP(A93,CUSTOMER!$A:$C,3,0)</f>
        <v>COOP_AGIANG</v>
      </c>
      <c r="D93" s="178" t="s">
        <v>674</v>
      </c>
      <c r="E93" s="178" t="str">
        <f>VLOOKUP(A93,CUSTOMER!$A$2:$H$1094,5,0)</f>
        <v>VAVANCY-VU MINH TUAN</v>
      </c>
      <c r="F93" s="178" t="str">
        <f>VLOOKUP(A93,CUSTOMER!$A$2:$I$1094,6,0)</f>
        <v>VACANCY</v>
      </c>
      <c r="G93" s="178" t="s">
        <v>676</v>
      </c>
      <c r="H93" s="179">
        <f t="shared" si="8"/>
        <v>5941507.3238402894</v>
      </c>
      <c r="I93" s="180">
        <f t="shared" si="9"/>
        <v>0</v>
      </c>
      <c r="J93" s="181">
        <f t="shared" si="10"/>
        <v>0</v>
      </c>
      <c r="K93" s="182">
        <v>0</v>
      </c>
      <c r="L93" s="180" t="str">
        <f t="shared" si="14"/>
        <v/>
      </c>
      <c r="M93" s="218">
        <f>SUMIFS(DATA!$L:$L,DATA!$O:$O,$B93,DATA!$N:$N,$A93,DATA!$M:$M,'SALES BY SYSTEM'!$O$1)</f>
        <v>0</v>
      </c>
      <c r="N93" s="182">
        <v>1958252.46521632</v>
      </c>
      <c r="O93" s="180">
        <f t="shared" si="11"/>
        <v>0</v>
      </c>
      <c r="P93" s="218">
        <f>SUMIFS(DATA!$L:$L,DATA!$O:$O,$B93,DATA!$N:$N,$A93,DATA!$M:$M,'SALES BY SYSTEM'!$O$2)</f>
        <v>0</v>
      </c>
      <c r="Q93" s="182">
        <v>3983254.8586239694</v>
      </c>
      <c r="R93" s="180">
        <f t="shared" si="12"/>
        <v>0</v>
      </c>
      <c r="S93" s="218">
        <f>SUMIFS(DATA!$L:$L,DATA!$O:$O,$B93,DATA!$N:$N,$A93,DATA!$M:$M,'SALES BY SYSTEM'!$O$4)</f>
        <v>0</v>
      </c>
      <c r="T93" s="182">
        <v>0</v>
      </c>
      <c r="U93" s="180" t="str">
        <f t="shared" si="13"/>
        <v/>
      </c>
      <c r="V93" s="218">
        <f>SUMIFS(DATA!$L:$L,DATA!$O:$O,$B93,DATA!$N:$N,$A93,DATA!$M:$M,'SALES BY SYSTEM'!$O$3)</f>
        <v>0</v>
      </c>
      <c r="W93" s="168"/>
    </row>
    <row r="94" spans="1:23" ht="15.75" customHeight="1" x14ac:dyDescent="0.25">
      <c r="A94" s="178" t="s">
        <v>1346</v>
      </c>
      <c r="B94" s="178" t="s">
        <v>138</v>
      </c>
      <c r="C94" s="178" t="str">
        <f>VLOOKUP(A94,CUSTOMER!$A:$C,3,0)</f>
        <v>COOP_TCTN</v>
      </c>
      <c r="D94" s="178" t="s">
        <v>674</v>
      </c>
      <c r="E94" s="178" t="str">
        <f>VLOOKUP(A94,CUSTOMER!$A$2:$H$1094,5,0)</f>
        <v>VAVANCY-VU MINH TUAN</v>
      </c>
      <c r="F94" s="178" t="str">
        <f>VLOOKUP(A94,CUSTOMER!$A$2:$I$1094,6,0)</f>
        <v>VACANCY</v>
      </c>
      <c r="G94" s="178" t="s">
        <v>676</v>
      </c>
      <c r="H94" s="179">
        <f t="shared" si="8"/>
        <v>5941507.3238402894</v>
      </c>
      <c r="I94" s="180">
        <f t="shared" si="9"/>
        <v>0</v>
      </c>
      <c r="J94" s="181">
        <f t="shared" si="10"/>
        <v>0</v>
      </c>
      <c r="K94" s="182">
        <v>0</v>
      </c>
      <c r="L94" s="180" t="str">
        <f t="shared" si="14"/>
        <v/>
      </c>
      <c r="M94" s="218">
        <f>SUMIFS(DATA!$L:$L,DATA!$O:$O,$B94,DATA!$N:$N,$A94,DATA!$M:$M,'SALES BY SYSTEM'!$O$1)</f>
        <v>0</v>
      </c>
      <c r="N94" s="182">
        <v>1958252.46521632</v>
      </c>
      <c r="O94" s="180">
        <f t="shared" si="11"/>
        <v>0</v>
      </c>
      <c r="P94" s="218">
        <f>SUMIFS(DATA!$L:$L,DATA!$O:$O,$B94,DATA!$N:$N,$A94,DATA!$M:$M,'SALES BY SYSTEM'!$O$2)</f>
        <v>0</v>
      </c>
      <c r="Q94" s="182">
        <v>3983254.8586239694</v>
      </c>
      <c r="R94" s="180">
        <f t="shared" si="12"/>
        <v>0</v>
      </c>
      <c r="S94" s="218">
        <f>SUMIFS(DATA!$L:$L,DATA!$O:$O,$B94,DATA!$N:$N,$A94,DATA!$M:$M,'SALES BY SYSTEM'!$O$4)</f>
        <v>0</v>
      </c>
      <c r="T94" s="182">
        <v>0</v>
      </c>
      <c r="U94" s="180" t="str">
        <f t="shared" si="13"/>
        <v/>
      </c>
      <c r="V94" s="218">
        <f>SUMIFS(DATA!$L:$L,DATA!$O:$O,$B94,DATA!$N:$N,$A94,DATA!$M:$M,'SALES BY SYSTEM'!$O$3)</f>
        <v>0</v>
      </c>
      <c r="W94" s="168"/>
    </row>
    <row r="95" spans="1:23" ht="15.75" customHeight="1" x14ac:dyDescent="0.25">
      <c r="A95" s="178" t="s">
        <v>264</v>
      </c>
      <c r="B95" s="178" t="s">
        <v>138</v>
      </c>
      <c r="C95" s="178" t="str">
        <f>VLOOKUP(A95,CUSTOMER!$A:$C,3,0)</f>
        <v>COOP_TTHANH</v>
      </c>
      <c r="D95" s="178" t="s">
        <v>674</v>
      </c>
      <c r="E95" s="178" t="str">
        <f>VLOOKUP(A95,CUSTOMER!$A$2:$H$1094,5,0)</f>
        <v>VAVANCY-VU MINH TUAN</v>
      </c>
      <c r="F95" s="178" t="str">
        <f>VLOOKUP(A95,CUSTOMER!$A$2:$I$1094,6,0)</f>
        <v>VACANCY</v>
      </c>
      <c r="G95" s="178" t="s">
        <v>676</v>
      </c>
      <c r="H95" s="179">
        <f t="shared" si="8"/>
        <v>5941507.3238402894</v>
      </c>
      <c r="I95" s="180">
        <f t="shared" si="9"/>
        <v>0</v>
      </c>
      <c r="J95" s="181">
        <f t="shared" si="10"/>
        <v>0</v>
      </c>
      <c r="K95" s="182">
        <v>0</v>
      </c>
      <c r="L95" s="180" t="str">
        <f t="shared" si="14"/>
        <v/>
      </c>
      <c r="M95" s="218">
        <f>SUMIFS(DATA!$L:$L,DATA!$O:$O,$B95,DATA!$N:$N,$A95,DATA!$M:$M,'SALES BY SYSTEM'!$O$1)</f>
        <v>0</v>
      </c>
      <c r="N95" s="182">
        <v>1958252.46521632</v>
      </c>
      <c r="O95" s="180">
        <f t="shared" si="11"/>
        <v>0</v>
      </c>
      <c r="P95" s="218">
        <f>SUMIFS(DATA!$L:$L,DATA!$O:$O,$B95,DATA!$N:$N,$A95,DATA!$M:$M,'SALES BY SYSTEM'!$O$2)</f>
        <v>0</v>
      </c>
      <c r="Q95" s="182">
        <v>3983254.8586239694</v>
      </c>
      <c r="R95" s="180">
        <f t="shared" si="12"/>
        <v>0</v>
      </c>
      <c r="S95" s="218">
        <f>SUMIFS(DATA!$L:$L,DATA!$O:$O,$B95,DATA!$N:$N,$A95,DATA!$M:$M,'SALES BY SYSTEM'!$O$4)</f>
        <v>0</v>
      </c>
      <c r="T95" s="182">
        <v>0</v>
      </c>
      <c r="U95" s="180" t="str">
        <f t="shared" si="13"/>
        <v/>
      </c>
      <c r="V95" s="218">
        <f>SUMIFS(DATA!$L:$L,DATA!$O:$O,$B95,DATA!$N:$N,$A95,DATA!$M:$M,'SALES BY SYSTEM'!$O$3)</f>
        <v>0</v>
      </c>
      <c r="W95" s="168"/>
    </row>
    <row r="96" spans="1:23" ht="15.75" customHeight="1" x14ac:dyDescent="0.25">
      <c r="A96" s="178" t="s">
        <v>1348</v>
      </c>
      <c r="B96" s="178" t="s">
        <v>138</v>
      </c>
      <c r="C96" s="178" t="str">
        <f>VLOOKUP(A96,CUSTOMER!$A:$C,3,0)</f>
        <v>COOP_AUC_TNINH</v>
      </c>
      <c r="D96" s="178" t="s">
        <v>674</v>
      </c>
      <c r="E96" s="178" t="str">
        <f>VLOOKUP(A96,CUSTOMER!$A$2:$H$1094,5,0)</f>
        <v>VAVANCY-VU MINH TUAN</v>
      </c>
      <c r="F96" s="178" t="str">
        <f>VLOOKUP(A96,CUSTOMER!$A$2:$I$1094,6,0)</f>
        <v>VACANCY</v>
      </c>
      <c r="G96" s="178" t="s">
        <v>676</v>
      </c>
      <c r="H96" s="179">
        <f t="shared" si="8"/>
        <v>5941507.3238402894</v>
      </c>
      <c r="I96" s="180">
        <f t="shared" si="9"/>
        <v>0</v>
      </c>
      <c r="J96" s="181">
        <f t="shared" si="10"/>
        <v>0</v>
      </c>
      <c r="K96" s="182">
        <v>0</v>
      </c>
      <c r="L96" s="180" t="str">
        <f t="shared" si="14"/>
        <v/>
      </c>
      <c r="M96" s="218">
        <f>SUMIFS(DATA!$L:$L,DATA!$O:$O,$B96,DATA!$N:$N,$A96,DATA!$M:$M,'SALES BY SYSTEM'!$O$1)</f>
        <v>0</v>
      </c>
      <c r="N96" s="182">
        <v>1958252.46521632</v>
      </c>
      <c r="O96" s="180">
        <f t="shared" si="11"/>
        <v>0</v>
      </c>
      <c r="P96" s="218">
        <f>SUMIFS(DATA!$L:$L,DATA!$O:$O,$B96,DATA!$N:$N,$A96,DATA!$M:$M,'SALES BY SYSTEM'!$O$2)</f>
        <v>0</v>
      </c>
      <c r="Q96" s="182">
        <v>3983254.8586239694</v>
      </c>
      <c r="R96" s="180">
        <f t="shared" si="12"/>
        <v>0</v>
      </c>
      <c r="S96" s="218">
        <f>SUMIFS(DATA!$L:$L,DATA!$O:$O,$B96,DATA!$N:$N,$A96,DATA!$M:$M,'SALES BY SYSTEM'!$O$4)</f>
        <v>0</v>
      </c>
      <c r="T96" s="182">
        <v>0</v>
      </c>
      <c r="U96" s="180" t="str">
        <f t="shared" si="13"/>
        <v/>
      </c>
      <c r="V96" s="218">
        <f>SUMIFS(DATA!$L:$L,DATA!$O:$O,$B96,DATA!$N:$N,$A96,DATA!$M:$M,'SALES BY SYSTEM'!$O$3)</f>
        <v>0</v>
      </c>
      <c r="W96" s="168"/>
    </row>
    <row r="97" spans="1:23" ht="15.75" customHeight="1" x14ac:dyDescent="0.25">
      <c r="A97" s="178" t="s">
        <v>298</v>
      </c>
      <c r="B97" s="178" t="s">
        <v>138</v>
      </c>
      <c r="C97" s="178" t="str">
        <f>VLOOKUP(A97,CUSTOMER!$A:$C,3,0)</f>
        <v>COOP_TLOI</v>
      </c>
      <c r="D97" s="178" t="s">
        <v>674</v>
      </c>
      <c r="E97" s="178" t="str">
        <f>VLOOKUP(A97,CUSTOMER!$A$2:$H$1094,5,0)</f>
        <v>VAVANCY-VU MINH TUAN</v>
      </c>
      <c r="F97" s="178" t="str">
        <f>VLOOKUP(A97,CUSTOMER!$A$2:$I$1094,6,0)</f>
        <v>VACANCY</v>
      </c>
      <c r="G97" s="178" t="s">
        <v>676</v>
      </c>
      <c r="H97" s="179">
        <f t="shared" si="8"/>
        <v>5941507.3238402894</v>
      </c>
      <c r="I97" s="180">
        <f t="shared" si="9"/>
        <v>0</v>
      </c>
      <c r="J97" s="181">
        <f t="shared" si="10"/>
        <v>0</v>
      </c>
      <c r="K97" s="182">
        <v>0</v>
      </c>
      <c r="L97" s="180" t="str">
        <f t="shared" si="14"/>
        <v/>
      </c>
      <c r="M97" s="218">
        <f>SUMIFS(DATA!$L:$L,DATA!$O:$O,$B97,DATA!$N:$N,$A97,DATA!$M:$M,'SALES BY SYSTEM'!$O$1)</f>
        <v>0</v>
      </c>
      <c r="N97" s="182">
        <v>1958252.46521632</v>
      </c>
      <c r="O97" s="180">
        <f t="shared" si="11"/>
        <v>0</v>
      </c>
      <c r="P97" s="218">
        <f>SUMIFS(DATA!$L:$L,DATA!$O:$O,$B97,DATA!$N:$N,$A97,DATA!$M:$M,'SALES BY SYSTEM'!$O$2)</f>
        <v>0</v>
      </c>
      <c r="Q97" s="182">
        <v>3983254.8586239694</v>
      </c>
      <c r="R97" s="180">
        <f t="shared" si="12"/>
        <v>0</v>
      </c>
      <c r="S97" s="218">
        <f>SUMIFS(DATA!$L:$L,DATA!$O:$O,$B97,DATA!$N:$N,$A97,DATA!$M:$M,'SALES BY SYSTEM'!$O$4)</f>
        <v>0</v>
      </c>
      <c r="T97" s="182">
        <v>0</v>
      </c>
      <c r="U97" s="180" t="str">
        <f t="shared" si="13"/>
        <v/>
      </c>
      <c r="V97" s="218">
        <f>SUMIFS(DATA!$L:$L,DATA!$O:$O,$B97,DATA!$N:$N,$A97,DATA!$M:$M,'SALES BY SYSTEM'!$O$3)</f>
        <v>0</v>
      </c>
      <c r="W97" s="168"/>
    </row>
    <row r="98" spans="1:23" ht="15.75" customHeight="1" x14ac:dyDescent="0.25">
      <c r="A98" s="178" t="s">
        <v>178</v>
      </c>
      <c r="B98" s="178" t="s">
        <v>138</v>
      </c>
      <c r="C98" s="178" t="str">
        <f>VLOOKUP(A98,CUSTOMER!$A:$C,3,0)</f>
        <v>COOP_THA</v>
      </c>
      <c r="D98" s="178" t="s">
        <v>674</v>
      </c>
      <c r="E98" s="178" t="str">
        <f>VLOOKUP(A98,CUSTOMER!$A$2:$H$1094,5,0)</f>
        <v>VAVANCY-VU MINH TUAN</v>
      </c>
      <c r="F98" s="178" t="str">
        <f>VLOOKUP(A98,CUSTOMER!$A$2:$I$1094,6,0)</f>
        <v>VACANCY</v>
      </c>
      <c r="G98" s="178" t="s">
        <v>676</v>
      </c>
      <c r="H98" s="179">
        <f t="shared" si="8"/>
        <v>5941507.3238402894</v>
      </c>
      <c r="I98" s="180">
        <f t="shared" si="9"/>
        <v>0</v>
      </c>
      <c r="J98" s="181">
        <f t="shared" si="10"/>
        <v>0</v>
      </c>
      <c r="K98" s="182">
        <v>0</v>
      </c>
      <c r="L98" s="180" t="str">
        <f t="shared" si="14"/>
        <v/>
      </c>
      <c r="M98" s="218">
        <f>SUMIFS(DATA!$L:$L,DATA!$O:$O,$B98,DATA!$N:$N,$A98,DATA!$M:$M,'SALES BY SYSTEM'!$O$1)</f>
        <v>0</v>
      </c>
      <c r="N98" s="182">
        <v>1958252.46521632</v>
      </c>
      <c r="O98" s="180">
        <f t="shared" si="11"/>
        <v>0</v>
      </c>
      <c r="P98" s="218">
        <f>SUMIFS(DATA!$L:$L,DATA!$O:$O,$B98,DATA!$N:$N,$A98,DATA!$M:$M,'SALES BY SYSTEM'!$O$2)</f>
        <v>0</v>
      </c>
      <c r="Q98" s="182">
        <v>3983254.8586239694</v>
      </c>
      <c r="R98" s="180">
        <f t="shared" si="12"/>
        <v>0</v>
      </c>
      <c r="S98" s="218">
        <f>SUMIFS(DATA!$L:$L,DATA!$O:$O,$B98,DATA!$N:$N,$A98,DATA!$M:$M,'SALES BY SYSTEM'!$O$4)</f>
        <v>0</v>
      </c>
      <c r="T98" s="182">
        <v>0</v>
      </c>
      <c r="U98" s="180" t="str">
        <f t="shared" si="13"/>
        <v/>
      </c>
      <c r="V98" s="218">
        <f>SUMIFS(DATA!$L:$L,DATA!$O:$O,$B98,DATA!$N:$N,$A98,DATA!$M:$M,'SALES BY SYSTEM'!$O$3)</f>
        <v>0</v>
      </c>
      <c r="W98" s="168"/>
    </row>
    <row r="99" spans="1:23" ht="15.75" customHeight="1" x14ac:dyDescent="0.25">
      <c r="A99" s="178" t="s">
        <v>1351</v>
      </c>
      <c r="B99" s="178" t="s">
        <v>138</v>
      </c>
      <c r="C99" s="178" t="str">
        <f>VLOOKUP(A99,CUSTOMER!$A:$C,3,0)</f>
        <v>COOP_THOA</v>
      </c>
      <c r="D99" s="178" t="s">
        <v>674</v>
      </c>
      <c r="E99" s="178" t="str">
        <f>VLOOKUP(A99,CUSTOMER!$A$2:$H$1094,5,0)</f>
        <v>VAVANCY-VU MINH TUAN</v>
      </c>
      <c r="F99" s="178" t="str">
        <f>VLOOKUP(A99,CUSTOMER!$A$2:$I$1094,6,0)</f>
        <v>VACANCY</v>
      </c>
      <c r="G99" s="178" t="s">
        <v>676</v>
      </c>
      <c r="H99" s="179">
        <f t="shared" si="8"/>
        <v>5941507.3238402894</v>
      </c>
      <c r="I99" s="180">
        <f t="shared" si="9"/>
        <v>0</v>
      </c>
      <c r="J99" s="181">
        <f t="shared" si="10"/>
        <v>0</v>
      </c>
      <c r="K99" s="182">
        <v>0</v>
      </c>
      <c r="L99" s="180" t="str">
        <f t="shared" si="14"/>
        <v/>
      </c>
      <c r="M99" s="218">
        <f>SUMIFS(DATA!$L:$L,DATA!$O:$O,$B99,DATA!$N:$N,$A99,DATA!$M:$M,'SALES BY SYSTEM'!$O$1)</f>
        <v>0</v>
      </c>
      <c r="N99" s="182">
        <v>1958252.46521632</v>
      </c>
      <c r="O99" s="180">
        <f t="shared" si="11"/>
        <v>0</v>
      </c>
      <c r="P99" s="218">
        <f>SUMIFS(DATA!$L:$L,DATA!$O:$O,$B99,DATA!$N:$N,$A99,DATA!$M:$M,'SALES BY SYSTEM'!$O$2)</f>
        <v>0</v>
      </c>
      <c r="Q99" s="182">
        <v>3983254.8586239694</v>
      </c>
      <c r="R99" s="180">
        <f t="shared" si="12"/>
        <v>0</v>
      </c>
      <c r="S99" s="218">
        <f>SUMIFS(DATA!$L:$L,DATA!$O:$O,$B99,DATA!$N:$N,$A99,DATA!$M:$M,'SALES BY SYSTEM'!$O$4)</f>
        <v>0</v>
      </c>
      <c r="T99" s="182">
        <v>0</v>
      </c>
      <c r="U99" s="180" t="str">
        <f t="shared" si="13"/>
        <v/>
      </c>
      <c r="V99" s="218">
        <f>SUMIFS(DATA!$L:$L,DATA!$O:$O,$B99,DATA!$N:$N,$A99,DATA!$M:$M,'SALES BY SYSTEM'!$O$3)</f>
        <v>0</v>
      </c>
      <c r="W99" s="168"/>
    </row>
    <row r="100" spans="1:23" ht="15.75" customHeight="1" x14ac:dyDescent="0.25">
      <c r="A100" s="178" t="s">
        <v>1353</v>
      </c>
      <c r="B100" s="178" t="s">
        <v>138</v>
      </c>
      <c r="C100" s="178" t="str">
        <f>VLOOKUP(A100,CUSTOMER!$A:$C,3,0)</f>
        <v>COOP_TMUOI</v>
      </c>
      <c r="D100" s="178" t="s">
        <v>674</v>
      </c>
      <c r="E100" s="178" t="str">
        <f>VLOOKUP(A100,CUSTOMER!$A$2:$H$1094,5,0)</f>
        <v>VAVANCY-VU MINH TUAN</v>
      </c>
      <c r="F100" s="178" t="str">
        <f>VLOOKUP(A100,CUSTOMER!$A$2:$I$1094,6,0)</f>
        <v>VACANCY</v>
      </c>
      <c r="G100" s="178" t="s">
        <v>676</v>
      </c>
      <c r="H100" s="179">
        <f t="shared" si="8"/>
        <v>5941507.3238402894</v>
      </c>
      <c r="I100" s="180">
        <f t="shared" si="9"/>
        <v>0</v>
      </c>
      <c r="J100" s="181">
        <f t="shared" si="10"/>
        <v>0</v>
      </c>
      <c r="K100" s="182">
        <v>0</v>
      </c>
      <c r="L100" s="180" t="str">
        <f t="shared" si="14"/>
        <v/>
      </c>
      <c r="M100" s="218">
        <f>SUMIFS(DATA!$L:$L,DATA!$O:$O,$B100,DATA!$N:$N,$A100,DATA!$M:$M,'SALES BY SYSTEM'!$O$1)</f>
        <v>0</v>
      </c>
      <c r="N100" s="182">
        <v>1958252.46521632</v>
      </c>
      <c r="O100" s="180">
        <f t="shared" si="11"/>
        <v>0</v>
      </c>
      <c r="P100" s="218">
        <f>SUMIFS(DATA!$L:$L,DATA!$O:$O,$B100,DATA!$N:$N,$A100,DATA!$M:$M,'SALES BY SYSTEM'!$O$2)</f>
        <v>0</v>
      </c>
      <c r="Q100" s="182">
        <v>3983254.8586239694</v>
      </c>
      <c r="R100" s="180">
        <f t="shared" si="12"/>
        <v>0</v>
      </c>
      <c r="S100" s="218">
        <f>SUMIFS(DATA!$L:$L,DATA!$O:$O,$B100,DATA!$N:$N,$A100,DATA!$M:$M,'SALES BY SYSTEM'!$O$4)</f>
        <v>0</v>
      </c>
      <c r="T100" s="182">
        <v>0</v>
      </c>
      <c r="U100" s="180" t="str">
        <f t="shared" si="13"/>
        <v/>
      </c>
      <c r="V100" s="218">
        <f>SUMIFS(DATA!$L:$L,DATA!$O:$O,$B100,DATA!$N:$N,$A100,DATA!$M:$M,'SALES BY SYSTEM'!$O$3)</f>
        <v>0</v>
      </c>
      <c r="W100" s="168"/>
    </row>
    <row r="101" spans="1:23" ht="15.75" customHeight="1" x14ac:dyDescent="0.25">
      <c r="A101" s="178" t="s">
        <v>1357</v>
      </c>
      <c r="B101" s="178" t="s">
        <v>138</v>
      </c>
      <c r="C101" s="178" t="str">
        <f>VLOOKUP(A101,CUSTOMER!$A:$C,3,0)</f>
        <v>COOP_TSON</v>
      </c>
      <c r="D101" s="178" t="s">
        <v>674</v>
      </c>
      <c r="E101" s="178" t="str">
        <f>VLOOKUP(A101,CUSTOMER!$A$2:$H$1094,5,0)</f>
        <v>VAVANCY-VU MINH TUAN</v>
      </c>
      <c r="F101" s="178" t="str">
        <f>VLOOKUP(A101,CUSTOMER!$A$2:$I$1094,6,0)</f>
        <v>VACANCY</v>
      </c>
      <c r="G101" s="178" t="s">
        <v>676</v>
      </c>
      <c r="H101" s="179">
        <f t="shared" si="8"/>
        <v>5941507.3238402894</v>
      </c>
      <c r="I101" s="180">
        <f t="shared" si="9"/>
        <v>0</v>
      </c>
      <c r="J101" s="181">
        <f t="shared" si="10"/>
        <v>0</v>
      </c>
      <c r="K101" s="182">
        <v>0</v>
      </c>
      <c r="L101" s="180" t="str">
        <f t="shared" si="14"/>
        <v/>
      </c>
      <c r="M101" s="218">
        <f>SUMIFS(DATA!$L:$L,DATA!$O:$O,$B101,DATA!$N:$N,$A101,DATA!$M:$M,'SALES BY SYSTEM'!$O$1)</f>
        <v>0</v>
      </c>
      <c r="N101" s="182">
        <v>1958252.46521632</v>
      </c>
      <c r="O101" s="180">
        <f t="shared" si="11"/>
        <v>0</v>
      </c>
      <c r="P101" s="218">
        <f>SUMIFS(DATA!$L:$L,DATA!$O:$O,$B101,DATA!$N:$N,$A101,DATA!$M:$M,'SALES BY SYSTEM'!$O$2)</f>
        <v>0</v>
      </c>
      <c r="Q101" s="182">
        <v>3983254.8586239694</v>
      </c>
      <c r="R101" s="180">
        <f t="shared" si="12"/>
        <v>0</v>
      </c>
      <c r="S101" s="218">
        <f>SUMIFS(DATA!$L:$L,DATA!$O:$O,$B101,DATA!$N:$N,$A101,DATA!$M:$M,'SALES BY SYSTEM'!$O$4)</f>
        <v>0</v>
      </c>
      <c r="T101" s="182">
        <v>0</v>
      </c>
      <c r="U101" s="180" t="str">
        <f t="shared" si="13"/>
        <v/>
      </c>
      <c r="V101" s="218">
        <f>SUMIFS(DATA!$L:$L,DATA!$O:$O,$B101,DATA!$N:$N,$A101,DATA!$M:$M,'SALES BY SYSTEM'!$O$3)</f>
        <v>0</v>
      </c>
      <c r="W101" s="168"/>
    </row>
    <row r="102" spans="1:23" ht="15.75" customHeight="1" x14ac:dyDescent="0.25">
      <c r="A102" s="178" t="s">
        <v>246</v>
      </c>
      <c r="B102" s="178" t="s">
        <v>138</v>
      </c>
      <c r="C102" s="178" t="str">
        <f>VLOOKUP(A102,CUSTOMER!$A:$C,3,0)</f>
        <v>COOP_TNOT</v>
      </c>
      <c r="D102" s="178" t="s">
        <v>674</v>
      </c>
      <c r="E102" s="178" t="str">
        <f>VLOOKUP(A102,CUSTOMER!$A$2:$H$1094,5,0)</f>
        <v>VAVANCY-VU MINH TUAN</v>
      </c>
      <c r="F102" s="178" t="str">
        <f>VLOOKUP(A102,CUSTOMER!$A$2:$I$1094,6,0)</f>
        <v>"NO SALE"</v>
      </c>
      <c r="G102" s="178" t="s">
        <v>676</v>
      </c>
      <c r="H102" s="179">
        <f t="shared" si="8"/>
        <v>5941507.3238402894</v>
      </c>
      <c r="I102" s="180">
        <f t="shared" si="9"/>
        <v>0</v>
      </c>
      <c r="J102" s="181">
        <f t="shared" si="10"/>
        <v>0</v>
      </c>
      <c r="K102" s="182">
        <v>0</v>
      </c>
      <c r="L102" s="180" t="str">
        <f t="shared" si="14"/>
        <v/>
      </c>
      <c r="M102" s="218">
        <f>SUMIFS(DATA!$L:$L,DATA!$O:$O,$B102,DATA!$N:$N,$A102,DATA!$M:$M,'SALES BY SYSTEM'!$O$1)</f>
        <v>0</v>
      </c>
      <c r="N102" s="182">
        <v>1958252.46521632</v>
      </c>
      <c r="O102" s="180">
        <f t="shared" si="11"/>
        <v>0</v>
      </c>
      <c r="P102" s="218">
        <f>SUMIFS(DATA!$L:$L,DATA!$O:$O,$B102,DATA!$N:$N,$A102,DATA!$M:$M,'SALES BY SYSTEM'!$O$2)</f>
        <v>0</v>
      </c>
      <c r="Q102" s="182">
        <v>3983254.8586239694</v>
      </c>
      <c r="R102" s="180">
        <f t="shared" si="12"/>
        <v>0</v>
      </c>
      <c r="S102" s="218">
        <f>SUMIFS(DATA!$L:$L,DATA!$O:$O,$B102,DATA!$N:$N,$A102,DATA!$M:$M,'SALES BY SYSTEM'!$O$4)</f>
        <v>0</v>
      </c>
      <c r="T102" s="182">
        <v>0</v>
      </c>
      <c r="U102" s="180" t="str">
        <f t="shared" si="13"/>
        <v/>
      </c>
      <c r="V102" s="218">
        <f>SUMIFS(DATA!$L:$L,DATA!$O:$O,$B102,DATA!$N:$N,$A102,DATA!$M:$M,'SALES BY SYSTEM'!$O$3)</f>
        <v>0</v>
      </c>
      <c r="W102" s="168"/>
    </row>
    <row r="103" spans="1:23" ht="15.75" customHeight="1" x14ac:dyDescent="0.25">
      <c r="A103" s="178" t="s">
        <v>1359</v>
      </c>
      <c r="B103" s="178" t="s">
        <v>138</v>
      </c>
      <c r="C103" s="178" t="str">
        <f>VLOOKUP(A103,CUSTOMER!$A:$C,3,0)</f>
        <v>COOP_TCAN</v>
      </c>
      <c r="D103" s="178" t="s">
        <v>674</v>
      </c>
      <c r="E103" s="178" t="str">
        <f>VLOOKUP(A103,CUSTOMER!$A$2:$H$1094,5,0)</f>
        <v>VAVANCY-VU MINH TUAN</v>
      </c>
      <c r="F103" s="178" t="str">
        <f>VLOOKUP(A103,CUSTOMER!$A$2:$I$1094,6,0)</f>
        <v>VACANCY</v>
      </c>
      <c r="G103" s="178" t="s">
        <v>676</v>
      </c>
      <c r="H103" s="179">
        <f t="shared" si="8"/>
        <v>5941507.3238402894</v>
      </c>
      <c r="I103" s="180">
        <f t="shared" si="9"/>
        <v>0</v>
      </c>
      <c r="J103" s="181">
        <f t="shared" si="10"/>
        <v>0</v>
      </c>
      <c r="K103" s="182">
        <v>0</v>
      </c>
      <c r="L103" s="180" t="str">
        <f t="shared" si="14"/>
        <v/>
      </c>
      <c r="M103" s="218">
        <f>SUMIFS(DATA!$L:$L,DATA!$O:$O,$B103,DATA!$N:$N,$A103,DATA!$M:$M,'SALES BY SYSTEM'!$O$1)</f>
        <v>0</v>
      </c>
      <c r="N103" s="182">
        <v>1958252.46521632</v>
      </c>
      <c r="O103" s="180">
        <f t="shared" si="11"/>
        <v>0</v>
      </c>
      <c r="P103" s="218">
        <f>SUMIFS(DATA!$L:$L,DATA!$O:$O,$B103,DATA!$N:$N,$A103,DATA!$M:$M,'SALES BY SYSTEM'!$O$2)</f>
        <v>0</v>
      </c>
      <c r="Q103" s="182">
        <v>3983254.8586239694</v>
      </c>
      <c r="R103" s="180">
        <f t="shared" si="12"/>
        <v>0</v>
      </c>
      <c r="S103" s="218">
        <f>SUMIFS(DATA!$L:$L,DATA!$O:$O,$B103,DATA!$N:$N,$A103,DATA!$M:$M,'SALES BY SYSTEM'!$O$4)</f>
        <v>0</v>
      </c>
      <c r="T103" s="182">
        <v>0</v>
      </c>
      <c r="U103" s="180" t="str">
        <f t="shared" si="13"/>
        <v/>
      </c>
      <c r="V103" s="218">
        <f>SUMIFS(DATA!$L:$L,DATA!$O:$O,$B103,DATA!$N:$N,$A103,DATA!$M:$M,'SALES BY SYSTEM'!$O$3)</f>
        <v>0</v>
      </c>
      <c r="W103" s="168"/>
    </row>
    <row r="104" spans="1:23" ht="15.75" customHeight="1" x14ac:dyDescent="0.25">
      <c r="A104" s="178" t="s">
        <v>1361</v>
      </c>
      <c r="B104" s="178" t="s">
        <v>138</v>
      </c>
      <c r="C104" s="178" t="str">
        <f>VLOOKUP(A104,CUSTOMER!$A:$C,3,0)</f>
        <v>COOP_TOKY</v>
      </c>
      <c r="D104" s="178" t="s">
        <v>674</v>
      </c>
      <c r="E104" s="178" t="str">
        <f>VLOOKUP(A104,CUSTOMER!$A$2:$H$1094,5,0)</f>
        <v>VAVANCY-VU MINH TUAN</v>
      </c>
      <c r="F104" s="178" t="str">
        <f>VLOOKUP(A104,CUSTOMER!$A$2:$I$1094,6,0)</f>
        <v>VACANCY</v>
      </c>
      <c r="G104" s="178" t="s">
        <v>676</v>
      </c>
      <c r="H104" s="179">
        <f t="shared" si="8"/>
        <v>5941507.3238402894</v>
      </c>
      <c r="I104" s="180">
        <f t="shared" si="9"/>
        <v>0</v>
      </c>
      <c r="J104" s="181">
        <f t="shared" si="10"/>
        <v>0</v>
      </c>
      <c r="K104" s="182">
        <v>0</v>
      </c>
      <c r="L104" s="180" t="str">
        <f t="shared" si="14"/>
        <v/>
      </c>
      <c r="M104" s="218">
        <f>SUMIFS(DATA!$L:$L,DATA!$O:$O,$B104,DATA!$N:$N,$A104,DATA!$M:$M,'SALES BY SYSTEM'!$O$1)</f>
        <v>0</v>
      </c>
      <c r="N104" s="182">
        <v>1958252.46521632</v>
      </c>
      <c r="O104" s="180">
        <f t="shared" si="11"/>
        <v>0</v>
      </c>
      <c r="P104" s="218">
        <f>SUMIFS(DATA!$L:$L,DATA!$O:$O,$B104,DATA!$N:$N,$A104,DATA!$M:$M,'SALES BY SYSTEM'!$O$2)</f>
        <v>0</v>
      </c>
      <c r="Q104" s="182">
        <v>3983254.8586239694</v>
      </c>
      <c r="R104" s="180">
        <f t="shared" si="12"/>
        <v>0</v>
      </c>
      <c r="S104" s="218">
        <f>SUMIFS(DATA!$L:$L,DATA!$O:$O,$B104,DATA!$N:$N,$A104,DATA!$M:$M,'SALES BY SYSTEM'!$O$4)</f>
        <v>0</v>
      </c>
      <c r="T104" s="182">
        <v>0</v>
      </c>
      <c r="U104" s="180" t="str">
        <f t="shared" si="13"/>
        <v/>
      </c>
      <c r="V104" s="218">
        <f>SUMIFS(DATA!$L:$L,DATA!$O:$O,$B104,DATA!$N:$N,$A104,DATA!$M:$M,'SALES BY SYSTEM'!$O$3)</f>
        <v>0</v>
      </c>
      <c r="W104" s="168"/>
    </row>
    <row r="105" spans="1:23" ht="15.75" customHeight="1" x14ac:dyDescent="0.25">
      <c r="A105" s="178" t="s">
        <v>184</v>
      </c>
      <c r="B105" s="178" t="s">
        <v>138</v>
      </c>
      <c r="C105" s="178" t="str">
        <f>VLOOKUP(A105,CUSTOMER!$A:$C,3,0)</f>
        <v>COOP_TVINH</v>
      </c>
      <c r="D105" s="178" t="s">
        <v>674</v>
      </c>
      <c r="E105" s="178" t="str">
        <f>VLOOKUP(A105,CUSTOMER!$A$2:$H$1094,5,0)</f>
        <v>VAVANCY-VU MINH TUAN</v>
      </c>
      <c r="F105" s="178" t="str">
        <f>VLOOKUP(A105,CUSTOMER!$A$2:$I$1094,6,0)</f>
        <v>VACANCY</v>
      </c>
      <c r="G105" s="178" t="s">
        <v>676</v>
      </c>
      <c r="H105" s="179">
        <f t="shared" si="8"/>
        <v>5941507.3238402894</v>
      </c>
      <c r="I105" s="180">
        <f t="shared" si="9"/>
        <v>0</v>
      </c>
      <c r="J105" s="181">
        <f t="shared" si="10"/>
        <v>0</v>
      </c>
      <c r="K105" s="182">
        <v>0</v>
      </c>
      <c r="L105" s="180" t="str">
        <f t="shared" si="14"/>
        <v/>
      </c>
      <c r="M105" s="218">
        <f>SUMIFS(DATA!$L:$L,DATA!$O:$O,$B105,DATA!$N:$N,$A105,DATA!$M:$M,'SALES BY SYSTEM'!$O$1)</f>
        <v>0</v>
      </c>
      <c r="N105" s="182">
        <v>1958252.46521632</v>
      </c>
      <c r="O105" s="180">
        <f t="shared" si="11"/>
        <v>0</v>
      </c>
      <c r="P105" s="218">
        <f>SUMIFS(DATA!$L:$L,DATA!$O:$O,$B105,DATA!$N:$N,$A105,DATA!$M:$M,'SALES BY SYSTEM'!$O$2)</f>
        <v>0</v>
      </c>
      <c r="Q105" s="182">
        <v>3983254.8586239694</v>
      </c>
      <c r="R105" s="180">
        <f t="shared" si="12"/>
        <v>0</v>
      </c>
      <c r="S105" s="218">
        <f>SUMIFS(DATA!$L:$L,DATA!$O:$O,$B105,DATA!$N:$N,$A105,DATA!$M:$M,'SALES BY SYSTEM'!$O$4)</f>
        <v>0</v>
      </c>
      <c r="T105" s="182">
        <v>0</v>
      </c>
      <c r="U105" s="180" t="str">
        <f t="shared" si="13"/>
        <v/>
      </c>
      <c r="V105" s="218">
        <f>SUMIFS(DATA!$L:$L,DATA!$O:$O,$B105,DATA!$N:$N,$A105,DATA!$M:$M,'SALES BY SYSTEM'!$O$3)</f>
        <v>0</v>
      </c>
      <c r="W105" s="168"/>
    </row>
    <row r="106" spans="1:23" ht="15.75" customHeight="1" x14ac:dyDescent="0.25">
      <c r="A106" s="178" t="s">
        <v>274</v>
      </c>
      <c r="B106" s="178" t="s">
        <v>138</v>
      </c>
      <c r="C106" s="178" t="str">
        <f>VLOOKUP(A106,CUSTOMER!$A:$C,3,0)</f>
        <v>COOP_TBANG</v>
      </c>
      <c r="D106" s="178" t="s">
        <v>674</v>
      </c>
      <c r="E106" s="178" t="str">
        <f>VLOOKUP(A106,CUSTOMER!$A$2:$H$1094,5,0)</f>
        <v>VAVANCY-VU MINH TUAN</v>
      </c>
      <c r="F106" s="178" t="str">
        <f>VLOOKUP(A106,CUSTOMER!$A$2:$I$1094,6,0)</f>
        <v>VACANCY</v>
      </c>
      <c r="G106" s="178" t="s">
        <v>676</v>
      </c>
      <c r="H106" s="179">
        <f t="shared" si="8"/>
        <v>5941507.3238402894</v>
      </c>
      <c r="I106" s="180">
        <f t="shared" si="9"/>
        <v>0</v>
      </c>
      <c r="J106" s="181">
        <f t="shared" si="10"/>
        <v>0</v>
      </c>
      <c r="K106" s="182">
        <v>0</v>
      </c>
      <c r="L106" s="180" t="str">
        <f t="shared" si="14"/>
        <v/>
      </c>
      <c r="M106" s="218">
        <f>SUMIFS(DATA!$L:$L,DATA!$O:$O,$B106,DATA!$N:$N,$A106,DATA!$M:$M,'SALES BY SYSTEM'!$O$1)</f>
        <v>0</v>
      </c>
      <c r="N106" s="182">
        <v>1958252.46521632</v>
      </c>
      <c r="O106" s="180">
        <f t="shared" si="11"/>
        <v>0</v>
      </c>
      <c r="P106" s="218">
        <f>SUMIFS(DATA!$L:$L,DATA!$O:$O,$B106,DATA!$N:$N,$A106,DATA!$M:$M,'SALES BY SYSTEM'!$O$2)</f>
        <v>0</v>
      </c>
      <c r="Q106" s="182">
        <v>3983254.8586239694</v>
      </c>
      <c r="R106" s="180">
        <f t="shared" si="12"/>
        <v>0</v>
      </c>
      <c r="S106" s="218">
        <f>SUMIFS(DATA!$L:$L,DATA!$O:$O,$B106,DATA!$N:$N,$A106,DATA!$M:$M,'SALES BY SYSTEM'!$O$4)</f>
        <v>0</v>
      </c>
      <c r="T106" s="182">
        <v>0</v>
      </c>
      <c r="U106" s="180" t="str">
        <f t="shared" si="13"/>
        <v/>
      </c>
      <c r="V106" s="218">
        <f>SUMIFS(DATA!$L:$L,DATA!$O:$O,$B106,DATA!$N:$N,$A106,DATA!$M:$M,'SALES BY SYSTEM'!$O$3)</f>
        <v>0</v>
      </c>
      <c r="W106" s="168"/>
    </row>
    <row r="107" spans="1:23" ht="15.75" customHeight="1" x14ac:dyDescent="0.25">
      <c r="A107" s="178" t="s">
        <v>290</v>
      </c>
      <c r="B107" s="178" t="s">
        <v>138</v>
      </c>
      <c r="C107" s="178" t="str">
        <f>VLOOKUP(A107,CUSTOMER!$A:$C,3,0)</f>
        <v>COOP_VITHANH</v>
      </c>
      <c r="D107" s="178" t="s">
        <v>674</v>
      </c>
      <c r="E107" s="178" t="str">
        <f>VLOOKUP(A107,CUSTOMER!$A$2:$H$1094,5,0)</f>
        <v>VAVANCY-VU MINH TUAN</v>
      </c>
      <c r="F107" s="178" t="str">
        <f>VLOOKUP(A107,CUSTOMER!$A$2:$I$1094,6,0)</f>
        <v>VACANCY</v>
      </c>
      <c r="G107" s="178" t="s">
        <v>676</v>
      </c>
      <c r="H107" s="179">
        <f t="shared" si="8"/>
        <v>5941507.3238402894</v>
      </c>
      <c r="I107" s="180">
        <f t="shared" si="9"/>
        <v>0</v>
      </c>
      <c r="J107" s="181">
        <f t="shared" si="10"/>
        <v>0</v>
      </c>
      <c r="K107" s="182">
        <v>0</v>
      </c>
      <c r="L107" s="180" t="str">
        <f t="shared" si="14"/>
        <v/>
      </c>
      <c r="M107" s="218">
        <f>SUMIFS(DATA!$L:$L,DATA!$O:$O,$B107,DATA!$N:$N,$A107,DATA!$M:$M,'SALES BY SYSTEM'!$O$1)</f>
        <v>0</v>
      </c>
      <c r="N107" s="182">
        <v>1958252.46521632</v>
      </c>
      <c r="O107" s="180">
        <f t="shared" si="11"/>
        <v>0</v>
      </c>
      <c r="P107" s="218">
        <f>SUMIFS(DATA!$L:$L,DATA!$O:$O,$B107,DATA!$N:$N,$A107,DATA!$M:$M,'SALES BY SYSTEM'!$O$2)</f>
        <v>0</v>
      </c>
      <c r="Q107" s="182">
        <v>3983254.8586239694</v>
      </c>
      <c r="R107" s="180">
        <f t="shared" si="12"/>
        <v>0</v>
      </c>
      <c r="S107" s="218">
        <f>SUMIFS(DATA!$L:$L,DATA!$O:$O,$B107,DATA!$N:$N,$A107,DATA!$M:$M,'SALES BY SYSTEM'!$O$4)</f>
        <v>0</v>
      </c>
      <c r="T107" s="182">
        <v>0</v>
      </c>
      <c r="U107" s="180" t="str">
        <f t="shared" si="13"/>
        <v/>
      </c>
      <c r="V107" s="218">
        <f>SUMIFS(DATA!$L:$L,DATA!$O:$O,$B107,DATA!$N:$N,$A107,DATA!$M:$M,'SALES BY SYSTEM'!$O$3)</f>
        <v>0</v>
      </c>
      <c r="W107" s="168"/>
    </row>
    <row r="108" spans="1:23" ht="15.75" customHeight="1" x14ac:dyDescent="0.25">
      <c r="A108" s="178" t="s">
        <v>188</v>
      </c>
      <c r="B108" s="178" t="s">
        <v>138</v>
      </c>
      <c r="C108" s="178" t="str">
        <f>VLOOKUP(A108,CUSTOMER!$A:$C,3,0)</f>
        <v>COOP_VTRI</v>
      </c>
      <c r="D108" s="178" t="s">
        <v>674</v>
      </c>
      <c r="E108" s="178" t="str">
        <f>VLOOKUP(A108,CUSTOMER!$A$2:$H$1094,5,0)</f>
        <v>VAVANCY-VU MINH TUAN</v>
      </c>
      <c r="F108" s="178" t="str">
        <f>VLOOKUP(A108,CUSTOMER!$A$2:$I$1094,6,0)</f>
        <v>VACANCY</v>
      </c>
      <c r="G108" s="178" t="s">
        <v>676</v>
      </c>
      <c r="H108" s="179">
        <f t="shared" si="8"/>
        <v>5941507.3238402894</v>
      </c>
      <c r="I108" s="180">
        <f t="shared" si="9"/>
        <v>0</v>
      </c>
      <c r="J108" s="181">
        <f t="shared" si="10"/>
        <v>0</v>
      </c>
      <c r="K108" s="182">
        <v>0</v>
      </c>
      <c r="L108" s="180" t="str">
        <f t="shared" si="14"/>
        <v/>
      </c>
      <c r="M108" s="218">
        <f>SUMIFS(DATA!$L:$L,DATA!$O:$O,$B108,DATA!$N:$N,$A108,DATA!$M:$M,'SALES BY SYSTEM'!$O$1)</f>
        <v>0</v>
      </c>
      <c r="N108" s="182">
        <v>1958252.46521632</v>
      </c>
      <c r="O108" s="180">
        <f t="shared" si="11"/>
        <v>0</v>
      </c>
      <c r="P108" s="218">
        <f>SUMIFS(DATA!$L:$L,DATA!$O:$O,$B108,DATA!$N:$N,$A108,DATA!$M:$M,'SALES BY SYSTEM'!$O$2)</f>
        <v>0</v>
      </c>
      <c r="Q108" s="182">
        <v>3983254.8586239694</v>
      </c>
      <c r="R108" s="180">
        <f t="shared" si="12"/>
        <v>0</v>
      </c>
      <c r="S108" s="218">
        <f>SUMIFS(DATA!$L:$L,DATA!$O:$O,$B108,DATA!$N:$N,$A108,DATA!$M:$M,'SALES BY SYSTEM'!$O$4)</f>
        <v>0</v>
      </c>
      <c r="T108" s="182">
        <v>0</v>
      </c>
      <c r="U108" s="180" t="str">
        <f t="shared" si="13"/>
        <v/>
      </c>
      <c r="V108" s="218">
        <f>SUMIFS(DATA!$L:$L,DATA!$O:$O,$B108,DATA!$N:$N,$A108,DATA!$M:$M,'SALES BY SYSTEM'!$O$3)</f>
        <v>0</v>
      </c>
      <c r="W108" s="168"/>
    </row>
    <row r="109" spans="1:23" ht="15.75" customHeight="1" x14ac:dyDescent="0.25">
      <c r="A109" s="178" t="s">
        <v>162</v>
      </c>
      <c r="B109" s="178" t="s">
        <v>138</v>
      </c>
      <c r="C109" s="178" t="str">
        <f>VLOOKUP(A109,CUSTOMER!$A:$C,3,0)</f>
        <v>COOP_VLONG</v>
      </c>
      <c r="D109" s="178" t="s">
        <v>674</v>
      </c>
      <c r="E109" s="178" t="str">
        <f>VLOOKUP(A109,CUSTOMER!$A$2:$H$1094,5,0)</f>
        <v>VAVANCY-VU MINH TUAN</v>
      </c>
      <c r="F109" s="178" t="str">
        <f>VLOOKUP(A109,CUSTOMER!$A$2:$I$1094,6,0)</f>
        <v>VACANCY</v>
      </c>
      <c r="G109" s="178" t="s">
        <v>676</v>
      </c>
      <c r="H109" s="179">
        <f t="shared" si="8"/>
        <v>5941507.3238402894</v>
      </c>
      <c r="I109" s="180">
        <f t="shared" si="9"/>
        <v>0</v>
      </c>
      <c r="J109" s="181">
        <f t="shared" si="10"/>
        <v>0</v>
      </c>
      <c r="K109" s="182">
        <v>0</v>
      </c>
      <c r="L109" s="180" t="str">
        <f t="shared" si="14"/>
        <v/>
      </c>
      <c r="M109" s="218">
        <f>SUMIFS(DATA!$L:$L,DATA!$O:$O,$B109,DATA!$N:$N,$A109,DATA!$M:$M,'SALES BY SYSTEM'!$O$1)</f>
        <v>0</v>
      </c>
      <c r="N109" s="182">
        <v>1958252.46521632</v>
      </c>
      <c r="O109" s="180">
        <f t="shared" si="11"/>
        <v>0</v>
      </c>
      <c r="P109" s="218">
        <f>SUMIFS(DATA!$L:$L,DATA!$O:$O,$B109,DATA!$N:$N,$A109,DATA!$M:$M,'SALES BY SYSTEM'!$O$2)</f>
        <v>0</v>
      </c>
      <c r="Q109" s="182">
        <v>3983254.8586239694</v>
      </c>
      <c r="R109" s="180">
        <f t="shared" si="12"/>
        <v>0</v>
      </c>
      <c r="S109" s="218">
        <f>SUMIFS(DATA!$L:$L,DATA!$O:$O,$B109,DATA!$N:$N,$A109,DATA!$M:$M,'SALES BY SYSTEM'!$O$4)</f>
        <v>0</v>
      </c>
      <c r="T109" s="182">
        <v>0</v>
      </c>
      <c r="U109" s="180" t="str">
        <f t="shared" si="13"/>
        <v/>
      </c>
      <c r="V109" s="218">
        <f>SUMIFS(DATA!$L:$L,DATA!$O:$O,$B109,DATA!$N:$N,$A109,DATA!$M:$M,'SALES BY SYSTEM'!$O$3)</f>
        <v>0</v>
      </c>
      <c r="W109" s="168"/>
    </row>
    <row r="110" spans="1:23" ht="15.75" customHeight="1" x14ac:dyDescent="0.25">
      <c r="A110" s="178" t="s">
        <v>190</v>
      </c>
      <c r="B110" s="178" t="s">
        <v>138</v>
      </c>
      <c r="C110" s="178" t="str">
        <f>VLOOKUP(A110,CUSTOMER!$A:$C,3,0)</f>
        <v>COOP_DNANG</v>
      </c>
      <c r="D110" s="178" t="s">
        <v>674</v>
      </c>
      <c r="E110" s="178" t="str">
        <f>VLOOKUP(A110,CUSTOMER!$A$2:$H$1094,5,0)</f>
        <v>VAVANCY-VU MINH TUAN</v>
      </c>
      <c r="F110" s="178" t="str">
        <f>VLOOKUP(A110,CUSTOMER!$A$2:$I$1094,6,0)</f>
        <v>PHAM THI BINH</v>
      </c>
      <c r="G110" s="178" t="s">
        <v>676</v>
      </c>
      <c r="H110" s="179">
        <f t="shared" si="8"/>
        <v>5692553.8951762933</v>
      </c>
      <c r="I110" s="180">
        <f t="shared" si="9"/>
        <v>0</v>
      </c>
      <c r="J110" s="181">
        <f t="shared" si="10"/>
        <v>0</v>
      </c>
      <c r="K110" s="182">
        <v>0</v>
      </c>
      <c r="L110" s="180" t="str">
        <f t="shared" si="14"/>
        <v/>
      </c>
      <c r="M110" s="218">
        <f>SUMIFS(DATA!$L:$L,DATA!$O:$O,$B110,DATA!$N:$N,$A110,DATA!$M:$M,'SALES BY SYSTEM'!$O$1)</f>
        <v>0</v>
      </c>
      <c r="N110" s="182">
        <v>1958252.46521632</v>
      </c>
      <c r="O110" s="180">
        <f t="shared" si="11"/>
        <v>0</v>
      </c>
      <c r="P110" s="218">
        <f>SUMIFS(DATA!$L:$L,DATA!$O:$O,$B110,DATA!$N:$N,$A110,DATA!$M:$M,'SALES BY SYSTEM'!$O$2)</f>
        <v>0</v>
      </c>
      <c r="Q110" s="182">
        <v>3734301.4299599738</v>
      </c>
      <c r="R110" s="180">
        <f t="shared" si="12"/>
        <v>0</v>
      </c>
      <c r="S110" s="218">
        <f>SUMIFS(DATA!$L:$L,DATA!$O:$O,$B110,DATA!$N:$N,$A110,DATA!$M:$M,'SALES BY SYSTEM'!$O$4)</f>
        <v>0</v>
      </c>
      <c r="T110" s="182">
        <v>0</v>
      </c>
      <c r="U110" s="180" t="str">
        <f t="shared" si="13"/>
        <v/>
      </c>
      <c r="V110" s="218">
        <f>SUMIFS(DATA!$L:$L,DATA!$O:$O,$B110,DATA!$N:$N,$A110,DATA!$M:$M,'SALES BY SYSTEM'!$O$3)</f>
        <v>0</v>
      </c>
      <c r="W110" s="168"/>
    </row>
    <row r="111" spans="1:23" ht="15.75" customHeight="1" x14ac:dyDescent="0.25">
      <c r="A111" s="178" t="s">
        <v>1273</v>
      </c>
      <c r="B111" s="178" t="s">
        <v>138</v>
      </c>
      <c r="C111" s="178" t="str">
        <f>VLOOKUP(A111,CUSTOMER!$A:$C,3,0)</f>
        <v>COOP_CAIBE</v>
      </c>
      <c r="D111" s="178" t="s">
        <v>674</v>
      </c>
      <c r="E111" s="178" t="str">
        <f>VLOOKUP(A111,CUSTOMER!$A$2:$H$1094,5,0)</f>
        <v>VAVANCY-VU MINH TUAN</v>
      </c>
      <c r="F111" s="178" t="str">
        <f>VLOOKUP(A111,CUSTOMER!$A$2:$I$1094,6,0)</f>
        <v>"NO SALE"</v>
      </c>
      <c r="G111" s="178" t="s">
        <v>676</v>
      </c>
      <c r="H111" s="179">
        <f t="shared" si="8"/>
        <v>4945693.6091842968</v>
      </c>
      <c r="I111" s="180">
        <f t="shared" si="9"/>
        <v>0</v>
      </c>
      <c r="J111" s="181">
        <f t="shared" si="10"/>
        <v>0</v>
      </c>
      <c r="K111" s="182">
        <v>0</v>
      </c>
      <c r="L111" s="180" t="str">
        <f t="shared" si="14"/>
        <v/>
      </c>
      <c r="M111" s="218">
        <f>SUMIFS(DATA!$L:$L,DATA!$O:$O,$B111,DATA!$N:$N,$A111,DATA!$M:$M,'SALES BY SYSTEM'!$O$1)</f>
        <v>0</v>
      </c>
      <c r="N111" s="182">
        <v>1958252.46521632</v>
      </c>
      <c r="O111" s="180">
        <f t="shared" si="11"/>
        <v>0</v>
      </c>
      <c r="P111" s="218">
        <f>SUMIFS(DATA!$L:$L,DATA!$O:$O,$B111,DATA!$N:$N,$A111,DATA!$M:$M,'SALES BY SYSTEM'!$O$2)</f>
        <v>0</v>
      </c>
      <c r="Q111" s="182">
        <v>2987441.1439679773</v>
      </c>
      <c r="R111" s="180">
        <f t="shared" si="12"/>
        <v>0</v>
      </c>
      <c r="S111" s="218">
        <f>SUMIFS(DATA!$L:$L,DATA!$O:$O,$B111,DATA!$N:$N,$A111,DATA!$M:$M,'SALES BY SYSTEM'!$O$4)</f>
        <v>0</v>
      </c>
      <c r="T111" s="182">
        <v>0</v>
      </c>
      <c r="U111" s="180" t="str">
        <f t="shared" si="13"/>
        <v/>
      </c>
      <c r="V111" s="218">
        <f>SUMIFS(DATA!$L:$L,DATA!$O:$O,$B111,DATA!$N:$N,$A111,DATA!$M:$M,'SALES BY SYSTEM'!$O$3)</f>
        <v>0</v>
      </c>
      <c r="W111" s="168"/>
    </row>
    <row r="112" spans="1:23" ht="15.75" customHeight="1" x14ac:dyDescent="0.25">
      <c r="A112" s="178" t="s">
        <v>1308</v>
      </c>
      <c r="B112" s="178" t="s">
        <v>138</v>
      </c>
      <c r="C112" s="178" t="str">
        <f>VLOOKUP(A112,CUSTOMER!$A:$C,3,0)</f>
        <v>COOP_HTINH</v>
      </c>
      <c r="D112" s="178" t="s">
        <v>674</v>
      </c>
      <c r="E112" s="178" t="str">
        <f>VLOOKUP(A112,CUSTOMER!$A$2:$H$1094,5,0)</f>
        <v>VAVANCY-VU MINH TUAN</v>
      </c>
      <c r="F112" s="178" t="str">
        <f>VLOOKUP(A112,CUSTOMER!$A$2:$I$1094,6,0)</f>
        <v>VACANCY</v>
      </c>
      <c r="G112" s="178" t="s">
        <v>676</v>
      </c>
      <c r="H112" s="179">
        <f t="shared" si="8"/>
        <v>4945693.6091842968</v>
      </c>
      <c r="I112" s="180">
        <f t="shared" si="9"/>
        <v>0</v>
      </c>
      <c r="J112" s="181">
        <f t="shared" si="10"/>
        <v>0</v>
      </c>
      <c r="K112" s="182">
        <v>0</v>
      </c>
      <c r="L112" s="180" t="str">
        <f t="shared" si="14"/>
        <v/>
      </c>
      <c r="M112" s="218">
        <f>SUMIFS(DATA!$L:$L,DATA!$O:$O,$B112,DATA!$N:$N,$A112,DATA!$M:$M,'SALES BY SYSTEM'!$O$1)</f>
        <v>0</v>
      </c>
      <c r="N112" s="182">
        <v>1958252.46521632</v>
      </c>
      <c r="O112" s="180">
        <f t="shared" si="11"/>
        <v>0</v>
      </c>
      <c r="P112" s="218">
        <f>SUMIFS(DATA!$L:$L,DATA!$O:$O,$B112,DATA!$N:$N,$A112,DATA!$M:$M,'SALES BY SYSTEM'!$O$2)</f>
        <v>0</v>
      </c>
      <c r="Q112" s="182">
        <v>2987441.1439679773</v>
      </c>
      <c r="R112" s="180">
        <f t="shared" si="12"/>
        <v>0</v>
      </c>
      <c r="S112" s="218">
        <f>SUMIFS(DATA!$L:$L,DATA!$O:$O,$B112,DATA!$N:$N,$A112,DATA!$M:$M,'SALES BY SYSTEM'!$O$4)</f>
        <v>0</v>
      </c>
      <c r="T112" s="182">
        <v>0</v>
      </c>
      <c r="U112" s="180" t="str">
        <f t="shared" si="13"/>
        <v/>
      </c>
      <c r="V112" s="218">
        <f>SUMIFS(DATA!$L:$L,DATA!$O:$O,$B112,DATA!$N:$N,$A112,DATA!$M:$M,'SALES BY SYSTEM'!$O$3)</f>
        <v>0</v>
      </c>
      <c r="W112" s="168"/>
    </row>
    <row r="113" spans="1:23" ht="15.75" customHeight="1" x14ac:dyDescent="0.25">
      <c r="A113" s="178" t="s">
        <v>310</v>
      </c>
      <c r="B113" s="178" t="s">
        <v>138</v>
      </c>
      <c r="C113" s="178" t="str">
        <f>VLOOKUP(A113,CUSTOMER!$A:$C,3,0)</f>
        <v>COOP_HPHONG</v>
      </c>
      <c r="D113" s="178" t="s">
        <v>674</v>
      </c>
      <c r="E113" s="178" t="str">
        <f>VLOOKUP(A113,CUSTOMER!$A$2:$H$1094,5,0)</f>
        <v>VAVANCY-VU MINH TUAN</v>
      </c>
      <c r="F113" s="178" t="str">
        <f>VLOOKUP(A113,CUSTOMER!$A$2:$I$1094,6,0)</f>
        <v>VACANCY</v>
      </c>
      <c r="G113" s="178" t="s">
        <v>676</v>
      </c>
      <c r="H113" s="179">
        <f t="shared" si="8"/>
        <v>4945693.6091842968</v>
      </c>
      <c r="I113" s="180">
        <f t="shared" si="9"/>
        <v>0</v>
      </c>
      <c r="J113" s="181">
        <f t="shared" si="10"/>
        <v>0</v>
      </c>
      <c r="K113" s="182">
        <v>0</v>
      </c>
      <c r="L113" s="180" t="str">
        <f t="shared" si="14"/>
        <v/>
      </c>
      <c r="M113" s="218">
        <f>SUMIFS(DATA!$L:$L,DATA!$O:$O,$B113,DATA!$N:$N,$A113,DATA!$M:$M,'SALES BY SYSTEM'!$O$1)</f>
        <v>0</v>
      </c>
      <c r="N113" s="182">
        <v>1958252.46521632</v>
      </c>
      <c r="O113" s="180">
        <f t="shared" si="11"/>
        <v>0</v>
      </c>
      <c r="P113" s="218">
        <f>SUMIFS(DATA!$L:$L,DATA!$O:$O,$B113,DATA!$N:$N,$A113,DATA!$M:$M,'SALES BY SYSTEM'!$O$2)</f>
        <v>0</v>
      </c>
      <c r="Q113" s="182">
        <v>2987441.1439679773</v>
      </c>
      <c r="R113" s="180">
        <f t="shared" si="12"/>
        <v>0</v>
      </c>
      <c r="S113" s="218">
        <f>SUMIFS(DATA!$L:$L,DATA!$O:$O,$B113,DATA!$N:$N,$A113,DATA!$M:$M,'SALES BY SYSTEM'!$O$4)</f>
        <v>0</v>
      </c>
      <c r="T113" s="182">
        <v>0</v>
      </c>
      <c r="U113" s="180" t="str">
        <f t="shared" si="13"/>
        <v/>
      </c>
      <c r="V113" s="218">
        <f>SUMIFS(DATA!$L:$L,DATA!$O:$O,$B113,DATA!$N:$N,$A113,DATA!$M:$M,'SALES BY SYSTEM'!$O$3)</f>
        <v>0</v>
      </c>
      <c r="W113" s="168"/>
    </row>
    <row r="114" spans="1:23" ht="15.75" customHeight="1" x14ac:dyDescent="0.25">
      <c r="A114" s="178" t="s">
        <v>242</v>
      </c>
      <c r="B114" s="178" t="s">
        <v>138</v>
      </c>
      <c r="C114" s="178" t="str">
        <f>VLOOKUP(A114,CUSTOMER!$A:$C,3,0)</f>
        <v>COOP_HNGU</v>
      </c>
      <c r="D114" s="178" t="s">
        <v>674</v>
      </c>
      <c r="E114" s="178" t="str">
        <f>VLOOKUP(A114,CUSTOMER!$A$2:$H$1094,5,0)</f>
        <v>VAVANCY-VU MINH TUAN</v>
      </c>
      <c r="F114" s="178" t="str">
        <f>VLOOKUP(A114,CUSTOMER!$A$2:$I$1094,6,0)</f>
        <v>VACANCY</v>
      </c>
      <c r="G114" s="178" t="s">
        <v>676</v>
      </c>
      <c r="H114" s="179">
        <f t="shared" si="8"/>
        <v>4945693.6091842968</v>
      </c>
      <c r="I114" s="180">
        <f t="shared" si="9"/>
        <v>0</v>
      </c>
      <c r="J114" s="181">
        <f t="shared" si="10"/>
        <v>0</v>
      </c>
      <c r="K114" s="182">
        <v>0</v>
      </c>
      <c r="L114" s="180" t="str">
        <f t="shared" si="14"/>
        <v/>
      </c>
      <c r="M114" s="218">
        <f>SUMIFS(DATA!$L:$L,DATA!$O:$O,$B114,DATA!$N:$N,$A114,DATA!$M:$M,'SALES BY SYSTEM'!$O$1)</f>
        <v>0</v>
      </c>
      <c r="N114" s="182">
        <v>1958252.46521632</v>
      </c>
      <c r="O114" s="180">
        <f t="shared" si="11"/>
        <v>0</v>
      </c>
      <c r="P114" s="218">
        <f>SUMIFS(DATA!$L:$L,DATA!$O:$O,$B114,DATA!$N:$N,$A114,DATA!$M:$M,'SALES BY SYSTEM'!$O$2)</f>
        <v>0</v>
      </c>
      <c r="Q114" s="182">
        <v>2987441.1439679773</v>
      </c>
      <c r="R114" s="180">
        <f t="shared" si="12"/>
        <v>0</v>
      </c>
      <c r="S114" s="218">
        <f>SUMIFS(DATA!$L:$L,DATA!$O:$O,$B114,DATA!$N:$N,$A114,DATA!$M:$M,'SALES BY SYSTEM'!$O$4)</f>
        <v>0</v>
      </c>
      <c r="T114" s="182">
        <v>0</v>
      </c>
      <c r="U114" s="180" t="str">
        <f t="shared" si="13"/>
        <v/>
      </c>
      <c r="V114" s="218">
        <f>SUMIFS(DATA!$L:$L,DATA!$O:$O,$B114,DATA!$N:$N,$A114,DATA!$M:$M,'SALES BY SYSTEM'!$O$3)</f>
        <v>0</v>
      </c>
      <c r="W114" s="168"/>
    </row>
    <row r="115" spans="1:23" ht="15.75" customHeight="1" x14ac:dyDescent="0.25">
      <c r="A115" s="178" t="s">
        <v>286</v>
      </c>
      <c r="B115" s="178" t="s">
        <v>138</v>
      </c>
      <c r="C115" s="178" t="str">
        <f>VLOOKUP(A115,CUSTOMER!$A:$C,3,0)</f>
        <v>COOP_HUE</v>
      </c>
      <c r="D115" s="178" t="s">
        <v>674</v>
      </c>
      <c r="E115" s="178" t="str">
        <f>VLOOKUP(A115,CUSTOMER!$A$2:$H$1094,5,0)</f>
        <v>VAVANCY-VU MINH TUAN</v>
      </c>
      <c r="F115" s="178" t="str">
        <f>VLOOKUP(A115,CUSTOMER!$A$2:$I$1094,6,0)</f>
        <v>VACANCY</v>
      </c>
      <c r="G115" s="178" t="s">
        <v>676</v>
      </c>
      <c r="H115" s="179">
        <f t="shared" si="8"/>
        <v>4945693.6091842968</v>
      </c>
      <c r="I115" s="180">
        <f t="shared" si="9"/>
        <v>0</v>
      </c>
      <c r="J115" s="181">
        <f t="shared" si="10"/>
        <v>0</v>
      </c>
      <c r="K115" s="182">
        <v>0</v>
      </c>
      <c r="L115" s="180" t="str">
        <f t="shared" si="14"/>
        <v/>
      </c>
      <c r="M115" s="218">
        <f>SUMIFS(DATA!$L:$L,DATA!$O:$O,$B115,DATA!$N:$N,$A115,DATA!$M:$M,'SALES BY SYSTEM'!$O$1)</f>
        <v>0</v>
      </c>
      <c r="N115" s="182">
        <v>1958252.46521632</v>
      </c>
      <c r="O115" s="180">
        <f t="shared" si="11"/>
        <v>0</v>
      </c>
      <c r="P115" s="218">
        <f>SUMIFS(DATA!$L:$L,DATA!$O:$O,$B115,DATA!$N:$N,$A115,DATA!$M:$M,'SALES BY SYSTEM'!$O$2)</f>
        <v>0</v>
      </c>
      <c r="Q115" s="182">
        <v>2987441.1439679773</v>
      </c>
      <c r="R115" s="180">
        <f t="shared" si="12"/>
        <v>0</v>
      </c>
      <c r="S115" s="218">
        <f>SUMIFS(DATA!$L:$L,DATA!$O:$O,$B115,DATA!$N:$N,$A115,DATA!$M:$M,'SALES BY SYSTEM'!$O$4)</f>
        <v>0</v>
      </c>
      <c r="T115" s="182">
        <v>0</v>
      </c>
      <c r="U115" s="180" t="str">
        <f t="shared" si="13"/>
        <v/>
      </c>
      <c r="V115" s="218">
        <f>SUMIFS(DATA!$L:$L,DATA!$O:$O,$B115,DATA!$N:$N,$A115,DATA!$M:$M,'SALES BY SYSTEM'!$O$3)</f>
        <v>0</v>
      </c>
      <c r="W115" s="168"/>
    </row>
    <row r="116" spans="1:23" ht="15.75" customHeight="1" x14ac:dyDescent="0.25">
      <c r="A116" s="178" t="s">
        <v>294</v>
      </c>
      <c r="B116" s="178" t="s">
        <v>138</v>
      </c>
      <c r="C116" s="178" t="str">
        <f>VLOOKUP(A116,CUSTOMER!$A:$C,3,0)</f>
        <v>COOP_KGIANG</v>
      </c>
      <c r="D116" s="178" t="s">
        <v>674</v>
      </c>
      <c r="E116" s="178" t="str">
        <f>VLOOKUP(A116,CUSTOMER!$A$2:$H$1094,5,0)</f>
        <v>VAVANCY-VU MINH TUAN</v>
      </c>
      <c r="F116" s="178" t="str">
        <f>VLOOKUP(A116,CUSTOMER!$A$2:$I$1094,6,0)</f>
        <v>VACANCY</v>
      </c>
      <c r="G116" s="178" t="s">
        <v>676</v>
      </c>
      <c r="H116" s="179">
        <f t="shared" si="8"/>
        <v>4945693.6091842968</v>
      </c>
      <c r="I116" s="180">
        <f t="shared" si="9"/>
        <v>0</v>
      </c>
      <c r="J116" s="181">
        <f t="shared" si="10"/>
        <v>0</v>
      </c>
      <c r="K116" s="182">
        <v>0</v>
      </c>
      <c r="L116" s="180" t="str">
        <f t="shared" si="14"/>
        <v/>
      </c>
      <c r="M116" s="218">
        <f>SUMIFS(DATA!$L:$L,DATA!$O:$O,$B116,DATA!$N:$N,$A116,DATA!$M:$M,'SALES BY SYSTEM'!$O$1)</f>
        <v>0</v>
      </c>
      <c r="N116" s="182">
        <v>1958252.46521632</v>
      </c>
      <c r="O116" s="180">
        <f t="shared" si="11"/>
        <v>0</v>
      </c>
      <c r="P116" s="218">
        <f>SUMIFS(DATA!$L:$L,DATA!$O:$O,$B116,DATA!$N:$N,$A116,DATA!$M:$M,'SALES BY SYSTEM'!$O$2)</f>
        <v>0</v>
      </c>
      <c r="Q116" s="182">
        <v>2987441.1439679773</v>
      </c>
      <c r="R116" s="180">
        <f t="shared" si="12"/>
        <v>0</v>
      </c>
      <c r="S116" s="218">
        <f>SUMIFS(DATA!$L:$L,DATA!$O:$O,$B116,DATA!$N:$N,$A116,DATA!$M:$M,'SALES BY SYSTEM'!$O$4)</f>
        <v>0</v>
      </c>
      <c r="T116" s="182">
        <v>0</v>
      </c>
      <c r="U116" s="180" t="str">
        <f t="shared" si="13"/>
        <v/>
      </c>
      <c r="V116" s="218">
        <f>SUMIFS(DATA!$L:$L,DATA!$O:$O,$B116,DATA!$N:$N,$A116,DATA!$M:$M,'SALES BY SYSTEM'!$O$3)</f>
        <v>0</v>
      </c>
      <c r="W116" s="168"/>
    </row>
    <row r="117" spans="1:23" ht="15.75" customHeight="1" x14ac:dyDescent="0.25">
      <c r="A117" s="178" t="s">
        <v>1318</v>
      </c>
      <c r="B117" s="178" t="s">
        <v>138</v>
      </c>
      <c r="C117" s="178" t="str">
        <f>VLOOKUP(A117,CUSTOMER!$A:$C,3,0)</f>
        <v>COOP_LAGI</v>
      </c>
      <c r="D117" s="178" t="s">
        <v>674</v>
      </c>
      <c r="E117" s="178" t="str">
        <f>VLOOKUP(A117,CUSTOMER!$A$2:$H$1094,5,0)</f>
        <v>VAVANCY-VU MINH TUAN</v>
      </c>
      <c r="F117" s="178" t="str">
        <f>VLOOKUP(A117,CUSTOMER!$A$2:$I$1094,6,0)</f>
        <v>VACANCY</v>
      </c>
      <c r="G117" s="178" t="s">
        <v>676</v>
      </c>
      <c r="H117" s="179">
        <f t="shared" si="8"/>
        <v>4945693.6091842968</v>
      </c>
      <c r="I117" s="180">
        <f t="shared" si="9"/>
        <v>0</v>
      </c>
      <c r="J117" s="181">
        <f t="shared" si="10"/>
        <v>0</v>
      </c>
      <c r="K117" s="182">
        <v>0</v>
      </c>
      <c r="L117" s="180" t="str">
        <f t="shared" si="14"/>
        <v/>
      </c>
      <c r="M117" s="218">
        <f>SUMIFS(DATA!$L:$L,DATA!$O:$O,$B117,DATA!$N:$N,$A117,DATA!$M:$M,'SALES BY SYSTEM'!$O$1)</f>
        <v>0</v>
      </c>
      <c r="N117" s="182">
        <v>1958252.46521632</v>
      </c>
      <c r="O117" s="180">
        <f t="shared" si="11"/>
        <v>0</v>
      </c>
      <c r="P117" s="218">
        <f>SUMIFS(DATA!$L:$L,DATA!$O:$O,$B117,DATA!$N:$N,$A117,DATA!$M:$M,'SALES BY SYSTEM'!$O$2)</f>
        <v>0</v>
      </c>
      <c r="Q117" s="182">
        <v>2987441.1439679773</v>
      </c>
      <c r="R117" s="180">
        <f t="shared" si="12"/>
        <v>0</v>
      </c>
      <c r="S117" s="218">
        <f>SUMIFS(DATA!$L:$L,DATA!$O:$O,$B117,DATA!$N:$N,$A117,DATA!$M:$M,'SALES BY SYSTEM'!$O$4)</f>
        <v>0</v>
      </c>
      <c r="T117" s="182">
        <v>0</v>
      </c>
      <c r="U117" s="180" t="str">
        <f t="shared" si="13"/>
        <v/>
      </c>
      <c r="V117" s="218">
        <f>SUMIFS(DATA!$L:$L,DATA!$O:$O,$B117,DATA!$N:$N,$A117,DATA!$M:$M,'SALES BY SYSTEM'!$O$3)</f>
        <v>0</v>
      </c>
      <c r="W117" s="168"/>
    </row>
    <row r="118" spans="1:23" ht="15.75" customHeight="1" x14ac:dyDescent="0.25">
      <c r="A118" s="178" t="s">
        <v>296</v>
      </c>
      <c r="B118" s="178" t="s">
        <v>138</v>
      </c>
      <c r="C118" s="178" t="str">
        <f>VLOOKUP(A118,CUSTOMER!$A:$C,3,0)</f>
        <v>COOP_AUC_LBIEN</v>
      </c>
      <c r="D118" s="178" t="s">
        <v>674</v>
      </c>
      <c r="E118" s="178" t="str">
        <f>VLOOKUP(A118,CUSTOMER!$A$2:$H$1094,5,0)</f>
        <v>VAVANCY-VU MINH TUAN</v>
      </c>
      <c r="F118" s="178" t="str">
        <f>VLOOKUP(A118,CUSTOMER!$A$2:$I$1094,6,0)</f>
        <v>LE THI HONG DIEP</v>
      </c>
      <c r="G118" s="178" t="s">
        <v>676</v>
      </c>
      <c r="H118" s="179">
        <f t="shared" si="8"/>
        <v>4945693.6091842968</v>
      </c>
      <c r="I118" s="180">
        <f t="shared" si="9"/>
        <v>0</v>
      </c>
      <c r="J118" s="181">
        <f t="shared" si="10"/>
        <v>0</v>
      </c>
      <c r="K118" s="182">
        <v>0</v>
      </c>
      <c r="L118" s="180" t="str">
        <f t="shared" si="14"/>
        <v/>
      </c>
      <c r="M118" s="218">
        <f>SUMIFS(DATA!$L:$L,DATA!$O:$O,$B118,DATA!$N:$N,$A118,DATA!$M:$M,'SALES BY SYSTEM'!$O$1)</f>
        <v>0</v>
      </c>
      <c r="N118" s="182">
        <v>1958252.46521632</v>
      </c>
      <c r="O118" s="180">
        <f t="shared" si="11"/>
        <v>0</v>
      </c>
      <c r="P118" s="218">
        <f>SUMIFS(DATA!$L:$L,DATA!$O:$O,$B118,DATA!$N:$N,$A118,DATA!$M:$M,'SALES BY SYSTEM'!$O$2)</f>
        <v>0</v>
      </c>
      <c r="Q118" s="182">
        <v>2987441.1439679773</v>
      </c>
      <c r="R118" s="180">
        <f t="shared" si="12"/>
        <v>0</v>
      </c>
      <c r="S118" s="218">
        <f>SUMIFS(DATA!$L:$L,DATA!$O:$O,$B118,DATA!$N:$N,$A118,DATA!$M:$M,'SALES BY SYSTEM'!$O$4)</f>
        <v>0</v>
      </c>
      <c r="T118" s="182">
        <v>0</v>
      </c>
      <c r="U118" s="180" t="str">
        <f t="shared" si="13"/>
        <v/>
      </c>
      <c r="V118" s="218">
        <f>SUMIFS(DATA!$L:$L,DATA!$O:$O,$B118,DATA!$N:$N,$A118,DATA!$M:$M,'SALES BY SYSTEM'!$O$3)</f>
        <v>0</v>
      </c>
      <c r="W118" s="168"/>
    </row>
    <row r="119" spans="1:23" ht="15.75" customHeight="1" x14ac:dyDescent="0.25">
      <c r="A119" s="178" t="s">
        <v>1321</v>
      </c>
      <c r="B119" s="178" t="s">
        <v>138</v>
      </c>
      <c r="C119" s="178" t="str">
        <f>VLOOKUP(A119,CUSTOMER!$A:$C,3,0)</f>
        <v>COOP_LX</v>
      </c>
      <c r="D119" s="178" t="s">
        <v>674</v>
      </c>
      <c r="E119" s="178" t="str">
        <f>VLOOKUP(A119,CUSTOMER!$A$2:$H$1094,5,0)</f>
        <v>VAVANCY-VU MINH TUAN</v>
      </c>
      <c r="F119" s="178" t="str">
        <f>VLOOKUP(A119,CUSTOMER!$A$2:$I$1094,6,0)</f>
        <v>VACANCY</v>
      </c>
      <c r="G119" s="178" t="s">
        <v>676</v>
      </c>
      <c r="H119" s="179">
        <f t="shared" si="8"/>
        <v>4945693.6091842968</v>
      </c>
      <c r="I119" s="180">
        <f t="shared" si="9"/>
        <v>0</v>
      </c>
      <c r="J119" s="181">
        <f t="shared" si="10"/>
        <v>0</v>
      </c>
      <c r="K119" s="182">
        <v>0</v>
      </c>
      <c r="L119" s="180" t="str">
        <f t="shared" si="14"/>
        <v/>
      </c>
      <c r="M119" s="218">
        <f>SUMIFS(DATA!$L:$L,DATA!$O:$O,$B119,DATA!$N:$N,$A119,DATA!$M:$M,'SALES BY SYSTEM'!$O$1)</f>
        <v>0</v>
      </c>
      <c r="N119" s="182">
        <v>1958252.46521632</v>
      </c>
      <c r="O119" s="180">
        <f t="shared" si="11"/>
        <v>0</v>
      </c>
      <c r="P119" s="218">
        <f>SUMIFS(DATA!$L:$L,DATA!$O:$O,$B119,DATA!$N:$N,$A119,DATA!$M:$M,'SALES BY SYSTEM'!$O$2)</f>
        <v>0</v>
      </c>
      <c r="Q119" s="182">
        <v>2987441.1439679773</v>
      </c>
      <c r="R119" s="180">
        <f t="shared" si="12"/>
        <v>0</v>
      </c>
      <c r="S119" s="218">
        <f>SUMIFS(DATA!$L:$L,DATA!$O:$O,$B119,DATA!$N:$N,$A119,DATA!$M:$M,'SALES BY SYSTEM'!$O$4)</f>
        <v>0</v>
      </c>
      <c r="T119" s="182">
        <v>0</v>
      </c>
      <c r="U119" s="180" t="str">
        <f t="shared" si="13"/>
        <v/>
      </c>
      <c r="V119" s="218">
        <f>SUMIFS(DATA!$L:$L,DATA!$O:$O,$B119,DATA!$N:$N,$A119,DATA!$M:$M,'SALES BY SYSTEM'!$O$3)</f>
        <v>0</v>
      </c>
      <c r="W119" s="168"/>
    </row>
    <row r="120" spans="1:23" ht="15.75" customHeight="1" x14ac:dyDescent="0.25">
      <c r="A120" s="178" t="s">
        <v>302</v>
      </c>
      <c r="B120" s="178" t="s">
        <v>138</v>
      </c>
      <c r="C120" s="178" t="str">
        <f>VLOOKUP(A120,CUSTOMER!$A:$C,3,0)</f>
        <v>COOP_MTHO</v>
      </c>
      <c r="D120" s="178" t="s">
        <v>674</v>
      </c>
      <c r="E120" s="178" t="str">
        <f>VLOOKUP(A120,CUSTOMER!$A$2:$H$1094,5,0)</f>
        <v>VAVANCY-VU MINH TUAN</v>
      </c>
      <c r="F120" s="178" t="str">
        <f>VLOOKUP(A120,CUSTOMER!$A$2:$I$1094,6,0)</f>
        <v>VACANCY</v>
      </c>
      <c r="G120" s="178" t="s">
        <v>676</v>
      </c>
      <c r="H120" s="179">
        <f t="shared" si="8"/>
        <v>4945693.6091842968</v>
      </c>
      <c r="I120" s="180">
        <f t="shared" si="9"/>
        <v>0</v>
      </c>
      <c r="J120" s="181">
        <f t="shared" si="10"/>
        <v>0</v>
      </c>
      <c r="K120" s="182">
        <v>0</v>
      </c>
      <c r="L120" s="180" t="str">
        <f t="shared" si="14"/>
        <v/>
      </c>
      <c r="M120" s="218">
        <f>SUMIFS(DATA!$L:$L,DATA!$O:$O,$B120,DATA!$N:$N,$A120,DATA!$M:$M,'SALES BY SYSTEM'!$O$1)</f>
        <v>0</v>
      </c>
      <c r="N120" s="182">
        <v>1958252.46521632</v>
      </c>
      <c r="O120" s="180">
        <f t="shared" si="11"/>
        <v>0</v>
      </c>
      <c r="P120" s="218">
        <f>SUMIFS(DATA!$L:$L,DATA!$O:$O,$B120,DATA!$N:$N,$A120,DATA!$M:$M,'SALES BY SYSTEM'!$O$2)</f>
        <v>0</v>
      </c>
      <c r="Q120" s="182">
        <v>2987441.1439679773</v>
      </c>
      <c r="R120" s="180">
        <f t="shared" si="12"/>
        <v>0</v>
      </c>
      <c r="S120" s="218">
        <f>SUMIFS(DATA!$L:$L,DATA!$O:$O,$B120,DATA!$N:$N,$A120,DATA!$M:$M,'SALES BY SYSTEM'!$O$4)</f>
        <v>0</v>
      </c>
      <c r="T120" s="182">
        <v>0</v>
      </c>
      <c r="U120" s="180" t="str">
        <f t="shared" si="13"/>
        <v/>
      </c>
      <c r="V120" s="218">
        <f>SUMIFS(DATA!$L:$L,DATA!$O:$O,$B120,DATA!$N:$N,$A120,DATA!$M:$M,'SALES BY SYSTEM'!$O$3)</f>
        <v>0</v>
      </c>
      <c r="W120" s="168"/>
    </row>
    <row r="121" spans="1:23" ht="15.75" customHeight="1" x14ac:dyDescent="0.25">
      <c r="A121" s="178" t="s">
        <v>1324</v>
      </c>
      <c r="B121" s="178" t="s">
        <v>138</v>
      </c>
      <c r="C121" s="178" t="str">
        <f>VLOOKUP(A121,CUSTOMER!$A:$C,3,0)</f>
        <v>COOP_NDINH</v>
      </c>
      <c r="D121" s="178" t="s">
        <v>674</v>
      </c>
      <c r="E121" s="178" t="str">
        <f>VLOOKUP(A121,CUSTOMER!$A$2:$H$1094,5,0)</f>
        <v>VAVANCY-VU MINH TUAN</v>
      </c>
      <c r="F121" s="178" t="str">
        <f>VLOOKUP(A121,CUSTOMER!$A$2:$I$1094,6,0)</f>
        <v>VACANCY</v>
      </c>
      <c r="G121" s="178" t="s">
        <v>676</v>
      </c>
      <c r="H121" s="179">
        <f t="shared" si="8"/>
        <v>4945693.6091842968</v>
      </c>
      <c r="I121" s="180">
        <f t="shared" si="9"/>
        <v>0</v>
      </c>
      <c r="J121" s="181">
        <f t="shared" si="10"/>
        <v>0</v>
      </c>
      <c r="K121" s="182">
        <v>0</v>
      </c>
      <c r="L121" s="180" t="str">
        <f t="shared" si="14"/>
        <v/>
      </c>
      <c r="M121" s="218">
        <f>SUMIFS(DATA!$L:$L,DATA!$O:$O,$B121,DATA!$N:$N,$A121,DATA!$M:$M,'SALES BY SYSTEM'!$O$1)</f>
        <v>0</v>
      </c>
      <c r="N121" s="182">
        <v>1958252.46521632</v>
      </c>
      <c r="O121" s="180">
        <f t="shared" si="11"/>
        <v>0</v>
      </c>
      <c r="P121" s="218">
        <f>SUMIFS(DATA!$L:$L,DATA!$O:$O,$B121,DATA!$N:$N,$A121,DATA!$M:$M,'SALES BY SYSTEM'!$O$2)</f>
        <v>0</v>
      </c>
      <c r="Q121" s="182">
        <v>2987441.1439679773</v>
      </c>
      <c r="R121" s="180">
        <f t="shared" si="12"/>
        <v>0</v>
      </c>
      <c r="S121" s="218">
        <f>SUMIFS(DATA!$L:$L,DATA!$O:$O,$B121,DATA!$N:$N,$A121,DATA!$M:$M,'SALES BY SYSTEM'!$O$4)</f>
        <v>0</v>
      </c>
      <c r="T121" s="182">
        <v>0</v>
      </c>
      <c r="U121" s="180" t="str">
        <f t="shared" si="13"/>
        <v/>
      </c>
      <c r="V121" s="218">
        <f>SUMIFS(DATA!$L:$L,DATA!$O:$O,$B121,DATA!$N:$N,$A121,DATA!$M:$M,'SALES BY SYSTEM'!$O$3)</f>
        <v>0</v>
      </c>
      <c r="W121" s="168"/>
    </row>
    <row r="122" spans="1:23" ht="15.75" customHeight="1" x14ac:dyDescent="0.25">
      <c r="A122" s="178" t="s">
        <v>1326</v>
      </c>
      <c r="B122" s="178" t="s">
        <v>138</v>
      </c>
      <c r="C122" s="178" t="str">
        <f>VLOOKUP(A122,CUSTOMER!$A:$C,3,0)</f>
        <v>COOP_N7HG</v>
      </c>
      <c r="D122" s="178" t="s">
        <v>674</v>
      </c>
      <c r="E122" s="178" t="str">
        <f>VLOOKUP(A122,CUSTOMER!$A$2:$H$1094,5,0)</f>
        <v>VAVANCY-VU MINH TUAN</v>
      </c>
      <c r="F122" s="178" t="str">
        <f>VLOOKUP(A122,CUSTOMER!$A$2:$I$1094,6,0)</f>
        <v>VACANCY</v>
      </c>
      <c r="G122" s="178" t="s">
        <v>676</v>
      </c>
      <c r="H122" s="179">
        <f t="shared" si="8"/>
        <v>4945693.6091842968</v>
      </c>
      <c r="I122" s="180">
        <f t="shared" si="9"/>
        <v>0</v>
      </c>
      <c r="J122" s="181">
        <f t="shared" si="10"/>
        <v>0</v>
      </c>
      <c r="K122" s="182">
        <v>0</v>
      </c>
      <c r="L122" s="180" t="str">
        <f t="shared" si="14"/>
        <v/>
      </c>
      <c r="M122" s="218">
        <f>SUMIFS(DATA!$L:$L,DATA!$O:$O,$B122,DATA!$N:$N,$A122,DATA!$M:$M,'SALES BY SYSTEM'!$O$1)</f>
        <v>0</v>
      </c>
      <c r="N122" s="182">
        <v>1958252.46521632</v>
      </c>
      <c r="O122" s="180">
        <f t="shared" si="11"/>
        <v>0</v>
      </c>
      <c r="P122" s="218">
        <f>SUMIFS(DATA!$L:$L,DATA!$O:$O,$B122,DATA!$N:$N,$A122,DATA!$M:$M,'SALES BY SYSTEM'!$O$2)</f>
        <v>0</v>
      </c>
      <c r="Q122" s="182">
        <v>2987441.1439679773</v>
      </c>
      <c r="R122" s="180">
        <f t="shared" si="12"/>
        <v>0</v>
      </c>
      <c r="S122" s="218">
        <f>SUMIFS(DATA!$L:$L,DATA!$O:$O,$B122,DATA!$N:$N,$A122,DATA!$M:$M,'SALES BY SYSTEM'!$O$4)</f>
        <v>0</v>
      </c>
      <c r="T122" s="182">
        <v>0</v>
      </c>
      <c r="U122" s="180" t="str">
        <f t="shared" si="13"/>
        <v/>
      </c>
      <c r="V122" s="218">
        <f>SUMIFS(DATA!$L:$L,DATA!$O:$O,$B122,DATA!$N:$N,$A122,DATA!$M:$M,'SALES BY SYSTEM'!$O$3)</f>
        <v>0</v>
      </c>
      <c r="W122" s="168"/>
    </row>
    <row r="123" spans="1:23" ht="15.75" customHeight="1" x14ac:dyDescent="0.25">
      <c r="A123" s="178" t="s">
        <v>282</v>
      </c>
      <c r="B123" s="178" t="s">
        <v>138</v>
      </c>
      <c r="C123" s="178" t="str">
        <f>VLOOKUP(A123,CUSTOMER!$A:$C,3,0)</f>
        <v>COOP_NTRANG</v>
      </c>
      <c r="D123" s="178" t="s">
        <v>674</v>
      </c>
      <c r="E123" s="178" t="str">
        <f>VLOOKUP(A123,CUSTOMER!$A$2:$H$1094,5,0)</f>
        <v>VAVANCY-VU MINH TUAN</v>
      </c>
      <c r="F123" s="178" t="str">
        <f>VLOOKUP(A123,CUSTOMER!$A$2:$I$1094,6,0)</f>
        <v>TRAN THANH TUAN</v>
      </c>
      <c r="G123" s="178" t="s">
        <v>676</v>
      </c>
      <c r="H123" s="179">
        <f t="shared" si="8"/>
        <v>4945693.6091842968</v>
      </c>
      <c r="I123" s="180">
        <f t="shared" si="9"/>
        <v>0</v>
      </c>
      <c r="J123" s="181">
        <f t="shared" si="10"/>
        <v>0</v>
      </c>
      <c r="K123" s="182">
        <v>0</v>
      </c>
      <c r="L123" s="180" t="str">
        <f t="shared" si="14"/>
        <v/>
      </c>
      <c r="M123" s="218">
        <f>SUMIFS(DATA!$L:$L,DATA!$O:$O,$B123,DATA!$N:$N,$A123,DATA!$M:$M,'SALES BY SYSTEM'!$O$1)</f>
        <v>0</v>
      </c>
      <c r="N123" s="182">
        <v>1958252.46521632</v>
      </c>
      <c r="O123" s="180">
        <f t="shared" si="11"/>
        <v>0</v>
      </c>
      <c r="P123" s="218">
        <f>SUMIFS(DATA!$L:$L,DATA!$O:$O,$B123,DATA!$N:$N,$A123,DATA!$M:$M,'SALES BY SYSTEM'!$O$2)</f>
        <v>0</v>
      </c>
      <c r="Q123" s="182">
        <v>2987441.1439679773</v>
      </c>
      <c r="R123" s="180">
        <f t="shared" si="12"/>
        <v>0</v>
      </c>
      <c r="S123" s="218">
        <f>SUMIFS(DATA!$L:$L,DATA!$O:$O,$B123,DATA!$N:$N,$A123,DATA!$M:$M,'SALES BY SYSTEM'!$O$4)</f>
        <v>0</v>
      </c>
      <c r="T123" s="182">
        <v>0</v>
      </c>
      <c r="U123" s="180" t="str">
        <f t="shared" si="13"/>
        <v/>
      </c>
      <c r="V123" s="218">
        <f>SUMIFS(DATA!$L:$L,DATA!$O:$O,$B123,DATA!$N:$N,$A123,DATA!$M:$M,'SALES BY SYSTEM'!$O$3)</f>
        <v>0</v>
      </c>
      <c r="W123" s="168"/>
    </row>
    <row r="124" spans="1:23" ht="15.75" customHeight="1" x14ac:dyDescent="0.25">
      <c r="A124" s="178" t="s">
        <v>186</v>
      </c>
      <c r="B124" s="178" t="s">
        <v>138</v>
      </c>
      <c r="C124" s="178" t="str">
        <f>VLOOKUP(A124,CUSTOMER!$A:$C,3,0)</f>
        <v>COOP_PRI</v>
      </c>
      <c r="D124" s="178" t="s">
        <v>674</v>
      </c>
      <c r="E124" s="178" t="str">
        <f>VLOOKUP(A124,CUSTOMER!$A$2:$H$1094,5,0)</f>
        <v>VAVANCY-VU MINH TUAN</v>
      </c>
      <c r="F124" s="178" t="str">
        <f>VLOOKUP(A124,CUSTOMER!$A$2:$I$1094,6,0)</f>
        <v>VACANCY</v>
      </c>
      <c r="G124" s="178" t="s">
        <v>676</v>
      </c>
      <c r="H124" s="179">
        <f t="shared" si="8"/>
        <v>4945693.6091842968</v>
      </c>
      <c r="I124" s="180">
        <f t="shared" si="9"/>
        <v>0</v>
      </c>
      <c r="J124" s="181">
        <f t="shared" si="10"/>
        <v>0</v>
      </c>
      <c r="K124" s="182">
        <v>0</v>
      </c>
      <c r="L124" s="180" t="str">
        <f t="shared" si="14"/>
        <v/>
      </c>
      <c r="M124" s="218">
        <f>SUMIFS(DATA!$L:$L,DATA!$O:$O,$B124,DATA!$N:$N,$A124,DATA!$M:$M,'SALES BY SYSTEM'!$O$1)</f>
        <v>0</v>
      </c>
      <c r="N124" s="182">
        <v>1958252.46521632</v>
      </c>
      <c r="O124" s="180">
        <f t="shared" si="11"/>
        <v>0</v>
      </c>
      <c r="P124" s="218">
        <f>SUMIFS(DATA!$L:$L,DATA!$O:$O,$B124,DATA!$N:$N,$A124,DATA!$M:$M,'SALES BY SYSTEM'!$O$2)</f>
        <v>0</v>
      </c>
      <c r="Q124" s="182">
        <v>2987441.1439679773</v>
      </c>
      <c r="R124" s="180">
        <f t="shared" si="12"/>
        <v>0</v>
      </c>
      <c r="S124" s="218">
        <f>SUMIFS(DATA!$L:$L,DATA!$O:$O,$B124,DATA!$N:$N,$A124,DATA!$M:$M,'SALES BY SYSTEM'!$O$4)</f>
        <v>0</v>
      </c>
      <c r="T124" s="182">
        <v>0</v>
      </c>
      <c r="U124" s="180" t="str">
        <f t="shared" si="13"/>
        <v/>
      </c>
      <c r="V124" s="218">
        <f>SUMIFS(DATA!$L:$L,DATA!$O:$O,$B124,DATA!$N:$N,$A124,DATA!$M:$M,'SALES BY SYSTEM'!$O$3)</f>
        <v>0</v>
      </c>
      <c r="W124" s="168"/>
    </row>
    <row r="125" spans="1:23" ht="15.75" customHeight="1" x14ac:dyDescent="0.25">
      <c r="A125" s="178" t="s">
        <v>258</v>
      </c>
      <c r="B125" s="178" t="s">
        <v>138</v>
      </c>
      <c r="C125" s="178" t="str">
        <f>VLOOKUP(A125,CUSTOMER!$A:$C,3,0)</f>
        <v>COOP_PTHIET</v>
      </c>
      <c r="D125" s="178" t="s">
        <v>674</v>
      </c>
      <c r="E125" s="178" t="str">
        <f>VLOOKUP(A125,CUSTOMER!$A$2:$H$1094,5,0)</f>
        <v>VAVANCY-VU MINH TUAN</v>
      </c>
      <c r="F125" s="178" t="str">
        <f>VLOOKUP(A125,CUSTOMER!$A$2:$I$1094,6,0)</f>
        <v>VACANCY</v>
      </c>
      <c r="G125" s="178" t="s">
        <v>676</v>
      </c>
      <c r="H125" s="179">
        <f t="shared" si="8"/>
        <v>4945693.6091842968</v>
      </c>
      <c r="I125" s="180">
        <f t="shared" si="9"/>
        <v>0</v>
      </c>
      <c r="J125" s="181">
        <f t="shared" si="10"/>
        <v>0</v>
      </c>
      <c r="K125" s="182">
        <v>0</v>
      </c>
      <c r="L125" s="180" t="str">
        <f t="shared" si="14"/>
        <v/>
      </c>
      <c r="M125" s="218">
        <f>SUMIFS(DATA!$L:$L,DATA!$O:$O,$B125,DATA!$N:$N,$A125,DATA!$M:$M,'SALES BY SYSTEM'!$O$1)</f>
        <v>0</v>
      </c>
      <c r="N125" s="182">
        <v>1958252.46521632</v>
      </c>
      <c r="O125" s="180">
        <f t="shared" si="11"/>
        <v>0</v>
      </c>
      <c r="P125" s="218">
        <f>SUMIFS(DATA!$L:$L,DATA!$O:$O,$B125,DATA!$N:$N,$A125,DATA!$M:$M,'SALES BY SYSTEM'!$O$2)</f>
        <v>0</v>
      </c>
      <c r="Q125" s="182">
        <v>2987441.1439679773</v>
      </c>
      <c r="R125" s="180">
        <f t="shared" si="12"/>
        <v>0</v>
      </c>
      <c r="S125" s="218">
        <f>SUMIFS(DATA!$L:$L,DATA!$O:$O,$B125,DATA!$N:$N,$A125,DATA!$M:$M,'SALES BY SYSTEM'!$O$4)</f>
        <v>0</v>
      </c>
      <c r="T125" s="182">
        <v>0</v>
      </c>
      <c r="U125" s="180" t="str">
        <f t="shared" si="13"/>
        <v/>
      </c>
      <c r="V125" s="218">
        <f>SUMIFS(DATA!$L:$L,DATA!$O:$O,$B125,DATA!$N:$N,$A125,DATA!$M:$M,'SALES BY SYSTEM'!$O$3)</f>
        <v>0</v>
      </c>
      <c r="W125" s="168"/>
    </row>
    <row r="126" spans="1:23" ht="15.75" customHeight="1" x14ac:dyDescent="0.25">
      <c r="A126" s="178" t="s">
        <v>1333</v>
      </c>
      <c r="B126" s="178" t="s">
        <v>138</v>
      </c>
      <c r="C126" s="178" t="str">
        <f>VLOOKUP(A126,CUSTOMER!$A:$C,3,0)</f>
        <v>COOP_PVHON</v>
      </c>
      <c r="D126" s="178" t="s">
        <v>674</v>
      </c>
      <c r="E126" s="178" t="str">
        <f>VLOOKUP(A126,CUSTOMER!$A$2:$H$1094,5,0)</f>
        <v>VAVANCY-VU MINH TUAN</v>
      </c>
      <c r="F126" s="178" t="str">
        <f>VLOOKUP(A126,CUSTOMER!$A$2:$I$1094,6,0)</f>
        <v>VACANCY</v>
      </c>
      <c r="G126" s="178" t="s">
        <v>676</v>
      </c>
      <c r="H126" s="179">
        <f t="shared" si="8"/>
        <v>4945693.6091842968</v>
      </c>
      <c r="I126" s="180">
        <f t="shared" si="9"/>
        <v>0</v>
      </c>
      <c r="J126" s="181">
        <f t="shared" si="10"/>
        <v>0</v>
      </c>
      <c r="K126" s="182">
        <v>0</v>
      </c>
      <c r="L126" s="180" t="str">
        <f t="shared" si="14"/>
        <v/>
      </c>
      <c r="M126" s="218">
        <f>SUMIFS(DATA!$L:$L,DATA!$O:$O,$B126,DATA!$N:$N,$A126,DATA!$M:$M,'SALES BY SYSTEM'!$O$1)</f>
        <v>0</v>
      </c>
      <c r="N126" s="182">
        <v>1958252.46521632</v>
      </c>
      <c r="O126" s="180">
        <f t="shared" si="11"/>
        <v>0</v>
      </c>
      <c r="P126" s="218">
        <f>SUMIFS(DATA!$L:$L,DATA!$O:$O,$B126,DATA!$N:$N,$A126,DATA!$M:$M,'SALES BY SYSTEM'!$O$2)</f>
        <v>0</v>
      </c>
      <c r="Q126" s="182">
        <v>2987441.1439679773</v>
      </c>
      <c r="R126" s="180">
        <f t="shared" si="12"/>
        <v>0</v>
      </c>
      <c r="S126" s="218">
        <f>SUMIFS(DATA!$L:$L,DATA!$O:$O,$B126,DATA!$N:$N,$A126,DATA!$M:$M,'SALES BY SYSTEM'!$O$4)</f>
        <v>0</v>
      </c>
      <c r="T126" s="182">
        <v>0</v>
      </c>
      <c r="U126" s="180" t="str">
        <f t="shared" si="13"/>
        <v/>
      </c>
      <c r="V126" s="218">
        <f>SUMIFS(DATA!$L:$L,DATA!$O:$O,$B126,DATA!$N:$N,$A126,DATA!$M:$M,'SALES BY SYSTEM'!$O$3)</f>
        <v>0</v>
      </c>
      <c r="W126" s="168"/>
    </row>
    <row r="127" spans="1:23" ht="15.75" customHeight="1" x14ac:dyDescent="0.25">
      <c r="A127" s="178" t="s">
        <v>1335</v>
      </c>
      <c r="B127" s="178" t="s">
        <v>138</v>
      </c>
      <c r="C127" s="178" t="str">
        <f>VLOOKUP(A127,CUSTOMER!$A:$C,3,0)</f>
        <v>COOP_PDONG</v>
      </c>
      <c r="D127" s="178" t="s">
        <v>674</v>
      </c>
      <c r="E127" s="178" t="str">
        <f>VLOOKUP(A127,CUSTOMER!$A$2:$H$1094,5,0)</f>
        <v>VAVANCY-VU MINH TUAN</v>
      </c>
      <c r="F127" s="178" t="str">
        <f>VLOOKUP(A127,CUSTOMER!$A$2:$I$1094,6,0)</f>
        <v>VACANCY</v>
      </c>
      <c r="G127" s="178" t="s">
        <v>676</v>
      </c>
      <c r="H127" s="179">
        <f t="shared" si="8"/>
        <v>4945693.6091842968</v>
      </c>
      <c r="I127" s="180">
        <f t="shared" si="9"/>
        <v>0</v>
      </c>
      <c r="J127" s="181">
        <f t="shared" si="10"/>
        <v>0</v>
      </c>
      <c r="K127" s="182">
        <v>0</v>
      </c>
      <c r="L127" s="180" t="str">
        <f t="shared" si="14"/>
        <v/>
      </c>
      <c r="M127" s="218">
        <f>SUMIFS(DATA!$L:$L,DATA!$O:$O,$B127,DATA!$N:$N,$A127,DATA!$M:$M,'SALES BY SYSTEM'!$O$1)</f>
        <v>0</v>
      </c>
      <c r="N127" s="182">
        <v>1958252.46521632</v>
      </c>
      <c r="O127" s="180">
        <f t="shared" si="11"/>
        <v>0</v>
      </c>
      <c r="P127" s="218">
        <f>SUMIFS(DATA!$L:$L,DATA!$O:$O,$B127,DATA!$N:$N,$A127,DATA!$M:$M,'SALES BY SYSTEM'!$O$2)</f>
        <v>0</v>
      </c>
      <c r="Q127" s="182">
        <v>2987441.1439679773</v>
      </c>
      <c r="R127" s="180">
        <f t="shared" si="12"/>
        <v>0</v>
      </c>
      <c r="S127" s="218">
        <f>SUMIFS(DATA!$L:$L,DATA!$O:$O,$B127,DATA!$N:$N,$A127,DATA!$M:$M,'SALES BY SYSTEM'!$O$4)</f>
        <v>0</v>
      </c>
      <c r="T127" s="182">
        <v>0</v>
      </c>
      <c r="U127" s="180" t="str">
        <f t="shared" si="13"/>
        <v/>
      </c>
      <c r="V127" s="218">
        <f>SUMIFS(DATA!$L:$L,DATA!$O:$O,$B127,DATA!$N:$N,$A127,DATA!$M:$M,'SALES BY SYSTEM'!$O$3)</f>
        <v>0</v>
      </c>
      <c r="W127" s="168"/>
    </row>
    <row r="128" spans="1:23" ht="15.75" customHeight="1" x14ac:dyDescent="0.25">
      <c r="A128" s="178" t="s">
        <v>270</v>
      </c>
      <c r="B128" s="178" t="s">
        <v>138</v>
      </c>
      <c r="C128" s="178" t="str">
        <f>VLOOKUP(A128,CUSTOMER!$A:$C,3,0)</f>
        <v>COOP_PLK</v>
      </c>
      <c r="D128" s="178" t="s">
        <v>674</v>
      </c>
      <c r="E128" s="178" t="str">
        <f>VLOOKUP(A128,CUSTOMER!$A$2:$H$1094,5,0)</f>
        <v>VAVANCY-VU MINH TUAN</v>
      </c>
      <c r="F128" s="178" t="str">
        <f>VLOOKUP(A128,CUSTOMER!$A$2:$I$1094,6,0)</f>
        <v>VACANCY</v>
      </c>
      <c r="G128" s="178" t="s">
        <v>676</v>
      </c>
      <c r="H128" s="179">
        <f t="shared" si="8"/>
        <v>4945693.6091842968</v>
      </c>
      <c r="I128" s="180">
        <f t="shared" si="9"/>
        <v>0</v>
      </c>
      <c r="J128" s="181">
        <f t="shared" si="10"/>
        <v>0</v>
      </c>
      <c r="K128" s="182">
        <v>0</v>
      </c>
      <c r="L128" s="180" t="str">
        <f t="shared" si="14"/>
        <v/>
      </c>
      <c r="M128" s="218">
        <f>SUMIFS(DATA!$L:$L,DATA!$O:$O,$B128,DATA!$N:$N,$A128,DATA!$M:$M,'SALES BY SYSTEM'!$O$1)</f>
        <v>0</v>
      </c>
      <c r="N128" s="182">
        <v>1958252.46521632</v>
      </c>
      <c r="O128" s="180">
        <f t="shared" si="11"/>
        <v>0</v>
      </c>
      <c r="P128" s="218">
        <f>SUMIFS(DATA!$L:$L,DATA!$O:$O,$B128,DATA!$N:$N,$A128,DATA!$M:$M,'SALES BY SYSTEM'!$O$2)</f>
        <v>0</v>
      </c>
      <c r="Q128" s="182">
        <v>2987441.1439679773</v>
      </c>
      <c r="R128" s="180">
        <f t="shared" si="12"/>
        <v>0</v>
      </c>
      <c r="S128" s="218">
        <f>SUMIFS(DATA!$L:$L,DATA!$O:$O,$B128,DATA!$N:$N,$A128,DATA!$M:$M,'SALES BY SYSTEM'!$O$4)</f>
        <v>0</v>
      </c>
      <c r="T128" s="182">
        <v>0</v>
      </c>
      <c r="U128" s="180" t="str">
        <f t="shared" si="13"/>
        <v/>
      </c>
      <c r="V128" s="218">
        <f>SUMIFS(DATA!$L:$L,DATA!$O:$O,$B128,DATA!$N:$N,$A128,DATA!$M:$M,'SALES BY SYSTEM'!$O$3)</f>
        <v>0</v>
      </c>
      <c r="W128" s="168"/>
    </row>
    <row r="129" spans="1:23" ht="15.75" customHeight="1" x14ac:dyDescent="0.25">
      <c r="A129" s="178" t="s">
        <v>218</v>
      </c>
      <c r="B129" s="178" t="s">
        <v>138</v>
      </c>
      <c r="C129" s="178" t="str">
        <f>VLOOKUP(A129,CUSTOMER!$A:$C,3,0)</f>
        <v>COOP_QNGAI</v>
      </c>
      <c r="D129" s="178" t="s">
        <v>674</v>
      </c>
      <c r="E129" s="178" t="str">
        <f>VLOOKUP(A129,CUSTOMER!$A$2:$H$1094,5,0)</f>
        <v>VAVANCY-VU MINH TUAN</v>
      </c>
      <c r="F129" s="178" t="str">
        <f>VLOOKUP(A129,CUSTOMER!$A$2:$I$1094,6,0)</f>
        <v>VACANCY</v>
      </c>
      <c r="G129" s="178" t="s">
        <v>676</v>
      </c>
      <c r="H129" s="179">
        <f t="shared" si="8"/>
        <v>4945693.6091842968</v>
      </c>
      <c r="I129" s="180">
        <f t="shared" si="9"/>
        <v>0</v>
      </c>
      <c r="J129" s="181">
        <f t="shared" si="10"/>
        <v>0</v>
      </c>
      <c r="K129" s="182">
        <v>0</v>
      </c>
      <c r="L129" s="180" t="str">
        <f t="shared" si="14"/>
        <v/>
      </c>
      <c r="M129" s="218">
        <f>SUMIFS(DATA!$L:$L,DATA!$O:$O,$B129,DATA!$N:$N,$A129,DATA!$M:$M,'SALES BY SYSTEM'!$O$1)</f>
        <v>0</v>
      </c>
      <c r="N129" s="182">
        <v>1958252.46521632</v>
      </c>
      <c r="O129" s="180">
        <f t="shared" si="11"/>
        <v>0</v>
      </c>
      <c r="P129" s="218">
        <f>SUMIFS(DATA!$L:$L,DATA!$O:$O,$B129,DATA!$N:$N,$A129,DATA!$M:$M,'SALES BY SYSTEM'!$O$2)</f>
        <v>0</v>
      </c>
      <c r="Q129" s="182">
        <v>2987441.1439679773</v>
      </c>
      <c r="R129" s="180">
        <f t="shared" si="12"/>
        <v>0</v>
      </c>
      <c r="S129" s="218">
        <f>SUMIFS(DATA!$L:$L,DATA!$O:$O,$B129,DATA!$N:$N,$A129,DATA!$M:$M,'SALES BY SYSTEM'!$O$4)</f>
        <v>0</v>
      </c>
      <c r="T129" s="182">
        <v>0</v>
      </c>
      <c r="U129" s="180" t="str">
        <f t="shared" si="13"/>
        <v/>
      </c>
      <c r="V129" s="218">
        <f>SUMIFS(DATA!$L:$L,DATA!$O:$O,$B129,DATA!$N:$N,$A129,DATA!$M:$M,'SALES BY SYSTEM'!$O$3)</f>
        <v>0</v>
      </c>
      <c r="W129" s="168"/>
    </row>
    <row r="130" spans="1:23" ht="15.75" customHeight="1" x14ac:dyDescent="0.25">
      <c r="A130" s="178" t="s">
        <v>182</v>
      </c>
      <c r="B130" s="178" t="s">
        <v>138</v>
      </c>
      <c r="C130" s="178" t="str">
        <f>VLOOKUP(A130,CUSTOMER!$A:$C,3,0)</f>
        <v>COOP_STRA</v>
      </c>
      <c r="D130" s="178" t="s">
        <v>674</v>
      </c>
      <c r="E130" s="178" t="str">
        <f>VLOOKUP(A130,CUSTOMER!$A$2:$H$1094,5,0)</f>
        <v>VAVANCY-VU MINH TUAN</v>
      </c>
      <c r="F130" s="178" t="str">
        <f>VLOOKUP(A130,CUSTOMER!$A$2:$I$1094,6,0)</f>
        <v>PHAM THI BINH</v>
      </c>
      <c r="G130" s="178" t="s">
        <v>676</v>
      </c>
      <c r="H130" s="179">
        <f t="shared" si="8"/>
        <v>4945693.6091842968</v>
      </c>
      <c r="I130" s="180">
        <f t="shared" si="9"/>
        <v>0</v>
      </c>
      <c r="J130" s="181">
        <f t="shared" si="10"/>
        <v>0</v>
      </c>
      <c r="K130" s="182">
        <v>0</v>
      </c>
      <c r="L130" s="180" t="str">
        <f t="shared" si="14"/>
        <v/>
      </c>
      <c r="M130" s="218">
        <f>SUMIFS(DATA!$L:$L,DATA!$O:$O,$B130,DATA!$N:$N,$A130,DATA!$M:$M,'SALES BY SYSTEM'!$O$1)</f>
        <v>0</v>
      </c>
      <c r="N130" s="182">
        <v>1958252.46521632</v>
      </c>
      <c r="O130" s="180">
        <f t="shared" si="11"/>
        <v>0</v>
      </c>
      <c r="P130" s="218">
        <f>SUMIFS(DATA!$L:$L,DATA!$O:$O,$B130,DATA!$N:$N,$A130,DATA!$M:$M,'SALES BY SYSTEM'!$O$2)</f>
        <v>0</v>
      </c>
      <c r="Q130" s="182">
        <v>2987441.1439679773</v>
      </c>
      <c r="R130" s="180">
        <f t="shared" si="12"/>
        <v>0</v>
      </c>
      <c r="S130" s="218">
        <f>SUMIFS(DATA!$L:$L,DATA!$O:$O,$B130,DATA!$N:$N,$A130,DATA!$M:$M,'SALES BY SYSTEM'!$O$4)</f>
        <v>0</v>
      </c>
      <c r="T130" s="182">
        <v>0</v>
      </c>
      <c r="U130" s="180" t="str">
        <f t="shared" si="13"/>
        <v/>
      </c>
      <c r="V130" s="218">
        <f>SUMIFS(DATA!$L:$L,DATA!$O:$O,$B130,DATA!$N:$N,$A130,DATA!$M:$M,'SALES BY SYSTEM'!$O$3)</f>
        <v>0</v>
      </c>
      <c r="W130" s="168"/>
    </row>
    <row r="131" spans="1:23" ht="15.75" customHeight="1" x14ac:dyDescent="0.25">
      <c r="A131" s="178" t="s">
        <v>1366</v>
      </c>
      <c r="B131" s="178" t="s">
        <v>138</v>
      </c>
      <c r="C131" s="178" t="str">
        <f>VLOOKUP(A131,CUSTOMER!$A:$C,3,0)</f>
        <v>COOP_AUC_VICTORIA</v>
      </c>
      <c r="D131" s="178" t="s">
        <v>674</v>
      </c>
      <c r="E131" s="178" t="str">
        <f>VLOOKUP(A131,CUSTOMER!$A$2:$H$1094,5,0)</f>
        <v>VAVANCY-VU MINH TUAN</v>
      </c>
      <c r="F131" s="178" t="str">
        <f>VLOOKUP(A131,CUSTOMER!$A$2:$I$1094,6,0)</f>
        <v>LE THI HONG DIEP</v>
      </c>
      <c r="G131" s="178" t="s">
        <v>676</v>
      </c>
      <c r="H131" s="179">
        <f t="shared" ref="H131:H194" si="15">SUM(K131,N131,Q131,T131)</f>
        <v>4945693.6091842968</v>
      </c>
      <c r="I131" s="180">
        <f t="shared" ref="I131:I194" si="16">IFERROR(J131/H131,"")</f>
        <v>0</v>
      </c>
      <c r="J131" s="181">
        <f t="shared" ref="J131:J194" si="17">SUM(M131,P131,S131,V131)</f>
        <v>0</v>
      </c>
      <c r="K131" s="182">
        <v>0</v>
      </c>
      <c r="L131" s="180" t="str">
        <f t="shared" si="14"/>
        <v/>
      </c>
      <c r="M131" s="218">
        <f>SUMIFS(DATA!$L:$L,DATA!$O:$O,$B131,DATA!$N:$N,$A131,DATA!$M:$M,'SALES BY SYSTEM'!$O$1)</f>
        <v>0</v>
      </c>
      <c r="N131" s="182">
        <v>1958252.46521632</v>
      </c>
      <c r="O131" s="180">
        <f t="shared" ref="O131:O194" si="18">IFERROR(P131/N131,"")</f>
        <v>0</v>
      </c>
      <c r="P131" s="218">
        <f>SUMIFS(DATA!$L:$L,DATA!$O:$O,$B131,DATA!$N:$N,$A131,DATA!$M:$M,'SALES BY SYSTEM'!$O$2)</f>
        <v>0</v>
      </c>
      <c r="Q131" s="182">
        <v>2987441.1439679773</v>
      </c>
      <c r="R131" s="180">
        <f t="shared" ref="R131:R194" si="19">IFERROR(S131/Q131,"")</f>
        <v>0</v>
      </c>
      <c r="S131" s="218">
        <f>SUMIFS(DATA!$L:$L,DATA!$O:$O,$B131,DATA!$N:$N,$A131,DATA!$M:$M,'SALES BY SYSTEM'!$O$4)</f>
        <v>0</v>
      </c>
      <c r="T131" s="182">
        <v>0</v>
      </c>
      <c r="U131" s="180" t="str">
        <f t="shared" ref="U131:U194" si="20">IFERROR(V131/T131,"")</f>
        <v/>
      </c>
      <c r="V131" s="218">
        <f>SUMIFS(DATA!$L:$L,DATA!$O:$O,$B131,DATA!$N:$N,$A131,DATA!$M:$M,'SALES BY SYSTEM'!$O$3)</f>
        <v>0</v>
      </c>
      <c r="W131" s="168"/>
    </row>
    <row r="132" spans="1:23" ht="15.75" customHeight="1" x14ac:dyDescent="0.25">
      <c r="A132" s="178" t="s">
        <v>1371</v>
      </c>
      <c r="B132" s="178" t="s">
        <v>138</v>
      </c>
      <c r="C132" s="178" t="str">
        <f>VLOOKUP(A132,CUSTOMER!$A:$C,3,0)</f>
        <v>COOP_VPHUC</v>
      </c>
      <c r="D132" s="178" t="s">
        <v>674</v>
      </c>
      <c r="E132" s="178" t="str">
        <f>VLOOKUP(A132,CUSTOMER!$A$2:$H$1094,5,0)</f>
        <v>VAVANCY-VU MINH TUAN</v>
      </c>
      <c r="F132" s="178" t="str">
        <f>VLOOKUP(A132,CUSTOMER!$A$2:$I$1094,6,0)</f>
        <v>VACANCY</v>
      </c>
      <c r="G132" s="178" t="s">
        <v>676</v>
      </c>
      <c r="H132" s="179">
        <f t="shared" si="15"/>
        <v>4945693.6091842968</v>
      </c>
      <c r="I132" s="180">
        <f t="shared" si="16"/>
        <v>0</v>
      </c>
      <c r="J132" s="181">
        <f t="shared" si="17"/>
        <v>0</v>
      </c>
      <c r="K132" s="182">
        <v>0</v>
      </c>
      <c r="L132" s="180" t="str">
        <f t="shared" si="14"/>
        <v/>
      </c>
      <c r="M132" s="218">
        <f>SUMIFS(DATA!$L:$L,DATA!$O:$O,$B132,DATA!$N:$N,$A132,DATA!$M:$M,'SALES BY SYSTEM'!$O$1)</f>
        <v>0</v>
      </c>
      <c r="N132" s="182">
        <v>1958252.46521632</v>
      </c>
      <c r="O132" s="180">
        <f t="shared" si="18"/>
        <v>0</v>
      </c>
      <c r="P132" s="218">
        <f>SUMIFS(DATA!$L:$L,DATA!$O:$O,$B132,DATA!$N:$N,$A132,DATA!$M:$M,'SALES BY SYSTEM'!$O$2)</f>
        <v>0</v>
      </c>
      <c r="Q132" s="182">
        <v>2987441.1439679773</v>
      </c>
      <c r="R132" s="180">
        <f t="shared" si="19"/>
        <v>0</v>
      </c>
      <c r="S132" s="218">
        <f>SUMIFS(DATA!$L:$L,DATA!$O:$O,$B132,DATA!$N:$N,$A132,DATA!$M:$M,'SALES BY SYSTEM'!$O$4)</f>
        <v>0</v>
      </c>
      <c r="T132" s="182">
        <v>0</v>
      </c>
      <c r="U132" s="180" t="str">
        <f t="shared" si="20"/>
        <v/>
      </c>
      <c r="V132" s="218">
        <f>SUMIFS(DATA!$L:$L,DATA!$O:$O,$B132,DATA!$N:$N,$A132,DATA!$M:$M,'SALES BY SYSTEM'!$O$3)</f>
        <v>0</v>
      </c>
      <c r="W132" s="168"/>
    </row>
    <row r="133" spans="1:23" ht="15.75" customHeight="1" x14ac:dyDescent="0.25">
      <c r="A133" s="178" t="s">
        <v>308</v>
      </c>
      <c r="B133" s="178" t="s">
        <v>138</v>
      </c>
      <c r="C133" s="178" t="str">
        <f>VLOOKUP(A133,CUSTOMER!$A:$C,3,0)</f>
        <v>COOP_VTAU</v>
      </c>
      <c r="D133" s="178" t="s">
        <v>674</v>
      </c>
      <c r="E133" s="178" t="str">
        <f>VLOOKUP(A133,CUSTOMER!$A$2:$H$1094,5,0)</f>
        <v>VAVANCY-VU MINH TUAN</v>
      </c>
      <c r="F133" s="178" t="str">
        <f>VLOOKUP(A133,CUSTOMER!$A$2:$I$1094,6,0)</f>
        <v>VACANCY</v>
      </c>
      <c r="G133" s="178" t="s">
        <v>676</v>
      </c>
      <c r="H133" s="179">
        <f t="shared" si="15"/>
        <v>4945693.6091842968</v>
      </c>
      <c r="I133" s="180">
        <f t="shared" si="16"/>
        <v>0</v>
      </c>
      <c r="J133" s="181">
        <f t="shared" si="17"/>
        <v>0</v>
      </c>
      <c r="K133" s="182">
        <v>0</v>
      </c>
      <c r="L133" s="180" t="str">
        <f t="shared" si="14"/>
        <v/>
      </c>
      <c r="M133" s="218">
        <f>SUMIFS(DATA!$L:$L,DATA!$O:$O,$B133,DATA!$N:$N,$A133,DATA!$M:$M,'SALES BY SYSTEM'!$O$1)</f>
        <v>0</v>
      </c>
      <c r="N133" s="182">
        <v>1958252.46521632</v>
      </c>
      <c r="O133" s="180">
        <f t="shared" si="18"/>
        <v>0</v>
      </c>
      <c r="P133" s="218">
        <f>SUMIFS(DATA!$L:$L,DATA!$O:$O,$B133,DATA!$N:$N,$A133,DATA!$M:$M,'SALES BY SYSTEM'!$O$2)</f>
        <v>0</v>
      </c>
      <c r="Q133" s="182">
        <v>2987441.1439679773</v>
      </c>
      <c r="R133" s="180">
        <f t="shared" si="19"/>
        <v>0</v>
      </c>
      <c r="S133" s="218">
        <f>SUMIFS(DATA!$L:$L,DATA!$O:$O,$B133,DATA!$N:$N,$A133,DATA!$M:$M,'SALES BY SYSTEM'!$O$4)</f>
        <v>0</v>
      </c>
      <c r="T133" s="182">
        <v>0</v>
      </c>
      <c r="U133" s="180" t="str">
        <f t="shared" si="20"/>
        <v/>
      </c>
      <c r="V133" s="218">
        <f>SUMIFS(DATA!$L:$L,DATA!$O:$O,$B133,DATA!$N:$N,$A133,DATA!$M:$M,'SALES BY SYSTEM'!$O$3)</f>
        <v>0</v>
      </c>
      <c r="W133" s="168"/>
    </row>
    <row r="134" spans="1:23" ht="15.75" customHeight="1" x14ac:dyDescent="0.25">
      <c r="A134" s="139" t="s">
        <v>1368</v>
      </c>
      <c r="B134" s="178" t="s">
        <v>138</v>
      </c>
      <c r="C134" s="178" t="str">
        <f>VLOOKUP(A134,CUSTOMER!$A:$C,3,0)</f>
        <v>COOP_VLOC</v>
      </c>
      <c r="D134" s="178" t="s">
        <v>674</v>
      </c>
      <c r="E134" s="178" t="str">
        <f>VLOOKUP(A134,CUSTOMER!$A$2:$H$1094,5,0)</f>
        <v>VAVANCY-VU MINH TUAN</v>
      </c>
      <c r="F134" s="178" t="str">
        <f>VLOOKUP(A134,CUSTOMER!$A$2:$I$1094,6,0)</f>
        <v>TRAN THI THANH TRUC</v>
      </c>
      <c r="G134" s="178" t="str">
        <f>VLOOKUP(A134,CUSTOMER!$A$2:$J$1094,7,0)</f>
        <v>"NO PG"</v>
      </c>
      <c r="H134" s="179">
        <f t="shared" si="15"/>
        <v>1958252.46521632</v>
      </c>
      <c r="I134" s="180">
        <f t="shared" si="16"/>
        <v>0</v>
      </c>
      <c r="J134" s="181">
        <f t="shared" si="17"/>
        <v>0</v>
      </c>
      <c r="K134" s="182">
        <v>0</v>
      </c>
      <c r="L134" s="180" t="str">
        <f t="shared" si="14"/>
        <v/>
      </c>
      <c r="M134" s="218">
        <f>SUMIFS(DATA!$L:$L,DATA!$O:$O,$B134,DATA!$N:$N,$A134,DATA!$M:$M,'SALES BY SYSTEM'!$O$1)</f>
        <v>0</v>
      </c>
      <c r="N134" s="182">
        <v>1958252.46521632</v>
      </c>
      <c r="O134" s="180">
        <f t="shared" si="18"/>
        <v>0</v>
      </c>
      <c r="P134" s="218">
        <f>SUMIFS(DATA!$L:$L,DATA!$O:$O,$B134,DATA!$N:$N,$A134,DATA!$M:$M,'SALES BY SYSTEM'!$O$2)</f>
        <v>0</v>
      </c>
      <c r="Q134" s="182">
        <v>0</v>
      </c>
      <c r="R134" s="180" t="str">
        <f t="shared" si="19"/>
        <v/>
      </c>
      <c r="S134" s="218">
        <f>SUMIFS(DATA!$L:$L,DATA!$O:$O,$B134,DATA!$N:$N,$A134,DATA!$M:$M,'SALES BY SYSTEM'!$O$4)</f>
        <v>0</v>
      </c>
      <c r="T134" s="182">
        <v>0</v>
      </c>
      <c r="U134" s="180" t="str">
        <f t="shared" si="20"/>
        <v/>
      </c>
      <c r="V134" s="218">
        <f>SUMIFS(DATA!$L:$L,DATA!$O:$O,$B134,DATA!$N:$N,$A134,DATA!$M:$M,'SALES BY SYSTEM'!$O$3)</f>
        <v>0</v>
      </c>
      <c r="W134" s="168"/>
    </row>
    <row r="135" spans="1:23" ht="15.75" customHeight="1" x14ac:dyDescent="0.25">
      <c r="A135" s="178" t="s">
        <v>117</v>
      </c>
      <c r="B135" s="178" t="s">
        <v>107</v>
      </c>
      <c r="C135" s="178" t="str">
        <f>VLOOKUP(A135,CUSTOMER!$A:$C,3,0)</f>
        <v>HD_NHT</v>
      </c>
      <c r="D135" s="178" t="s">
        <v>674</v>
      </c>
      <c r="E135" s="178" t="str">
        <f>VLOOKUP(A135,CUSTOMER!$A$2:$H$1094,5,0)</f>
        <v>TRAN THI THAO NGUYEN</v>
      </c>
      <c r="F135" s="178" t="str">
        <f>VLOOKUP(A135,CUSTOMER!$A$2:$I$1094,6,0)</f>
        <v>NGUYEN THI MUON</v>
      </c>
      <c r="G135" s="178" t="s">
        <v>676</v>
      </c>
      <c r="H135" s="179">
        <f t="shared" si="15"/>
        <v>7715551.1459060181</v>
      </c>
      <c r="I135" s="180">
        <f t="shared" si="16"/>
        <v>0</v>
      </c>
      <c r="J135" s="181">
        <f t="shared" si="17"/>
        <v>0</v>
      </c>
      <c r="K135" s="182">
        <v>0</v>
      </c>
      <c r="L135" s="180" t="str">
        <f t="shared" si="14"/>
        <v/>
      </c>
      <c r="M135" s="218">
        <f>SUMIFS(DATA!$L:$L,DATA!$O:$O,$B135,DATA!$N:$N,$A135,DATA!$M:$M,'SALES BY SYSTEM'!$O$1)</f>
        <v>0</v>
      </c>
      <c r="N135" s="182">
        <v>1740668.8579700631</v>
      </c>
      <c r="O135" s="180">
        <f t="shared" si="18"/>
        <v>0</v>
      </c>
      <c r="P135" s="218">
        <f>SUMIFS(DATA!$L:$L,DATA!$O:$O,$B135,DATA!$N:$N,$A135,DATA!$M:$M,'SALES BY SYSTEM'!$O$2)</f>
        <v>0</v>
      </c>
      <c r="Q135" s="182">
        <v>5974882.2879359554</v>
      </c>
      <c r="R135" s="180">
        <f t="shared" si="19"/>
        <v>0</v>
      </c>
      <c r="S135" s="218">
        <f>SUMIFS(DATA!$L:$L,DATA!$O:$O,$B135,DATA!$N:$N,$A135,DATA!$M:$M,'SALES BY SYSTEM'!$O$4)</f>
        <v>0</v>
      </c>
      <c r="T135" s="182">
        <v>0</v>
      </c>
      <c r="U135" s="180" t="str">
        <f t="shared" si="20"/>
        <v/>
      </c>
      <c r="V135" s="218">
        <f>SUMIFS(DATA!$L:$L,DATA!$O:$O,$B135,DATA!$N:$N,$A135,DATA!$M:$M,'SALES BY SYSTEM'!$O$3)</f>
        <v>0</v>
      </c>
      <c r="W135" s="168"/>
    </row>
    <row r="136" spans="1:23" ht="15.75" customHeight="1" x14ac:dyDescent="0.25">
      <c r="A136" s="178" t="s">
        <v>1411</v>
      </c>
      <c r="B136" s="178" t="s">
        <v>107</v>
      </c>
      <c r="C136" s="178" t="str">
        <f>VLOOKUP(A136,CUSTOMER!$A:$C,3,0)</f>
        <v>HD_DVC</v>
      </c>
      <c r="D136" s="178" t="s">
        <v>674</v>
      </c>
      <c r="E136" s="178" t="str">
        <f>VLOOKUP(A136,CUSTOMER!$A$2:$H$1094,5,0)</f>
        <v>TRAN THI THAO NGUYEN</v>
      </c>
      <c r="F136" s="178" t="str">
        <f>VLOOKUP(A136,CUSTOMER!$A$2:$I$1094,6,0)</f>
        <v>NGUYEN THI MUON</v>
      </c>
      <c r="G136" s="178" t="s">
        <v>676</v>
      </c>
      <c r="H136" s="179">
        <f t="shared" si="15"/>
        <v>7715551.1459060181</v>
      </c>
      <c r="I136" s="180">
        <f t="shared" si="16"/>
        <v>0</v>
      </c>
      <c r="J136" s="181">
        <f t="shared" si="17"/>
        <v>0</v>
      </c>
      <c r="K136" s="182">
        <v>0</v>
      </c>
      <c r="L136" s="180" t="str">
        <f t="shared" si="14"/>
        <v/>
      </c>
      <c r="M136" s="218">
        <f>SUMIFS(DATA!$L:$L,DATA!$O:$O,$B136,DATA!$N:$N,$A136,DATA!$M:$M,'SALES BY SYSTEM'!$O$1)</f>
        <v>0</v>
      </c>
      <c r="N136" s="182">
        <v>1740668.8579700631</v>
      </c>
      <c r="O136" s="180">
        <f t="shared" si="18"/>
        <v>0</v>
      </c>
      <c r="P136" s="218">
        <f>SUMIFS(DATA!$L:$L,DATA!$O:$O,$B136,DATA!$N:$N,$A136,DATA!$M:$M,'SALES BY SYSTEM'!$O$2)</f>
        <v>0</v>
      </c>
      <c r="Q136" s="182">
        <v>5974882.2879359554</v>
      </c>
      <c r="R136" s="180">
        <f t="shared" si="19"/>
        <v>0</v>
      </c>
      <c r="S136" s="218">
        <f>SUMIFS(DATA!$L:$L,DATA!$O:$O,$B136,DATA!$N:$N,$A136,DATA!$M:$M,'SALES BY SYSTEM'!$O$4)</f>
        <v>0</v>
      </c>
      <c r="T136" s="182">
        <v>0</v>
      </c>
      <c r="U136" s="180" t="str">
        <f t="shared" si="20"/>
        <v/>
      </c>
      <c r="V136" s="218">
        <f>SUMIFS(DATA!$L:$L,DATA!$O:$O,$B136,DATA!$N:$N,$A136,DATA!$M:$M,'SALES BY SYSTEM'!$O$3)</f>
        <v>0</v>
      </c>
      <c r="W136" s="168"/>
    </row>
    <row r="137" spans="1:23" ht="15.75" customHeight="1" x14ac:dyDescent="0.25">
      <c r="A137" s="178" t="s">
        <v>111</v>
      </c>
      <c r="B137" s="178" t="s">
        <v>107</v>
      </c>
      <c r="C137" s="178" t="str">
        <f>VLOOKUP(A137,CUSTOMER!$A:$C,3,0)</f>
        <v>HD_XLHN</v>
      </c>
      <c r="D137" s="178" t="s">
        <v>674</v>
      </c>
      <c r="E137" s="178" t="str">
        <f>VLOOKUP(A137,CUSTOMER!$A$2:$H$1094,5,0)</f>
        <v>TRAN THI THAO NGUYEN</v>
      </c>
      <c r="F137" s="178" t="str">
        <f>VLOOKUP(A137,CUSTOMER!$A$2:$I$1094,6,0)</f>
        <v>NGUYEN THI MUON</v>
      </c>
      <c r="G137" s="178" t="s">
        <v>676</v>
      </c>
      <c r="H137" s="179">
        <f t="shared" si="15"/>
        <v>7715551.1459060181</v>
      </c>
      <c r="I137" s="180">
        <f t="shared" si="16"/>
        <v>0</v>
      </c>
      <c r="J137" s="181">
        <f t="shared" si="17"/>
        <v>0</v>
      </c>
      <c r="K137" s="182">
        <v>0</v>
      </c>
      <c r="L137" s="180" t="str">
        <f t="shared" si="14"/>
        <v/>
      </c>
      <c r="M137" s="218">
        <f>SUMIFS(DATA!$L:$L,DATA!$O:$O,$B137,DATA!$N:$N,$A137,DATA!$M:$M,'SALES BY SYSTEM'!$O$1)</f>
        <v>0</v>
      </c>
      <c r="N137" s="182">
        <v>1740668.8579700631</v>
      </c>
      <c r="O137" s="180">
        <f t="shared" si="18"/>
        <v>0</v>
      </c>
      <c r="P137" s="218">
        <f>SUMIFS(DATA!$L:$L,DATA!$O:$O,$B137,DATA!$N:$N,$A137,DATA!$M:$M,'SALES BY SYSTEM'!$O$2)</f>
        <v>0</v>
      </c>
      <c r="Q137" s="182">
        <v>5974882.2879359554</v>
      </c>
      <c r="R137" s="180">
        <f t="shared" si="19"/>
        <v>0</v>
      </c>
      <c r="S137" s="218">
        <f>SUMIFS(DATA!$L:$L,DATA!$O:$O,$B137,DATA!$N:$N,$A137,DATA!$M:$M,'SALES BY SYSTEM'!$O$4)</f>
        <v>0</v>
      </c>
      <c r="T137" s="182">
        <v>0</v>
      </c>
      <c r="U137" s="180" t="str">
        <f t="shared" si="20"/>
        <v/>
      </c>
      <c r="V137" s="218">
        <f>SUMIFS(DATA!$L:$L,DATA!$O:$O,$B137,DATA!$N:$N,$A137,DATA!$M:$M,'SALES BY SYSTEM'!$O$3)</f>
        <v>0</v>
      </c>
      <c r="W137" s="168"/>
    </row>
    <row r="138" spans="1:23" ht="15.75" customHeight="1" x14ac:dyDescent="0.25">
      <c r="A138" s="178" t="s">
        <v>1407</v>
      </c>
      <c r="B138" s="178" t="s">
        <v>107</v>
      </c>
      <c r="C138" s="178" t="str">
        <f>VLOOKUP(A138,CUSTOMER!$A:$C,3,0)</f>
        <v>HD_AUCO</v>
      </c>
      <c r="D138" s="178" t="s">
        <v>674</v>
      </c>
      <c r="E138" s="178" t="str">
        <f>VLOOKUP(A138,CUSTOMER!$A$2:$H$1094,5,0)</f>
        <v>TRAN THI THAO NGUYEN</v>
      </c>
      <c r="F138" s="178" t="str">
        <f>VLOOKUP(A138,CUSTOMER!$A$2:$I$1094,6,0)</f>
        <v>NGUYEN THI MUON</v>
      </c>
      <c r="G138" s="178" t="s">
        <v>676</v>
      </c>
      <c r="H138" s="179">
        <f t="shared" si="15"/>
        <v>6719737.4312500264</v>
      </c>
      <c r="I138" s="180">
        <f t="shared" si="16"/>
        <v>0</v>
      </c>
      <c r="J138" s="181">
        <f t="shared" si="17"/>
        <v>0</v>
      </c>
      <c r="K138" s="182">
        <v>0</v>
      </c>
      <c r="L138" s="180" t="str">
        <f t="shared" si="14"/>
        <v/>
      </c>
      <c r="M138" s="218">
        <f>SUMIFS(DATA!$L:$L,DATA!$O:$O,$B138,DATA!$N:$N,$A138,DATA!$M:$M,'SALES BY SYSTEM'!$O$1)</f>
        <v>0</v>
      </c>
      <c r="N138" s="182">
        <v>1740668.8579700631</v>
      </c>
      <c r="O138" s="180">
        <f t="shared" si="18"/>
        <v>0</v>
      </c>
      <c r="P138" s="218">
        <f>SUMIFS(DATA!$L:$L,DATA!$O:$O,$B138,DATA!$N:$N,$A138,DATA!$M:$M,'SALES BY SYSTEM'!$O$2)</f>
        <v>0</v>
      </c>
      <c r="Q138" s="182">
        <v>4979068.5732799629</v>
      </c>
      <c r="R138" s="180">
        <f t="shared" si="19"/>
        <v>0</v>
      </c>
      <c r="S138" s="218">
        <f>SUMIFS(DATA!$L:$L,DATA!$O:$O,$B138,DATA!$N:$N,$A138,DATA!$M:$M,'SALES BY SYSTEM'!$O$4)</f>
        <v>0</v>
      </c>
      <c r="T138" s="182">
        <v>0</v>
      </c>
      <c r="U138" s="180" t="str">
        <f t="shared" si="20"/>
        <v/>
      </c>
      <c r="V138" s="218">
        <f>SUMIFS(DATA!$L:$L,DATA!$O:$O,$B138,DATA!$N:$N,$A138,DATA!$M:$M,'SALES BY SYSTEM'!$O$3)</f>
        <v>0</v>
      </c>
      <c r="W138" s="168"/>
    </row>
    <row r="139" spans="1:23" ht="15.75" customHeight="1" x14ac:dyDescent="0.25">
      <c r="A139" s="178" t="s">
        <v>1405</v>
      </c>
      <c r="B139" s="178" t="s">
        <v>107</v>
      </c>
      <c r="C139" s="178" t="str">
        <f>VLOOKUP(A139,CUSTOMER!$A:$C,3,0)</f>
        <v>HD_CELADON</v>
      </c>
      <c r="D139" s="178" t="s">
        <v>674</v>
      </c>
      <c r="E139" s="178" t="str">
        <f>VLOOKUP(A139,CUSTOMER!$A$2:$H$1094,5,0)</f>
        <v>TRAN THI THAO NGUYEN</v>
      </c>
      <c r="F139" s="178" t="str">
        <f>VLOOKUP(A139,CUSTOMER!$A$2:$I$1094,6,0)</f>
        <v>NGUYEN THI MUON</v>
      </c>
      <c r="G139" s="178" t="s">
        <v>676</v>
      </c>
      <c r="H139" s="179">
        <f t="shared" si="15"/>
        <v>6719737.4312500264</v>
      </c>
      <c r="I139" s="180">
        <f t="shared" si="16"/>
        <v>0</v>
      </c>
      <c r="J139" s="181">
        <f t="shared" si="17"/>
        <v>0</v>
      </c>
      <c r="K139" s="182">
        <v>0</v>
      </c>
      <c r="L139" s="180" t="str">
        <f t="shared" si="14"/>
        <v/>
      </c>
      <c r="M139" s="218">
        <f>SUMIFS(DATA!$L:$L,DATA!$O:$O,$B139,DATA!$N:$N,$A139,DATA!$M:$M,'SALES BY SYSTEM'!$O$1)</f>
        <v>0</v>
      </c>
      <c r="N139" s="182">
        <v>1740668.8579700631</v>
      </c>
      <c r="O139" s="180">
        <f t="shared" si="18"/>
        <v>0</v>
      </c>
      <c r="P139" s="218">
        <f>SUMIFS(DATA!$L:$L,DATA!$O:$O,$B139,DATA!$N:$N,$A139,DATA!$M:$M,'SALES BY SYSTEM'!$O$2)</f>
        <v>0</v>
      </c>
      <c r="Q139" s="182">
        <v>4979068.5732799629</v>
      </c>
      <c r="R139" s="180">
        <f t="shared" si="19"/>
        <v>0</v>
      </c>
      <c r="S139" s="218">
        <f>SUMIFS(DATA!$L:$L,DATA!$O:$O,$B139,DATA!$N:$N,$A139,DATA!$M:$M,'SALES BY SYSTEM'!$O$4)</f>
        <v>0</v>
      </c>
      <c r="T139" s="182">
        <v>0</v>
      </c>
      <c r="U139" s="180" t="str">
        <f t="shared" si="20"/>
        <v/>
      </c>
      <c r="V139" s="218">
        <f>SUMIFS(DATA!$L:$L,DATA!$O:$O,$B139,DATA!$N:$N,$A139,DATA!$M:$M,'SALES BY SYSTEM'!$O$3)</f>
        <v>0</v>
      </c>
      <c r="W139" s="168"/>
    </row>
    <row r="140" spans="1:23" ht="15.75" customHeight="1" x14ac:dyDescent="0.25">
      <c r="A140" s="178" t="s">
        <v>113</v>
      </c>
      <c r="B140" s="178" t="s">
        <v>107</v>
      </c>
      <c r="C140" s="178" t="str">
        <f>VLOOKUP(A140,CUSTOMER!$A:$C,3,0)</f>
        <v>HD_EMPIRE</v>
      </c>
      <c r="D140" s="178" t="s">
        <v>674</v>
      </c>
      <c r="E140" s="178" t="str">
        <f>VLOOKUP(A140,CUSTOMER!$A$2:$H$1094,5,0)</f>
        <v>TRAN THI THAO NGUYEN</v>
      </c>
      <c r="F140" s="178" t="str">
        <f>VLOOKUP(A140,CUSTOMER!$A$2:$I$1094,6,0)</f>
        <v>NGUYEN THI MUON</v>
      </c>
      <c r="G140" s="178" t="s">
        <v>676</v>
      </c>
      <c r="H140" s="179">
        <f t="shared" si="15"/>
        <v>6719737.4312500264</v>
      </c>
      <c r="I140" s="180">
        <f t="shared" si="16"/>
        <v>0</v>
      </c>
      <c r="J140" s="181">
        <f t="shared" si="17"/>
        <v>0</v>
      </c>
      <c r="K140" s="182">
        <v>0</v>
      </c>
      <c r="L140" s="180" t="str">
        <f t="shared" si="14"/>
        <v/>
      </c>
      <c r="M140" s="218">
        <f>SUMIFS(DATA!$L:$L,DATA!$O:$O,$B140,DATA!$N:$N,$A140,DATA!$M:$M,'SALES BY SYSTEM'!$O$1)</f>
        <v>0</v>
      </c>
      <c r="N140" s="182">
        <v>1740668.8579700631</v>
      </c>
      <c r="O140" s="180">
        <f t="shared" si="18"/>
        <v>0</v>
      </c>
      <c r="P140" s="218">
        <f>SUMIFS(DATA!$L:$L,DATA!$O:$O,$B140,DATA!$N:$N,$A140,DATA!$M:$M,'SALES BY SYSTEM'!$O$2)</f>
        <v>0</v>
      </c>
      <c r="Q140" s="182">
        <v>4979068.5732799629</v>
      </c>
      <c r="R140" s="180">
        <f t="shared" si="19"/>
        <v>0</v>
      </c>
      <c r="S140" s="218">
        <f>SUMIFS(DATA!$L:$L,DATA!$O:$O,$B140,DATA!$N:$N,$A140,DATA!$M:$M,'SALES BY SYSTEM'!$O$4)</f>
        <v>0</v>
      </c>
      <c r="T140" s="182">
        <v>0</v>
      </c>
      <c r="U140" s="180" t="str">
        <f t="shared" si="20"/>
        <v/>
      </c>
      <c r="V140" s="218">
        <f>SUMIFS(DATA!$L:$L,DATA!$O:$O,$B140,DATA!$N:$N,$A140,DATA!$M:$M,'SALES BY SYSTEM'!$O$3)</f>
        <v>0</v>
      </c>
      <c r="W140" s="168"/>
    </row>
    <row r="141" spans="1:23" ht="15.75" customHeight="1" x14ac:dyDescent="0.25">
      <c r="A141" s="178" t="s">
        <v>1409</v>
      </c>
      <c r="B141" s="178" t="s">
        <v>107</v>
      </c>
      <c r="C141" s="178" t="str">
        <f>VLOOKUP(A141,CUSTOMER!$A:$C,3,0)</f>
        <v>HD_LAVITA</v>
      </c>
      <c r="D141" s="178" t="s">
        <v>674</v>
      </c>
      <c r="E141" s="178" t="str">
        <f>VLOOKUP(A141,CUSTOMER!$A$2:$H$1094,5,0)</f>
        <v>TRAN THI THAO NGUYEN</v>
      </c>
      <c r="F141" s="178" t="str">
        <f>VLOOKUP(A141,CUSTOMER!$A$2:$I$1094,6,0)</f>
        <v>NGUYEN THI MUON</v>
      </c>
      <c r="G141" s="178" t="s">
        <v>676</v>
      </c>
      <c r="H141" s="179">
        <f t="shared" si="15"/>
        <v>6719737.4312500264</v>
      </c>
      <c r="I141" s="180">
        <f t="shared" si="16"/>
        <v>0</v>
      </c>
      <c r="J141" s="181">
        <f t="shared" si="17"/>
        <v>0</v>
      </c>
      <c r="K141" s="182">
        <v>0</v>
      </c>
      <c r="L141" s="180" t="str">
        <f t="shared" ref="L141:L204" si="21">IFERROR(M141/K141,"")</f>
        <v/>
      </c>
      <c r="M141" s="218">
        <f>SUMIFS(DATA!$L:$L,DATA!$O:$O,$B141,DATA!$N:$N,$A141,DATA!$M:$M,'SALES BY SYSTEM'!$O$1)</f>
        <v>0</v>
      </c>
      <c r="N141" s="182">
        <v>1740668.8579700631</v>
      </c>
      <c r="O141" s="180">
        <f t="shared" si="18"/>
        <v>0</v>
      </c>
      <c r="P141" s="218">
        <f>SUMIFS(DATA!$L:$L,DATA!$O:$O,$B141,DATA!$N:$N,$A141,DATA!$M:$M,'SALES BY SYSTEM'!$O$2)</f>
        <v>0</v>
      </c>
      <c r="Q141" s="182">
        <v>4979068.5732799629</v>
      </c>
      <c r="R141" s="180">
        <f t="shared" si="19"/>
        <v>0</v>
      </c>
      <c r="S141" s="218">
        <f>SUMIFS(DATA!$L:$L,DATA!$O:$O,$B141,DATA!$N:$N,$A141,DATA!$M:$M,'SALES BY SYSTEM'!$O$4)</f>
        <v>0</v>
      </c>
      <c r="T141" s="182">
        <v>0</v>
      </c>
      <c r="U141" s="180" t="str">
        <f t="shared" si="20"/>
        <v/>
      </c>
      <c r="V141" s="218">
        <f>SUMIFS(DATA!$L:$L,DATA!$O:$O,$B141,DATA!$N:$N,$A141,DATA!$M:$M,'SALES BY SYSTEM'!$O$3)</f>
        <v>0</v>
      </c>
      <c r="W141" s="168"/>
    </row>
    <row r="142" spans="1:23" ht="15.75" customHeight="1" x14ac:dyDescent="0.25">
      <c r="A142" s="178" t="s">
        <v>119</v>
      </c>
      <c r="B142" s="178" t="s">
        <v>107</v>
      </c>
      <c r="C142" s="178" t="str">
        <f>VLOOKUP(A142,CUSTOMER!$A:$C,3,0)</f>
        <v>HD_NHC</v>
      </c>
      <c r="D142" s="178" t="s">
        <v>674</v>
      </c>
      <c r="E142" s="178" t="str">
        <f>VLOOKUP(A142,CUSTOMER!$A$2:$H$1094,5,0)</f>
        <v>TRAN THI THAO NGUYEN</v>
      </c>
      <c r="F142" s="178" t="str">
        <f>VLOOKUP(A142,CUSTOMER!$A$2:$I$1094,6,0)</f>
        <v>NGUYEN THI MUON</v>
      </c>
      <c r="G142" s="178" t="s">
        <v>676</v>
      </c>
      <c r="H142" s="179">
        <f t="shared" si="15"/>
        <v>6719737.4312500264</v>
      </c>
      <c r="I142" s="180">
        <f t="shared" si="16"/>
        <v>0</v>
      </c>
      <c r="J142" s="181">
        <f t="shared" si="17"/>
        <v>0</v>
      </c>
      <c r="K142" s="182">
        <v>0</v>
      </c>
      <c r="L142" s="180" t="str">
        <f t="shared" si="21"/>
        <v/>
      </c>
      <c r="M142" s="218">
        <f>SUMIFS(DATA!$L:$L,DATA!$O:$O,$B142,DATA!$N:$N,$A142,DATA!$M:$M,'SALES BY SYSTEM'!$O$1)</f>
        <v>0</v>
      </c>
      <c r="N142" s="182">
        <v>1740668.8579700631</v>
      </c>
      <c r="O142" s="180">
        <f t="shared" si="18"/>
        <v>0</v>
      </c>
      <c r="P142" s="218">
        <f>SUMIFS(DATA!$L:$L,DATA!$O:$O,$B142,DATA!$N:$N,$A142,DATA!$M:$M,'SALES BY SYSTEM'!$O$2)</f>
        <v>0</v>
      </c>
      <c r="Q142" s="182">
        <v>4979068.5732799629</v>
      </c>
      <c r="R142" s="180">
        <f t="shared" si="19"/>
        <v>0</v>
      </c>
      <c r="S142" s="218">
        <f>SUMIFS(DATA!$L:$L,DATA!$O:$O,$B142,DATA!$N:$N,$A142,DATA!$M:$M,'SALES BY SYSTEM'!$O$4)</f>
        <v>0</v>
      </c>
      <c r="T142" s="182">
        <v>0</v>
      </c>
      <c r="U142" s="180" t="str">
        <f t="shared" si="20"/>
        <v/>
      </c>
      <c r="V142" s="218">
        <f>SUMIFS(DATA!$L:$L,DATA!$O:$O,$B142,DATA!$N:$N,$A142,DATA!$M:$M,'SALES BY SYSTEM'!$O$3)</f>
        <v>0</v>
      </c>
      <c r="W142" s="168"/>
    </row>
    <row r="143" spans="1:23" ht="15.75" customHeight="1" x14ac:dyDescent="0.25">
      <c r="A143" s="178" t="s">
        <v>1413</v>
      </c>
      <c r="B143" s="178" t="s">
        <v>107</v>
      </c>
      <c r="C143" s="178" t="str">
        <f>VLOOKUP(A143,CUSTOMER!$A:$C,3,0)</f>
        <v>HD_PICITY</v>
      </c>
      <c r="D143" s="178" t="s">
        <v>674</v>
      </c>
      <c r="E143" s="178" t="str">
        <f>VLOOKUP(A143,CUSTOMER!$A$2:$H$1094,5,0)</f>
        <v>TRAN THI THAO NGUYEN</v>
      </c>
      <c r="F143" s="178" t="str">
        <f>VLOOKUP(A143,CUSTOMER!$A$2:$I$1094,6,0)</f>
        <v>NGUYEN THI MUON</v>
      </c>
      <c r="G143" s="178" t="s">
        <v>676</v>
      </c>
      <c r="H143" s="179">
        <f t="shared" si="15"/>
        <v>6719737.4312500264</v>
      </c>
      <c r="I143" s="180">
        <f t="shared" si="16"/>
        <v>0</v>
      </c>
      <c r="J143" s="181">
        <f t="shared" si="17"/>
        <v>0</v>
      </c>
      <c r="K143" s="182">
        <v>0</v>
      </c>
      <c r="L143" s="180" t="str">
        <f t="shared" si="21"/>
        <v/>
      </c>
      <c r="M143" s="218">
        <f>SUMIFS(DATA!$L:$L,DATA!$O:$O,$B143,DATA!$N:$N,$A143,DATA!$M:$M,'SALES BY SYSTEM'!$O$1)</f>
        <v>0</v>
      </c>
      <c r="N143" s="182">
        <v>1740668.8579700631</v>
      </c>
      <c r="O143" s="180">
        <f t="shared" si="18"/>
        <v>0</v>
      </c>
      <c r="P143" s="218">
        <f>SUMIFS(DATA!$L:$L,DATA!$O:$O,$B143,DATA!$N:$N,$A143,DATA!$M:$M,'SALES BY SYSTEM'!$O$2)</f>
        <v>0</v>
      </c>
      <c r="Q143" s="182">
        <v>4979068.5732799629</v>
      </c>
      <c r="R143" s="180">
        <f t="shared" si="19"/>
        <v>0</v>
      </c>
      <c r="S143" s="218">
        <f>SUMIFS(DATA!$L:$L,DATA!$O:$O,$B143,DATA!$N:$N,$A143,DATA!$M:$M,'SALES BY SYSTEM'!$O$4)</f>
        <v>0</v>
      </c>
      <c r="T143" s="182">
        <v>0</v>
      </c>
      <c r="U143" s="180" t="str">
        <f t="shared" si="20"/>
        <v/>
      </c>
      <c r="V143" s="218">
        <f>SUMIFS(DATA!$L:$L,DATA!$O:$O,$B143,DATA!$N:$N,$A143,DATA!$M:$M,'SALES BY SYSTEM'!$O$3)</f>
        <v>0</v>
      </c>
      <c r="W143" s="168"/>
    </row>
    <row r="144" spans="1:23" ht="15.75" customHeight="1" x14ac:dyDescent="0.25">
      <c r="A144" s="178" t="s">
        <v>106</v>
      </c>
      <c r="B144" s="178" t="s">
        <v>107</v>
      </c>
      <c r="C144" s="178" t="str">
        <f>VLOOKUP(A144,CUSTOMER!$A:$C,3,0)</f>
        <v>HD_NXI</v>
      </c>
      <c r="D144" s="178" t="s">
        <v>674</v>
      </c>
      <c r="E144" s="178" t="str">
        <f>VLOOKUP(A144,CUSTOMER!$A$2:$H$1094,5,0)</f>
        <v>TRAN THI THAO NGUYEN</v>
      </c>
      <c r="F144" s="178" t="str">
        <f>VLOOKUP(A144,CUSTOMER!$A$2:$I$1094,6,0)</f>
        <v>NGUYEN THI MUON</v>
      </c>
      <c r="G144" s="178" t="s">
        <v>676</v>
      </c>
      <c r="H144" s="179">
        <f t="shared" si="15"/>
        <v>6719737.4312500264</v>
      </c>
      <c r="I144" s="180">
        <f t="shared" si="16"/>
        <v>0</v>
      </c>
      <c r="J144" s="181">
        <f t="shared" si="17"/>
        <v>0</v>
      </c>
      <c r="K144" s="182">
        <v>0</v>
      </c>
      <c r="L144" s="180" t="str">
        <f t="shared" si="21"/>
        <v/>
      </c>
      <c r="M144" s="218">
        <f>SUMIFS(DATA!$L:$L,DATA!$O:$O,$B144,DATA!$N:$N,$A144,DATA!$M:$M,'SALES BY SYSTEM'!$O$1)</f>
        <v>0</v>
      </c>
      <c r="N144" s="182">
        <v>1740668.8579700631</v>
      </c>
      <c r="O144" s="180">
        <f t="shared" si="18"/>
        <v>0</v>
      </c>
      <c r="P144" s="218">
        <f>SUMIFS(DATA!$L:$L,DATA!$O:$O,$B144,DATA!$N:$N,$A144,DATA!$M:$M,'SALES BY SYSTEM'!$O$2)</f>
        <v>0</v>
      </c>
      <c r="Q144" s="182">
        <v>4979068.5732799629</v>
      </c>
      <c r="R144" s="180">
        <f t="shared" si="19"/>
        <v>0</v>
      </c>
      <c r="S144" s="218">
        <f>SUMIFS(DATA!$L:$L,DATA!$O:$O,$B144,DATA!$N:$N,$A144,DATA!$M:$M,'SALES BY SYSTEM'!$O$4)</f>
        <v>0</v>
      </c>
      <c r="T144" s="182">
        <v>0</v>
      </c>
      <c r="U144" s="180" t="str">
        <f t="shared" si="20"/>
        <v/>
      </c>
      <c r="V144" s="218">
        <f>SUMIFS(DATA!$L:$L,DATA!$O:$O,$B144,DATA!$N:$N,$A144,DATA!$M:$M,'SALES BY SYSTEM'!$O$3)</f>
        <v>0</v>
      </c>
      <c r="W144" s="168"/>
    </row>
    <row r="145" spans="1:23" ht="15.75" customHeight="1" x14ac:dyDescent="0.25">
      <c r="A145" s="178" t="s">
        <v>252</v>
      </c>
      <c r="B145" s="178" t="s">
        <v>138</v>
      </c>
      <c r="C145" s="178" t="str">
        <f>VLOOKUP(A145,CUSTOMER!$A:$C,3,0)</f>
        <v>COOP_BDUONG</v>
      </c>
      <c r="D145" s="178" t="s">
        <v>674</v>
      </c>
      <c r="E145" s="178" t="str">
        <f>VLOOKUP(A145,CUSTOMER!$A$2:$H$1094,5,0)</f>
        <v>VAVANCY-VU MINH TUAN</v>
      </c>
      <c r="F145" s="178" t="str">
        <f>VLOOKUP(A145,CUSTOMER!$A$2:$I$1094,6,0)</f>
        <v>VACANCY</v>
      </c>
      <c r="G145" s="178" t="s">
        <v>676</v>
      </c>
      <c r="H145" s="179">
        <f t="shared" si="15"/>
        <v>5723923.7165940329</v>
      </c>
      <c r="I145" s="180">
        <f t="shared" si="16"/>
        <v>0</v>
      </c>
      <c r="J145" s="181">
        <f t="shared" si="17"/>
        <v>0</v>
      </c>
      <c r="K145" s="182">
        <v>0</v>
      </c>
      <c r="L145" s="180" t="str">
        <f t="shared" si="21"/>
        <v/>
      </c>
      <c r="M145" s="218">
        <f>SUMIFS(DATA!$L:$L,DATA!$O:$O,$B145,DATA!$N:$N,$A145,DATA!$M:$M,'SALES BY SYSTEM'!$O$1)</f>
        <v>0</v>
      </c>
      <c r="N145" s="182">
        <v>1740668.8579700631</v>
      </c>
      <c r="O145" s="180">
        <f t="shared" si="18"/>
        <v>0</v>
      </c>
      <c r="P145" s="218">
        <f>SUMIFS(DATA!$L:$L,DATA!$O:$O,$B145,DATA!$N:$N,$A145,DATA!$M:$M,'SALES BY SYSTEM'!$O$2)</f>
        <v>0</v>
      </c>
      <c r="Q145" s="182">
        <v>3983254.8586239694</v>
      </c>
      <c r="R145" s="180">
        <f t="shared" si="19"/>
        <v>0</v>
      </c>
      <c r="S145" s="218">
        <f>SUMIFS(DATA!$L:$L,DATA!$O:$O,$B145,DATA!$N:$N,$A145,DATA!$M:$M,'SALES BY SYSTEM'!$O$4)</f>
        <v>0</v>
      </c>
      <c r="T145" s="182">
        <v>0</v>
      </c>
      <c r="U145" s="180" t="str">
        <f t="shared" si="20"/>
        <v/>
      </c>
      <c r="V145" s="218">
        <f>SUMIFS(DATA!$L:$L,DATA!$O:$O,$B145,DATA!$N:$N,$A145,DATA!$M:$M,'SALES BY SYSTEM'!$O$3)</f>
        <v>0</v>
      </c>
      <c r="W145" s="168"/>
    </row>
    <row r="146" spans="1:23" ht="15.75" customHeight="1" x14ac:dyDescent="0.25">
      <c r="A146" s="178" t="s">
        <v>1254</v>
      </c>
      <c r="B146" s="178" t="s">
        <v>138</v>
      </c>
      <c r="C146" s="178" t="str">
        <f>VLOOKUP(A146,CUSTOMER!$A:$C,3,0)</f>
        <v>COOP_BDUONG2</v>
      </c>
      <c r="D146" s="178" t="s">
        <v>674</v>
      </c>
      <c r="E146" s="178" t="str">
        <f>VLOOKUP(A146,CUSTOMER!$A$2:$H$1094,5,0)</f>
        <v>VAVANCY-VU MINH TUAN</v>
      </c>
      <c r="F146" s="178" t="str">
        <f>VLOOKUP(A146,CUSTOMER!$A$2:$I$1094,6,0)</f>
        <v>VACANCY</v>
      </c>
      <c r="G146" s="178" t="s">
        <v>676</v>
      </c>
      <c r="H146" s="179">
        <f t="shared" si="15"/>
        <v>5723923.7165940329</v>
      </c>
      <c r="I146" s="180">
        <f t="shared" si="16"/>
        <v>0</v>
      </c>
      <c r="J146" s="181">
        <f t="shared" si="17"/>
        <v>0</v>
      </c>
      <c r="K146" s="182">
        <v>0</v>
      </c>
      <c r="L146" s="180" t="str">
        <f t="shared" si="21"/>
        <v/>
      </c>
      <c r="M146" s="218">
        <f>SUMIFS(DATA!$L:$L,DATA!$O:$O,$B146,DATA!$N:$N,$A146,DATA!$M:$M,'SALES BY SYSTEM'!$O$1)</f>
        <v>0</v>
      </c>
      <c r="N146" s="182">
        <v>1740668.8579700631</v>
      </c>
      <c r="O146" s="180">
        <f t="shared" si="18"/>
        <v>0</v>
      </c>
      <c r="P146" s="218">
        <f>SUMIFS(DATA!$L:$L,DATA!$O:$O,$B146,DATA!$N:$N,$A146,DATA!$M:$M,'SALES BY SYSTEM'!$O$2)</f>
        <v>0</v>
      </c>
      <c r="Q146" s="182">
        <v>3983254.8586239694</v>
      </c>
      <c r="R146" s="180">
        <f t="shared" si="19"/>
        <v>0</v>
      </c>
      <c r="S146" s="218">
        <f>SUMIFS(DATA!$L:$L,DATA!$O:$O,$B146,DATA!$N:$N,$A146,DATA!$M:$M,'SALES BY SYSTEM'!$O$4)</f>
        <v>0</v>
      </c>
      <c r="T146" s="182">
        <v>0</v>
      </c>
      <c r="U146" s="180" t="str">
        <f t="shared" si="20"/>
        <v/>
      </c>
      <c r="V146" s="218">
        <f>SUMIFS(DATA!$L:$L,DATA!$O:$O,$B146,DATA!$N:$N,$A146,DATA!$M:$M,'SALES BY SYSTEM'!$O$3)</f>
        <v>0</v>
      </c>
      <c r="W146" s="168"/>
    </row>
    <row r="147" spans="1:23" ht="15.75" customHeight="1" x14ac:dyDescent="0.25">
      <c r="A147" s="178" t="s">
        <v>1243</v>
      </c>
      <c r="B147" s="178" t="s">
        <v>16</v>
      </c>
      <c r="C147" s="178" t="str">
        <f>VLOOKUP(A147,CUSTOMER!$A:$C,3,0)</f>
        <v>COOP_NQ_BLOI</v>
      </c>
      <c r="D147" s="178" t="s">
        <v>674</v>
      </c>
      <c r="E147" s="178" t="str">
        <f>VLOOKUP(A147,CUSTOMER!$A$2:$H$1094,5,0)</f>
        <v>VAVANCY-VU MINH TUAN</v>
      </c>
      <c r="F147" s="178" t="str">
        <f>VLOOKUP(A147,CUSTOMER!$A$2:$I$1094,6,0)</f>
        <v>TRAN THI THANH TRUC</v>
      </c>
      <c r="G147" s="178" t="s">
        <v>676</v>
      </c>
      <c r="H147" s="179">
        <f t="shared" si="15"/>
        <v>5723923.7165940329</v>
      </c>
      <c r="I147" s="180">
        <f t="shared" si="16"/>
        <v>0</v>
      </c>
      <c r="J147" s="181">
        <f t="shared" si="17"/>
        <v>0</v>
      </c>
      <c r="K147" s="182">
        <v>0</v>
      </c>
      <c r="L147" s="180" t="str">
        <f t="shared" si="21"/>
        <v/>
      </c>
      <c r="M147" s="218">
        <f>SUMIFS(DATA!$L:$L,DATA!$O:$O,$B147,DATA!$N:$N,$A147,DATA!$M:$M,'SALES BY SYSTEM'!$O$1)</f>
        <v>0</v>
      </c>
      <c r="N147" s="182">
        <v>1740668.8579700631</v>
      </c>
      <c r="O147" s="180">
        <f t="shared" si="18"/>
        <v>0</v>
      </c>
      <c r="P147" s="218">
        <f>SUMIFS(DATA!$L:$L,DATA!$O:$O,$B147,DATA!$N:$N,$A147,DATA!$M:$M,'SALES BY SYSTEM'!$O$2)</f>
        <v>0</v>
      </c>
      <c r="Q147" s="182">
        <v>3983254.8586239694</v>
      </c>
      <c r="R147" s="180">
        <f t="shared" si="19"/>
        <v>0</v>
      </c>
      <c r="S147" s="218">
        <f>SUMIFS(DATA!$L:$L,DATA!$O:$O,$B147,DATA!$N:$N,$A147,DATA!$M:$M,'SALES BY SYSTEM'!$O$4)</f>
        <v>0</v>
      </c>
      <c r="T147" s="182">
        <v>0</v>
      </c>
      <c r="U147" s="180" t="str">
        <f t="shared" si="20"/>
        <v/>
      </c>
      <c r="V147" s="218">
        <f>SUMIFS(DATA!$L:$L,DATA!$O:$O,$B147,DATA!$N:$N,$A147,DATA!$M:$M,'SALES BY SYSTEM'!$O$3)</f>
        <v>0</v>
      </c>
      <c r="W147" s="168"/>
    </row>
    <row r="148" spans="1:23" ht="15.75" customHeight="1" x14ac:dyDescent="0.25">
      <c r="A148" s="13" t="s">
        <v>278</v>
      </c>
      <c r="B148" s="178" t="s">
        <v>138</v>
      </c>
      <c r="C148" s="295" t="str">
        <f>VLOOKUP(A148,CUSTOMER!$A:$C,3,0)</f>
        <v>COOP_CCHI</v>
      </c>
      <c r="D148" s="178" t="s">
        <v>674</v>
      </c>
      <c r="E148" s="178" t="str">
        <f>VLOOKUP(A148,CUSTOMER!$A$2:$H$1094,5,0)</f>
        <v>VAVANCY-VU MINH TUAN</v>
      </c>
      <c r="F148" s="178" t="str">
        <f>VLOOKUP(A148,CUSTOMER!$A$2:$I$1094,6,0)</f>
        <v>"NO SALE"</v>
      </c>
      <c r="G148" s="178" t="s">
        <v>676</v>
      </c>
      <c r="H148" s="179">
        <f t="shared" si="15"/>
        <v>5723923.7165940329</v>
      </c>
      <c r="I148" s="180">
        <f t="shared" si="16"/>
        <v>0</v>
      </c>
      <c r="J148" s="181">
        <f t="shared" si="17"/>
        <v>0</v>
      </c>
      <c r="K148" s="182">
        <v>0</v>
      </c>
      <c r="L148" s="180" t="str">
        <f t="shared" si="21"/>
        <v/>
      </c>
      <c r="M148" s="218">
        <f>SUMIFS(DATA!$L:$L,DATA!$O:$O,$B148,DATA!$N:$N,$A148,DATA!$M:$M,'SALES BY SYSTEM'!$O$1)</f>
        <v>0</v>
      </c>
      <c r="N148" s="182">
        <v>1740668.8579700631</v>
      </c>
      <c r="O148" s="180">
        <f t="shared" si="18"/>
        <v>0</v>
      </c>
      <c r="P148" s="218">
        <f>SUMIFS(DATA!$L:$L,DATA!$O:$O,$B148,DATA!$N:$N,$A148,DATA!$M:$M,'SALES BY SYSTEM'!$O$2)</f>
        <v>0</v>
      </c>
      <c r="Q148" s="182">
        <v>3983254.8586239694</v>
      </c>
      <c r="R148" s="180">
        <f t="shared" si="19"/>
        <v>0</v>
      </c>
      <c r="S148" s="218">
        <f>SUMIFS(DATA!$L:$L,DATA!$O:$O,$B148,DATA!$N:$N,$A148,DATA!$M:$M,'SALES BY SYSTEM'!$O$4)</f>
        <v>0</v>
      </c>
      <c r="T148" s="182">
        <v>0</v>
      </c>
      <c r="U148" s="180" t="str">
        <f t="shared" si="20"/>
        <v/>
      </c>
      <c r="V148" s="218">
        <f>SUMIFS(DATA!$L:$L,DATA!$O:$O,$B148,DATA!$N:$N,$A148,DATA!$M:$M,'SALES BY SYSTEM'!$O$3)</f>
        <v>0</v>
      </c>
      <c r="W148" s="168"/>
    </row>
    <row r="149" spans="1:23" ht="15.75" customHeight="1" x14ac:dyDescent="0.25">
      <c r="A149" s="178" t="s">
        <v>164</v>
      </c>
      <c r="B149" s="178" t="s">
        <v>138</v>
      </c>
      <c r="C149" s="178" t="str">
        <f>VLOOKUP(A149,CUSTOMER!$A:$C,3,0)</f>
        <v>COOP_DNONG</v>
      </c>
      <c r="D149" s="178" t="s">
        <v>674</v>
      </c>
      <c r="E149" s="178" t="str">
        <f>VLOOKUP(A149,CUSTOMER!$A$2:$H$1094,5,0)</f>
        <v>VAVANCY-VU MINH TUAN</v>
      </c>
      <c r="F149" s="178" t="str">
        <f>VLOOKUP(A149,CUSTOMER!$A$2:$I$1094,6,0)</f>
        <v>VACANCY</v>
      </c>
      <c r="G149" s="178" t="s">
        <v>676</v>
      </c>
      <c r="H149" s="179">
        <f t="shared" si="15"/>
        <v>5723923.7165940329</v>
      </c>
      <c r="I149" s="180">
        <f t="shared" si="16"/>
        <v>0</v>
      </c>
      <c r="J149" s="181">
        <f t="shared" si="17"/>
        <v>0</v>
      </c>
      <c r="K149" s="182">
        <v>0</v>
      </c>
      <c r="L149" s="180" t="str">
        <f t="shared" si="21"/>
        <v/>
      </c>
      <c r="M149" s="218">
        <f>SUMIFS(DATA!$L:$L,DATA!$O:$O,$B149,DATA!$N:$N,$A149,DATA!$M:$M,'SALES BY SYSTEM'!$O$1)</f>
        <v>0</v>
      </c>
      <c r="N149" s="182">
        <v>1740668.8579700631</v>
      </c>
      <c r="O149" s="180">
        <f t="shared" si="18"/>
        <v>0</v>
      </c>
      <c r="P149" s="218">
        <f>SUMIFS(DATA!$L:$L,DATA!$O:$O,$B149,DATA!$N:$N,$A149,DATA!$M:$M,'SALES BY SYSTEM'!$O$2)</f>
        <v>0</v>
      </c>
      <c r="Q149" s="182">
        <v>3983254.8586239694</v>
      </c>
      <c r="R149" s="180">
        <f t="shared" si="19"/>
        <v>0</v>
      </c>
      <c r="S149" s="218">
        <f>SUMIFS(DATA!$L:$L,DATA!$O:$O,$B149,DATA!$N:$N,$A149,DATA!$M:$M,'SALES BY SYSTEM'!$O$4)</f>
        <v>0</v>
      </c>
      <c r="T149" s="182">
        <v>0</v>
      </c>
      <c r="U149" s="180" t="str">
        <f t="shared" si="20"/>
        <v/>
      </c>
      <c r="V149" s="218">
        <f>SUMIFS(DATA!$L:$L,DATA!$O:$O,$B149,DATA!$N:$N,$A149,DATA!$M:$M,'SALES BY SYSTEM'!$O$3)</f>
        <v>0</v>
      </c>
      <c r="W149" s="168"/>
    </row>
    <row r="150" spans="1:23" ht="15.75" customHeight="1" x14ac:dyDescent="0.25">
      <c r="A150" s="178" t="s">
        <v>1283</v>
      </c>
      <c r="B150" s="178" t="s">
        <v>138</v>
      </c>
      <c r="C150" s="178" t="str">
        <f>VLOOKUP(A150,CUSTOMER!$A:$C,3,0)</f>
        <v>COOP_DHA</v>
      </c>
      <c r="D150" s="178" t="s">
        <v>674</v>
      </c>
      <c r="E150" s="178" t="str">
        <f>VLOOKUP(A150,CUSTOMER!$A$2:$H$1094,5,0)</f>
        <v>VAVANCY-VU MINH TUAN</v>
      </c>
      <c r="F150" s="178" t="str">
        <f>VLOOKUP(A150,CUSTOMER!$A$2:$I$1094,6,0)</f>
        <v>VACANCY</v>
      </c>
      <c r="G150" s="178" t="s">
        <v>676</v>
      </c>
      <c r="H150" s="179">
        <f t="shared" si="15"/>
        <v>5723923.7165940329</v>
      </c>
      <c r="I150" s="180">
        <f t="shared" si="16"/>
        <v>0</v>
      </c>
      <c r="J150" s="181">
        <f t="shared" si="17"/>
        <v>0</v>
      </c>
      <c r="K150" s="182">
        <v>0</v>
      </c>
      <c r="L150" s="180" t="str">
        <f t="shared" si="21"/>
        <v/>
      </c>
      <c r="M150" s="218">
        <f>SUMIFS(DATA!$L:$L,DATA!$O:$O,$B150,DATA!$N:$N,$A150,DATA!$M:$M,'SALES BY SYSTEM'!$O$1)</f>
        <v>0</v>
      </c>
      <c r="N150" s="182">
        <v>1740668.8579700631</v>
      </c>
      <c r="O150" s="180">
        <f t="shared" si="18"/>
        <v>0</v>
      </c>
      <c r="P150" s="218">
        <f>SUMIFS(DATA!$L:$L,DATA!$O:$O,$B150,DATA!$N:$N,$A150,DATA!$M:$M,'SALES BY SYSTEM'!$O$2)</f>
        <v>0</v>
      </c>
      <c r="Q150" s="182">
        <v>3983254.8586239694</v>
      </c>
      <c r="R150" s="180">
        <f t="shared" si="19"/>
        <v>0</v>
      </c>
      <c r="S150" s="218">
        <f>SUMIFS(DATA!$L:$L,DATA!$O:$O,$B150,DATA!$N:$N,$A150,DATA!$M:$M,'SALES BY SYSTEM'!$O$4)</f>
        <v>0</v>
      </c>
      <c r="T150" s="182">
        <v>0</v>
      </c>
      <c r="U150" s="180" t="str">
        <f t="shared" si="20"/>
        <v/>
      </c>
      <c r="V150" s="218">
        <f>SUMIFS(DATA!$L:$L,DATA!$O:$O,$B150,DATA!$N:$N,$A150,DATA!$M:$M,'SALES BY SYSTEM'!$O$3)</f>
        <v>0</v>
      </c>
      <c r="W150" s="168"/>
    </row>
    <row r="151" spans="1:23" ht="15.75" customHeight="1" x14ac:dyDescent="0.25">
      <c r="A151" s="178" t="s">
        <v>1286</v>
      </c>
      <c r="B151" s="178" t="s">
        <v>138</v>
      </c>
      <c r="C151" s="178" t="str">
        <f>VLOOKUP(A151,CUSTOMER!$A:$C,3,0)</f>
        <v>COOP_DPHU</v>
      </c>
      <c r="D151" s="178" t="s">
        <v>674</v>
      </c>
      <c r="E151" s="178" t="str">
        <f>VLOOKUP(A151,CUSTOMER!$A$2:$H$1094,5,0)</f>
        <v>VAVANCY-VU MINH TUAN</v>
      </c>
      <c r="F151" s="178" t="str">
        <f>VLOOKUP(A151,CUSTOMER!$A$2:$I$1094,6,0)</f>
        <v>VACANCY</v>
      </c>
      <c r="G151" s="178" t="s">
        <v>676</v>
      </c>
      <c r="H151" s="179">
        <f t="shared" si="15"/>
        <v>5723923.7165940329</v>
      </c>
      <c r="I151" s="180">
        <f t="shared" si="16"/>
        <v>0</v>
      </c>
      <c r="J151" s="181">
        <f t="shared" si="17"/>
        <v>0</v>
      </c>
      <c r="K151" s="182">
        <v>0</v>
      </c>
      <c r="L151" s="180" t="str">
        <f t="shared" si="21"/>
        <v/>
      </c>
      <c r="M151" s="218">
        <f>SUMIFS(DATA!$L:$L,DATA!$O:$O,$B151,DATA!$N:$N,$A151,DATA!$M:$M,'SALES BY SYSTEM'!$O$1)</f>
        <v>0</v>
      </c>
      <c r="N151" s="182">
        <v>1740668.8579700631</v>
      </c>
      <c r="O151" s="180">
        <f t="shared" si="18"/>
        <v>0</v>
      </c>
      <c r="P151" s="218">
        <f>SUMIFS(DATA!$L:$L,DATA!$O:$O,$B151,DATA!$N:$N,$A151,DATA!$M:$M,'SALES BY SYSTEM'!$O$2)</f>
        <v>0</v>
      </c>
      <c r="Q151" s="182">
        <v>3983254.8586239694</v>
      </c>
      <c r="R151" s="180">
        <f t="shared" si="19"/>
        <v>0</v>
      </c>
      <c r="S151" s="218">
        <f>SUMIFS(DATA!$L:$L,DATA!$O:$O,$B151,DATA!$N:$N,$A151,DATA!$M:$M,'SALES BY SYSTEM'!$O$4)</f>
        <v>0</v>
      </c>
      <c r="T151" s="182">
        <v>0</v>
      </c>
      <c r="U151" s="180" t="str">
        <f t="shared" si="20"/>
        <v/>
      </c>
      <c r="V151" s="218">
        <f>SUMIFS(DATA!$L:$L,DATA!$O:$O,$B151,DATA!$N:$N,$A151,DATA!$M:$M,'SALES BY SYSTEM'!$O$3)</f>
        <v>0</v>
      </c>
      <c r="W151" s="168"/>
    </row>
    <row r="152" spans="1:23" ht="15.75" customHeight="1" x14ac:dyDescent="0.25">
      <c r="A152" s="178" t="s">
        <v>140</v>
      </c>
      <c r="B152" s="178" t="s">
        <v>138</v>
      </c>
      <c r="C152" s="178" t="str">
        <f>VLOOKUP(A152,CUSTOMER!$A:$C,3,0)</f>
        <v>COOP_DXOAI</v>
      </c>
      <c r="D152" s="178" t="s">
        <v>674</v>
      </c>
      <c r="E152" s="178" t="str">
        <f>VLOOKUP(A152,CUSTOMER!$A$2:$H$1094,5,0)</f>
        <v>VAVANCY-VU MINH TUAN</v>
      </c>
      <c r="F152" s="178" t="str">
        <f>VLOOKUP(A152,CUSTOMER!$A$2:$I$1094,6,0)</f>
        <v>VACANCY</v>
      </c>
      <c r="G152" s="178" t="s">
        <v>676</v>
      </c>
      <c r="H152" s="179">
        <f t="shared" si="15"/>
        <v>5723923.7165940329</v>
      </c>
      <c r="I152" s="180">
        <f t="shared" si="16"/>
        <v>0</v>
      </c>
      <c r="J152" s="181">
        <f t="shared" si="17"/>
        <v>0</v>
      </c>
      <c r="K152" s="182">
        <v>0</v>
      </c>
      <c r="L152" s="180" t="str">
        <f t="shared" si="21"/>
        <v/>
      </c>
      <c r="M152" s="218">
        <f>SUMIFS(DATA!$L:$L,DATA!$O:$O,$B152,DATA!$N:$N,$A152,DATA!$M:$M,'SALES BY SYSTEM'!$O$1)</f>
        <v>0</v>
      </c>
      <c r="N152" s="182">
        <v>1740668.8579700631</v>
      </c>
      <c r="O152" s="180">
        <f t="shared" si="18"/>
        <v>0</v>
      </c>
      <c r="P152" s="218">
        <f>SUMIFS(DATA!$L:$L,DATA!$O:$O,$B152,DATA!$N:$N,$A152,DATA!$M:$M,'SALES BY SYSTEM'!$O$2)</f>
        <v>0</v>
      </c>
      <c r="Q152" s="182">
        <v>3983254.8586239694</v>
      </c>
      <c r="R152" s="180">
        <f t="shared" si="19"/>
        <v>0</v>
      </c>
      <c r="S152" s="218">
        <f>SUMIFS(DATA!$L:$L,DATA!$O:$O,$B152,DATA!$N:$N,$A152,DATA!$M:$M,'SALES BY SYSTEM'!$O$4)</f>
        <v>0</v>
      </c>
      <c r="T152" s="182">
        <v>0</v>
      </c>
      <c r="U152" s="180" t="str">
        <f t="shared" si="20"/>
        <v/>
      </c>
      <c r="V152" s="218">
        <f>SUMIFS(DATA!$L:$L,DATA!$O:$O,$B152,DATA!$N:$N,$A152,DATA!$M:$M,'SALES BY SYSTEM'!$O$3)</f>
        <v>0</v>
      </c>
      <c r="W152" s="168"/>
    </row>
    <row r="153" spans="1:23" ht="15.75" customHeight="1" x14ac:dyDescent="0.25">
      <c r="A153" s="178" t="s">
        <v>1289</v>
      </c>
      <c r="B153" s="178" t="s">
        <v>138</v>
      </c>
      <c r="C153" s="178" t="str">
        <f>VLOOKUP(A153,CUSTOMER!$A:$C,3,0)</f>
        <v>COOP_DPHO</v>
      </c>
      <c r="D153" s="178" t="s">
        <v>674</v>
      </c>
      <c r="E153" s="178" t="str">
        <f>VLOOKUP(A153,CUSTOMER!$A$2:$H$1094,5,0)</f>
        <v>VAVANCY-VU MINH TUAN</v>
      </c>
      <c r="F153" s="178" t="str">
        <f>VLOOKUP(A153,CUSTOMER!$A$2:$I$1094,6,0)</f>
        <v>VACANCY</v>
      </c>
      <c r="G153" s="178" t="s">
        <v>676</v>
      </c>
      <c r="H153" s="179">
        <f t="shared" si="15"/>
        <v>5723923.7165940329</v>
      </c>
      <c r="I153" s="180">
        <f t="shared" si="16"/>
        <v>0</v>
      </c>
      <c r="J153" s="181">
        <f t="shared" si="17"/>
        <v>0</v>
      </c>
      <c r="K153" s="182">
        <v>0</v>
      </c>
      <c r="L153" s="180" t="str">
        <f t="shared" si="21"/>
        <v/>
      </c>
      <c r="M153" s="218">
        <f>SUMIFS(DATA!$L:$L,DATA!$O:$O,$B153,DATA!$N:$N,$A153,DATA!$M:$M,'SALES BY SYSTEM'!$O$1)</f>
        <v>0</v>
      </c>
      <c r="N153" s="182">
        <v>1740668.8579700631</v>
      </c>
      <c r="O153" s="180">
        <f t="shared" si="18"/>
        <v>0</v>
      </c>
      <c r="P153" s="218">
        <f>SUMIFS(DATA!$L:$L,DATA!$O:$O,$B153,DATA!$N:$N,$A153,DATA!$M:$M,'SALES BY SYSTEM'!$O$2)</f>
        <v>0</v>
      </c>
      <c r="Q153" s="182">
        <v>3983254.8586239694</v>
      </c>
      <c r="R153" s="180">
        <f t="shared" si="19"/>
        <v>0</v>
      </c>
      <c r="S153" s="218">
        <f>SUMIFS(DATA!$L:$L,DATA!$O:$O,$B153,DATA!$N:$N,$A153,DATA!$M:$M,'SALES BY SYSTEM'!$O$4)</f>
        <v>0</v>
      </c>
      <c r="T153" s="182">
        <v>0</v>
      </c>
      <c r="U153" s="180" t="str">
        <f t="shared" si="20"/>
        <v/>
      </c>
      <c r="V153" s="218">
        <f>SUMIFS(DATA!$L:$L,DATA!$O:$O,$B153,DATA!$N:$N,$A153,DATA!$M:$M,'SALES BY SYSTEM'!$O$3)</f>
        <v>0</v>
      </c>
      <c r="W153" s="168"/>
    </row>
    <row r="154" spans="1:23" ht="15.75" customHeight="1" x14ac:dyDescent="0.25">
      <c r="A154" s="178" t="s">
        <v>1291</v>
      </c>
      <c r="B154" s="178" t="s">
        <v>138</v>
      </c>
      <c r="C154" s="178" t="str">
        <f>VLOOKUP(A154,CUSTOMER!$A:$C,3,0)</f>
        <v>COOP_DMCHAU</v>
      </c>
      <c r="D154" s="178" t="s">
        <v>674</v>
      </c>
      <c r="E154" s="178" t="str">
        <f>VLOOKUP(A154,CUSTOMER!$A$2:$H$1094,5,0)</f>
        <v>VAVANCY-VU MINH TUAN</v>
      </c>
      <c r="F154" s="178" t="str">
        <f>VLOOKUP(A154,CUSTOMER!$A$2:$I$1094,6,0)</f>
        <v>VACANCY</v>
      </c>
      <c r="G154" s="178" t="s">
        <v>676</v>
      </c>
      <c r="H154" s="179">
        <f t="shared" si="15"/>
        <v>5723923.7165940329</v>
      </c>
      <c r="I154" s="180">
        <f t="shared" si="16"/>
        <v>0</v>
      </c>
      <c r="J154" s="181">
        <f t="shared" si="17"/>
        <v>0</v>
      </c>
      <c r="K154" s="182">
        <v>0</v>
      </c>
      <c r="L154" s="180" t="str">
        <f t="shared" si="21"/>
        <v/>
      </c>
      <c r="M154" s="218">
        <f>SUMIFS(DATA!$L:$L,DATA!$O:$O,$B154,DATA!$N:$N,$A154,DATA!$M:$M,'SALES BY SYSTEM'!$O$1)</f>
        <v>0</v>
      </c>
      <c r="N154" s="182">
        <v>1740668.8579700631</v>
      </c>
      <c r="O154" s="180">
        <f t="shared" si="18"/>
        <v>0</v>
      </c>
      <c r="P154" s="218">
        <f>SUMIFS(DATA!$L:$L,DATA!$O:$O,$B154,DATA!$N:$N,$A154,DATA!$M:$M,'SALES BY SYSTEM'!$O$2)</f>
        <v>0</v>
      </c>
      <c r="Q154" s="182">
        <v>3983254.8586239694</v>
      </c>
      <c r="R154" s="180">
        <f t="shared" si="19"/>
        <v>0</v>
      </c>
      <c r="S154" s="218">
        <f>SUMIFS(DATA!$L:$L,DATA!$O:$O,$B154,DATA!$N:$N,$A154,DATA!$M:$M,'SALES BY SYSTEM'!$O$4)</f>
        <v>0</v>
      </c>
      <c r="T154" s="182">
        <v>0</v>
      </c>
      <c r="U154" s="180" t="str">
        <f t="shared" si="20"/>
        <v/>
      </c>
      <c r="V154" s="218">
        <f>SUMIFS(DATA!$L:$L,DATA!$O:$O,$B154,DATA!$N:$N,$A154,DATA!$M:$M,'SALES BY SYSTEM'!$O$3)</f>
        <v>0</v>
      </c>
      <c r="W154" s="168"/>
    </row>
    <row r="155" spans="1:23" ht="15.75" customHeight="1" x14ac:dyDescent="0.25">
      <c r="A155" s="13" t="s">
        <v>1293</v>
      </c>
      <c r="B155" s="178" t="s">
        <v>138</v>
      </c>
      <c r="C155" s="178" t="str">
        <f>VLOOKUP(A155,CUSTOMER!$A:$C,3,0)</f>
        <v>COOP_DHAI</v>
      </c>
      <c r="D155" s="178" t="s">
        <v>674</v>
      </c>
      <c r="E155" s="178" t="str">
        <f>VLOOKUP(A155,CUSTOMER!$A$2:$H$1094,5,0)</f>
        <v>VAVANCY-VU MINH TUAN</v>
      </c>
      <c r="F155" s="178" t="str">
        <f>VLOOKUP(A155,CUSTOMER!$A$2:$I$1094,6,0)</f>
        <v>VACANCY</v>
      </c>
      <c r="G155" s="178" t="s">
        <v>676</v>
      </c>
      <c r="H155" s="179">
        <f t="shared" si="15"/>
        <v>5723923.7165940329</v>
      </c>
      <c r="I155" s="180">
        <f t="shared" si="16"/>
        <v>0</v>
      </c>
      <c r="J155" s="181">
        <f t="shared" si="17"/>
        <v>0</v>
      </c>
      <c r="K155" s="182">
        <v>0</v>
      </c>
      <c r="L155" s="180" t="str">
        <f t="shared" si="21"/>
        <v/>
      </c>
      <c r="M155" s="218">
        <f>SUMIFS(DATA!$L:$L,DATA!$O:$O,$B155,DATA!$N:$N,$A155,DATA!$M:$M,'SALES BY SYSTEM'!$O$1)</f>
        <v>0</v>
      </c>
      <c r="N155" s="182">
        <v>1740668.8579700631</v>
      </c>
      <c r="O155" s="180">
        <f t="shared" si="18"/>
        <v>0</v>
      </c>
      <c r="P155" s="218">
        <f>SUMIFS(DATA!$L:$L,DATA!$O:$O,$B155,DATA!$N:$N,$A155,DATA!$M:$M,'SALES BY SYSTEM'!$O$2)</f>
        <v>0</v>
      </c>
      <c r="Q155" s="182">
        <v>3983254.8586239694</v>
      </c>
      <c r="R155" s="180">
        <f t="shared" si="19"/>
        <v>0</v>
      </c>
      <c r="S155" s="218">
        <f>SUMIFS(DATA!$L:$L,DATA!$O:$O,$B155,DATA!$N:$N,$A155,DATA!$M:$M,'SALES BY SYSTEM'!$O$4)</f>
        <v>0</v>
      </c>
      <c r="T155" s="182">
        <v>0</v>
      </c>
      <c r="U155" s="180" t="str">
        <f t="shared" si="20"/>
        <v/>
      </c>
      <c r="V155" s="218">
        <f>SUMIFS(DATA!$L:$L,DATA!$O:$O,$B155,DATA!$N:$N,$A155,DATA!$M:$M,'SALES BY SYSTEM'!$O$3)</f>
        <v>0</v>
      </c>
      <c r="W155" s="168"/>
    </row>
    <row r="156" spans="1:23" ht="15.75" customHeight="1" x14ac:dyDescent="0.25">
      <c r="A156" s="13" t="s">
        <v>216</v>
      </c>
      <c r="B156" s="178" t="s">
        <v>138</v>
      </c>
      <c r="C156" s="178" t="str">
        <f>VLOOKUP(A156,CUSTOMER!$A:$C,3,0)</f>
        <v>COOP_FL_HADO</v>
      </c>
      <c r="D156" s="178" t="s">
        <v>674</v>
      </c>
      <c r="E156" s="178" t="str">
        <f>VLOOKUP(A156,CUSTOMER!$A$2:$H$1094,5,0)</f>
        <v>VAVANCY-VU MINH TUAN</v>
      </c>
      <c r="F156" s="178" t="str">
        <f>VLOOKUP(A156,CUSTOMER!$A$2:$I$1094,6,0)</f>
        <v>TRAN THI THANH TRUC</v>
      </c>
      <c r="G156" s="178" t="s">
        <v>676</v>
      </c>
      <c r="H156" s="179">
        <f t="shared" si="15"/>
        <v>5723923.7165940329</v>
      </c>
      <c r="I156" s="180">
        <f t="shared" si="16"/>
        <v>0</v>
      </c>
      <c r="J156" s="181">
        <f t="shared" si="17"/>
        <v>0</v>
      </c>
      <c r="K156" s="182">
        <v>0</v>
      </c>
      <c r="L156" s="180" t="str">
        <f t="shared" si="21"/>
        <v/>
      </c>
      <c r="M156" s="218">
        <f>SUMIFS(DATA!$L:$L,DATA!$O:$O,$B156,DATA!$N:$N,$A156,DATA!$M:$M,'SALES BY SYSTEM'!$O$1)</f>
        <v>0</v>
      </c>
      <c r="N156" s="182">
        <v>1740668.8579700631</v>
      </c>
      <c r="O156" s="180">
        <f t="shared" si="18"/>
        <v>0</v>
      </c>
      <c r="P156" s="218">
        <f>SUMIFS(DATA!$L:$L,DATA!$O:$O,$B156,DATA!$N:$N,$A156,DATA!$M:$M,'SALES BY SYSTEM'!$O$2)</f>
        <v>0</v>
      </c>
      <c r="Q156" s="182">
        <v>3983254.8586239694</v>
      </c>
      <c r="R156" s="180">
        <f t="shared" si="19"/>
        <v>0</v>
      </c>
      <c r="S156" s="218">
        <f>SUMIFS(DATA!$L:$L,DATA!$O:$O,$B156,DATA!$N:$N,$A156,DATA!$M:$M,'SALES BY SYSTEM'!$O$4)</f>
        <v>0</v>
      </c>
      <c r="T156" s="182">
        <v>0</v>
      </c>
      <c r="U156" s="180" t="str">
        <f t="shared" si="20"/>
        <v/>
      </c>
      <c r="V156" s="218">
        <f>SUMIFS(DATA!$L:$L,DATA!$O:$O,$B156,DATA!$N:$N,$A156,DATA!$M:$M,'SALES BY SYSTEM'!$O$3)</f>
        <v>0</v>
      </c>
      <c r="W156" s="168"/>
    </row>
    <row r="157" spans="1:23" ht="15.75" customHeight="1" x14ac:dyDescent="0.25">
      <c r="A157" s="13" t="s">
        <v>1295</v>
      </c>
      <c r="B157" s="178" t="s">
        <v>138</v>
      </c>
      <c r="C157" s="178" t="str">
        <f>VLOOKUP(A157,CUSTOMER!$A:$C,3,0)</f>
        <v>COOP_FL_RIVIERA</v>
      </c>
      <c r="D157" s="178" t="s">
        <v>674</v>
      </c>
      <c r="E157" s="178" t="str">
        <f>VLOOKUP(A157,CUSTOMER!$A$2:$H$1094,5,0)</f>
        <v>VAVANCY-VU MINH TUAN</v>
      </c>
      <c r="F157" s="178" t="str">
        <f>VLOOKUP(A157,CUSTOMER!$A$2:$I$1094,6,0)</f>
        <v>TRAN THI THANH TRUC</v>
      </c>
      <c r="G157" s="178" t="s">
        <v>676</v>
      </c>
      <c r="H157" s="179">
        <f t="shared" si="15"/>
        <v>5723923.7165940329</v>
      </c>
      <c r="I157" s="180">
        <f t="shared" si="16"/>
        <v>0</v>
      </c>
      <c r="J157" s="181">
        <f t="shared" si="17"/>
        <v>0</v>
      </c>
      <c r="K157" s="182">
        <v>0</v>
      </c>
      <c r="L157" s="180" t="str">
        <f t="shared" si="21"/>
        <v/>
      </c>
      <c r="M157" s="218">
        <f>SUMIFS(DATA!$L:$L,DATA!$O:$O,$B157,DATA!$N:$N,$A157,DATA!$M:$M,'SALES BY SYSTEM'!$O$1)</f>
        <v>0</v>
      </c>
      <c r="N157" s="182">
        <v>1740668.8579700631</v>
      </c>
      <c r="O157" s="180">
        <f t="shared" si="18"/>
        <v>0</v>
      </c>
      <c r="P157" s="218">
        <f>SUMIFS(DATA!$L:$L,DATA!$O:$O,$B157,DATA!$N:$N,$A157,DATA!$M:$M,'SALES BY SYSTEM'!$O$2)</f>
        <v>0</v>
      </c>
      <c r="Q157" s="182">
        <v>3983254.8586239694</v>
      </c>
      <c r="R157" s="180">
        <f t="shared" si="19"/>
        <v>0</v>
      </c>
      <c r="S157" s="218">
        <f>SUMIFS(DATA!$L:$L,DATA!$O:$O,$B157,DATA!$N:$N,$A157,DATA!$M:$M,'SALES BY SYSTEM'!$O$4)</f>
        <v>0</v>
      </c>
      <c r="T157" s="182">
        <v>0</v>
      </c>
      <c r="U157" s="180" t="str">
        <f t="shared" si="20"/>
        <v/>
      </c>
      <c r="V157" s="218">
        <f>SUMIFS(DATA!$L:$L,DATA!$O:$O,$B157,DATA!$N:$N,$A157,DATA!$M:$M,'SALES BY SYSTEM'!$O$3)</f>
        <v>0</v>
      </c>
      <c r="W157" s="168"/>
    </row>
    <row r="158" spans="1:23" ht="15.75" customHeight="1" x14ac:dyDescent="0.25">
      <c r="A158" s="13" t="s">
        <v>1297</v>
      </c>
      <c r="B158" s="178" t="s">
        <v>138</v>
      </c>
      <c r="C158" s="178" t="str">
        <f>VLOOKUP(A158,CUSTOMER!$A:$C,3,0)</f>
        <v>COOP_FL_MIA</v>
      </c>
      <c r="D158" s="178" t="s">
        <v>674</v>
      </c>
      <c r="E158" s="178" t="str">
        <f>VLOOKUP(A158,CUSTOMER!$A$2:$H$1094,5,0)</f>
        <v>VAVANCY-VU MINH TUAN</v>
      </c>
      <c r="F158" s="178" t="str">
        <f>VLOOKUP(A158,CUSTOMER!$A$2:$I$1094,6,0)</f>
        <v>TRAN THI THANH TRUC</v>
      </c>
      <c r="G158" s="178" t="s">
        <v>676</v>
      </c>
      <c r="H158" s="179">
        <f t="shared" si="15"/>
        <v>5723923.7165940329</v>
      </c>
      <c r="I158" s="180">
        <f t="shared" si="16"/>
        <v>0</v>
      </c>
      <c r="J158" s="181">
        <f t="shared" si="17"/>
        <v>0</v>
      </c>
      <c r="K158" s="182">
        <v>0</v>
      </c>
      <c r="L158" s="180" t="str">
        <f t="shared" si="21"/>
        <v/>
      </c>
      <c r="M158" s="218">
        <f>SUMIFS(DATA!$L:$L,DATA!$O:$O,$B158,DATA!$N:$N,$A158,DATA!$M:$M,'SALES BY SYSTEM'!$O$1)</f>
        <v>0</v>
      </c>
      <c r="N158" s="182">
        <v>1740668.8579700631</v>
      </c>
      <c r="O158" s="180">
        <f t="shared" si="18"/>
        <v>0</v>
      </c>
      <c r="P158" s="218">
        <f>SUMIFS(DATA!$L:$L,DATA!$O:$O,$B158,DATA!$N:$N,$A158,DATA!$M:$M,'SALES BY SYSTEM'!$O$2)</f>
        <v>0</v>
      </c>
      <c r="Q158" s="182">
        <v>3983254.8586239694</v>
      </c>
      <c r="R158" s="180">
        <f t="shared" si="19"/>
        <v>0</v>
      </c>
      <c r="S158" s="218">
        <f>SUMIFS(DATA!$L:$L,DATA!$O:$O,$B158,DATA!$N:$N,$A158,DATA!$M:$M,'SALES BY SYSTEM'!$O$4)</f>
        <v>0</v>
      </c>
      <c r="T158" s="182">
        <v>0</v>
      </c>
      <c r="U158" s="180" t="str">
        <f t="shared" si="20"/>
        <v/>
      </c>
      <c r="V158" s="218">
        <f>SUMIFS(DATA!$L:$L,DATA!$O:$O,$B158,DATA!$N:$N,$A158,DATA!$M:$M,'SALES BY SYSTEM'!$O$3)</f>
        <v>0</v>
      </c>
      <c r="W158" s="168"/>
    </row>
    <row r="159" spans="1:23" ht="15.75" customHeight="1" x14ac:dyDescent="0.25">
      <c r="A159" s="13" t="s">
        <v>176</v>
      </c>
      <c r="B159" s="178" t="s">
        <v>138</v>
      </c>
      <c r="C159" s="178" t="str">
        <f>VLOOKUP(A159,CUSTOMER!$A:$C,3,0)</f>
        <v>COOP_GCONG</v>
      </c>
      <c r="D159" s="178" t="s">
        <v>674</v>
      </c>
      <c r="E159" s="178" t="str">
        <f>VLOOKUP(A159,CUSTOMER!$A$2:$H$1094,5,0)</f>
        <v>VAVANCY-VU MINH TUAN</v>
      </c>
      <c r="F159" s="178" t="str">
        <f>VLOOKUP(A159,CUSTOMER!$A$2:$I$1094,6,0)</f>
        <v>VACANCY</v>
      </c>
      <c r="G159" s="178" t="s">
        <v>676</v>
      </c>
      <c r="H159" s="179">
        <f t="shared" si="15"/>
        <v>5723923.7165940329</v>
      </c>
      <c r="I159" s="180">
        <f t="shared" si="16"/>
        <v>0</v>
      </c>
      <c r="J159" s="181">
        <f t="shared" si="17"/>
        <v>0</v>
      </c>
      <c r="K159" s="182">
        <v>0</v>
      </c>
      <c r="L159" s="180" t="str">
        <f t="shared" si="21"/>
        <v/>
      </c>
      <c r="M159" s="218">
        <f>SUMIFS(DATA!$L:$L,DATA!$O:$O,$B159,DATA!$N:$N,$A159,DATA!$M:$M,'SALES BY SYSTEM'!$O$1)</f>
        <v>0</v>
      </c>
      <c r="N159" s="182">
        <v>1740668.8579700631</v>
      </c>
      <c r="O159" s="180">
        <f t="shared" si="18"/>
        <v>0</v>
      </c>
      <c r="P159" s="218">
        <f>SUMIFS(DATA!$L:$L,DATA!$O:$O,$B159,DATA!$N:$N,$A159,DATA!$M:$M,'SALES BY SYSTEM'!$O$2)</f>
        <v>0</v>
      </c>
      <c r="Q159" s="182">
        <v>3983254.8586239694</v>
      </c>
      <c r="R159" s="180">
        <f t="shared" si="19"/>
        <v>0</v>
      </c>
      <c r="S159" s="218">
        <f>SUMIFS(DATA!$L:$L,DATA!$O:$O,$B159,DATA!$N:$N,$A159,DATA!$M:$M,'SALES BY SYSTEM'!$O$4)</f>
        <v>0</v>
      </c>
      <c r="T159" s="182">
        <v>0</v>
      </c>
      <c r="U159" s="180" t="str">
        <f t="shared" si="20"/>
        <v/>
      </c>
      <c r="V159" s="218">
        <f>SUMIFS(DATA!$L:$L,DATA!$O:$O,$B159,DATA!$N:$N,$A159,DATA!$M:$M,'SALES BY SYSTEM'!$O$3)</f>
        <v>0</v>
      </c>
      <c r="W159" s="168"/>
    </row>
    <row r="160" spans="1:23" ht="15.75" customHeight="1" x14ac:dyDescent="0.25">
      <c r="A160" s="13" t="s">
        <v>156</v>
      </c>
      <c r="B160" s="178" t="s">
        <v>138</v>
      </c>
      <c r="C160" s="178" t="str">
        <f>VLOOKUP(A160,CUSTOMER!$A:$C,3,0)</f>
        <v>COOP_GDAU</v>
      </c>
      <c r="D160" s="178" t="s">
        <v>674</v>
      </c>
      <c r="E160" s="178" t="str">
        <f>VLOOKUP(A160,CUSTOMER!$A$2:$H$1094,5,0)</f>
        <v>VAVANCY-VU MINH TUAN</v>
      </c>
      <c r="F160" s="178" t="str">
        <f>VLOOKUP(A160,CUSTOMER!$A$2:$I$1094,6,0)</f>
        <v>VACANCY</v>
      </c>
      <c r="G160" s="178" t="s">
        <v>676</v>
      </c>
      <c r="H160" s="179">
        <f t="shared" si="15"/>
        <v>5723923.7165940329</v>
      </c>
      <c r="I160" s="180">
        <f t="shared" si="16"/>
        <v>0</v>
      </c>
      <c r="J160" s="181">
        <f t="shared" si="17"/>
        <v>0</v>
      </c>
      <c r="K160" s="182">
        <v>0</v>
      </c>
      <c r="L160" s="180" t="str">
        <f t="shared" si="21"/>
        <v/>
      </c>
      <c r="M160" s="218">
        <f>SUMIFS(DATA!$L:$L,DATA!$O:$O,$B160,DATA!$N:$N,$A160,DATA!$M:$M,'SALES BY SYSTEM'!$O$1)</f>
        <v>0</v>
      </c>
      <c r="N160" s="182">
        <v>1740668.8579700631</v>
      </c>
      <c r="O160" s="180">
        <f t="shared" si="18"/>
        <v>0</v>
      </c>
      <c r="P160" s="218">
        <f>SUMIFS(DATA!$L:$L,DATA!$O:$O,$B160,DATA!$N:$N,$A160,DATA!$M:$M,'SALES BY SYSTEM'!$O$2)</f>
        <v>0</v>
      </c>
      <c r="Q160" s="182">
        <v>3983254.8586239694</v>
      </c>
      <c r="R160" s="180">
        <f t="shared" si="19"/>
        <v>0</v>
      </c>
      <c r="S160" s="218">
        <f>SUMIFS(DATA!$L:$L,DATA!$O:$O,$B160,DATA!$N:$N,$A160,DATA!$M:$M,'SALES BY SYSTEM'!$O$4)</f>
        <v>0</v>
      </c>
      <c r="T160" s="182">
        <v>0</v>
      </c>
      <c r="U160" s="180" t="str">
        <f t="shared" si="20"/>
        <v/>
      </c>
      <c r="V160" s="218">
        <f>SUMIFS(DATA!$L:$L,DATA!$O:$O,$B160,DATA!$N:$N,$A160,DATA!$M:$M,'SALES BY SYSTEM'!$O$3)</f>
        <v>0</v>
      </c>
      <c r="W160" s="168"/>
    </row>
    <row r="161" spans="1:23" ht="15.75" customHeight="1" x14ac:dyDescent="0.25">
      <c r="A161" s="13" t="s">
        <v>1245</v>
      </c>
      <c r="B161" s="178" t="s">
        <v>138</v>
      </c>
      <c r="C161" s="178" t="str">
        <f>VLOOKUP(A161,CUSTOMER!$A:$C,3,0)</f>
        <v>COOP_ANHON</v>
      </c>
      <c r="D161" s="178" t="s">
        <v>674</v>
      </c>
      <c r="E161" s="178" t="str">
        <f>VLOOKUP(A161,CUSTOMER!$A$2:$H$1094,5,0)</f>
        <v>VAVANCY-VU MINH TUAN</v>
      </c>
      <c r="F161" s="178" t="str">
        <f>VLOOKUP(A161,CUSTOMER!$A$2:$I$1094,6,0)</f>
        <v>VACANCY</v>
      </c>
      <c r="G161" s="178" t="s">
        <v>676</v>
      </c>
      <c r="H161" s="179">
        <f t="shared" si="15"/>
        <v>4728110.0019380404</v>
      </c>
      <c r="I161" s="180">
        <f t="shared" si="16"/>
        <v>0</v>
      </c>
      <c r="J161" s="181">
        <f t="shared" si="17"/>
        <v>0</v>
      </c>
      <c r="K161" s="182">
        <v>0</v>
      </c>
      <c r="L161" s="180" t="str">
        <f t="shared" si="21"/>
        <v/>
      </c>
      <c r="M161" s="218">
        <f>SUMIFS(DATA!$L:$L,DATA!$O:$O,$B161,DATA!$N:$N,$A161,DATA!$M:$M,'SALES BY SYSTEM'!$O$1)</f>
        <v>0</v>
      </c>
      <c r="N161" s="182">
        <v>1740668.8579700631</v>
      </c>
      <c r="O161" s="180">
        <f t="shared" si="18"/>
        <v>0</v>
      </c>
      <c r="P161" s="218">
        <f>SUMIFS(DATA!$L:$L,DATA!$O:$O,$B161,DATA!$N:$N,$A161,DATA!$M:$M,'SALES BY SYSTEM'!$O$2)</f>
        <v>0</v>
      </c>
      <c r="Q161" s="182">
        <v>2987441.1439679773</v>
      </c>
      <c r="R161" s="180">
        <f t="shared" si="19"/>
        <v>0</v>
      </c>
      <c r="S161" s="218">
        <f>SUMIFS(DATA!$L:$L,DATA!$O:$O,$B161,DATA!$N:$N,$A161,DATA!$M:$M,'SALES BY SYSTEM'!$O$4)</f>
        <v>0</v>
      </c>
      <c r="T161" s="182">
        <v>0</v>
      </c>
      <c r="U161" s="180" t="str">
        <f t="shared" si="20"/>
        <v/>
      </c>
      <c r="V161" s="218">
        <f>SUMIFS(DATA!$L:$L,DATA!$O:$O,$B161,DATA!$N:$N,$A161,DATA!$M:$M,'SALES BY SYSTEM'!$O$3)</f>
        <v>0</v>
      </c>
      <c r="W161" s="168"/>
    </row>
    <row r="162" spans="1:23" ht="15.75" customHeight="1" x14ac:dyDescent="0.25">
      <c r="A162" s="13" t="s">
        <v>288</v>
      </c>
      <c r="B162" s="178" t="s">
        <v>138</v>
      </c>
      <c r="C162" s="178" t="str">
        <f>VLOOKUP(A162,CUSTOMER!$A:$C,3,0)</f>
        <v>COOP_BRIA</v>
      </c>
      <c r="D162" s="178" t="s">
        <v>674</v>
      </c>
      <c r="E162" s="178" t="str">
        <f>VLOOKUP(A162,CUSTOMER!$A$2:$H$1094,5,0)</f>
        <v>VAVANCY-VU MINH TUAN</v>
      </c>
      <c r="F162" s="178" t="str">
        <f>VLOOKUP(A162,CUSTOMER!$A$2:$I$1094,6,0)</f>
        <v>"NO SALE"</v>
      </c>
      <c r="G162" s="178" t="s">
        <v>676</v>
      </c>
      <c r="H162" s="179">
        <f t="shared" si="15"/>
        <v>4728110.0019380404</v>
      </c>
      <c r="I162" s="180">
        <f t="shared" si="16"/>
        <v>0</v>
      </c>
      <c r="J162" s="181">
        <f t="shared" si="17"/>
        <v>0</v>
      </c>
      <c r="K162" s="182">
        <v>0</v>
      </c>
      <c r="L162" s="180" t="str">
        <f t="shared" si="21"/>
        <v/>
      </c>
      <c r="M162" s="218">
        <f>SUMIFS(DATA!$L:$L,DATA!$O:$O,$B162,DATA!$N:$N,$A162,DATA!$M:$M,'SALES BY SYSTEM'!$O$1)</f>
        <v>0</v>
      </c>
      <c r="N162" s="182">
        <v>1740668.8579700631</v>
      </c>
      <c r="O162" s="180">
        <f t="shared" si="18"/>
        <v>0</v>
      </c>
      <c r="P162" s="218">
        <f>SUMIFS(DATA!$L:$L,DATA!$O:$O,$B162,DATA!$N:$N,$A162,DATA!$M:$M,'SALES BY SYSTEM'!$O$2)</f>
        <v>0</v>
      </c>
      <c r="Q162" s="182">
        <v>2987441.1439679773</v>
      </c>
      <c r="R162" s="180">
        <f t="shared" si="19"/>
        <v>0</v>
      </c>
      <c r="S162" s="218">
        <f>SUMIFS(DATA!$L:$L,DATA!$O:$O,$B162,DATA!$N:$N,$A162,DATA!$M:$M,'SALES BY SYSTEM'!$O$4)</f>
        <v>0</v>
      </c>
      <c r="T162" s="182">
        <v>0</v>
      </c>
      <c r="U162" s="180" t="str">
        <f t="shared" si="20"/>
        <v/>
      </c>
      <c r="V162" s="218">
        <f>SUMIFS(DATA!$L:$L,DATA!$O:$O,$B162,DATA!$N:$N,$A162,DATA!$M:$M,'SALES BY SYSTEM'!$O$3)</f>
        <v>0</v>
      </c>
      <c r="W162" s="168"/>
    </row>
    <row r="163" spans="1:23" ht="15.75" customHeight="1" x14ac:dyDescent="0.25">
      <c r="A163" s="13" t="s">
        <v>1248</v>
      </c>
      <c r="B163" s="178" t="s">
        <v>138</v>
      </c>
      <c r="C163" s="178" t="str">
        <f>VLOOKUP(A163,CUSTOMER!$A:$C,3,0)</f>
        <v>COOP_BGIANG</v>
      </c>
      <c r="D163" s="178" t="s">
        <v>674</v>
      </c>
      <c r="E163" s="178" t="str">
        <f>VLOOKUP(A163,CUSTOMER!$A$2:$H$1094,5,0)</f>
        <v>VAVANCY-VU MINH TUAN</v>
      </c>
      <c r="F163" s="178" t="str">
        <f>VLOOKUP(A163,CUSTOMER!$A$2:$I$1094,6,0)</f>
        <v>"NO SALE"</v>
      </c>
      <c r="G163" s="178" t="s">
        <v>676</v>
      </c>
      <c r="H163" s="179">
        <f t="shared" si="15"/>
        <v>4728110.0019380404</v>
      </c>
      <c r="I163" s="180">
        <f t="shared" si="16"/>
        <v>0</v>
      </c>
      <c r="J163" s="181">
        <f t="shared" si="17"/>
        <v>0</v>
      </c>
      <c r="K163" s="182">
        <v>0</v>
      </c>
      <c r="L163" s="180" t="str">
        <f t="shared" si="21"/>
        <v/>
      </c>
      <c r="M163" s="218">
        <f>SUMIFS(DATA!$L:$L,DATA!$O:$O,$B163,DATA!$N:$N,$A163,DATA!$M:$M,'SALES BY SYSTEM'!$O$1)</f>
        <v>0</v>
      </c>
      <c r="N163" s="182">
        <v>1740668.8579700631</v>
      </c>
      <c r="O163" s="180">
        <f t="shared" si="18"/>
        <v>0</v>
      </c>
      <c r="P163" s="218">
        <f>SUMIFS(DATA!$L:$L,DATA!$O:$O,$B163,DATA!$N:$N,$A163,DATA!$M:$M,'SALES BY SYSTEM'!$O$2)</f>
        <v>0</v>
      </c>
      <c r="Q163" s="182">
        <v>2987441.1439679773</v>
      </c>
      <c r="R163" s="180">
        <f t="shared" si="19"/>
        <v>0</v>
      </c>
      <c r="S163" s="218">
        <f>SUMIFS(DATA!$L:$L,DATA!$O:$O,$B163,DATA!$N:$N,$A163,DATA!$M:$M,'SALES BY SYSTEM'!$O$4)</f>
        <v>0</v>
      </c>
      <c r="T163" s="182">
        <v>0</v>
      </c>
      <c r="U163" s="180" t="str">
        <f t="shared" si="20"/>
        <v/>
      </c>
      <c r="V163" s="218">
        <f>SUMIFS(DATA!$L:$L,DATA!$O:$O,$B163,DATA!$N:$N,$A163,DATA!$M:$M,'SALES BY SYSTEM'!$O$3)</f>
        <v>0</v>
      </c>
      <c r="W163" s="168"/>
    </row>
    <row r="164" spans="1:23" ht="15.75" customHeight="1" x14ac:dyDescent="0.25">
      <c r="A164" s="13" t="s">
        <v>230</v>
      </c>
      <c r="B164" s="178" t="s">
        <v>138</v>
      </c>
      <c r="C164" s="178" t="str">
        <f>VLOOKUP(A164,CUSTOMER!$A:$C,3,0)</f>
        <v>COOP_BLIEU2</v>
      </c>
      <c r="D164" s="178" t="s">
        <v>674</v>
      </c>
      <c r="E164" s="178" t="str">
        <f>VLOOKUP(A164,CUSTOMER!$A$2:$H$1094,5,0)</f>
        <v>VAVANCY-VU MINH TUAN</v>
      </c>
      <c r="F164" s="178" t="str">
        <f>VLOOKUP(A164,CUSTOMER!$A$2:$I$1094,6,0)</f>
        <v>"NO SALE"</v>
      </c>
      <c r="G164" s="178" t="s">
        <v>676</v>
      </c>
      <c r="H164" s="179">
        <f t="shared" si="15"/>
        <v>4728110.0019380404</v>
      </c>
      <c r="I164" s="180">
        <f t="shared" si="16"/>
        <v>0</v>
      </c>
      <c r="J164" s="181">
        <f t="shared" si="17"/>
        <v>0</v>
      </c>
      <c r="K164" s="182">
        <v>0</v>
      </c>
      <c r="L164" s="180" t="str">
        <f t="shared" si="21"/>
        <v/>
      </c>
      <c r="M164" s="218">
        <f>SUMIFS(DATA!$L:$L,DATA!$O:$O,$B164,DATA!$N:$N,$A164,DATA!$M:$M,'SALES BY SYSTEM'!$O$1)</f>
        <v>0</v>
      </c>
      <c r="N164" s="182">
        <v>1740668.8579700631</v>
      </c>
      <c r="O164" s="180">
        <f t="shared" si="18"/>
        <v>0</v>
      </c>
      <c r="P164" s="218">
        <f>SUMIFS(DATA!$L:$L,DATA!$O:$O,$B164,DATA!$N:$N,$A164,DATA!$M:$M,'SALES BY SYSTEM'!$O$2)</f>
        <v>0</v>
      </c>
      <c r="Q164" s="182">
        <v>2987441.1439679773</v>
      </c>
      <c r="R164" s="180">
        <f t="shared" si="19"/>
        <v>0</v>
      </c>
      <c r="S164" s="218">
        <f>SUMIFS(DATA!$L:$L,DATA!$O:$O,$B164,DATA!$N:$N,$A164,DATA!$M:$M,'SALES BY SYSTEM'!$O$4)</f>
        <v>0</v>
      </c>
      <c r="T164" s="182">
        <v>0</v>
      </c>
      <c r="U164" s="180" t="str">
        <f t="shared" si="20"/>
        <v/>
      </c>
      <c r="V164" s="218">
        <f>SUMIFS(DATA!$L:$L,DATA!$O:$O,$B164,DATA!$N:$N,$A164,DATA!$M:$M,'SALES BY SYSTEM'!$O$3)</f>
        <v>0</v>
      </c>
      <c r="W164" s="168"/>
    </row>
    <row r="165" spans="1:23" ht="15.75" customHeight="1" x14ac:dyDescent="0.25">
      <c r="A165" s="13" t="s">
        <v>198</v>
      </c>
      <c r="B165" s="178" t="s">
        <v>138</v>
      </c>
      <c r="C165" s="178" t="str">
        <f>VLOOKUP(A165,CUSTOMER!$A:$C,3,0)</f>
        <v>COOP_BLOC</v>
      </c>
      <c r="D165" s="178" t="s">
        <v>674</v>
      </c>
      <c r="E165" s="178" t="str">
        <f>VLOOKUP(A165,CUSTOMER!$A$2:$H$1094,5,0)</f>
        <v>VAVANCY-VU MINH TUAN</v>
      </c>
      <c r="F165" s="178" t="str">
        <f>VLOOKUP(A165,CUSTOMER!$A$2:$I$1094,6,0)</f>
        <v>"NO SALE"</v>
      </c>
      <c r="G165" s="178" t="s">
        <v>676</v>
      </c>
      <c r="H165" s="179">
        <f t="shared" si="15"/>
        <v>4728110.0019380404</v>
      </c>
      <c r="I165" s="180">
        <f t="shared" si="16"/>
        <v>0</v>
      </c>
      <c r="J165" s="181">
        <f t="shared" si="17"/>
        <v>0</v>
      </c>
      <c r="K165" s="182">
        <v>0</v>
      </c>
      <c r="L165" s="180" t="str">
        <f t="shared" si="21"/>
        <v/>
      </c>
      <c r="M165" s="218">
        <f>SUMIFS(DATA!$L:$L,DATA!$O:$O,$B165,DATA!$N:$N,$A165,DATA!$M:$M,'SALES BY SYSTEM'!$O$1)</f>
        <v>0</v>
      </c>
      <c r="N165" s="182">
        <v>1740668.8579700631</v>
      </c>
      <c r="O165" s="180">
        <f t="shared" si="18"/>
        <v>0</v>
      </c>
      <c r="P165" s="218">
        <f>SUMIFS(DATA!$L:$L,DATA!$O:$O,$B165,DATA!$N:$N,$A165,DATA!$M:$M,'SALES BY SYSTEM'!$O$2)</f>
        <v>0</v>
      </c>
      <c r="Q165" s="182">
        <v>2987441.1439679773</v>
      </c>
      <c r="R165" s="180">
        <f t="shared" si="19"/>
        <v>0</v>
      </c>
      <c r="S165" s="218">
        <f>SUMIFS(DATA!$L:$L,DATA!$O:$O,$B165,DATA!$N:$N,$A165,DATA!$M:$M,'SALES BY SYSTEM'!$O$4)</f>
        <v>0</v>
      </c>
      <c r="T165" s="182">
        <v>0</v>
      </c>
      <c r="U165" s="180" t="str">
        <f t="shared" si="20"/>
        <v/>
      </c>
      <c r="V165" s="218">
        <f>SUMIFS(DATA!$L:$L,DATA!$O:$O,$B165,DATA!$N:$N,$A165,DATA!$M:$M,'SALES BY SYSTEM'!$O$3)</f>
        <v>0</v>
      </c>
      <c r="W165" s="168"/>
    </row>
    <row r="166" spans="1:23" ht="15.75" customHeight="1" x14ac:dyDescent="0.25">
      <c r="A166" s="13" t="s">
        <v>266</v>
      </c>
      <c r="B166" s="178" t="s">
        <v>138</v>
      </c>
      <c r="C166" s="178" t="str">
        <f>VLOOKUP(A166,CUSTOMER!$A:$C,3,0)</f>
        <v>COOP_BLUC</v>
      </c>
      <c r="D166" s="178" t="s">
        <v>674</v>
      </c>
      <c r="E166" s="178" t="str">
        <f>VLOOKUP(A166,CUSTOMER!$A$2:$H$1094,5,0)</f>
        <v>VAVANCY-VU MINH TUAN</v>
      </c>
      <c r="F166" s="178" t="str">
        <f>VLOOKUP(A166,CUSTOMER!$A$2:$I$1094,6,0)</f>
        <v>"NO SALE"</v>
      </c>
      <c r="G166" s="178" t="s">
        <v>676</v>
      </c>
      <c r="H166" s="179">
        <f t="shared" si="15"/>
        <v>4728110.0019380404</v>
      </c>
      <c r="I166" s="180">
        <f t="shared" si="16"/>
        <v>0</v>
      </c>
      <c r="J166" s="181">
        <f t="shared" si="17"/>
        <v>0</v>
      </c>
      <c r="K166" s="182">
        <v>0</v>
      </c>
      <c r="L166" s="180" t="str">
        <f t="shared" si="21"/>
        <v/>
      </c>
      <c r="M166" s="218">
        <f>SUMIFS(DATA!$L:$L,DATA!$O:$O,$B166,DATA!$N:$N,$A166,DATA!$M:$M,'SALES BY SYSTEM'!$O$1)</f>
        <v>0</v>
      </c>
      <c r="N166" s="182">
        <v>1740668.8579700631</v>
      </c>
      <c r="O166" s="180">
        <f t="shared" si="18"/>
        <v>0</v>
      </c>
      <c r="P166" s="218">
        <f>SUMIFS(DATA!$L:$L,DATA!$O:$O,$B166,DATA!$N:$N,$A166,DATA!$M:$M,'SALES BY SYSTEM'!$O$2)</f>
        <v>0</v>
      </c>
      <c r="Q166" s="182">
        <v>2987441.1439679773</v>
      </c>
      <c r="R166" s="180">
        <f t="shared" si="19"/>
        <v>0</v>
      </c>
      <c r="S166" s="218">
        <f>SUMIFS(DATA!$L:$L,DATA!$O:$O,$B166,DATA!$N:$N,$A166,DATA!$M:$M,'SALES BY SYSTEM'!$O$4)</f>
        <v>0</v>
      </c>
      <c r="T166" s="182">
        <v>0</v>
      </c>
      <c r="U166" s="180" t="str">
        <f t="shared" si="20"/>
        <v/>
      </c>
      <c r="V166" s="218">
        <f>SUMIFS(DATA!$L:$L,DATA!$O:$O,$B166,DATA!$N:$N,$A166,DATA!$M:$M,'SALES BY SYSTEM'!$O$3)</f>
        <v>0</v>
      </c>
      <c r="W166" s="168"/>
    </row>
    <row r="167" spans="1:23" ht="15.75" customHeight="1" x14ac:dyDescent="0.25">
      <c r="A167" s="13" t="s">
        <v>1252</v>
      </c>
      <c r="B167" s="178" t="s">
        <v>138</v>
      </c>
      <c r="C167" s="178" t="str">
        <f>VLOOKUP(A167,CUSTOMER!$A:$C,3,0)</f>
        <v>COOP_BTRE</v>
      </c>
      <c r="D167" s="178" t="s">
        <v>674</v>
      </c>
      <c r="E167" s="178" t="str">
        <f>VLOOKUP(A167,CUSTOMER!$A$2:$H$1094,5,0)</f>
        <v>VAVANCY-VU MINH TUAN</v>
      </c>
      <c r="F167" s="178" t="str">
        <f>VLOOKUP(A167,CUSTOMER!$A$2:$I$1094,6,0)</f>
        <v>"NO SALE"</v>
      </c>
      <c r="G167" s="178" t="s">
        <v>676</v>
      </c>
      <c r="H167" s="179">
        <f t="shared" si="15"/>
        <v>4728110.0019380404</v>
      </c>
      <c r="I167" s="180">
        <f t="shared" si="16"/>
        <v>0</v>
      </c>
      <c r="J167" s="181">
        <f t="shared" si="17"/>
        <v>0</v>
      </c>
      <c r="K167" s="182">
        <v>0</v>
      </c>
      <c r="L167" s="180" t="str">
        <f t="shared" si="21"/>
        <v/>
      </c>
      <c r="M167" s="218">
        <f>SUMIFS(DATA!$L:$L,DATA!$O:$O,$B167,DATA!$N:$N,$A167,DATA!$M:$M,'SALES BY SYSTEM'!$O$1)</f>
        <v>0</v>
      </c>
      <c r="N167" s="182">
        <v>1740668.8579700631</v>
      </c>
      <c r="O167" s="180">
        <f t="shared" si="18"/>
        <v>0</v>
      </c>
      <c r="P167" s="218">
        <f>SUMIFS(DATA!$L:$L,DATA!$O:$O,$B167,DATA!$N:$N,$A167,DATA!$M:$M,'SALES BY SYSTEM'!$O$2)</f>
        <v>0</v>
      </c>
      <c r="Q167" s="182">
        <v>2987441.1439679773</v>
      </c>
      <c r="R167" s="180">
        <f t="shared" si="19"/>
        <v>0</v>
      </c>
      <c r="S167" s="218">
        <f>SUMIFS(DATA!$L:$L,DATA!$O:$O,$B167,DATA!$N:$N,$A167,DATA!$M:$M,'SALES BY SYSTEM'!$O$4)</f>
        <v>0</v>
      </c>
      <c r="T167" s="182">
        <v>0</v>
      </c>
      <c r="U167" s="180" t="str">
        <f t="shared" si="20"/>
        <v/>
      </c>
      <c r="V167" s="218">
        <f>SUMIFS(DATA!$L:$L,DATA!$O:$O,$B167,DATA!$N:$N,$A167,DATA!$M:$M,'SALES BY SYSTEM'!$O$3)</f>
        <v>0</v>
      </c>
      <c r="W167" s="168"/>
    </row>
    <row r="168" spans="1:23" ht="15.75" customHeight="1" x14ac:dyDescent="0.25">
      <c r="A168" s="13" t="s">
        <v>1303</v>
      </c>
      <c r="B168" s="178" t="s">
        <v>138</v>
      </c>
      <c r="C168" s="178" t="str">
        <f>VLOOKUP(A168,CUSTOMER!$A:$C,3,0)</f>
        <v>COOP_HDO</v>
      </c>
      <c r="D168" s="178" t="s">
        <v>674</v>
      </c>
      <c r="E168" s="178" t="str">
        <f>VLOOKUP(A168,CUSTOMER!$A$2:$H$1094,5,0)</f>
        <v>VAVANCY-VU MINH TUAN</v>
      </c>
      <c r="F168" s="178" t="str">
        <f>VLOOKUP(A168,CUSTOMER!$A$2:$I$1094,6,0)</f>
        <v>TRAN THI THANH TRUC</v>
      </c>
      <c r="G168" s="178" t="s">
        <v>676</v>
      </c>
      <c r="H168" s="179">
        <f t="shared" si="15"/>
        <v>4728110.0019380404</v>
      </c>
      <c r="I168" s="180">
        <f t="shared" si="16"/>
        <v>0</v>
      </c>
      <c r="J168" s="181">
        <f t="shared" si="17"/>
        <v>0</v>
      </c>
      <c r="K168" s="182">
        <v>0</v>
      </c>
      <c r="L168" s="180" t="str">
        <f t="shared" si="21"/>
        <v/>
      </c>
      <c r="M168" s="218">
        <f>SUMIFS(DATA!$L:$L,DATA!$O:$O,$B168,DATA!$N:$N,$A168,DATA!$M:$M,'SALES BY SYSTEM'!$O$1)</f>
        <v>0</v>
      </c>
      <c r="N168" s="182">
        <v>1740668.8579700631</v>
      </c>
      <c r="O168" s="180">
        <f t="shared" si="18"/>
        <v>0</v>
      </c>
      <c r="P168" s="218">
        <f>SUMIFS(DATA!$L:$L,DATA!$O:$O,$B168,DATA!$N:$N,$A168,DATA!$M:$M,'SALES BY SYSTEM'!$O$2)</f>
        <v>0</v>
      </c>
      <c r="Q168" s="182">
        <v>2987441.1439679773</v>
      </c>
      <c r="R168" s="180">
        <f t="shared" si="19"/>
        <v>0</v>
      </c>
      <c r="S168" s="218">
        <f>SUMIFS(DATA!$L:$L,DATA!$O:$O,$B168,DATA!$N:$N,$A168,DATA!$M:$M,'SALES BY SYSTEM'!$O$4)</f>
        <v>0</v>
      </c>
      <c r="T168" s="182">
        <v>0</v>
      </c>
      <c r="U168" s="180" t="str">
        <f t="shared" si="20"/>
        <v/>
      </c>
      <c r="V168" s="218">
        <f>SUMIFS(DATA!$L:$L,DATA!$O:$O,$B168,DATA!$N:$N,$A168,DATA!$M:$M,'SALES BY SYSTEM'!$O$3)</f>
        <v>0</v>
      </c>
      <c r="W168" s="168"/>
    </row>
    <row r="169" spans="1:23" ht="15.75" customHeight="1" x14ac:dyDescent="0.25">
      <c r="A169" s="13" t="s">
        <v>1305</v>
      </c>
      <c r="B169" s="178" t="s">
        <v>138</v>
      </c>
      <c r="C169" s="178" t="str">
        <f>VLOOKUP(A169,CUSTOMER!$A:$C,3,0)</f>
        <v>COOP_HTIEN</v>
      </c>
      <c r="D169" s="178" t="s">
        <v>674</v>
      </c>
      <c r="E169" s="178" t="str">
        <f>VLOOKUP(A169,CUSTOMER!$A$2:$H$1094,5,0)</f>
        <v>VAVANCY-VU MINH TUAN</v>
      </c>
      <c r="F169" s="178" t="str">
        <f>VLOOKUP(A169,CUSTOMER!$A$2:$I$1094,6,0)</f>
        <v>VACANCY</v>
      </c>
      <c r="G169" s="178" t="s">
        <v>676</v>
      </c>
      <c r="H169" s="179">
        <f t="shared" si="15"/>
        <v>4728110.0019380404</v>
      </c>
      <c r="I169" s="180">
        <f t="shared" si="16"/>
        <v>0</v>
      </c>
      <c r="J169" s="181">
        <f t="shared" si="17"/>
        <v>0</v>
      </c>
      <c r="K169" s="182">
        <v>0</v>
      </c>
      <c r="L169" s="180" t="str">
        <f t="shared" si="21"/>
        <v/>
      </c>
      <c r="M169" s="218">
        <f>SUMIFS(DATA!$L:$L,DATA!$O:$O,$B169,DATA!$N:$N,$A169,DATA!$M:$M,'SALES BY SYSTEM'!$O$1)</f>
        <v>0</v>
      </c>
      <c r="N169" s="182">
        <v>1740668.8579700631</v>
      </c>
      <c r="O169" s="180">
        <f t="shared" si="18"/>
        <v>0</v>
      </c>
      <c r="P169" s="218">
        <f>SUMIFS(DATA!$L:$L,DATA!$O:$O,$B169,DATA!$N:$N,$A169,DATA!$M:$M,'SALES BY SYSTEM'!$O$2)</f>
        <v>0</v>
      </c>
      <c r="Q169" s="182">
        <v>2987441.1439679773</v>
      </c>
      <c r="R169" s="180">
        <f t="shared" si="19"/>
        <v>0</v>
      </c>
      <c r="S169" s="218">
        <f>SUMIFS(DATA!$L:$L,DATA!$O:$O,$B169,DATA!$N:$N,$A169,DATA!$M:$M,'SALES BY SYSTEM'!$O$4)</f>
        <v>0</v>
      </c>
      <c r="T169" s="182">
        <v>0</v>
      </c>
      <c r="U169" s="180" t="str">
        <f t="shared" si="20"/>
        <v/>
      </c>
      <c r="V169" s="218">
        <f>SUMIFS(DATA!$L:$L,DATA!$O:$O,$B169,DATA!$N:$N,$A169,DATA!$M:$M,'SALES BY SYSTEM'!$O$3)</f>
        <v>0</v>
      </c>
      <c r="W169" s="168"/>
    </row>
    <row r="170" spans="1:23" ht="15.75" customHeight="1" x14ac:dyDescent="0.25">
      <c r="A170" s="12" t="s">
        <v>82</v>
      </c>
      <c r="B170" s="139" t="s">
        <v>60</v>
      </c>
      <c r="C170" s="178" t="str">
        <f>VLOOKUP(A170,CUSTOMER!$A:$C,3,0)</f>
        <v>LOTTE_TBINH</v>
      </c>
      <c r="D170" s="178" t="s">
        <v>674</v>
      </c>
      <c r="E170" s="178" t="str">
        <f>VLOOKUP(A170,CUSTOMER!$A$2:$H$1094,5,0)</f>
        <v>TRAN THI THAO NGUYEN</v>
      </c>
      <c r="F170" s="178" t="str">
        <f>VLOOKUP(A170,CUSTOMER!$A$2:$I$1094,6,0)</f>
        <v>NGUYEN THI MUON</v>
      </c>
      <c r="G170" s="178" t="str">
        <f>VLOOKUP(A170,CUSTOMER!$A$1:$J$1160,7,0)</f>
        <v>"NO PG"</v>
      </c>
      <c r="H170" s="179">
        <f t="shared" si="15"/>
        <v>9092139.2380631045</v>
      </c>
      <c r="I170" s="180">
        <f t="shared" si="16"/>
        <v>0</v>
      </c>
      <c r="J170" s="181">
        <f t="shared" si="17"/>
        <v>0</v>
      </c>
      <c r="K170" s="182">
        <v>0</v>
      </c>
      <c r="L170" s="180" t="str">
        <f t="shared" si="21"/>
        <v/>
      </c>
      <c r="M170" s="218">
        <f>SUMIFS(DATA!$L:$L,DATA!$O:$O,$B170,DATA!$N:$N,$A170,DATA!$M:$M,'SALES BY SYSTEM'!$O$1)</f>
        <v>0</v>
      </c>
      <c r="N170" s="182">
        <v>1604679.103441152</v>
      </c>
      <c r="O170" s="180">
        <f t="shared" si="18"/>
        <v>0</v>
      </c>
      <c r="P170" s="218">
        <f>SUMIFS(DATA!$L:$L,DATA!$O:$O,$B170,DATA!$N:$N,$A170,DATA!$M:$M,'SALES BY SYSTEM'!$O$2)</f>
        <v>0</v>
      </c>
      <c r="Q170" s="182">
        <v>7487460.1346219517</v>
      </c>
      <c r="R170" s="180">
        <f t="shared" si="19"/>
        <v>0</v>
      </c>
      <c r="S170" s="218">
        <f>SUMIFS(DATA!$L:$L,DATA!$O:$O,$B170,DATA!$N:$N,$A170,DATA!$M:$M,'SALES BY SYSTEM'!$O$4)</f>
        <v>0</v>
      </c>
      <c r="T170" s="182">
        <v>0</v>
      </c>
      <c r="U170" s="180" t="str">
        <f t="shared" si="20"/>
        <v/>
      </c>
      <c r="V170" s="218">
        <f>SUMIFS(DATA!$L:$L,DATA!$O:$O,$B170,DATA!$N:$N,$A170,DATA!$M:$M,'SALES BY SYSTEM'!$O$3)</f>
        <v>0</v>
      </c>
      <c r="W170" s="168"/>
    </row>
    <row r="171" spans="1:23" ht="15.75" customHeight="1" x14ac:dyDescent="0.25">
      <c r="A171" s="12" t="s">
        <v>84</v>
      </c>
      <c r="B171" s="139" t="s">
        <v>60</v>
      </c>
      <c r="C171" s="178" t="str">
        <f>VLOOKUP(A171,CUSTOMER!$A:$C,3,0)</f>
        <v>LOTTE_VINH</v>
      </c>
      <c r="D171" s="178" t="s">
        <v>674</v>
      </c>
      <c r="E171" s="178" t="str">
        <f>VLOOKUP(A171,CUSTOMER!$A$2:$H$1094,5,0)</f>
        <v>TRAN THI THAO NGUYEN</v>
      </c>
      <c r="F171" s="178" t="str">
        <f>VLOOKUP(A171,CUSTOMER!$A$2:$I$1094,6,0)</f>
        <v>"NO SALE"</v>
      </c>
      <c r="G171" s="178" t="str">
        <f>VLOOKUP(A171,CUSTOMER!$A$1:$J$1160,7,0)</f>
        <v>"NO PG"</v>
      </c>
      <c r="H171" s="179">
        <f t="shared" si="15"/>
        <v>20488190.371174626</v>
      </c>
      <c r="I171" s="180">
        <f t="shared" si="16"/>
        <v>0</v>
      </c>
      <c r="J171" s="181">
        <f t="shared" si="17"/>
        <v>0</v>
      </c>
      <c r="K171" s="182">
        <v>0</v>
      </c>
      <c r="L171" s="180" t="str">
        <f t="shared" si="21"/>
        <v/>
      </c>
      <c r="M171" s="218">
        <f>SUMIFS(DATA!$L:$L,DATA!$O:$O,$B171,DATA!$N:$N,$A171,DATA!$M:$M,'SALES BY SYSTEM'!$O$1)</f>
        <v>0</v>
      </c>
      <c r="N171" s="182">
        <v>1404132.1418546441</v>
      </c>
      <c r="O171" s="180">
        <f t="shared" si="18"/>
        <v>0</v>
      </c>
      <c r="P171" s="218">
        <f>SUMIFS(DATA!$L:$L,DATA!$O:$O,$B171,DATA!$N:$N,$A171,DATA!$M:$M,'SALES BY SYSTEM'!$O$2)</f>
        <v>0</v>
      </c>
      <c r="Q171" s="182">
        <v>19084058.229319982</v>
      </c>
      <c r="R171" s="180">
        <f t="shared" si="19"/>
        <v>0</v>
      </c>
      <c r="S171" s="218">
        <f>SUMIFS(DATA!$L:$L,DATA!$O:$O,$B171,DATA!$N:$N,$A171,DATA!$M:$M,'SALES BY SYSTEM'!$O$4)</f>
        <v>0</v>
      </c>
      <c r="T171" s="182">
        <v>0</v>
      </c>
      <c r="U171" s="180" t="str">
        <f t="shared" si="20"/>
        <v/>
      </c>
      <c r="V171" s="218">
        <f>SUMIFS(DATA!$L:$L,DATA!$O:$O,$B171,DATA!$N:$N,$A171,DATA!$M:$M,'SALES BY SYSTEM'!$O$3)</f>
        <v>0</v>
      </c>
      <c r="W171" s="168"/>
    </row>
    <row r="172" spans="1:23" ht="15.75" customHeight="1" x14ac:dyDescent="0.25">
      <c r="A172" s="12" t="s">
        <v>74</v>
      </c>
      <c r="B172" s="139" t="s">
        <v>60</v>
      </c>
      <c r="C172" s="178" t="str">
        <f>VLOOKUP(A172,CUSTOMER!$A:$C,3,0)</f>
        <v>LOTTE_BDUONG</v>
      </c>
      <c r="D172" s="178" t="s">
        <v>674</v>
      </c>
      <c r="E172" s="178" t="str">
        <f>VLOOKUP(A172,CUSTOMER!$A$2:$H$1094,5,0)</f>
        <v>TRAN THI THAO NGUYEN</v>
      </c>
      <c r="F172" s="178" t="str">
        <f>VLOOKUP(A172,CUSTOMER!$A$2:$I$1094,6,0)</f>
        <v>VACANCY</v>
      </c>
      <c r="G172" s="178" t="str">
        <f>VLOOKUP(A172,CUSTOMER!$A$1:$J$1160,7,0)</f>
        <v>"NO PG"</v>
      </c>
      <c r="H172" s="179">
        <f t="shared" si="15"/>
        <v>16142924.771513699</v>
      </c>
      <c r="I172" s="180">
        <f t="shared" si="16"/>
        <v>0</v>
      </c>
      <c r="J172" s="181">
        <f t="shared" si="17"/>
        <v>0</v>
      </c>
      <c r="K172" s="182">
        <v>0</v>
      </c>
      <c r="L172" s="180" t="str">
        <f t="shared" si="21"/>
        <v/>
      </c>
      <c r="M172" s="218">
        <f>SUMIFS(DATA!$L:$L,DATA!$O:$O,$B172,DATA!$N:$N,$A172,DATA!$M:$M,'SALES BY SYSTEM'!$O$1)</f>
        <v>0</v>
      </c>
      <c r="N172" s="182">
        <v>1404131.5423539749</v>
      </c>
      <c r="O172" s="180">
        <f t="shared" si="18"/>
        <v>0</v>
      </c>
      <c r="P172" s="218">
        <f>SUMIFS(DATA!$L:$L,DATA!$O:$O,$B172,DATA!$N:$N,$A172,DATA!$M:$M,'SALES BY SYSTEM'!$O$2)</f>
        <v>0</v>
      </c>
      <c r="Q172" s="182">
        <v>14738793.229159724</v>
      </c>
      <c r="R172" s="180">
        <f t="shared" si="19"/>
        <v>0</v>
      </c>
      <c r="S172" s="218">
        <f>SUMIFS(DATA!$L:$L,DATA!$O:$O,$B172,DATA!$N:$N,$A172,DATA!$M:$M,'SALES BY SYSTEM'!$O$4)</f>
        <v>0</v>
      </c>
      <c r="T172" s="182">
        <v>0</v>
      </c>
      <c r="U172" s="180" t="str">
        <f t="shared" si="20"/>
        <v/>
      </c>
      <c r="V172" s="218">
        <f>SUMIFS(DATA!$L:$L,DATA!$O:$O,$B172,DATA!$N:$N,$A172,DATA!$M:$M,'SALES BY SYSTEM'!$O$3)</f>
        <v>0</v>
      </c>
      <c r="W172" s="168"/>
    </row>
    <row r="173" spans="1:23" ht="15.75" customHeight="1" x14ac:dyDescent="0.25">
      <c r="A173" s="12" t="s">
        <v>62</v>
      </c>
      <c r="B173" s="139" t="s">
        <v>60</v>
      </c>
      <c r="C173" s="178" t="str">
        <f>VLOOKUP(A173,CUSTOMER!$A:$C,3,0)</f>
        <v>LOTTE_BHOA</v>
      </c>
      <c r="D173" s="178" t="s">
        <v>674</v>
      </c>
      <c r="E173" s="178" t="str">
        <f>VLOOKUP(A173,CUSTOMER!$A$2:$H$1094,5,0)</f>
        <v>TRAN THI THAO NGUYEN</v>
      </c>
      <c r="F173" s="178" t="str">
        <f>VLOOKUP(A173,CUSTOMER!$A$2:$I$1094,6,0)</f>
        <v>TRAN THI NHAN</v>
      </c>
      <c r="G173" s="178" t="str">
        <f>VLOOKUP(A173,CUSTOMER!$A$1:$J$1160,7,0)</f>
        <v>"NO PG"</v>
      </c>
      <c r="H173" s="179">
        <f t="shared" si="15"/>
        <v>11797659.771353442</v>
      </c>
      <c r="I173" s="180">
        <f t="shared" si="16"/>
        <v>0</v>
      </c>
      <c r="J173" s="181">
        <f t="shared" si="17"/>
        <v>0</v>
      </c>
      <c r="K173" s="182">
        <v>0</v>
      </c>
      <c r="L173" s="180" t="str">
        <f t="shared" si="21"/>
        <v/>
      </c>
      <c r="M173" s="218">
        <f>SUMIFS(DATA!$L:$L,DATA!$O:$O,$B173,DATA!$N:$N,$A173,DATA!$M:$M,'SALES BY SYSTEM'!$O$1)</f>
        <v>0</v>
      </c>
      <c r="N173" s="182">
        <v>1404131.5423539749</v>
      </c>
      <c r="O173" s="180">
        <f t="shared" si="18"/>
        <v>0</v>
      </c>
      <c r="P173" s="218">
        <f>SUMIFS(DATA!$L:$L,DATA!$O:$O,$B173,DATA!$N:$N,$A173,DATA!$M:$M,'SALES BY SYSTEM'!$O$2)</f>
        <v>0</v>
      </c>
      <c r="Q173" s="182">
        <v>10393528.228999468</v>
      </c>
      <c r="R173" s="180">
        <f t="shared" si="19"/>
        <v>0</v>
      </c>
      <c r="S173" s="218">
        <f>SUMIFS(DATA!$L:$L,DATA!$O:$O,$B173,DATA!$N:$N,$A173,DATA!$M:$M,'SALES BY SYSTEM'!$O$4)</f>
        <v>0</v>
      </c>
      <c r="T173" s="182">
        <v>0</v>
      </c>
      <c r="U173" s="180" t="str">
        <f t="shared" si="20"/>
        <v/>
      </c>
      <c r="V173" s="218">
        <f>SUMIFS(DATA!$L:$L,DATA!$O:$O,$B173,DATA!$N:$N,$A173,DATA!$M:$M,'SALES BY SYSTEM'!$O$3)</f>
        <v>0</v>
      </c>
      <c r="W173" s="168"/>
    </row>
    <row r="174" spans="1:23" ht="15.75" customHeight="1" x14ac:dyDescent="0.25">
      <c r="A174" s="12" t="s">
        <v>490</v>
      </c>
      <c r="B174" s="139" t="s">
        <v>432</v>
      </c>
      <c r="C174" s="178" t="str">
        <f>VLOOKUP(A174,CUSTOMER!$A:$C,3,0)</f>
        <v>BIGC_GVAP</v>
      </c>
      <c r="D174" s="178" t="s">
        <v>674</v>
      </c>
      <c r="E174" s="178" t="str">
        <f>VLOOKUP(A174,CUSTOMER!$A$2:$H$1094,5,0)</f>
        <v>LE NAM PHUONG</v>
      </c>
      <c r="F174" s="178" t="str">
        <f>VLOOKUP(A174,CUSTOMER!$A$2:$I$1094,6,0)</f>
        <v>NGUYEN THI OANH</v>
      </c>
      <c r="G174" s="178" t="s">
        <v>676</v>
      </c>
      <c r="H174" s="179">
        <f t="shared" si="15"/>
        <v>9023057.9320614897</v>
      </c>
      <c r="I174" s="180">
        <f t="shared" si="16"/>
        <v>0</v>
      </c>
      <c r="J174" s="181">
        <f t="shared" si="17"/>
        <v>0</v>
      </c>
      <c r="K174" s="182">
        <v>0</v>
      </c>
      <c r="L174" s="180" t="str">
        <f t="shared" si="21"/>
        <v/>
      </c>
      <c r="M174" s="218">
        <f>SUMIFS(DATA!$L:$L,DATA!$O:$O,$B174,DATA!$N:$N,$A174,DATA!$M:$M,'SALES BY SYSTEM'!$O$1)</f>
        <v>0</v>
      </c>
      <c r="N174" s="182">
        <v>1305501.643477547</v>
      </c>
      <c r="O174" s="180">
        <f t="shared" si="18"/>
        <v>0</v>
      </c>
      <c r="P174" s="218">
        <f>SUMIFS(DATA!$L:$L,DATA!$O:$O,$B174,DATA!$N:$N,$A174,DATA!$M:$M,'SALES BY SYSTEM'!$O$2)</f>
        <v>0</v>
      </c>
      <c r="Q174" s="182">
        <v>7717556.2885839427</v>
      </c>
      <c r="R174" s="180">
        <f t="shared" si="19"/>
        <v>0</v>
      </c>
      <c r="S174" s="218">
        <f>SUMIFS(DATA!$L:$L,DATA!$O:$O,$B174,DATA!$N:$N,$A174,DATA!$M:$M,'SALES BY SYSTEM'!$O$4)</f>
        <v>0</v>
      </c>
      <c r="T174" s="182">
        <v>0</v>
      </c>
      <c r="U174" s="180" t="str">
        <f t="shared" si="20"/>
        <v/>
      </c>
      <c r="V174" s="218">
        <f>SUMIFS(DATA!$L:$L,DATA!$O:$O,$B174,DATA!$N:$N,$A174,DATA!$M:$M,'SALES BY SYSTEM'!$O$3)</f>
        <v>0</v>
      </c>
      <c r="W174" s="168"/>
    </row>
    <row r="175" spans="1:23" ht="15.75" customHeight="1" x14ac:dyDescent="0.25">
      <c r="A175" s="12" t="s">
        <v>494</v>
      </c>
      <c r="B175" s="139" t="s">
        <v>432</v>
      </c>
      <c r="C175" s="178" t="str">
        <f>VLOOKUP(A175,CUSTOMER!$A:$C,3,0)</f>
        <v>BIGC_PTHANH</v>
      </c>
      <c r="D175" s="178" t="s">
        <v>674</v>
      </c>
      <c r="E175" s="178" t="str">
        <f>VLOOKUP(A175,CUSTOMER!$A$2:$H$1094,5,0)</f>
        <v>LE NAM PHUONG</v>
      </c>
      <c r="F175" s="178" t="str">
        <f>VLOOKUP(A175,CUSTOMER!$A$2:$I$1094,6,0)</f>
        <v>NGUYEN THI OANH</v>
      </c>
      <c r="G175" s="178" t="s">
        <v>676</v>
      </c>
      <c r="H175" s="179">
        <f t="shared" si="15"/>
        <v>8774104.5033974946</v>
      </c>
      <c r="I175" s="180">
        <f t="shared" si="16"/>
        <v>0</v>
      </c>
      <c r="J175" s="181">
        <f t="shared" si="17"/>
        <v>0</v>
      </c>
      <c r="K175" s="182">
        <v>0</v>
      </c>
      <c r="L175" s="180" t="str">
        <f t="shared" si="21"/>
        <v/>
      </c>
      <c r="M175" s="218">
        <f>SUMIFS(DATA!$L:$L,DATA!$O:$O,$B175,DATA!$N:$N,$A175,DATA!$M:$M,'SALES BY SYSTEM'!$O$1)</f>
        <v>0</v>
      </c>
      <c r="N175" s="182">
        <v>1305501.643477547</v>
      </c>
      <c r="O175" s="180">
        <f t="shared" si="18"/>
        <v>0</v>
      </c>
      <c r="P175" s="218">
        <f>SUMIFS(DATA!$L:$L,DATA!$O:$O,$B175,DATA!$N:$N,$A175,DATA!$M:$M,'SALES BY SYSTEM'!$O$2)</f>
        <v>0</v>
      </c>
      <c r="Q175" s="182">
        <v>7468602.8599199476</v>
      </c>
      <c r="R175" s="180">
        <f t="shared" si="19"/>
        <v>0</v>
      </c>
      <c r="S175" s="218">
        <f>SUMIFS(DATA!$L:$L,DATA!$O:$O,$B175,DATA!$N:$N,$A175,DATA!$M:$M,'SALES BY SYSTEM'!$O$4)</f>
        <v>0</v>
      </c>
      <c r="T175" s="182">
        <v>0</v>
      </c>
      <c r="U175" s="180" t="str">
        <f t="shared" si="20"/>
        <v/>
      </c>
      <c r="V175" s="218">
        <f>SUMIFS(DATA!$L:$L,DATA!$O:$O,$B175,DATA!$N:$N,$A175,DATA!$M:$M,'SALES BY SYSTEM'!$O$3)</f>
        <v>0</v>
      </c>
      <c r="W175" s="168"/>
    </row>
    <row r="176" spans="1:23" ht="15.75" customHeight="1" x14ac:dyDescent="0.25">
      <c r="A176" s="12" t="s">
        <v>641</v>
      </c>
      <c r="B176" s="139" t="s">
        <v>641</v>
      </c>
      <c r="C176" s="178" t="str">
        <f>VLOOKUP(A176,CUSTOMER!$A:$C,3,0)</f>
        <v>2059</v>
      </c>
      <c r="D176" s="178" t="s">
        <v>674</v>
      </c>
      <c r="E176" s="178" t="str">
        <f>VLOOKUP(A176,CUSTOMER!$A$2:$H$1094,5,0)</f>
        <v>LE NAM PHUONG</v>
      </c>
      <c r="F176" s="178" t="str">
        <f>VLOOKUP(A176,CUSTOMER!$A$2:$I$1094,6,0)</f>
        <v>VU THUY MINH THAO</v>
      </c>
      <c r="G176" s="178" t="s">
        <v>676</v>
      </c>
      <c r="H176" s="179">
        <f t="shared" si="15"/>
        <v>6284570.2167575099</v>
      </c>
      <c r="I176" s="180">
        <f t="shared" si="16"/>
        <v>0</v>
      </c>
      <c r="J176" s="181">
        <f t="shared" si="17"/>
        <v>0</v>
      </c>
      <c r="K176" s="182">
        <v>0</v>
      </c>
      <c r="L176" s="180" t="str">
        <f t="shared" si="21"/>
        <v/>
      </c>
      <c r="M176" s="218">
        <f>SUMIFS(DATA!$L:$L,DATA!$O:$O,$B176,DATA!$N:$N,$A176,DATA!$M:$M,'SALES BY SYSTEM'!$O$1)</f>
        <v>0</v>
      </c>
      <c r="N176" s="182">
        <v>1305501.643477547</v>
      </c>
      <c r="O176" s="180">
        <f t="shared" si="18"/>
        <v>0</v>
      </c>
      <c r="P176" s="218">
        <f>SUMIFS(DATA!$L:$L,DATA!$O:$O,$B176,DATA!$N:$N,$A176,DATA!$M:$M,'SALES BY SYSTEM'!$O$2)</f>
        <v>0</v>
      </c>
      <c r="Q176" s="182">
        <v>4979068.5732799629</v>
      </c>
      <c r="R176" s="180">
        <f t="shared" si="19"/>
        <v>0</v>
      </c>
      <c r="S176" s="218">
        <f>SUMIFS(DATA!$L:$L,DATA!$O:$O,$B176,DATA!$N:$N,$A176,DATA!$M:$M,'SALES BY SYSTEM'!$O$4)</f>
        <v>0</v>
      </c>
      <c r="T176" s="182">
        <v>0</v>
      </c>
      <c r="U176" s="180" t="str">
        <f t="shared" si="20"/>
        <v/>
      </c>
      <c r="V176" s="218">
        <f>SUMIFS(DATA!$L:$L,DATA!$O:$O,$B176,DATA!$N:$N,$A176,DATA!$M:$M,'SALES BY SYSTEM'!$O$3)</f>
        <v>0</v>
      </c>
      <c r="W176" s="168"/>
    </row>
    <row r="177" spans="1:23" ht="15.75" customHeight="1" x14ac:dyDescent="0.25">
      <c r="A177" s="13" t="s">
        <v>304</v>
      </c>
      <c r="B177" s="178" t="s">
        <v>138</v>
      </c>
      <c r="C177" s="178" t="str">
        <f>VLOOKUP(A177,CUSTOMER!$A:$C,3,0)</f>
        <v>COOP_BHOA</v>
      </c>
      <c r="D177" s="178" t="s">
        <v>674</v>
      </c>
      <c r="E177" s="178" t="str">
        <f>VLOOKUP(A177,CUSTOMER!$A$2:$H$1094,5,0)</f>
        <v>VAVANCY-VU MINH TUAN</v>
      </c>
      <c r="F177" s="178" t="str">
        <f>VLOOKUP(A177,CUSTOMER!$A$2:$I$1094,6,0)</f>
        <v>TRAN THI NHAN</v>
      </c>
      <c r="G177" s="178" t="s">
        <v>676</v>
      </c>
      <c r="H177" s="179">
        <f t="shared" si="15"/>
        <v>4292942.7874455247</v>
      </c>
      <c r="I177" s="180">
        <f t="shared" si="16"/>
        <v>0</v>
      </c>
      <c r="J177" s="181">
        <f t="shared" si="17"/>
        <v>0</v>
      </c>
      <c r="K177" s="182">
        <v>0</v>
      </c>
      <c r="L177" s="180" t="str">
        <f t="shared" si="21"/>
        <v/>
      </c>
      <c r="M177" s="218">
        <f>SUMIFS(DATA!$L:$L,DATA!$O:$O,$B177,DATA!$N:$N,$A177,DATA!$M:$M,'SALES BY SYSTEM'!$O$1)</f>
        <v>0</v>
      </c>
      <c r="N177" s="182">
        <v>1305501.643477547</v>
      </c>
      <c r="O177" s="180">
        <f t="shared" si="18"/>
        <v>0</v>
      </c>
      <c r="P177" s="218">
        <f>SUMIFS(DATA!$L:$L,DATA!$O:$O,$B177,DATA!$N:$N,$A177,DATA!$M:$M,'SALES BY SYSTEM'!$O$2)</f>
        <v>0</v>
      </c>
      <c r="Q177" s="182">
        <v>2987441.1439679773</v>
      </c>
      <c r="R177" s="180">
        <f t="shared" si="19"/>
        <v>0</v>
      </c>
      <c r="S177" s="218">
        <f>SUMIFS(DATA!$L:$L,DATA!$O:$O,$B177,DATA!$N:$N,$A177,DATA!$M:$M,'SALES BY SYSTEM'!$O$4)</f>
        <v>0</v>
      </c>
      <c r="T177" s="182">
        <v>0</v>
      </c>
      <c r="U177" s="180" t="str">
        <f t="shared" si="20"/>
        <v/>
      </c>
      <c r="V177" s="218">
        <f>SUMIFS(DATA!$L:$L,DATA!$O:$O,$B177,DATA!$N:$N,$A177,DATA!$M:$M,'SALES BY SYSTEM'!$O$3)</f>
        <v>0</v>
      </c>
      <c r="W177" s="168"/>
    </row>
    <row r="178" spans="1:23" ht="15.75" customHeight="1" x14ac:dyDescent="0.25">
      <c r="A178" s="13" t="s">
        <v>1299</v>
      </c>
      <c r="B178" s="178" t="s">
        <v>138</v>
      </c>
      <c r="C178" s="178" t="str">
        <f>VLOOKUP(A178,CUSTOMER!$A:$C,3,0)</f>
        <v>COOP_AUC_GOLDEN</v>
      </c>
      <c r="D178" s="178" t="s">
        <v>674</v>
      </c>
      <c r="E178" s="178" t="str">
        <f>VLOOKUP(A178,CUSTOMER!$A$2:$H$1094,5,0)</f>
        <v>VAVANCY-VU MINH TUAN</v>
      </c>
      <c r="F178" s="178" t="str">
        <f>VLOOKUP(A178,CUSTOMER!$A$2:$I$1094,6,0)</f>
        <v>LE THI HONG DIEP</v>
      </c>
      <c r="G178" s="178" t="s">
        <v>676</v>
      </c>
      <c r="H178" s="179">
        <f t="shared" si="15"/>
        <v>4292942.7874455247</v>
      </c>
      <c r="I178" s="180">
        <f t="shared" si="16"/>
        <v>0</v>
      </c>
      <c r="J178" s="181">
        <f t="shared" si="17"/>
        <v>0</v>
      </c>
      <c r="K178" s="182">
        <v>0</v>
      </c>
      <c r="L178" s="180" t="str">
        <f t="shared" si="21"/>
        <v/>
      </c>
      <c r="M178" s="218">
        <f>SUMIFS(DATA!$L:$L,DATA!$O:$O,$B178,DATA!$N:$N,$A178,DATA!$M:$M,'SALES BY SYSTEM'!$O$1)</f>
        <v>0</v>
      </c>
      <c r="N178" s="182">
        <v>1305501.643477547</v>
      </c>
      <c r="O178" s="180">
        <f t="shared" si="18"/>
        <v>0</v>
      </c>
      <c r="P178" s="218">
        <f>SUMIFS(DATA!$L:$L,DATA!$O:$O,$B178,DATA!$N:$N,$A178,DATA!$M:$M,'SALES BY SYSTEM'!$O$2)</f>
        <v>0</v>
      </c>
      <c r="Q178" s="182">
        <v>2987441.1439679773</v>
      </c>
      <c r="R178" s="180">
        <f t="shared" si="19"/>
        <v>0</v>
      </c>
      <c r="S178" s="218">
        <f>SUMIFS(DATA!$L:$L,DATA!$O:$O,$B178,DATA!$N:$N,$A178,DATA!$M:$M,'SALES BY SYSTEM'!$O$4)</f>
        <v>0</v>
      </c>
      <c r="T178" s="182">
        <v>0</v>
      </c>
      <c r="U178" s="180" t="str">
        <f t="shared" si="20"/>
        <v/>
      </c>
      <c r="V178" s="218">
        <f>SUMIFS(DATA!$L:$L,DATA!$O:$O,$B178,DATA!$N:$N,$A178,DATA!$M:$M,'SALES BY SYSTEM'!$O$3)</f>
        <v>0</v>
      </c>
      <c r="W178" s="168"/>
    </row>
    <row r="179" spans="1:23" ht="15.75" customHeight="1" x14ac:dyDescent="0.25">
      <c r="A179" s="178" t="s">
        <v>174</v>
      </c>
      <c r="B179" s="178" t="s">
        <v>138</v>
      </c>
      <c r="C179" s="178" t="str">
        <f>VLOOKUP(A179,CUSTOMER!$A:$C,3,0)</f>
        <v>COOP_HDONG</v>
      </c>
      <c r="D179" s="178" t="s">
        <v>674</v>
      </c>
      <c r="E179" s="178" t="str">
        <f>VLOOKUP(A179,CUSTOMER!$A$2:$H$1094,5,0)</f>
        <v>VAVANCY-VU MINH TUAN</v>
      </c>
      <c r="F179" s="178" t="str">
        <f>VLOOKUP(A179,CUSTOMER!$A$2:$I$1094,6,0)</f>
        <v>LE THI HONG DIEP</v>
      </c>
      <c r="G179" s="178" t="s">
        <v>676</v>
      </c>
      <c r="H179" s="179">
        <f t="shared" si="15"/>
        <v>4292942.7874455247</v>
      </c>
      <c r="I179" s="180">
        <f t="shared" si="16"/>
        <v>0</v>
      </c>
      <c r="J179" s="181">
        <f t="shared" si="17"/>
        <v>0</v>
      </c>
      <c r="K179" s="182">
        <v>0</v>
      </c>
      <c r="L179" s="180" t="str">
        <f t="shared" si="21"/>
        <v/>
      </c>
      <c r="M179" s="218">
        <f>SUMIFS(DATA!$L:$L,DATA!$O:$O,$B179,DATA!$N:$N,$A179,DATA!$M:$M,'SALES BY SYSTEM'!$O$1)</f>
        <v>0</v>
      </c>
      <c r="N179" s="182">
        <v>1305501.643477547</v>
      </c>
      <c r="O179" s="180">
        <f t="shared" si="18"/>
        <v>0</v>
      </c>
      <c r="P179" s="218">
        <f>SUMIFS(DATA!$L:$L,DATA!$O:$O,$B179,DATA!$N:$N,$A179,DATA!$M:$M,'SALES BY SYSTEM'!$O$2)</f>
        <v>0</v>
      </c>
      <c r="Q179" s="182">
        <v>2987441.1439679773</v>
      </c>
      <c r="R179" s="180">
        <f t="shared" si="19"/>
        <v>0</v>
      </c>
      <c r="S179" s="218">
        <f>SUMIFS(DATA!$L:$L,DATA!$O:$O,$B179,DATA!$N:$N,$A179,DATA!$M:$M,'SALES BY SYSTEM'!$O$4)</f>
        <v>0</v>
      </c>
      <c r="T179" s="182">
        <v>0</v>
      </c>
      <c r="U179" s="180" t="str">
        <f t="shared" si="20"/>
        <v/>
      </c>
      <c r="V179" s="218">
        <f>SUMIFS(DATA!$L:$L,DATA!$O:$O,$B179,DATA!$N:$N,$A179,DATA!$M:$M,'SALES BY SYSTEM'!$O$3)</f>
        <v>0</v>
      </c>
      <c r="W179" s="168"/>
    </row>
    <row r="180" spans="1:23" ht="15.75" customHeight="1" x14ac:dyDescent="0.25">
      <c r="A180" s="178" t="s">
        <v>236</v>
      </c>
      <c r="B180" s="178" t="s">
        <v>138</v>
      </c>
      <c r="C180" s="178" t="str">
        <f>VLOOKUP(A180,CUSTOMER!$A:$C,3,0)</f>
        <v>COOP_HNOI</v>
      </c>
      <c r="D180" s="178" t="s">
        <v>674</v>
      </c>
      <c r="E180" s="178" t="str">
        <f>VLOOKUP(A180,CUSTOMER!$A$2:$H$1094,5,0)</f>
        <v>VAVANCY-VU MINH TUAN</v>
      </c>
      <c r="F180" s="178" t="str">
        <f>VLOOKUP(A180,CUSTOMER!$A$2:$I$1094,6,0)</f>
        <v>LE THI HONG DIEP</v>
      </c>
      <c r="G180" s="178" t="s">
        <v>676</v>
      </c>
      <c r="H180" s="179">
        <f t="shared" si="15"/>
        <v>4292942.7874455247</v>
      </c>
      <c r="I180" s="180">
        <f t="shared" si="16"/>
        <v>0</v>
      </c>
      <c r="J180" s="181">
        <f t="shared" si="17"/>
        <v>0</v>
      </c>
      <c r="K180" s="182">
        <v>0</v>
      </c>
      <c r="L180" s="180" t="str">
        <f t="shared" si="21"/>
        <v/>
      </c>
      <c r="M180" s="218">
        <f>SUMIFS(DATA!$L:$L,DATA!$O:$O,$B180,DATA!$N:$N,$A180,DATA!$M:$M,'SALES BY SYSTEM'!$O$1)</f>
        <v>0</v>
      </c>
      <c r="N180" s="182">
        <v>1305501.643477547</v>
      </c>
      <c r="O180" s="180">
        <f t="shared" si="18"/>
        <v>0</v>
      </c>
      <c r="P180" s="218">
        <f>SUMIFS(DATA!$L:$L,DATA!$O:$O,$B180,DATA!$N:$N,$A180,DATA!$M:$M,'SALES BY SYSTEM'!$O$2)</f>
        <v>0</v>
      </c>
      <c r="Q180" s="182">
        <v>2987441.1439679773</v>
      </c>
      <c r="R180" s="180">
        <f t="shared" si="19"/>
        <v>0</v>
      </c>
      <c r="S180" s="218">
        <f>SUMIFS(DATA!$L:$L,DATA!$O:$O,$B180,DATA!$N:$N,$A180,DATA!$M:$M,'SALES BY SYSTEM'!$O$4)</f>
        <v>0</v>
      </c>
      <c r="T180" s="182">
        <v>0</v>
      </c>
      <c r="U180" s="180" t="str">
        <f t="shared" si="20"/>
        <v/>
      </c>
      <c r="V180" s="218">
        <f>SUMIFS(DATA!$L:$L,DATA!$O:$O,$B180,DATA!$N:$N,$A180,DATA!$M:$M,'SALES BY SYSTEM'!$O$3)</f>
        <v>0</v>
      </c>
      <c r="W180" s="168"/>
    </row>
    <row r="181" spans="1:23" ht="15.75" customHeight="1" x14ac:dyDescent="0.25">
      <c r="A181" s="178" t="s">
        <v>1331</v>
      </c>
      <c r="B181" s="178" t="s">
        <v>16</v>
      </c>
      <c r="C181" s="178" t="str">
        <f>VLOOKUP(A181,CUSTOMER!$A:$C,3,0)</f>
        <v>COOP_NLB</v>
      </c>
      <c r="D181" s="178" t="s">
        <v>674</v>
      </c>
      <c r="E181" s="178" t="str">
        <f>VLOOKUP(A181,CUSTOMER!$A$2:$H$1094,5,0)</f>
        <v>VAVANCY-VU MINH TUAN</v>
      </c>
      <c r="F181" s="178" t="str">
        <f>VLOOKUP(A181,CUSTOMER!$A$2:$I$1094,6,0)</f>
        <v>TRAN THI THANH TRUC</v>
      </c>
      <c r="G181" s="178" t="s">
        <v>676</v>
      </c>
      <c r="H181" s="179">
        <f t="shared" si="15"/>
        <v>4292942.7874455247</v>
      </c>
      <c r="I181" s="180">
        <f t="shared" si="16"/>
        <v>0</v>
      </c>
      <c r="J181" s="181">
        <f t="shared" si="17"/>
        <v>0</v>
      </c>
      <c r="K181" s="182">
        <v>0</v>
      </c>
      <c r="L181" s="180" t="str">
        <f t="shared" si="21"/>
        <v/>
      </c>
      <c r="M181" s="218">
        <f>SUMIFS(DATA!$L:$L,DATA!$O:$O,$B181,DATA!$N:$N,$A181,DATA!$M:$M,'SALES BY SYSTEM'!$O$1)</f>
        <v>0</v>
      </c>
      <c r="N181" s="182">
        <v>1305501.643477547</v>
      </c>
      <c r="O181" s="180">
        <f t="shared" si="18"/>
        <v>0</v>
      </c>
      <c r="P181" s="218">
        <f>SUMIFS(DATA!$L:$L,DATA!$O:$O,$B181,DATA!$N:$N,$A181,DATA!$M:$M,'SALES BY SYSTEM'!$O$2)</f>
        <v>0</v>
      </c>
      <c r="Q181" s="182">
        <v>2987441.1439679773</v>
      </c>
      <c r="R181" s="180">
        <f t="shared" si="19"/>
        <v>0</v>
      </c>
      <c r="S181" s="218">
        <f>SUMIFS(DATA!$L:$L,DATA!$O:$O,$B181,DATA!$N:$N,$A181,DATA!$M:$M,'SALES BY SYSTEM'!$O$4)</f>
        <v>0</v>
      </c>
      <c r="T181" s="182">
        <v>0</v>
      </c>
      <c r="U181" s="180" t="str">
        <f t="shared" si="20"/>
        <v/>
      </c>
      <c r="V181" s="218">
        <f>SUMIFS(DATA!$L:$L,DATA!$O:$O,$B181,DATA!$N:$N,$A181,DATA!$M:$M,'SALES BY SYSTEM'!$O$3)</f>
        <v>0</v>
      </c>
      <c r="W181" s="168"/>
    </row>
    <row r="182" spans="1:23" ht="15.75" customHeight="1" x14ac:dyDescent="0.25">
      <c r="A182" s="178" t="s">
        <v>238</v>
      </c>
      <c r="B182" s="178" t="s">
        <v>138</v>
      </c>
      <c r="C182" s="178" t="str">
        <f>VLOOKUP(A182,CUSTOMER!$A:$C,3,0)</f>
        <v>COOP_PVTRI</v>
      </c>
      <c r="D182" s="178" t="s">
        <v>674</v>
      </c>
      <c r="E182" s="178" t="str">
        <f>VLOOKUP(A182,CUSTOMER!$A$2:$H$1094,5,0)</f>
        <v>VAVANCY-VU MINH TUAN</v>
      </c>
      <c r="F182" s="178" t="str">
        <f>VLOOKUP(A182,CUSTOMER!$A$2:$I$1094,6,0)</f>
        <v>TRAN THI THANH TRUC</v>
      </c>
      <c r="G182" s="178" t="s">
        <v>676</v>
      </c>
      <c r="H182" s="179">
        <f t="shared" si="15"/>
        <v>4292942.7874455247</v>
      </c>
      <c r="I182" s="180">
        <f t="shared" si="16"/>
        <v>0</v>
      </c>
      <c r="J182" s="181">
        <f t="shared" si="17"/>
        <v>0</v>
      </c>
      <c r="K182" s="182">
        <v>0</v>
      </c>
      <c r="L182" s="180" t="str">
        <f t="shared" si="21"/>
        <v/>
      </c>
      <c r="M182" s="218">
        <f>SUMIFS(DATA!$L:$L,DATA!$O:$O,$B182,DATA!$N:$N,$A182,DATA!$M:$M,'SALES BY SYSTEM'!$O$1)</f>
        <v>0</v>
      </c>
      <c r="N182" s="182">
        <v>1305501.643477547</v>
      </c>
      <c r="O182" s="180">
        <f t="shared" si="18"/>
        <v>0</v>
      </c>
      <c r="P182" s="218">
        <f>SUMIFS(DATA!$L:$L,DATA!$O:$O,$B182,DATA!$N:$N,$A182,DATA!$M:$M,'SALES BY SYSTEM'!$O$2)</f>
        <v>0</v>
      </c>
      <c r="Q182" s="182">
        <v>2987441.1439679773</v>
      </c>
      <c r="R182" s="180">
        <f t="shared" si="19"/>
        <v>0</v>
      </c>
      <c r="S182" s="218">
        <f>SUMIFS(DATA!$L:$L,DATA!$O:$O,$B182,DATA!$N:$N,$A182,DATA!$M:$M,'SALES BY SYSTEM'!$O$4)</f>
        <v>0</v>
      </c>
      <c r="T182" s="182">
        <v>0</v>
      </c>
      <c r="U182" s="180" t="str">
        <f t="shared" si="20"/>
        <v/>
      </c>
      <c r="V182" s="218">
        <f>SUMIFS(DATA!$L:$L,DATA!$O:$O,$B182,DATA!$N:$N,$A182,DATA!$M:$M,'SALES BY SYSTEM'!$O$3)</f>
        <v>0</v>
      </c>
      <c r="W182" s="168"/>
    </row>
    <row r="183" spans="1:23" ht="15.75" customHeight="1" x14ac:dyDescent="0.25">
      <c r="A183" s="178" t="s">
        <v>146</v>
      </c>
      <c r="B183" s="178" t="s">
        <v>138</v>
      </c>
      <c r="C183" s="178" t="str">
        <f>VLOOKUP(A183,CUSTOMER!$A:$C,3,0)</f>
        <v>COOP_PLAM</v>
      </c>
      <c r="D183" s="178" t="s">
        <v>674</v>
      </c>
      <c r="E183" s="178" t="str">
        <f>VLOOKUP(A183,CUSTOMER!$A$2:$H$1094,5,0)</f>
        <v>VAVANCY-VU MINH TUAN</v>
      </c>
      <c r="F183" s="178" t="str">
        <f>VLOOKUP(A183,CUSTOMER!$A$2:$I$1094,6,0)</f>
        <v>TRAN THI THANH TRUC</v>
      </c>
      <c r="G183" s="178" t="s">
        <v>676</v>
      </c>
      <c r="H183" s="179">
        <f t="shared" si="15"/>
        <v>4292942.7874455247</v>
      </c>
      <c r="I183" s="180">
        <f t="shared" si="16"/>
        <v>0</v>
      </c>
      <c r="J183" s="181">
        <f t="shared" si="17"/>
        <v>0</v>
      </c>
      <c r="K183" s="182">
        <v>0</v>
      </c>
      <c r="L183" s="180" t="str">
        <f t="shared" si="21"/>
        <v/>
      </c>
      <c r="M183" s="218">
        <f>SUMIFS(DATA!$L:$L,DATA!$O:$O,$B183,DATA!$N:$N,$A183,DATA!$M:$M,'SALES BY SYSTEM'!$O$1)</f>
        <v>0</v>
      </c>
      <c r="N183" s="182">
        <v>1305501.643477547</v>
      </c>
      <c r="O183" s="180">
        <f t="shared" si="18"/>
        <v>0</v>
      </c>
      <c r="P183" s="218">
        <f>SUMIFS(DATA!$L:$L,DATA!$O:$O,$B183,DATA!$N:$N,$A183,DATA!$M:$M,'SALES BY SYSTEM'!$O$2)</f>
        <v>0</v>
      </c>
      <c r="Q183" s="182">
        <v>2987441.1439679773</v>
      </c>
      <c r="R183" s="180">
        <f t="shared" si="19"/>
        <v>0</v>
      </c>
      <c r="S183" s="218">
        <f>SUMIFS(DATA!$L:$L,DATA!$O:$O,$B183,DATA!$N:$N,$A183,DATA!$M:$M,'SALES BY SYSTEM'!$O$4)</f>
        <v>0</v>
      </c>
      <c r="T183" s="182">
        <v>0</v>
      </c>
      <c r="U183" s="180" t="str">
        <f t="shared" si="20"/>
        <v/>
      </c>
      <c r="V183" s="218">
        <f>SUMIFS(DATA!$L:$L,DATA!$O:$O,$B183,DATA!$N:$N,$A183,DATA!$M:$M,'SALES BY SYSTEM'!$O$3)</f>
        <v>0</v>
      </c>
      <c r="W183" s="168"/>
    </row>
    <row r="184" spans="1:23" ht="15.75" customHeight="1" x14ac:dyDescent="0.25">
      <c r="A184" s="178" t="s">
        <v>192</v>
      </c>
      <c r="B184" s="178" t="s">
        <v>138</v>
      </c>
      <c r="C184" s="178" t="str">
        <f>VLOOKUP(A184,CUSTOMER!$A:$C,3,0)</f>
        <v>COOP_PTHO</v>
      </c>
      <c r="D184" s="178" t="s">
        <v>674</v>
      </c>
      <c r="E184" s="178" t="str">
        <f>VLOOKUP(A184,CUSTOMER!$A$2:$H$1094,5,0)</f>
        <v>VAVANCY-VU MINH TUAN</v>
      </c>
      <c r="F184" s="178" t="str">
        <f>VLOOKUP(A184,CUSTOMER!$A$2:$I$1094,6,0)</f>
        <v>TRAN THI THANH TRUC</v>
      </c>
      <c r="G184" s="178" t="s">
        <v>676</v>
      </c>
      <c r="H184" s="179">
        <f t="shared" si="15"/>
        <v>4292942.7874455247</v>
      </c>
      <c r="I184" s="180">
        <f t="shared" si="16"/>
        <v>0</v>
      </c>
      <c r="J184" s="181">
        <f t="shared" si="17"/>
        <v>0</v>
      </c>
      <c r="K184" s="182">
        <v>0</v>
      </c>
      <c r="L184" s="180" t="str">
        <f t="shared" si="21"/>
        <v/>
      </c>
      <c r="M184" s="218">
        <f>SUMIFS(DATA!$L:$L,DATA!$O:$O,$B184,DATA!$N:$N,$A184,DATA!$M:$M,'SALES BY SYSTEM'!$O$1)</f>
        <v>0</v>
      </c>
      <c r="N184" s="182">
        <v>1305501.643477547</v>
      </c>
      <c r="O184" s="180">
        <f t="shared" si="18"/>
        <v>0</v>
      </c>
      <c r="P184" s="218">
        <f>SUMIFS(DATA!$L:$L,DATA!$O:$O,$B184,DATA!$N:$N,$A184,DATA!$M:$M,'SALES BY SYSTEM'!$O$2)</f>
        <v>0</v>
      </c>
      <c r="Q184" s="182">
        <v>2987441.1439679773</v>
      </c>
      <c r="R184" s="180">
        <f t="shared" si="19"/>
        <v>0</v>
      </c>
      <c r="S184" s="218">
        <f>SUMIFS(DATA!$L:$L,DATA!$O:$O,$B184,DATA!$N:$N,$A184,DATA!$M:$M,'SALES BY SYSTEM'!$O$4)</f>
        <v>0</v>
      </c>
      <c r="T184" s="182">
        <v>0</v>
      </c>
      <c r="U184" s="180" t="str">
        <f t="shared" si="20"/>
        <v/>
      </c>
      <c r="V184" s="218">
        <f>SUMIFS(DATA!$L:$L,DATA!$O:$O,$B184,DATA!$N:$N,$A184,DATA!$M:$M,'SALES BY SYSTEM'!$O$3)</f>
        <v>0</v>
      </c>
      <c r="W184" s="168"/>
    </row>
    <row r="185" spans="1:23" ht="15.75" customHeight="1" x14ac:dyDescent="0.25">
      <c r="A185" s="178" t="s">
        <v>166</v>
      </c>
      <c r="B185" s="178" t="s">
        <v>138</v>
      </c>
      <c r="C185" s="178" t="str">
        <f>VLOOKUP(A185,CUSTOMER!$A:$C,3,0)</f>
        <v>COOP_COSA</v>
      </c>
      <c r="D185" s="178" t="s">
        <v>674</v>
      </c>
      <c r="E185" s="178" t="str">
        <f>VLOOKUP(A185,CUSTOMER!$A$2:$H$1094,5,0)</f>
        <v>VAVANCY-VU MINH TUAN</v>
      </c>
      <c r="F185" s="178" t="str">
        <f>VLOOKUP(A185,CUSTOMER!$A$2:$I$1094,6,0)</f>
        <v>TRAN THI THANH TRUC</v>
      </c>
      <c r="G185" s="178" t="s">
        <v>676</v>
      </c>
      <c r="H185" s="179">
        <f t="shared" si="15"/>
        <v>4292942.7874455247</v>
      </c>
      <c r="I185" s="180">
        <f t="shared" si="16"/>
        <v>0</v>
      </c>
      <c r="J185" s="181">
        <f t="shared" si="17"/>
        <v>0</v>
      </c>
      <c r="K185" s="182">
        <v>0</v>
      </c>
      <c r="L185" s="180" t="str">
        <f t="shared" si="21"/>
        <v/>
      </c>
      <c r="M185" s="218">
        <f>SUMIFS(DATA!$L:$L,DATA!$O:$O,$B185,DATA!$N:$N,$A185,DATA!$M:$M,'SALES BY SYSTEM'!$O$1)</f>
        <v>0</v>
      </c>
      <c r="N185" s="182">
        <v>1305501.643477547</v>
      </c>
      <c r="O185" s="180">
        <f t="shared" si="18"/>
        <v>0</v>
      </c>
      <c r="P185" s="218">
        <f>SUMIFS(DATA!$L:$L,DATA!$O:$O,$B185,DATA!$N:$N,$A185,DATA!$M:$M,'SALES BY SYSTEM'!$O$2)</f>
        <v>0</v>
      </c>
      <c r="Q185" s="182">
        <v>2987441.1439679773</v>
      </c>
      <c r="R185" s="180">
        <f t="shared" si="19"/>
        <v>0</v>
      </c>
      <c r="S185" s="218">
        <f>SUMIFS(DATA!$L:$L,DATA!$O:$O,$B185,DATA!$N:$N,$A185,DATA!$M:$M,'SALES BY SYSTEM'!$O$4)</f>
        <v>0</v>
      </c>
      <c r="T185" s="182">
        <v>0</v>
      </c>
      <c r="U185" s="180" t="str">
        <f t="shared" si="20"/>
        <v/>
      </c>
      <c r="V185" s="218">
        <f>SUMIFS(DATA!$L:$L,DATA!$O:$O,$B185,DATA!$N:$N,$A185,DATA!$M:$M,'SALES BY SYSTEM'!$O$3)</f>
        <v>0</v>
      </c>
      <c r="W185" s="168"/>
    </row>
    <row r="186" spans="1:23" ht="15.75" customHeight="1" x14ac:dyDescent="0.25">
      <c r="A186" s="178" t="s">
        <v>168</v>
      </c>
      <c r="B186" s="178" t="s">
        <v>138</v>
      </c>
      <c r="C186" s="178" t="str">
        <f>VLOOKUP(A186,CUSTOMER!$A:$C,3,0)</f>
        <v>COOP_RMIEU</v>
      </c>
      <c r="D186" s="178" t="s">
        <v>674</v>
      </c>
      <c r="E186" s="178" t="str">
        <f>VLOOKUP(A186,CUSTOMER!$A$2:$H$1094,5,0)</f>
        <v>VAVANCY-VU MINH TUAN</v>
      </c>
      <c r="F186" s="178" t="str">
        <f>VLOOKUP(A186,CUSTOMER!$A$2:$I$1094,6,0)</f>
        <v>TRAN THI THANH TRUC</v>
      </c>
      <c r="G186" s="178" t="s">
        <v>676</v>
      </c>
      <c r="H186" s="179">
        <f t="shared" si="15"/>
        <v>4292942.7874455247</v>
      </c>
      <c r="I186" s="180">
        <f t="shared" si="16"/>
        <v>0</v>
      </c>
      <c r="J186" s="181">
        <f t="shared" si="17"/>
        <v>0</v>
      </c>
      <c r="K186" s="182">
        <v>0</v>
      </c>
      <c r="L186" s="180" t="str">
        <f t="shared" si="21"/>
        <v/>
      </c>
      <c r="M186" s="218">
        <f>SUMIFS(DATA!$L:$L,DATA!$O:$O,$B186,DATA!$N:$N,$A186,DATA!$M:$M,'SALES BY SYSTEM'!$O$1)</f>
        <v>0</v>
      </c>
      <c r="N186" s="182">
        <v>1305501.643477547</v>
      </c>
      <c r="O186" s="180">
        <f t="shared" si="18"/>
        <v>0</v>
      </c>
      <c r="P186" s="218">
        <f>SUMIFS(DATA!$L:$L,DATA!$O:$O,$B186,DATA!$N:$N,$A186,DATA!$M:$M,'SALES BY SYSTEM'!$O$2)</f>
        <v>0</v>
      </c>
      <c r="Q186" s="182">
        <v>2987441.1439679773</v>
      </c>
      <c r="R186" s="180">
        <f t="shared" si="19"/>
        <v>0</v>
      </c>
      <c r="S186" s="218">
        <f>SUMIFS(DATA!$L:$L,DATA!$O:$O,$B186,DATA!$N:$N,$A186,DATA!$M:$M,'SALES BY SYSTEM'!$O$4)</f>
        <v>0</v>
      </c>
      <c r="T186" s="182">
        <v>0</v>
      </c>
      <c r="U186" s="180" t="str">
        <f t="shared" si="20"/>
        <v/>
      </c>
      <c r="V186" s="218">
        <f>SUMIFS(DATA!$L:$L,DATA!$O:$O,$B186,DATA!$N:$N,$A186,DATA!$M:$M,'SALES BY SYSTEM'!$O$3)</f>
        <v>0</v>
      </c>
      <c r="W186" s="168"/>
    </row>
    <row r="187" spans="1:23" ht="15.75" customHeight="1" x14ac:dyDescent="0.25">
      <c r="A187" s="178" t="s">
        <v>300</v>
      </c>
      <c r="B187" s="178" t="s">
        <v>138</v>
      </c>
      <c r="C187" s="178" t="str">
        <f>VLOOKUP(A187,CUSTOMER!$A:$C,3,0)</f>
        <v>COOP_TLTCHINH</v>
      </c>
      <c r="D187" s="178" t="s">
        <v>674</v>
      </c>
      <c r="E187" s="178" t="str">
        <f>VLOOKUP(A187,CUSTOMER!$A$2:$H$1094,5,0)</f>
        <v>VAVANCY-VU MINH TUAN</v>
      </c>
      <c r="F187" s="178" t="str">
        <f>VLOOKUP(A187,CUSTOMER!$A$2:$I$1094,6,0)</f>
        <v>TRAN THI THANH TRUC</v>
      </c>
      <c r="G187" s="178" t="s">
        <v>676</v>
      </c>
      <c r="H187" s="179">
        <f t="shared" si="15"/>
        <v>4292942.7874455247</v>
      </c>
      <c r="I187" s="180">
        <f t="shared" si="16"/>
        <v>0</v>
      </c>
      <c r="J187" s="181">
        <f t="shared" si="17"/>
        <v>0</v>
      </c>
      <c r="K187" s="182">
        <v>0</v>
      </c>
      <c r="L187" s="180" t="str">
        <f t="shared" si="21"/>
        <v/>
      </c>
      <c r="M187" s="218">
        <f>SUMIFS(DATA!$L:$L,DATA!$O:$O,$B187,DATA!$N:$N,$A187,DATA!$M:$M,'SALES BY SYSTEM'!$O$1)</f>
        <v>0</v>
      </c>
      <c r="N187" s="182">
        <v>1305501.643477547</v>
      </c>
      <c r="O187" s="180">
        <f t="shared" si="18"/>
        <v>0</v>
      </c>
      <c r="P187" s="218">
        <f>SUMIFS(DATA!$L:$L,DATA!$O:$O,$B187,DATA!$N:$N,$A187,DATA!$M:$M,'SALES BY SYSTEM'!$O$2)</f>
        <v>0</v>
      </c>
      <c r="Q187" s="182">
        <v>2987441.1439679773</v>
      </c>
      <c r="R187" s="180">
        <f t="shared" si="19"/>
        <v>0</v>
      </c>
      <c r="S187" s="218">
        <f>SUMIFS(DATA!$L:$L,DATA!$O:$O,$B187,DATA!$N:$N,$A187,DATA!$M:$M,'SALES BY SYSTEM'!$O$4)</f>
        <v>0</v>
      </c>
      <c r="T187" s="182">
        <v>0</v>
      </c>
      <c r="U187" s="180" t="str">
        <f t="shared" si="20"/>
        <v/>
      </c>
      <c r="V187" s="218">
        <f>SUMIFS(DATA!$L:$L,DATA!$O:$O,$B187,DATA!$N:$N,$A187,DATA!$M:$M,'SALES BY SYSTEM'!$O$3)</f>
        <v>0</v>
      </c>
      <c r="W187" s="168"/>
    </row>
    <row r="188" spans="1:23" ht="15.75" customHeight="1" x14ac:dyDescent="0.25">
      <c r="A188" s="178" t="s">
        <v>220</v>
      </c>
      <c r="B188" s="178" t="s">
        <v>138</v>
      </c>
      <c r="C188" s="178" t="str">
        <f>VLOOKUP(A188,CUSTOMER!$A:$C,3,0)</f>
        <v>COOP_TLV</v>
      </c>
      <c r="D188" s="178" t="s">
        <v>674</v>
      </c>
      <c r="E188" s="178" t="str">
        <f>VLOOKUP(A188,CUSTOMER!$A$2:$H$1094,5,0)</f>
        <v>VAVANCY-VU MINH TUAN</v>
      </c>
      <c r="F188" s="178" t="str">
        <f>VLOOKUP(A188,CUSTOMER!$A$2:$I$1094,6,0)</f>
        <v>TRAN THI THANH TRUC</v>
      </c>
      <c r="G188" s="178" t="s">
        <v>676</v>
      </c>
      <c r="H188" s="179">
        <f t="shared" si="15"/>
        <v>4292942.7874455247</v>
      </c>
      <c r="I188" s="180">
        <f t="shared" si="16"/>
        <v>0</v>
      </c>
      <c r="J188" s="181">
        <f t="shared" si="17"/>
        <v>0</v>
      </c>
      <c r="K188" s="182">
        <v>0</v>
      </c>
      <c r="L188" s="180" t="str">
        <f t="shared" si="21"/>
        <v/>
      </c>
      <c r="M188" s="218">
        <f>SUMIFS(DATA!$L:$L,DATA!$O:$O,$B188,DATA!$N:$N,$A188,DATA!$M:$M,'SALES BY SYSTEM'!$O$1)</f>
        <v>0</v>
      </c>
      <c r="N188" s="182">
        <v>1305501.643477547</v>
      </c>
      <c r="O188" s="180">
        <f t="shared" si="18"/>
        <v>0</v>
      </c>
      <c r="P188" s="218">
        <f>SUMIFS(DATA!$L:$L,DATA!$O:$O,$B188,DATA!$N:$N,$A188,DATA!$M:$M,'SALES BY SYSTEM'!$O$2)</f>
        <v>0</v>
      </c>
      <c r="Q188" s="182">
        <v>2987441.1439679773</v>
      </c>
      <c r="R188" s="180">
        <f t="shared" si="19"/>
        <v>0</v>
      </c>
      <c r="S188" s="218">
        <f>SUMIFS(DATA!$L:$L,DATA!$O:$O,$B188,DATA!$N:$N,$A188,DATA!$M:$M,'SALES BY SYSTEM'!$O$4)</f>
        <v>0</v>
      </c>
      <c r="T188" s="182">
        <v>0</v>
      </c>
      <c r="U188" s="180" t="str">
        <f t="shared" si="20"/>
        <v/>
      </c>
      <c r="V188" s="218">
        <f>SUMIFS(DATA!$L:$L,DATA!$O:$O,$B188,DATA!$N:$N,$A188,DATA!$M:$M,'SALES BY SYSTEM'!$O$3)</f>
        <v>0</v>
      </c>
      <c r="W188" s="168"/>
    </row>
    <row r="189" spans="1:23" ht="15.75" customHeight="1" x14ac:dyDescent="0.25">
      <c r="A189" s="178" t="s">
        <v>1236</v>
      </c>
      <c r="B189" s="178" t="s">
        <v>138</v>
      </c>
      <c r="C189" s="178" t="str">
        <f>VLOOKUP(A189,CUSTOMER!$A:$C,3,0)</f>
        <v>COOP_VLOCB</v>
      </c>
      <c r="D189" s="178" t="s">
        <v>674</v>
      </c>
      <c r="E189" s="178" t="str">
        <f>VLOOKUP(A189,CUSTOMER!$A$2:$H$1094,5,0)</f>
        <v>VAVANCY-VU MINH TUAN</v>
      </c>
      <c r="F189" s="178" t="str">
        <f>VLOOKUP(A189,CUSTOMER!$A$2:$I$1094,6,0)</f>
        <v>TRAN THI THANH TRUC</v>
      </c>
      <c r="G189" s="178" t="str">
        <f>VLOOKUP(A189,CUSTOMER!$A$2:$J$1094,7,0)</f>
        <v>"NO PG"</v>
      </c>
      <c r="H189" s="179">
        <f t="shared" si="15"/>
        <v>4292942.7874455247</v>
      </c>
      <c r="I189" s="180">
        <f t="shared" si="16"/>
        <v>0</v>
      </c>
      <c r="J189" s="181">
        <f t="shared" si="17"/>
        <v>0</v>
      </c>
      <c r="K189" s="182">
        <v>0</v>
      </c>
      <c r="L189" s="180" t="str">
        <f t="shared" si="21"/>
        <v/>
      </c>
      <c r="M189" s="218">
        <f>SUMIFS(DATA!$L:$L,DATA!$O:$O,$B189,DATA!$N:$N,$A189,DATA!$M:$M,'SALES BY SYSTEM'!$O$1)</f>
        <v>0</v>
      </c>
      <c r="N189" s="182">
        <v>1305501.643477547</v>
      </c>
      <c r="O189" s="180">
        <f t="shared" si="18"/>
        <v>0</v>
      </c>
      <c r="P189" s="218">
        <f>SUMIFS(DATA!$L:$L,DATA!$O:$O,$B189,DATA!$N:$N,$A189,DATA!$M:$M,'SALES BY SYSTEM'!$O$2)</f>
        <v>0</v>
      </c>
      <c r="Q189" s="182">
        <v>2987441.1439679773</v>
      </c>
      <c r="R189" s="180">
        <f t="shared" si="19"/>
        <v>0</v>
      </c>
      <c r="S189" s="218">
        <f>SUMIFS(DATA!$L:$L,DATA!$O:$O,$B189,DATA!$N:$N,$A189,DATA!$M:$M,'SALES BY SYSTEM'!$O$4)</f>
        <v>0</v>
      </c>
      <c r="T189" s="182">
        <v>0</v>
      </c>
      <c r="U189" s="180" t="str">
        <f t="shared" si="20"/>
        <v/>
      </c>
      <c r="V189" s="218">
        <f>SUMIFS(DATA!$L:$L,DATA!$O:$O,$B189,DATA!$N:$N,$A189,DATA!$M:$M,'SALES BY SYSTEM'!$O$3)</f>
        <v>0</v>
      </c>
      <c r="W189" s="168"/>
    </row>
    <row r="190" spans="1:23" ht="15.75" customHeight="1" x14ac:dyDescent="0.25">
      <c r="A190" s="178" t="s">
        <v>280</v>
      </c>
      <c r="B190" s="178" t="s">
        <v>138</v>
      </c>
      <c r="C190" s="178" t="str">
        <f>VLOOKUP(A190,CUSTOMER!$A:$C,3,0)</f>
        <v>COOP_XLHN</v>
      </c>
      <c r="D190" s="178" t="s">
        <v>674</v>
      </c>
      <c r="E190" s="178" t="str">
        <f>VLOOKUP(A190,CUSTOMER!$A$2:$H$1094,5,0)</f>
        <v>VAVANCY-VU MINH TUAN</v>
      </c>
      <c r="F190" s="178" t="str">
        <f>VLOOKUP(A190,CUSTOMER!$A$2:$I$1094,6,0)</f>
        <v>TRAN THI THANH TRUC</v>
      </c>
      <c r="G190" s="178" t="s">
        <v>676</v>
      </c>
      <c r="H190" s="179">
        <f t="shared" si="15"/>
        <v>4292942.7874455247</v>
      </c>
      <c r="I190" s="180">
        <f t="shared" si="16"/>
        <v>0</v>
      </c>
      <c r="J190" s="181">
        <f t="shared" si="17"/>
        <v>0</v>
      </c>
      <c r="K190" s="182">
        <v>0</v>
      </c>
      <c r="L190" s="180" t="str">
        <f t="shared" si="21"/>
        <v/>
      </c>
      <c r="M190" s="218">
        <f>SUMIFS(DATA!$L:$L,DATA!$O:$O,$B190,DATA!$N:$N,$A190,DATA!$M:$M,'SALES BY SYSTEM'!$O$1)</f>
        <v>0</v>
      </c>
      <c r="N190" s="182">
        <v>1305501.643477547</v>
      </c>
      <c r="O190" s="180">
        <f t="shared" si="18"/>
        <v>0</v>
      </c>
      <c r="P190" s="218">
        <f>SUMIFS(DATA!$L:$L,DATA!$O:$O,$B190,DATA!$N:$N,$A190,DATA!$M:$M,'SALES BY SYSTEM'!$O$2)</f>
        <v>0</v>
      </c>
      <c r="Q190" s="182">
        <v>2987441.1439679773</v>
      </c>
      <c r="R190" s="180">
        <f t="shared" si="19"/>
        <v>0</v>
      </c>
      <c r="S190" s="218">
        <f>SUMIFS(DATA!$L:$L,DATA!$O:$O,$B190,DATA!$N:$N,$A190,DATA!$M:$M,'SALES BY SYSTEM'!$O$4)</f>
        <v>0</v>
      </c>
      <c r="T190" s="182">
        <v>0</v>
      </c>
      <c r="U190" s="180" t="str">
        <f t="shared" si="20"/>
        <v/>
      </c>
      <c r="V190" s="218">
        <f>SUMIFS(DATA!$L:$L,DATA!$O:$O,$B190,DATA!$N:$N,$A190,DATA!$M:$M,'SALES BY SYSTEM'!$O$3)</f>
        <v>0</v>
      </c>
      <c r="W190" s="168"/>
    </row>
    <row r="191" spans="1:23" ht="15.75" customHeight="1" x14ac:dyDescent="0.25">
      <c r="A191" s="139" t="s">
        <v>488</v>
      </c>
      <c r="B191" s="139" t="s">
        <v>432</v>
      </c>
      <c r="C191" s="178" t="str">
        <f>VLOOKUP(A191,CUSTOMER!$A:$C,3,0)</f>
        <v>BIGC_ANLAC</v>
      </c>
      <c r="D191" s="178" t="s">
        <v>674</v>
      </c>
      <c r="E191" s="178" t="str">
        <f>VLOOKUP(A191,CUSTOMER!$A$2:$H$1094,5,0)</f>
        <v>LE NAM PHUONG</v>
      </c>
      <c r="F191" s="178" t="str">
        <f>VLOOKUP(A191,CUSTOMER!$A$2:$I$1094,6,0)</f>
        <v>NGUYEN THI OANH</v>
      </c>
      <c r="G191" s="178" t="s">
        <v>676</v>
      </c>
      <c r="H191" s="179">
        <f t="shared" si="15"/>
        <v>3048175.6441255342</v>
      </c>
      <c r="I191" s="180">
        <f t="shared" si="16"/>
        <v>0</v>
      </c>
      <c r="J191" s="181">
        <f t="shared" si="17"/>
        <v>0</v>
      </c>
      <c r="K191" s="182">
        <v>0</v>
      </c>
      <c r="L191" s="180" t="str">
        <f t="shared" si="21"/>
        <v/>
      </c>
      <c r="M191" s="218">
        <f>SUMIFS(DATA!$L:$L,DATA!$O:$O,$B191,DATA!$N:$N,$A191,DATA!$M:$M,'SALES BY SYSTEM'!$O$1)</f>
        <v>0</v>
      </c>
      <c r="N191" s="182">
        <v>1305501.643477547</v>
      </c>
      <c r="O191" s="180">
        <f t="shared" si="18"/>
        <v>0</v>
      </c>
      <c r="P191" s="218">
        <f>SUMIFS(DATA!$L:$L,DATA!$O:$O,$B191,DATA!$N:$N,$A191,DATA!$M:$M,'SALES BY SYSTEM'!$O$2)</f>
        <v>0</v>
      </c>
      <c r="Q191" s="182">
        <v>1742674.0006479872</v>
      </c>
      <c r="R191" s="180">
        <f t="shared" si="19"/>
        <v>0</v>
      </c>
      <c r="S191" s="218">
        <f>SUMIFS(DATA!$L:$L,DATA!$O:$O,$B191,DATA!$N:$N,$A191,DATA!$M:$M,'SALES BY SYSTEM'!$O$4)</f>
        <v>0</v>
      </c>
      <c r="T191" s="182">
        <v>0</v>
      </c>
      <c r="U191" s="180" t="str">
        <f t="shared" si="20"/>
        <v/>
      </c>
      <c r="V191" s="218">
        <f>SUMIFS(DATA!$L:$L,DATA!$O:$O,$B191,DATA!$N:$N,$A191,DATA!$M:$M,'SALES BY SYSTEM'!$O$3)</f>
        <v>0</v>
      </c>
      <c r="W191" s="168"/>
    </row>
    <row r="192" spans="1:23" ht="15.75" customHeight="1" x14ac:dyDescent="0.25">
      <c r="A192" s="178" t="s">
        <v>232</v>
      </c>
      <c r="B192" s="178" t="s">
        <v>138</v>
      </c>
      <c r="C192" s="178" t="str">
        <f>VLOOKUP(A192,CUSTOMER!$A:$C,3,0)</f>
        <v>COOP_VTHANH</v>
      </c>
      <c r="D192" s="178" t="s">
        <v>674</v>
      </c>
      <c r="E192" s="178" t="str">
        <f>VLOOKUP(A192,CUSTOMER!$A$2:$H$1094,5,0)</f>
        <v>VAVANCY-VU MINH TUAN</v>
      </c>
      <c r="F192" s="178" t="str">
        <f>VLOOKUP(A192,CUSTOMER!$A$2:$I$1094,6,0)</f>
        <v>VACANCY</v>
      </c>
      <c r="G192" s="178" t="s">
        <v>676</v>
      </c>
      <c r="H192" s="179">
        <f t="shared" si="15"/>
        <v>2550268.7867975375</v>
      </c>
      <c r="I192" s="180">
        <f t="shared" si="16"/>
        <v>0</v>
      </c>
      <c r="J192" s="181">
        <f t="shared" si="17"/>
        <v>0</v>
      </c>
      <c r="K192" s="182">
        <v>0</v>
      </c>
      <c r="L192" s="180" t="str">
        <f t="shared" si="21"/>
        <v/>
      </c>
      <c r="M192" s="218">
        <f>SUMIFS(DATA!$L:$L,DATA!$O:$O,$B192,DATA!$N:$N,$A192,DATA!$M:$M,'SALES BY SYSTEM'!$O$1)</f>
        <v>0</v>
      </c>
      <c r="N192" s="182">
        <v>1305501.643477547</v>
      </c>
      <c r="O192" s="180">
        <f t="shared" si="18"/>
        <v>0</v>
      </c>
      <c r="P192" s="218">
        <f>SUMIFS(DATA!$L:$L,DATA!$O:$O,$B192,DATA!$N:$N,$A192,DATA!$M:$M,'SALES BY SYSTEM'!$O$2)</f>
        <v>0</v>
      </c>
      <c r="Q192" s="182">
        <v>1244767.1433199905</v>
      </c>
      <c r="R192" s="180">
        <f t="shared" si="19"/>
        <v>0</v>
      </c>
      <c r="S192" s="218">
        <f>SUMIFS(DATA!$L:$L,DATA!$O:$O,$B192,DATA!$N:$N,$A192,DATA!$M:$M,'SALES BY SYSTEM'!$O$4)</f>
        <v>0</v>
      </c>
      <c r="T192" s="182">
        <v>0</v>
      </c>
      <c r="U192" s="180" t="str">
        <f t="shared" si="20"/>
        <v/>
      </c>
      <c r="V192" s="218">
        <f>SUMIFS(DATA!$L:$L,DATA!$O:$O,$B192,DATA!$N:$N,$A192,DATA!$M:$M,'SALES BY SYSTEM'!$O$3)</f>
        <v>0</v>
      </c>
      <c r="W192" s="168"/>
    </row>
    <row r="193" spans="1:23" ht="15.75" customHeight="1" x14ac:dyDescent="0.25">
      <c r="A193" s="178" t="s">
        <v>1258</v>
      </c>
      <c r="B193" s="178" t="s">
        <v>138</v>
      </c>
      <c r="C193" s="178" t="str">
        <f>VLOOKUP(A193,CUSTOMER!$A:$C,3,0)</f>
        <v>COOP_BTRIEU</v>
      </c>
      <c r="D193" s="178" t="s">
        <v>674</v>
      </c>
      <c r="E193" s="178" t="str">
        <f>VLOOKUP(A193,CUSTOMER!$A$2:$H$1094,5,0)</f>
        <v>VAVANCY-VU MINH TUAN</v>
      </c>
      <c r="F193" s="178" t="str">
        <f>VLOOKUP(A193,CUSTOMER!$A$2:$I$1094,6,0)</f>
        <v>TRAN THI THANH TRUC</v>
      </c>
      <c r="G193" s="178" t="s">
        <v>676</v>
      </c>
      <c r="H193" s="179">
        <f t="shared" si="15"/>
        <v>2301315.3581335396</v>
      </c>
      <c r="I193" s="180">
        <f t="shared" si="16"/>
        <v>0</v>
      </c>
      <c r="J193" s="181">
        <f t="shared" si="17"/>
        <v>0</v>
      </c>
      <c r="K193" s="182">
        <v>0</v>
      </c>
      <c r="L193" s="180" t="str">
        <f t="shared" si="21"/>
        <v/>
      </c>
      <c r="M193" s="218">
        <f>SUMIFS(DATA!$L:$L,DATA!$O:$O,$B193,DATA!$N:$N,$A193,DATA!$M:$M,'SALES BY SYSTEM'!$O$1)</f>
        <v>0</v>
      </c>
      <c r="N193" s="182">
        <v>1305501.643477547</v>
      </c>
      <c r="O193" s="180">
        <f t="shared" si="18"/>
        <v>0</v>
      </c>
      <c r="P193" s="218">
        <f>SUMIFS(DATA!$L:$L,DATA!$O:$O,$B193,DATA!$N:$N,$A193,DATA!$M:$M,'SALES BY SYSTEM'!$O$2)</f>
        <v>0</v>
      </c>
      <c r="Q193" s="182">
        <v>995813.71465599257</v>
      </c>
      <c r="R193" s="180">
        <f t="shared" si="19"/>
        <v>0</v>
      </c>
      <c r="S193" s="218">
        <f>SUMIFS(DATA!$L:$L,DATA!$O:$O,$B193,DATA!$N:$N,$A193,DATA!$M:$M,'SALES BY SYSTEM'!$O$4)</f>
        <v>0</v>
      </c>
      <c r="T193" s="182">
        <v>0</v>
      </c>
      <c r="U193" s="180" t="str">
        <f t="shared" si="20"/>
        <v/>
      </c>
      <c r="V193" s="218">
        <f>SUMIFS(DATA!$L:$L,DATA!$O:$O,$B193,DATA!$N:$N,$A193,DATA!$M:$M,'SALES BY SYSTEM'!$O$3)</f>
        <v>0</v>
      </c>
      <c r="W193" s="168"/>
    </row>
    <row r="194" spans="1:23" ht="15.75" customHeight="1" x14ac:dyDescent="0.25">
      <c r="A194" s="178" t="s">
        <v>284</v>
      </c>
      <c r="B194" s="178" t="s">
        <v>138</v>
      </c>
      <c r="C194" s="178" t="str">
        <f>VLOOKUP(A194,CUSTOMER!$A:$C,3,0)</f>
        <v>COOP_QTRI</v>
      </c>
      <c r="D194" s="178" t="s">
        <v>674</v>
      </c>
      <c r="E194" s="178" t="str">
        <f>VLOOKUP(A194,CUSTOMER!$A$2:$H$1094,5,0)</f>
        <v>VAVANCY-VU MINH TUAN</v>
      </c>
      <c r="F194" s="178" t="str">
        <f>VLOOKUP(A194,CUSTOMER!$A$2:$I$1094,6,0)</f>
        <v>TRAN THI THANH TRUC</v>
      </c>
      <c r="G194" s="178" t="s">
        <v>676</v>
      </c>
      <c r="H194" s="179">
        <f t="shared" si="15"/>
        <v>1305501.643477547</v>
      </c>
      <c r="I194" s="180">
        <f t="shared" si="16"/>
        <v>0</v>
      </c>
      <c r="J194" s="181">
        <f t="shared" si="17"/>
        <v>0</v>
      </c>
      <c r="K194" s="182">
        <v>0</v>
      </c>
      <c r="L194" s="180" t="str">
        <f t="shared" si="21"/>
        <v/>
      </c>
      <c r="M194" s="218">
        <f>SUMIFS(DATA!$L:$L,DATA!$O:$O,$B194,DATA!$N:$N,$A194,DATA!$M:$M,'SALES BY SYSTEM'!$O$1)</f>
        <v>0</v>
      </c>
      <c r="N194" s="182">
        <v>1305501.643477547</v>
      </c>
      <c r="O194" s="180">
        <f t="shared" si="18"/>
        <v>0</v>
      </c>
      <c r="P194" s="218">
        <f>SUMIFS(DATA!$L:$L,DATA!$O:$O,$B194,DATA!$N:$N,$A194,DATA!$M:$M,'SALES BY SYSTEM'!$O$2)</f>
        <v>0</v>
      </c>
      <c r="Q194" s="182">
        <v>0</v>
      </c>
      <c r="R194" s="180" t="str">
        <f t="shared" si="19"/>
        <v/>
      </c>
      <c r="S194" s="218">
        <f>SUMIFS(DATA!$L:$L,DATA!$O:$O,$B194,DATA!$N:$N,$A194,DATA!$M:$M,'SALES BY SYSTEM'!$O$4)</f>
        <v>0</v>
      </c>
      <c r="T194" s="182">
        <v>0</v>
      </c>
      <c r="U194" s="180" t="str">
        <f t="shared" si="20"/>
        <v/>
      </c>
      <c r="V194" s="218">
        <f>SUMIFS(DATA!$L:$L,DATA!$O:$O,$B194,DATA!$N:$N,$A194,DATA!$M:$M,'SALES BY SYSTEM'!$O$3)</f>
        <v>0</v>
      </c>
      <c r="W194" s="168"/>
    </row>
    <row r="195" spans="1:23" ht="15.75" customHeight="1" x14ac:dyDescent="0.25">
      <c r="A195" s="178" t="s">
        <v>646</v>
      </c>
      <c r="B195" s="178" t="s">
        <v>646</v>
      </c>
      <c r="C195" s="178" t="str">
        <f>VLOOKUP(A195,CUSTOMER!$A:$C,3,0)</f>
        <v>4032</v>
      </c>
      <c r="D195" s="178" t="s">
        <v>674</v>
      </c>
      <c r="E195" s="178" t="str">
        <f>VLOOKUP(A195,CUSTOMER!$A$2:$H$1094,5,0)</f>
        <v>TRAN THI THAO NGUYEN</v>
      </c>
      <c r="F195" s="178" t="str">
        <f>VLOOKUP(A195,CUSTOMER!$A$2:$I$1094,6,0)</f>
        <v>NGUYEN THI MUON</v>
      </c>
      <c r="G195" s="178" t="s">
        <v>676</v>
      </c>
      <c r="H195" s="179">
        <f t="shared" ref="H195:H258" si="22">SUM(K195,N195,Q195,T195)</f>
        <v>1305501.643477547</v>
      </c>
      <c r="I195" s="180">
        <f t="shared" ref="I195:I258" si="23">IFERROR(J195/H195,"")</f>
        <v>0</v>
      </c>
      <c r="J195" s="181">
        <f t="shared" ref="J195:J258" si="24">SUM(M195,P195,S195,V195)</f>
        <v>0</v>
      </c>
      <c r="K195" s="182">
        <v>0</v>
      </c>
      <c r="L195" s="180" t="str">
        <f t="shared" si="21"/>
        <v/>
      </c>
      <c r="M195" s="218">
        <f>SUMIFS(DATA!$L:$L,DATA!$O:$O,$B195,DATA!$N:$N,$A195,DATA!$M:$M,'SALES BY SYSTEM'!$O$1)</f>
        <v>0</v>
      </c>
      <c r="N195" s="182">
        <v>1305501.643477547</v>
      </c>
      <c r="O195" s="180">
        <f t="shared" ref="O195:O258" si="25">IFERROR(P195/N195,"")</f>
        <v>0</v>
      </c>
      <c r="P195" s="218">
        <f>SUMIFS(DATA!$L:$L,DATA!$O:$O,$B195,DATA!$N:$N,$A195,DATA!$M:$M,'SALES BY SYSTEM'!$O$2)</f>
        <v>0</v>
      </c>
      <c r="Q195" s="182">
        <v>0</v>
      </c>
      <c r="R195" s="180" t="str">
        <f t="shared" ref="R195:R258" si="26">IFERROR(S195/Q195,"")</f>
        <v/>
      </c>
      <c r="S195" s="218">
        <f>SUMIFS(DATA!$L:$L,DATA!$O:$O,$B195,DATA!$N:$N,$A195,DATA!$M:$M,'SALES BY SYSTEM'!$O$4)</f>
        <v>0</v>
      </c>
      <c r="T195" s="182">
        <v>0</v>
      </c>
      <c r="U195" s="180" t="str">
        <f t="shared" ref="U195:U258" si="27">IFERROR(V195/T195,"")</f>
        <v/>
      </c>
      <c r="V195" s="218">
        <f>SUMIFS(DATA!$L:$L,DATA!$O:$O,$B195,DATA!$N:$N,$A195,DATA!$M:$M,'SALES BY SYSTEM'!$O$3)</f>
        <v>0</v>
      </c>
      <c r="W195" s="168"/>
    </row>
    <row r="196" spans="1:23" ht="15.75" customHeight="1" x14ac:dyDescent="0.25">
      <c r="A196" s="178" t="s">
        <v>614</v>
      </c>
      <c r="B196" s="178" t="s">
        <v>598</v>
      </c>
      <c r="C196" s="178" t="str">
        <f>VLOOKUP(A196,CUSTOMER!$A:$C,3,0)</f>
        <v>SD_SYRENA</v>
      </c>
      <c r="D196" s="178" t="s">
        <v>674</v>
      </c>
      <c r="E196" s="178" t="str">
        <f>VLOOKUP(A196,CUSTOMER!$A$2:$H$1094,5,0)</f>
        <v>TRAN THI THAO NGUYEN</v>
      </c>
      <c r="F196" s="178" t="str">
        <f>VLOOKUP(A196,CUSTOMER!$A$2:$I$1094,6,0)</f>
        <v>LE THI HONG DIEP</v>
      </c>
      <c r="G196" s="178" t="str">
        <f>VLOOKUP(A196,CUSTOMER!$A$2:$J$1094,7,0)</f>
        <v>"NO PG"</v>
      </c>
      <c r="H196" s="179">
        <f t="shared" si="22"/>
        <v>7311753.7528312448</v>
      </c>
      <c r="I196" s="180">
        <f t="shared" si="23"/>
        <v>0</v>
      </c>
      <c r="J196" s="181">
        <f t="shared" si="24"/>
        <v>0</v>
      </c>
      <c r="K196" s="182">
        <v>0</v>
      </c>
      <c r="L196" s="180" t="str">
        <f t="shared" si="21"/>
        <v/>
      </c>
      <c r="M196" s="218">
        <f>SUMIFS(DATA!$L:$L,DATA!$O:$O,$B196,DATA!$N:$N,$A196,DATA!$M:$M,'SALES BY SYSTEM'!$O$1)</f>
        <v>0</v>
      </c>
      <c r="N196" s="182">
        <v>1087918.0362312889</v>
      </c>
      <c r="O196" s="180">
        <f t="shared" si="25"/>
        <v>0</v>
      </c>
      <c r="P196" s="218">
        <f>SUMIFS(DATA!$L:$L,DATA!$O:$O,$B196,DATA!$N:$N,$A196,DATA!$M:$M,'SALES BY SYSTEM'!$O$2)</f>
        <v>0</v>
      </c>
      <c r="Q196" s="182">
        <v>6223835.7165999562</v>
      </c>
      <c r="R196" s="180">
        <f t="shared" si="26"/>
        <v>0</v>
      </c>
      <c r="S196" s="218">
        <f>SUMIFS(DATA!$L:$L,DATA!$O:$O,$B196,DATA!$N:$N,$A196,DATA!$M:$M,'SALES BY SYSTEM'!$O$4)</f>
        <v>0</v>
      </c>
      <c r="T196" s="182">
        <v>0</v>
      </c>
      <c r="U196" s="180" t="str">
        <f t="shared" si="27"/>
        <v/>
      </c>
      <c r="V196" s="218">
        <f>SUMIFS(DATA!$L:$L,DATA!$O:$O,$B196,DATA!$N:$N,$A196,DATA!$M:$M,'SALES BY SYSTEM'!$O$3)</f>
        <v>0</v>
      </c>
      <c r="W196" s="168"/>
    </row>
    <row r="197" spans="1:23" ht="15.75" customHeight="1" x14ac:dyDescent="0.25">
      <c r="A197" s="178" t="s">
        <v>790</v>
      </c>
      <c r="B197" s="178" t="s">
        <v>598</v>
      </c>
      <c r="C197" s="178" t="str">
        <f>VLOOKUP(A197,CUSTOMER!$A:$C,3,0)</f>
        <v>SD_TIMESCITY</v>
      </c>
      <c r="D197" s="178" t="s">
        <v>674</v>
      </c>
      <c r="E197" s="178" t="str">
        <f>VLOOKUP(A197,CUSTOMER!$A$2:$H$1094,5,0)</f>
        <v>TRAN THI THAO NGUYEN</v>
      </c>
      <c r="F197" s="178" t="str">
        <f>VLOOKUP(A197,CUSTOMER!$A$2:$I$1094,6,0)</f>
        <v>LE THI HONG DIEP</v>
      </c>
      <c r="G197" s="178" t="str">
        <f>VLOOKUP(A197,CUSTOMER!$A$2:$J$1094,7,0)</f>
        <v>"NO PG"</v>
      </c>
      <c r="H197" s="179">
        <f t="shared" si="22"/>
        <v>7311753.7528312448</v>
      </c>
      <c r="I197" s="180">
        <f t="shared" si="23"/>
        <v>0</v>
      </c>
      <c r="J197" s="181">
        <f t="shared" si="24"/>
        <v>0</v>
      </c>
      <c r="K197" s="182">
        <v>0</v>
      </c>
      <c r="L197" s="180" t="str">
        <f t="shared" si="21"/>
        <v/>
      </c>
      <c r="M197" s="218">
        <f>SUMIFS(DATA!$L:$L,DATA!$O:$O,$B197,DATA!$N:$N,$A197,DATA!$M:$M,'SALES BY SYSTEM'!$O$1)</f>
        <v>0</v>
      </c>
      <c r="N197" s="182">
        <v>1087918.0362312889</v>
      </c>
      <c r="O197" s="180">
        <f t="shared" si="25"/>
        <v>0</v>
      </c>
      <c r="P197" s="218">
        <f>SUMIFS(DATA!$L:$L,DATA!$O:$O,$B197,DATA!$N:$N,$A197,DATA!$M:$M,'SALES BY SYSTEM'!$O$2)</f>
        <v>0</v>
      </c>
      <c r="Q197" s="182">
        <v>6223835.7165999562</v>
      </c>
      <c r="R197" s="180">
        <f t="shared" si="26"/>
        <v>0</v>
      </c>
      <c r="S197" s="218">
        <f>SUMIFS(DATA!$L:$L,DATA!$O:$O,$B197,DATA!$N:$N,$A197,DATA!$M:$M,'SALES BY SYSTEM'!$O$4)</f>
        <v>0</v>
      </c>
      <c r="T197" s="182">
        <v>0</v>
      </c>
      <c r="U197" s="180" t="str">
        <f t="shared" si="27"/>
        <v/>
      </c>
      <c r="V197" s="218">
        <f>SUMIFS(DATA!$L:$L,DATA!$O:$O,$B197,DATA!$N:$N,$A197,DATA!$M:$M,'SALES BY SYSTEM'!$O$3)</f>
        <v>0</v>
      </c>
      <c r="W197" s="168"/>
    </row>
    <row r="198" spans="1:23" ht="15.75" customHeight="1" x14ac:dyDescent="0.25">
      <c r="A198" s="178" t="s">
        <v>792</v>
      </c>
      <c r="B198" s="178" t="s">
        <v>598</v>
      </c>
      <c r="C198" s="178" t="str">
        <f>VLOOKUP(A198,CUSTOMER!$A:$C,3,0)</f>
        <v>SD_VINSMART</v>
      </c>
      <c r="D198" s="178" t="s">
        <v>674</v>
      </c>
      <c r="E198" s="178" t="str">
        <f>VLOOKUP(A198,CUSTOMER!$A$2:$H$1094,5,0)</f>
        <v>TRAN THI THAO NGUYEN</v>
      </c>
      <c r="F198" s="178" t="str">
        <f>VLOOKUP(A198,CUSTOMER!$A$2:$I$1094,6,0)</f>
        <v>LE THI HONG DIEP</v>
      </c>
      <c r="G198" s="178" t="str">
        <f>VLOOKUP(A198,CUSTOMER!$A$2:$J$1094,7,0)</f>
        <v>"NO PG"</v>
      </c>
      <c r="H198" s="179">
        <f t="shared" si="22"/>
        <v>7311753.7528312448</v>
      </c>
      <c r="I198" s="180">
        <f t="shared" si="23"/>
        <v>0</v>
      </c>
      <c r="J198" s="181">
        <f t="shared" si="24"/>
        <v>0</v>
      </c>
      <c r="K198" s="182">
        <v>0</v>
      </c>
      <c r="L198" s="180" t="str">
        <f t="shared" si="21"/>
        <v/>
      </c>
      <c r="M198" s="218">
        <f>SUMIFS(DATA!$L:$L,DATA!$O:$O,$B198,DATA!$N:$N,$A198,DATA!$M:$M,'SALES BY SYSTEM'!$O$1)</f>
        <v>0</v>
      </c>
      <c r="N198" s="182">
        <v>1087918.0362312889</v>
      </c>
      <c r="O198" s="180">
        <f t="shared" si="25"/>
        <v>0</v>
      </c>
      <c r="P198" s="218">
        <f>SUMIFS(DATA!$L:$L,DATA!$O:$O,$B198,DATA!$N:$N,$A198,DATA!$M:$M,'SALES BY SYSTEM'!$O$2)</f>
        <v>0</v>
      </c>
      <c r="Q198" s="182">
        <v>6223835.7165999562</v>
      </c>
      <c r="R198" s="180">
        <f t="shared" si="26"/>
        <v>0</v>
      </c>
      <c r="S198" s="218">
        <f>SUMIFS(DATA!$L:$L,DATA!$O:$O,$B198,DATA!$N:$N,$A198,DATA!$M:$M,'SALES BY SYSTEM'!$O$4)</f>
        <v>0</v>
      </c>
      <c r="T198" s="182">
        <v>0</v>
      </c>
      <c r="U198" s="180" t="str">
        <f t="shared" si="27"/>
        <v/>
      </c>
      <c r="V198" s="218">
        <f>SUMIFS(DATA!$L:$L,DATA!$O:$O,$B198,DATA!$N:$N,$A198,DATA!$M:$M,'SALES BY SYSTEM'!$O$3)</f>
        <v>0</v>
      </c>
      <c r="W198" s="168"/>
    </row>
    <row r="199" spans="1:23" ht="15.75" customHeight="1" x14ac:dyDescent="0.25">
      <c r="A199" s="178" t="s">
        <v>788</v>
      </c>
      <c r="B199" s="178" t="s">
        <v>598</v>
      </c>
      <c r="C199" s="178" t="str">
        <f>VLOOKUP(A199,CUSTOMER!$A:$C,3,0)</f>
        <v>SD_TDUC</v>
      </c>
      <c r="D199" s="178" t="s">
        <v>674</v>
      </c>
      <c r="E199" s="178" t="str">
        <f>VLOOKUP(A199,CUSTOMER!$A$2:$H$1094,5,0)</f>
        <v>TRAN THI THAO NGUYEN</v>
      </c>
      <c r="F199" s="178" t="str">
        <f>VLOOKUP(A199,CUSTOMER!$A$2:$I$1094,6,0)</f>
        <v>NGUYEN THI MUON</v>
      </c>
      <c r="G199" s="178" t="str">
        <f>VLOOKUP(A199,CUSTOMER!$A$2:$J$1094,7,0)</f>
        <v>"NO PG"</v>
      </c>
      <c r="H199" s="179">
        <f t="shared" si="22"/>
        <v>5102542.7162729995</v>
      </c>
      <c r="I199" s="180">
        <f t="shared" si="23"/>
        <v>0</v>
      </c>
      <c r="J199" s="181">
        <f t="shared" si="24"/>
        <v>0</v>
      </c>
      <c r="K199" s="182">
        <v>0</v>
      </c>
      <c r="L199" s="180" t="str">
        <f t="shared" si="21"/>
        <v/>
      </c>
      <c r="M199" s="218">
        <f>SUMIFS(DATA!$L:$L,DATA!$O:$O,$B199,DATA!$N:$N,$A199,DATA!$M:$M,'SALES BY SYSTEM'!$O$1)</f>
        <v>0</v>
      </c>
      <c r="N199" s="182">
        <v>870334.42898503155</v>
      </c>
      <c r="O199" s="180">
        <f t="shared" si="25"/>
        <v>0</v>
      </c>
      <c r="P199" s="218">
        <f>SUMIFS(DATA!$L:$L,DATA!$O:$O,$B199,DATA!$N:$N,$A199,DATA!$M:$M,'SALES BY SYSTEM'!$O$2)</f>
        <v>0</v>
      </c>
      <c r="Q199" s="182">
        <v>4232208.2872879682</v>
      </c>
      <c r="R199" s="180">
        <f t="shared" si="26"/>
        <v>0</v>
      </c>
      <c r="S199" s="218">
        <f>SUMIFS(DATA!$L:$L,DATA!$O:$O,$B199,DATA!$N:$N,$A199,DATA!$M:$M,'SALES BY SYSTEM'!$O$4)</f>
        <v>0</v>
      </c>
      <c r="T199" s="182">
        <v>0</v>
      </c>
      <c r="U199" s="180" t="str">
        <f t="shared" si="27"/>
        <v/>
      </c>
      <c r="V199" s="218">
        <f>SUMIFS(DATA!$L:$L,DATA!$O:$O,$B199,DATA!$N:$N,$A199,DATA!$M:$M,'SALES BY SYSTEM'!$O$3)</f>
        <v>0</v>
      </c>
      <c r="W199" s="168"/>
    </row>
    <row r="200" spans="1:23" ht="15.75" customHeight="1" x14ac:dyDescent="0.25">
      <c r="A200" s="178" t="s">
        <v>208</v>
      </c>
      <c r="B200" s="178" t="s">
        <v>138</v>
      </c>
      <c r="C200" s="178" t="str">
        <f>VLOOKUP(A200,CUSTOMER!$A:$C,3,0)</f>
        <v>COOP_CQUYNH</v>
      </c>
      <c r="D200" s="178" t="s">
        <v>674</v>
      </c>
      <c r="E200" s="178" t="str">
        <f>VLOOKUP(A200,CUSTOMER!$A$2:$H$1094,5,0)</f>
        <v>VAVANCY-VU MINH TUAN</v>
      </c>
      <c r="F200" s="178" t="str">
        <f>VLOOKUP(A200,CUSTOMER!$A$2:$I$1094,6,0)</f>
        <v>TRAN THI THANH TRUC</v>
      </c>
      <c r="G200" s="178" t="s">
        <v>676</v>
      </c>
      <c r="H200" s="179">
        <f t="shared" si="22"/>
        <v>4106729.0016170079</v>
      </c>
      <c r="I200" s="180">
        <f t="shared" si="23"/>
        <v>0</v>
      </c>
      <c r="J200" s="181">
        <f t="shared" si="24"/>
        <v>0</v>
      </c>
      <c r="K200" s="182">
        <v>0</v>
      </c>
      <c r="L200" s="180" t="str">
        <f t="shared" si="21"/>
        <v/>
      </c>
      <c r="M200" s="218">
        <f>SUMIFS(DATA!$L:$L,DATA!$O:$O,$B200,DATA!$N:$N,$A200,DATA!$M:$M,'SALES BY SYSTEM'!$O$1)</f>
        <v>0</v>
      </c>
      <c r="N200" s="182">
        <v>870334.42898503155</v>
      </c>
      <c r="O200" s="180">
        <f t="shared" si="25"/>
        <v>0</v>
      </c>
      <c r="P200" s="218">
        <f>SUMIFS(DATA!$L:$L,DATA!$O:$O,$B200,DATA!$N:$N,$A200,DATA!$M:$M,'SALES BY SYSTEM'!$O$2)</f>
        <v>0</v>
      </c>
      <c r="Q200" s="182">
        <v>3236394.5726319761</v>
      </c>
      <c r="R200" s="180">
        <f t="shared" si="26"/>
        <v>0</v>
      </c>
      <c r="S200" s="218">
        <f>SUMIFS(DATA!$L:$L,DATA!$O:$O,$B200,DATA!$N:$N,$A200,DATA!$M:$M,'SALES BY SYSTEM'!$O$4)</f>
        <v>0</v>
      </c>
      <c r="T200" s="182">
        <v>0</v>
      </c>
      <c r="U200" s="180" t="str">
        <f t="shared" si="27"/>
        <v/>
      </c>
      <c r="V200" s="218">
        <f>SUMIFS(DATA!$L:$L,DATA!$O:$O,$B200,DATA!$N:$N,$A200,DATA!$M:$M,'SALES BY SYSTEM'!$O$3)</f>
        <v>0</v>
      </c>
      <c r="W200" s="168"/>
    </row>
    <row r="201" spans="1:23" ht="15.75" customHeight="1" x14ac:dyDescent="0.25">
      <c r="A201" s="178" t="s">
        <v>210</v>
      </c>
      <c r="B201" s="178" t="s">
        <v>138</v>
      </c>
      <c r="C201" s="178" t="str">
        <f>VLOOKUP(A201,CUSTOMER!$A:$C,3,0)</f>
        <v>COOP_FL_URBANHILL</v>
      </c>
      <c r="D201" s="178" t="s">
        <v>674</v>
      </c>
      <c r="E201" s="178" t="str">
        <f>VLOOKUP(A201,CUSTOMER!$A$2:$H$1094,5,0)</f>
        <v>VAVANCY-VU MINH TUAN</v>
      </c>
      <c r="F201" s="178" t="str">
        <f>VLOOKUP(A201,CUSTOMER!$A$2:$I$1094,6,0)</f>
        <v>TRAN THI THANH TRUC</v>
      </c>
      <c r="G201" s="178" t="s">
        <v>676</v>
      </c>
      <c r="H201" s="179">
        <f t="shared" si="22"/>
        <v>3857775.572953009</v>
      </c>
      <c r="I201" s="180">
        <f t="shared" si="23"/>
        <v>0</v>
      </c>
      <c r="J201" s="181">
        <f t="shared" si="24"/>
        <v>0</v>
      </c>
      <c r="K201" s="182">
        <v>0</v>
      </c>
      <c r="L201" s="180" t="str">
        <f t="shared" si="21"/>
        <v/>
      </c>
      <c r="M201" s="218">
        <f>SUMIFS(DATA!$L:$L,DATA!$O:$O,$B201,DATA!$N:$N,$A201,DATA!$M:$M,'SALES BY SYSTEM'!$O$1)</f>
        <v>0</v>
      </c>
      <c r="N201" s="182">
        <v>870334.42898503155</v>
      </c>
      <c r="O201" s="180">
        <f t="shared" si="25"/>
        <v>0</v>
      </c>
      <c r="P201" s="218">
        <f>SUMIFS(DATA!$L:$L,DATA!$O:$O,$B201,DATA!$N:$N,$A201,DATA!$M:$M,'SALES BY SYSTEM'!$O$2)</f>
        <v>0</v>
      </c>
      <c r="Q201" s="182">
        <v>2987441.1439679773</v>
      </c>
      <c r="R201" s="180">
        <f t="shared" si="26"/>
        <v>0</v>
      </c>
      <c r="S201" s="218">
        <f>SUMIFS(DATA!$L:$L,DATA!$O:$O,$B201,DATA!$N:$N,$A201,DATA!$M:$M,'SALES BY SYSTEM'!$O$4)</f>
        <v>0</v>
      </c>
      <c r="T201" s="182">
        <v>0</v>
      </c>
      <c r="U201" s="180" t="str">
        <f t="shared" si="27"/>
        <v/>
      </c>
      <c r="V201" s="218">
        <f>SUMIFS(DATA!$L:$L,DATA!$O:$O,$B201,DATA!$N:$N,$A201,DATA!$M:$M,'SALES BY SYSTEM'!$O$3)</f>
        <v>0</v>
      </c>
      <c r="W201" s="168"/>
    </row>
    <row r="202" spans="1:23" ht="15.75" customHeight="1" x14ac:dyDescent="0.25">
      <c r="A202" s="178" t="s">
        <v>234</v>
      </c>
      <c r="B202" s="178" t="s">
        <v>138</v>
      </c>
      <c r="C202" s="178" t="str">
        <f>VLOOKUP(A202,CUSTOMER!$A:$C,3,0)</f>
        <v>COOP_LTK</v>
      </c>
      <c r="D202" s="178" t="s">
        <v>674</v>
      </c>
      <c r="E202" s="178" t="str">
        <f>VLOOKUP(A202,CUSTOMER!$A$2:$H$1094,5,0)</f>
        <v>VAVANCY-VU MINH TUAN</v>
      </c>
      <c r="F202" s="178" t="str">
        <f>VLOOKUP(A202,CUSTOMER!$A$2:$I$1094,6,0)</f>
        <v>TRAN THI THANH TRUC</v>
      </c>
      <c r="G202" s="178" t="s">
        <v>676</v>
      </c>
      <c r="H202" s="179">
        <f t="shared" si="22"/>
        <v>3857775.572953009</v>
      </c>
      <c r="I202" s="180">
        <f t="shared" si="23"/>
        <v>0</v>
      </c>
      <c r="J202" s="181">
        <f t="shared" si="24"/>
        <v>0</v>
      </c>
      <c r="K202" s="182">
        <v>0</v>
      </c>
      <c r="L202" s="180" t="str">
        <f t="shared" si="21"/>
        <v/>
      </c>
      <c r="M202" s="218">
        <f>SUMIFS(DATA!$L:$L,DATA!$O:$O,$B202,DATA!$N:$N,$A202,DATA!$M:$M,'SALES BY SYSTEM'!$O$1)</f>
        <v>0</v>
      </c>
      <c r="N202" s="182">
        <v>870334.42898503155</v>
      </c>
      <c r="O202" s="180">
        <f t="shared" si="25"/>
        <v>0</v>
      </c>
      <c r="P202" s="218">
        <f>SUMIFS(DATA!$L:$L,DATA!$O:$O,$B202,DATA!$N:$N,$A202,DATA!$M:$M,'SALES BY SYSTEM'!$O$2)</f>
        <v>0</v>
      </c>
      <c r="Q202" s="182">
        <v>2987441.1439679773</v>
      </c>
      <c r="R202" s="180">
        <f t="shared" si="26"/>
        <v>0</v>
      </c>
      <c r="S202" s="218">
        <f>SUMIFS(DATA!$L:$L,DATA!$O:$O,$B202,DATA!$N:$N,$A202,DATA!$M:$M,'SALES BY SYSTEM'!$O$4)</f>
        <v>0</v>
      </c>
      <c r="T202" s="182">
        <v>0</v>
      </c>
      <c r="U202" s="180" t="str">
        <f t="shared" si="27"/>
        <v/>
      </c>
      <c r="V202" s="218">
        <f>SUMIFS(DATA!$L:$L,DATA!$O:$O,$B202,DATA!$N:$N,$A202,DATA!$M:$M,'SALES BY SYSTEM'!$O$3)</f>
        <v>0</v>
      </c>
      <c r="W202" s="168"/>
    </row>
    <row r="203" spans="1:23" ht="15.75" customHeight="1" x14ac:dyDescent="0.25">
      <c r="A203" s="178" t="s">
        <v>240</v>
      </c>
      <c r="B203" s="178" t="s">
        <v>138</v>
      </c>
      <c r="C203" s="178" t="str">
        <f>VLOOKUP(A203,CUSTOMER!$A:$C,3,0)</f>
        <v>COOP_TMTAY</v>
      </c>
      <c r="D203" s="178" t="s">
        <v>674</v>
      </c>
      <c r="E203" s="178" t="str">
        <f>VLOOKUP(A203,CUSTOMER!$A$2:$H$1094,5,0)</f>
        <v>VAVANCY-VU MINH TUAN</v>
      </c>
      <c r="F203" s="178" t="str">
        <f>VLOOKUP(A203,CUSTOMER!$A$2:$I$1094,6,0)</f>
        <v>TRAN THI THANH TRUC</v>
      </c>
      <c r="G203" s="178" t="s">
        <v>676</v>
      </c>
      <c r="H203" s="179">
        <f t="shared" si="22"/>
        <v>3857775.572953009</v>
      </c>
      <c r="I203" s="180">
        <f t="shared" si="23"/>
        <v>0</v>
      </c>
      <c r="J203" s="181">
        <f t="shared" si="24"/>
        <v>0</v>
      </c>
      <c r="K203" s="182">
        <v>0</v>
      </c>
      <c r="L203" s="180" t="str">
        <f t="shared" si="21"/>
        <v/>
      </c>
      <c r="M203" s="218">
        <f>SUMIFS(DATA!$L:$L,DATA!$O:$O,$B203,DATA!$N:$N,$A203,DATA!$M:$M,'SALES BY SYSTEM'!$O$1)</f>
        <v>0</v>
      </c>
      <c r="N203" s="182">
        <v>870334.42898503155</v>
      </c>
      <c r="O203" s="180">
        <f t="shared" si="25"/>
        <v>0</v>
      </c>
      <c r="P203" s="218">
        <f>SUMIFS(DATA!$L:$L,DATA!$O:$O,$B203,DATA!$N:$N,$A203,DATA!$M:$M,'SALES BY SYSTEM'!$O$2)</f>
        <v>0</v>
      </c>
      <c r="Q203" s="182">
        <v>2987441.1439679773</v>
      </c>
      <c r="R203" s="180">
        <f t="shared" si="26"/>
        <v>0</v>
      </c>
      <c r="S203" s="218">
        <f>SUMIFS(DATA!$L:$L,DATA!$O:$O,$B203,DATA!$N:$N,$A203,DATA!$M:$M,'SALES BY SYSTEM'!$O$4)</f>
        <v>0</v>
      </c>
      <c r="T203" s="182">
        <v>0</v>
      </c>
      <c r="U203" s="180" t="str">
        <f t="shared" si="27"/>
        <v/>
      </c>
      <c r="V203" s="218">
        <f>SUMIFS(DATA!$L:$L,DATA!$O:$O,$B203,DATA!$N:$N,$A203,DATA!$M:$M,'SALES BY SYSTEM'!$O$3)</f>
        <v>0</v>
      </c>
      <c r="W203" s="168"/>
    </row>
    <row r="204" spans="1:23" ht="15.75" customHeight="1" x14ac:dyDescent="0.25">
      <c r="A204" s="178" t="s">
        <v>1329</v>
      </c>
      <c r="B204" s="178" t="s">
        <v>138</v>
      </c>
      <c r="C204" s="178" t="str">
        <f>VLOOKUP(A204,CUSTOMER!$A:$C,3,0)</f>
        <v>COOP_NBINH</v>
      </c>
      <c r="D204" s="178" t="s">
        <v>674</v>
      </c>
      <c r="E204" s="178" t="str">
        <f>VLOOKUP(A204,CUSTOMER!$A$2:$H$1094,5,0)</f>
        <v>VAVANCY-VU MINH TUAN</v>
      </c>
      <c r="F204" s="178" t="str">
        <f>VLOOKUP(A204,CUSTOMER!$A$2:$I$1094,6,0)</f>
        <v>TRAN THI THANH TRUC</v>
      </c>
      <c r="G204" s="178" t="s">
        <v>676</v>
      </c>
      <c r="H204" s="179">
        <f t="shared" si="22"/>
        <v>3857775.572953009</v>
      </c>
      <c r="I204" s="180">
        <f t="shared" si="23"/>
        <v>0</v>
      </c>
      <c r="J204" s="181">
        <f t="shared" si="24"/>
        <v>0</v>
      </c>
      <c r="K204" s="182">
        <v>0</v>
      </c>
      <c r="L204" s="180" t="str">
        <f t="shared" si="21"/>
        <v/>
      </c>
      <c r="M204" s="218">
        <f>SUMIFS(DATA!$L:$L,DATA!$O:$O,$B204,DATA!$N:$N,$A204,DATA!$M:$M,'SALES BY SYSTEM'!$O$1)</f>
        <v>0</v>
      </c>
      <c r="N204" s="182">
        <v>870334.42898503155</v>
      </c>
      <c r="O204" s="180">
        <f t="shared" si="25"/>
        <v>0</v>
      </c>
      <c r="P204" s="218">
        <f>SUMIFS(DATA!$L:$L,DATA!$O:$O,$B204,DATA!$N:$N,$A204,DATA!$M:$M,'SALES BY SYSTEM'!$O$2)</f>
        <v>0</v>
      </c>
      <c r="Q204" s="182">
        <v>2987441.1439679773</v>
      </c>
      <c r="R204" s="180">
        <f t="shared" si="26"/>
        <v>0</v>
      </c>
      <c r="S204" s="218">
        <f>SUMIFS(DATA!$L:$L,DATA!$O:$O,$B204,DATA!$N:$N,$A204,DATA!$M:$M,'SALES BY SYSTEM'!$O$4)</f>
        <v>0</v>
      </c>
      <c r="T204" s="182">
        <v>0</v>
      </c>
      <c r="U204" s="180" t="str">
        <f t="shared" si="27"/>
        <v/>
      </c>
      <c r="V204" s="218">
        <f>SUMIFS(DATA!$L:$L,DATA!$O:$O,$B204,DATA!$N:$N,$A204,DATA!$M:$M,'SALES BY SYSTEM'!$O$3)</f>
        <v>0</v>
      </c>
      <c r="W204" s="168"/>
    </row>
    <row r="205" spans="1:23" ht="15.75" customHeight="1" x14ac:dyDescent="0.25">
      <c r="A205" s="178" t="s">
        <v>224</v>
      </c>
      <c r="B205" s="178" t="s">
        <v>138</v>
      </c>
      <c r="C205" s="178" t="str">
        <f>VLOOKUP(A205,CUSTOMER!$A:$C,3,0)</f>
        <v>COOP_NDC</v>
      </c>
      <c r="D205" s="178" t="s">
        <v>674</v>
      </c>
      <c r="E205" s="178" t="str">
        <f>VLOOKUP(A205,CUSTOMER!$A$2:$H$1094,5,0)</f>
        <v>VAVANCY-VU MINH TUAN</v>
      </c>
      <c r="F205" s="178" t="str">
        <f>VLOOKUP(A205,CUSTOMER!$A$2:$I$1094,6,0)</f>
        <v>TRAN THI THANH TRUC</v>
      </c>
      <c r="G205" s="178" t="s">
        <v>676</v>
      </c>
      <c r="H205" s="179">
        <f t="shared" si="22"/>
        <v>3857775.572953009</v>
      </c>
      <c r="I205" s="180">
        <f t="shared" si="23"/>
        <v>0</v>
      </c>
      <c r="J205" s="181">
        <f t="shared" si="24"/>
        <v>0</v>
      </c>
      <c r="K205" s="182">
        <v>0</v>
      </c>
      <c r="L205" s="180" t="str">
        <f t="shared" ref="L205:L252" si="28">IFERROR(M205/K205,"")</f>
        <v/>
      </c>
      <c r="M205" s="218">
        <f>SUMIFS(DATA!$L:$L,DATA!$O:$O,$B205,DATA!$N:$N,$A205,DATA!$M:$M,'SALES BY SYSTEM'!$O$1)</f>
        <v>0</v>
      </c>
      <c r="N205" s="182">
        <v>870334.42898503155</v>
      </c>
      <c r="O205" s="180">
        <f t="shared" si="25"/>
        <v>0</v>
      </c>
      <c r="P205" s="218">
        <f>SUMIFS(DATA!$L:$L,DATA!$O:$O,$B205,DATA!$N:$N,$A205,DATA!$M:$M,'SALES BY SYSTEM'!$O$2)</f>
        <v>0</v>
      </c>
      <c r="Q205" s="182">
        <v>2987441.1439679773</v>
      </c>
      <c r="R205" s="180">
        <f t="shared" si="26"/>
        <v>0</v>
      </c>
      <c r="S205" s="218">
        <f>SUMIFS(DATA!$L:$L,DATA!$O:$O,$B205,DATA!$N:$N,$A205,DATA!$M:$M,'SALES BY SYSTEM'!$O$4)</f>
        <v>0</v>
      </c>
      <c r="T205" s="182">
        <v>0</v>
      </c>
      <c r="U205" s="180" t="str">
        <f t="shared" si="27"/>
        <v/>
      </c>
      <c r="V205" s="218">
        <f>SUMIFS(DATA!$L:$L,DATA!$O:$O,$B205,DATA!$N:$N,$A205,DATA!$M:$M,'SALES BY SYSTEM'!$O$3)</f>
        <v>0</v>
      </c>
      <c r="W205" s="168"/>
    </row>
    <row r="206" spans="1:23" ht="15.75" customHeight="1" x14ac:dyDescent="0.25">
      <c r="A206" s="178" t="s">
        <v>222</v>
      </c>
      <c r="B206" s="178" t="s">
        <v>138</v>
      </c>
      <c r="C206" s="178" t="str">
        <f>VLOOKUP(A206,CUSTOMER!$A:$C,3,0)</f>
        <v>COOP_PNHUAN</v>
      </c>
      <c r="D206" s="178" t="s">
        <v>674</v>
      </c>
      <c r="E206" s="178" t="str">
        <f>VLOOKUP(A206,CUSTOMER!$A$2:$H$1094,5,0)</f>
        <v>VAVANCY-VU MINH TUAN</v>
      </c>
      <c r="F206" s="178" t="str">
        <f>VLOOKUP(A206,CUSTOMER!$A$2:$I$1094,6,0)</f>
        <v>TRAN THI THANH TRUC</v>
      </c>
      <c r="G206" s="178" t="s">
        <v>676</v>
      </c>
      <c r="H206" s="179">
        <f t="shared" si="22"/>
        <v>3857775.572953009</v>
      </c>
      <c r="I206" s="180">
        <f t="shared" si="23"/>
        <v>0</v>
      </c>
      <c r="J206" s="181">
        <f t="shared" si="24"/>
        <v>0</v>
      </c>
      <c r="K206" s="182">
        <v>0</v>
      </c>
      <c r="L206" s="180" t="str">
        <f t="shared" si="28"/>
        <v/>
      </c>
      <c r="M206" s="218">
        <f>SUMIFS(DATA!$L:$L,DATA!$O:$O,$B206,DATA!$N:$N,$A206,DATA!$M:$M,'SALES BY SYSTEM'!$O$1)</f>
        <v>0</v>
      </c>
      <c r="N206" s="182">
        <v>870334.42898503155</v>
      </c>
      <c r="O206" s="180">
        <f t="shared" si="25"/>
        <v>0</v>
      </c>
      <c r="P206" s="218">
        <f>SUMIFS(DATA!$L:$L,DATA!$O:$O,$B206,DATA!$N:$N,$A206,DATA!$M:$M,'SALES BY SYSTEM'!$O$2)</f>
        <v>0</v>
      </c>
      <c r="Q206" s="182">
        <v>2987441.1439679773</v>
      </c>
      <c r="R206" s="180">
        <f t="shared" si="26"/>
        <v>0</v>
      </c>
      <c r="S206" s="218">
        <f>SUMIFS(DATA!$L:$L,DATA!$O:$O,$B206,DATA!$N:$N,$A206,DATA!$M:$M,'SALES BY SYSTEM'!$O$4)</f>
        <v>0</v>
      </c>
      <c r="T206" s="182">
        <v>0</v>
      </c>
      <c r="U206" s="180" t="str">
        <f t="shared" si="27"/>
        <v/>
      </c>
      <c r="V206" s="218">
        <f>SUMIFS(DATA!$L:$L,DATA!$O:$O,$B206,DATA!$N:$N,$A206,DATA!$M:$M,'SALES BY SYSTEM'!$O$3)</f>
        <v>0</v>
      </c>
      <c r="W206" s="168"/>
    </row>
    <row r="207" spans="1:23" ht="15.75" customHeight="1" x14ac:dyDescent="0.25">
      <c r="A207" s="178" t="s">
        <v>142</v>
      </c>
      <c r="B207" s="178" t="s">
        <v>138</v>
      </c>
      <c r="C207" s="178" t="str">
        <f>VLOOKUP(A207,CUSTOMER!$A:$C,3,0)</f>
        <v>COOP_NLOC</v>
      </c>
      <c r="D207" s="178" t="s">
        <v>674</v>
      </c>
      <c r="E207" s="178" t="str">
        <f>VLOOKUP(A207,CUSTOMER!$A$2:$H$1094,5,0)</f>
        <v>VAVANCY-VU MINH TUAN</v>
      </c>
      <c r="F207" s="178" t="str">
        <f>VLOOKUP(A207,CUSTOMER!$A$2:$I$1094,6,0)</f>
        <v>TRAN THI THANH TRUC</v>
      </c>
      <c r="G207" s="178" t="s">
        <v>676</v>
      </c>
      <c r="H207" s="179">
        <f t="shared" si="22"/>
        <v>3857775.572953009</v>
      </c>
      <c r="I207" s="180">
        <f t="shared" si="23"/>
        <v>0</v>
      </c>
      <c r="J207" s="181">
        <f t="shared" si="24"/>
        <v>0</v>
      </c>
      <c r="K207" s="182">
        <v>0</v>
      </c>
      <c r="L207" s="180" t="str">
        <f t="shared" si="28"/>
        <v/>
      </c>
      <c r="M207" s="218">
        <f>SUMIFS(DATA!$L:$L,DATA!$O:$O,$B207,DATA!$N:$N,$A207,DATA!$M:$M,'SALES BY SYSTEM'!$O$1)</f>
        <v>0</v>
      </c>
      <c r="N207" s="182">
        <v>870334.42898503155</v>
      </c>
      <c r="O207" s="180">
        <f t="shared" si="25"/>
        <v>0</v>
      </c>
      <c r="P207" s="218">
        <f>SUMIFS(DATA!$L:$L,DATA!$O:$O,$B207,DATA!$N:$N,$A207,DATA!$M:$M,'SALES BY SYSTEM'!$O$2)</f>
        <v>0</v>
      </c>
      <c r="Q207" s="182">
        <v>2987441.1439679773</v>
      </c>
      <c r="R207" s="180">
        <f t="shared" si="26"/>
        <v>0</v>
      </c>
      <c r="S207" s="218">
        <f>SUMIFS(DATA!$L:$L,DATA!$O:$O,$B207,DATA!$N:$N,$A207,DATA!$M:$M,'SALES BY SYSTEM'!$O$4)</f>
        <v>0</v>
      </c>
      <c r="T207" s="182">
        <v>0</v>
      </c>
      <c r="U207" s="180" t="str">
        <f t="shared" si="27"/>
        <v/>
      </c>
      <c r="V207" s="218">
        <f>SUMIFS(DATA!$L:$L,DATA!$O:$O,$B207,DATA!$N:$N,$A207,DATA!$M:$M,'SALES BY SYSTEM'!$O$3)</f>
        <v>0</v>
      </c>
      <c r="W207" s="168"/>
    </row>
    <row r="208" spans="1:23" ht="15.75" customHeight="1" x14ac:dyDescent="0.25">
      <c r="A208" s="178" t="s">
        <v>610</v>
      </c>
      <c r="B208" s="178" t="s">
        <v>598</v>
      </c>
      <c r="C208" s="178" t="str">
        <f>VLOOKUP(A208,CUSTOMER!$A:$C,3,0)</f>
        <v>SD_TERRACE</v>
      </c>
      <c r="D208" s="178" t="s">
        <v>674</v>
      </c>
      <c r="E208" s="178" t="str">
        <f>VLOOKUP(A208,CUSTOMER!$A$2:$H$1094,5,0)</f>
        <v>TRAN THI THAO NGUYEN</v>
      </c>
      <c r="F208" s="178" t="str">
        <f>VLOOKUP(A208,CUSTOMER!$A$2:$I$1094,6,0)</f>
        <v>NGUYEN THI MUON</v>
      </c>
      <c r="G208" s="178" t="str">
        <f>VLOOKUP(A208,CUSTOMER!$A$2:$J$1094,7,0)</f>
        <v>"NO PG"</v>
      </c>
      <c r="H208" s="179">
        <f t="shared" si="22"/>
        <v>3359868.7156250123</v>
      </c>
      <c r="I208" s="180">
        <f t="shared" si="23"/>
        <v>0</v>
      </c>
      <c r="J208" s="181">
        <f t="shared" si="24"/>
        <v>0</v>
      </c>
      <c r="K208" s="182">
        <v>0</v>
      </c>
      <c r="L208" s="180" t="str">
        <f t="shared" si="28"/>
        <v/>
      </c>
      <c r="M208" s="218">
        <f>SUMIFS(DATA!$L:$L,DATA!$O:$O,$B208,DATA!$N:$N,$A208,DATA!$M:$M,'SALES BY SYSTEM'!$O$1)</f>
        <v>0</v>
      </c>
      <c r="N208" s="182">
        <v>870334.42898503155</v>
      </c>
      <c r="O208" s="180">
        <f t="shared" si="25"/>
        <v>0</v>
      </c>
      <c r="P208" s="218">
        <f>SUMIFS(DATA!$L:$L,DATA!$O:$O,$B208,DATA!$N:$N,$A208,DATA!$M:$M,'SALES BY SYSTEM'!$O$2)</f>
        <v>0</v>
      </c>
      <c r="Q208" s="182">
        <v>2489534.286639981</v>
      </c>
      <c r="R208" s="180">
        <f t="shared" si="26"/>
        <v>0</v>
      </c>
      <c r="S208" s="218">
        <f>SUMIFS(DATA!$L:$L,DATA!$O:$O,$B208,DATA!$N:$N,$A208,DATA!$M:$M,'SALES BY SYSTEM'!$O$4)</f>
        <v>0</v>
      </c>
      <c r="T208" s="182">
        <v>0</v>
      </c>
      <c r="U208" s="180" t="str">
        <f t="shared" si="27"/>
        <v/>
      </c>
      <c r="V208" s="218">
        <f>SUMIFS(DATA!$L:$L,DATA!$O:$O,$B208,DATA!$N:$N,$A208,DATA!$M:$M,'SALES BY SYSTEM'!$O$3)</f>
        <v>0</v>
      </c>
      <c r="W208" s="168"/>
    </row>
    <row r="209" spans="1:23" ht="15.75" customHeight="1" x14ac:dyDescent="0.25">
      <c r="A209" s="178" t="s">
        <v>602</v>
      </c>
      <c r="B209" s="178" t="s">
        <v>598</v>
      </c>
      <c r="C209" s="178" t="str">
        <f>VLOOKUP(A209,CUSTOMER!$A:$C,3,0)</f>
        <v>SD_TDIEN</v>
      </c>
      <c r="D209" s="178" t="s">
        <v>674</v>
      </c>
      <c r="E209" s="178" t="str">
        <f>VLOOKUP(A209,CUSTOMER!$A$2:$H$1094,5,0)</f>
        <v>TRAN THI THAO NGUYEN</v>
      </c>
      <c r="F209" s="178" t="str">
        <f>VLOOKUP(A209,CUSTOMER!$A$2:$I$1094,6,0)</f>
        <v>NGUYEN THI MUON</v>
      </c>
      <c r="G209" s="178" t="str">
        <f>VLOOKUP(A209,CUSTOMER!$A$2:$J$1094,7,0)</f>
        <v>"NO PG"</v>
      </c>
      <c r="H209" s="179">
        <f t="shared" si="22"/>
        <v>3359868.7156250123</v>
      </c>
      <c r="I209" s="180">
        <f t="shared" si="23"/>
        <v>0</v>
      </c>
      <c r="J209" s="181">
        <f t="shared" si="24"/>
        <v>0</v>
      </c>
      <c r="K209" s="182">
        <v>0</v>
      </c>
      <c r="L209" s="180" t="str">
        <f t="shared" si="28"/>
        <v/>
      </c>
      <c r="M209" s="218">
        <f>SUMIFS(DATA!$L:$L,DATA!$O:$O,$B209,DATA!$N:$N,$A209,DATA!$M:$M,'SALES BY SYSTEM'!$O$1)</f>
        <v>0</v>
      </c>
      <c r="N209" s="182">
        <v>870334.42898503155</v>
      </c>
      <c r="O209" s="180">
        <f t="shared" si="25"/>
        <v>0</v>
      </c>
      <c r="P209" s="218">
        <f>SUMIFS(DATA!$L:$L,DATA!$O:$O,$B209,DATA!$N:$N,$A209,DATA!$M:$M,'SALES BY SYSTEM'!$O$2)</f>
        <v>0</v>
      </c>
      <c r="Q209" s="182">
        <v>2489534.286639981</v>
      </c>
      <c r="R209" s="180">
        <f t="shared" si="26"/>
        <v>0</v>
      </c>
      <c r="S209" s="218">
        <f>SUMIFS(DATA!$L:$L,DATA!$O:$O,$B209,DATA!$N:$N,$A209,DATA!$M:$M,'SALES BY SYSTEM'!$O$4)</f>
        <v>0</v>
      </c>
      <c r="T209" s="182">
        <v>0</v>
      </c>
      <c r="U209" s="180" t="str">
        <f t="shared" si="27"/>
        <v/>
      </c>
      <c r="V209" s="218">
        <f>SUMIFS(DATA!$L:$L,DATA!$O:$O,$B209,DATA!$N:$N,$A209,DATA!$M:$M,'SALES BY SYSTEM'!$O$3)</f>
        <v>0</v>
      </c>
      <c r="W209" s="168"/>
    </row>
    <row r="210" spans="1:23" ht="15.75" customHeight="1" x14ac:dyDescent="0.25">
      <c r="A210" s="178" t="s">
        <v>1281</v>
      </c>
      <c r="B210" s="178" t="s">
        <v>138</v>
      </c>
      <c r="C210" s="178" t="str">
        <f>VLOOKUP(A210,CUSTOMER!$A:$C,3,0)</f>
        <v>COOP_DVD</v>
      </c>
      <c r="D210" s="178" t="s">
        <v>674</v>
      </c>
      <c r="E210" s="178" t="str">
        <f>VLOOKUP(A210,CUSTOMER!$A$2:$H$1094,5,0)</f>
        <v>VAVANCY-VU MINH TUAN</v>
      </c>
      <c r="F210" s="178" t="str">
        <f>VLOOKUP(A210,CUSTOMER!$A$2:$I$1094,6,0)</f>
        <v>VACANCY</v>
      </c>
      <c r="G210" s="178" t="s">
        <v>676</v>
      </c>
      <c r="H210" s="179">
        <f t="shared" si="22"/>
        <v>2861961.858297016</v>
      </c>
      <c r="I210" s="180">
        <f t="shared" si="23"/>
        <v>0</v>
      </c>
      <c r="J210" s="181">
        <f t="shared" si="24"/>
        <v>0</v>
      </c>
      <c r="K210" s="182">
        <v>0</v>
      </c>
      <c r="L210" s="180" t="str">
        <f t="shared" si="28"/>
        <v/>
      </c>
      <c r="M210" s="218">
        <f>SUMIFS(DATA!$L:$L,DATA!$O:$O,$B210,DATA!$N:$N,$A210,DATA!$M:$M,'SALES BY SYSTEM'!$O$1)</f>
        <v>0</v>
      </c>
      <c r="N210" s="182">
        <v>870334.42898503155</v>
      </c>
      <c r="O210" s="180">
        <f t="shared" si="25"/>
        <v>0</v>
      </c>
      <c r="P210" s="218">
        <f>SUMIFS(DATA!$L:$L,DATA!$O:$O,$B210,DATA!$N:$N,$A210,DATA!$M:$M,'SALES BY SYSTEM'!$O$2)</f>
        <v>0</v>
      </c>
      <c r="Q210" s="182">
        <v>1991627.4293119845</v>
      </c>
      <c r="R210" s="180">
        <f t="shared" si="26"/>
        <v>0</v>
      </c>
      <c r="S210" s="218">
        <f>SUMIFS(DATA!$L:$L,DATA!$O:$O,$B210,DATA!$N:$N,$A210,DATA!$M:$M,'SALES BY SYSTEM'!$O$4)</f>
        <v>0</v>
      </c>
      <c r="T210" s="182">
        <v>0</v>
      </c>
      <c r="U210" s="180" t="str">
        <f t="shared" si="27"/>
        <v/>
      </c>
      <c r="V210" s="218">
        <f>SUMIFS(DATA!$L:$L,DATA!$O:$O,$B210,DATA!$N:$N,$A210,DATA!$M:$M,'SALES BY SYSTEM'!$O$3)</f>
        <v>0</v>
      </c>
      <c r="W210" s="168"/>
    </row>
    <row r="211" spans="1:23" ht="15.75" customHeight="1" x14ac:dyDescent="0.25">
      <c r="A211" s="178" t="s">
        <v>782</v>
      </c>
      <c r="B211" s="178" t="s">
        <v>598</v>
      </c>
      <c r="C211" s="178" t="str">
        <f>VLOOKUP(A211,CUSTOMER!$A:$C,3,0)</f>
        <v>SD_HBT</v>
      </c>
      <c r="D211" s="178" t="s">
        <v>674</v>
      </c>
      <c r="E211" s="178" t="str">
        <f>VLOOKUP(A211,CUSTOMER!$A$2:$H$1094,5,0)</f>
        <v>TRAN THI THAO NGUYEN</v>
      </c>
      <c r="F211" s="178" t="str">
        <f>VLOOKUP(A211,CUSTOMER!$A$2:$I$1094,6,0)</f>
        <v>NGUYEN THI MUON</v>
      </c>
      <c r="G211" s="178" t="str">
        <f>VLOOKUP(A211,CUSTOMER!$A$2:$J$1094,7,0)</f>
        <v>"NO PG"</v>
      </c>
      <c r="H211" s="179">
        <f t="shared" si="22"/>
        <v>2861961.858297016</v>
      </c>
      <c r="I211" s="180">
        <f t="shared" si="23"/>
        <v>0</v>
      </c>
      <c r="J211" s="181">
        <f t="shared" si="24"/>
        <v>0</v>
      </c>
      <c r="K211" s="182">
        <v>0</v>
      </c>
      <c r="L211" s="180" t="str">
        <f t="shared" si="28"/>
        <v/>
      </c>
      <c r="M211" s="218">
        <f>SUMIFS(DATA!$L:$L,DATA!$O:$O,$B211,DATA!$N:$N,$A211,DATA!$M:$M,'SALES BY SYSTEM'!$O$1)</f>
        <v>0</v>
      </c>
      <c r="N211" s="182">
        <v>870334.42898503155</v>
      </c>
      <c r="O211" s="180">
        <f t="shared" si="25"/>
        <v>0</v>
      </c>
      <c r="P211" s="218">
        <f>SUMIFS(DATA!$L:$L,DATA!$O:$O,$B211,DATA!$N:$N,$A211,DATA!$M:$M,'SALES BY SYSTEM'!$O$2)</f>
        <v>0</v>
      </c>
      <c r="Q211" s="182">
        <v>1991627.4293119845</v>
      </c>
      <c r="R211" s="180">
        <f t="shared" si="26"/>
        <v>0</v>
      </c>
      <c r="S211" s="218">
        <f>SUMIFS(DATA!$L:$L,DATA!$O:$O,$B211,DATA!$N:$N,$A211,DATA!$M:$M,'SALES BY SYSTEM'!$O$4)</f>
        <v>0</v>
      </c>
      <c r="T211" s="182">
        <v>0</v>
      </c>
      <c r="U211" s="180" t="str">
        <f t="shared" si="27"/>
        <v/>
      </c>
      <c r="V211" s="218">
        <f>SUMIFS(DATA!$L:$L,DATA!$O:$O,$B211,DATA!$N:$N,$A211,DATA!$M:$M,'SALES BY SYSTEM'!$O$3)</f>
        <v>0</v>
      </c>
      <c r="W211" s="168"/>
    </row>
    <row r="212" spans="1:23" ht="15.75" customHeight="1" x14ac:dyDescent="0.25">
      <c r="A212" s="178" t="s">
        <v>254</v>
      </c>
      <c r="B212" s="178" t="s">
        <v>138</v>
      </c>
      <c r="C212" s="178" t="str">
        <f>VLOOKUP(A212,CUSTOMER!$A:$C,3,0)</f>
        <v>COOP_HTHANH</v>
      </c>
      <c r="D212" s="178" t="s">
        <v>674</v>
      </c>
      <c r="E212" s="178" t="str">
        <f>VLOOKUP(A212,CUSTOMER!$A$2:$H$1094,5,0)</f>
        <v>VAVANCY-VU MINH TUAN</v>
      </c>
      <c r="F212" s="178" t="str">
        <f>VLOOKUP(A212,CUSTOMER!$A$2:$I$1094,6,0)</f>
        <v>VACANCY</v>
      </c>
      <c r="G212" s="178" t="s">
        <v>676</v>
      </c>
      <c r="H212" s="179">
        <f t="shared" si="22"/>
        <v>2364055.0009690202</v>
      </c>
      <c r="I212" s="180">
        <f t="shared" si="23"/>
        <v>0</v>
      </c>
      <c r="J212" s="181">
        <f t="shared" si="24"/>
        <v>0</v>
      </c>
      <c r="K212" s="182">
        <v>0</v>
      </c>
      <c r="L212" s="180" t="str">
        <f t="shared" si="28"/>
        <v/>
      </c>
      <c r="M212" s="218">
        <f>SUMIFS(DATA!$L:$L,DATA!$O:$O,$B212,DATA!$N:$N,$A212,DATA!$M:$M,'SALES BY SYSTEM'!$O$1)</f>
        <v>0</v>
      </c>
      <c r="N212" s="182">
        <v>870334.42898503155</v>
      </c>
      <c r="O212" s="180">
        <f t="shared" si="25"/>
        <v>0</v>
      </c>
      <c r="P212" s="218">
        <f>SUMIFS(DATA!$L:$L,DATA!$O:$O,$B212,DATA!$N:$N,$A212,DATA!$M:$M,'SALES BY SYSTEM'!$O$2)</f>
        <v>0</v>
      </c>
      <c r="Q212" s="182">
        <v>1493720.5719839886</v>
      </c>
      <c r="R212" s="180">
        <f t="shared" si="26"/>
        <v>0</v>
      </c>
      <c r="S212" s="218">
        <f>SUMIFS(DATA!$L:$L,DATA!$O:$O,$B212,DATA!$N:$N,$A212,DATA!$M:$M,'SALES BY SYSTEM'!$O$4)</f>
        <v>0</v>
      </c>
      <c r="T212" s="182">
        <v>0</v>
      </c>
      <c r="U212" s="180" t="str">
        <f t="shared" si="27"/>
        <v/>
      </c>
      <c r="V212" s="218">
        <f>SUMIFS(DATA!$L:$L,DATA!$O:$O,$B212,DATA!$N:$N,$A212,DATA!$M:$M,'SALES BY SYSTEM'!$O$3)</f>
        <v>0</v>
      </c>
      <c r="W212" s="168"/>
    </row>
    <row r="213" spans="1:23" ht="15.75" customHeight="1" x14ac:dyDescent="0.25">
      <c r="A213" s="178" t="s">
        <v>152</v>
      </c>
      <c r="B213" s="178" t="s">
        <v>138</v>
      </c>
      <c r="C213" s="178" t="str">
        <f>VLOOKUP(A213,CUSTOMER!$A:$C,3,0)</f>
        <v>COOP_HBINH</v>
      </c>
      <c r="D213" s="178" t="s">
        <v>674</v>
      </c>
      <c r="E213" s="178" t="str">
        <f>VLOOKUP(A213,CUSTOMER!$A$2:$H$1094,5,0)</f>
        <v>VAVANCY-VU MINH TUAN</v>
      </c>
      <c r="F213" s="178" t="str">
        <f>VLOOKUP(A213,CUSTOMER!$A$2:$I$1094,6,0)</f>
        <v>TRAN THI THANH TRUC</v>
      </c>
      <c r="G213" s="178" t="s">
        <v>676</v>
      </c>
      <c r="H213" s="179">
        <f t="shared" si="22"/>
        <v>2364055.0009690202</v>
      </c>
      <c r="I213" s="180">
        <f t="shared" si="23"/>
        <v>0</v>
      </c>
      <c r="J213" s="181">
        <f t="shared" si="24"/>
        <v>0</v>
      </c>
      <c r="K213" s="182">
        <v>0</v>
      </c>
      <c r="L213" s="180" t="str">
        <f t="shared" si="28"/>
        <v/>
      </c>
      <c r="M213" s="218">
        <f>SUMIFS(DATA!$L:$L,DATA!$O:$O,$B213,DATA!$N:$N,$A213,DATA!$M:$M,'SALES BY SYSTEM'!$O$1)</f>
        <v>0</v>
      </c>
      <c r="N213" s="182">
        <v>870334.42898503155</v>
      </c>
      <c r="O213" s="180">
        <f t="shared" si="25"/>
        <v>0</v>
      </c>
      <c r="P213" s="218">
        <f>SUMIFS(DATA!$L:$L,DATA!$O:$O,$B213,DATA!$N:$N,$A213,DATA!$M:$M,'SALES BY SYSTEM'!$O$2)</f>
        <v>0</v>
      </c>
      <c r="Q213" s="182">
        <v>1493720.5719839886</v>
      </c>
      <c r="R213" s="180">
        <f t="shared" si="26"/>
        <v>0</v>
      </c>
      <c r="S213" s="218">
        <f>SUMIFS(DATA!$L:$L,DATA!$O:$O,$B213,DATA!$N:$N,$A213,DATA!$M:$M,'SALES BY SYSTEM'!$O$4)</f>
        <v>0</v>
      </c>
      <c r="T213" s="182">
        <v>0</v>
      </c>
      <c r="U213" s="180" t="str">
        <f t="shared" si="27"/>
        <v/>
      </c>
      <c r="V213" s="218">
        <f>SUMIFS(DATA!$L:$L,DATA!$O:$O,$B213,DATA!$N:$N,$A213,DATA!$M:$M,'SALES BY SYSTEM'!$O$3)</f>
        <v>0</v>
      </c>
      <c r="W213" s="168"/>
    </row>
    <row r="214" spans="1:23" ht="15.75" customHeight="1" x14ac:dyDescent="0.25">
      <c r="A214" s="13" t="s">
        <v>1311</v>
      </c>
      <c r="B214" s="178" t="s">
        <v>138</v>
      </c>
      <c r="C214" s="13" t="str">
        <f>VLOOKUP(A214,CUSTOMER!$A:$C,3,0)</f>
        <v>COOP_HVT_AUC</v>
      </c>
      <c r="D214" s="178" t="s">
        <v>674</v>
      </c>
      <c r="E214" s="178" t="str">
        <f>VLOOKUP(A214,CUSTOMER!$A$2:$H$1094,5,0)</f>
        <v>VAVANCY-VU MINH TUAN</v>
      </c>
      <c r="F214" s="178" t="str">
        <f>VLOOKUP(A214,CUSTOMER!$A$2:$I$1094,6,0)</f>
        <v>TRAN THI THANH TRUC</v>
      </c>
      <c r="G214" s="178" t="s">
        <v>676</v>
      </c>
      <c r="H214" s="179">
        <f t="shared" si="22"/>
        <v>2364055.0009690202</v>
      </c>
      <c r="I214" s="180">
        <f t="shared" si="23"/>
        <v>0</v>
      </c>
      <c r="J214" s="181">
        <f t="shared" si="24"/>
        <v>0</v>
      </c>
      <c r="K214" s="182">
        <v>0</v>
      </c>
      <c r="L214" s="180" t="str">
        <f t="shared" si="28"/>
        <v/>
      </c>
      <c r="M214" s="218">
        <f>SUMIFS(DATA!$L:$L,DATA!$O:$O,$B214,DATA!$N:$N,$A214,DATA!$M:$M,'SALES BY SYSTEM'!$O$1)</f>
        <v>0</v>
      </c>
      <c r="N214" s="182">
        <v>870334.42898503155</v>
      </c>
      <c r="O214" s="180">
        <f t="shared" si="25"/>
        <v>0</v>
      </c>
      <c r="P214" s="218">
        <f>SUMIFS(DATA!$L:$L,DATA!$O:$O,$B214,DATA!$N:$N,$A214,DATA!$M:$M,'SALES BY SYSTEM'!$O$2)</f>
        <v>0</v>
      </c>
      <c r="Q214" s="182">
        <v>1493720.5719839886</v>
      </c>
      <c r="R214" s="180">
        <f t="shared" si="26"/>
        <v>0</v>
      </c>
      <c r="S214" s="218">
        <f>SUMIFS(DATA!$L:$L,DATA!$O:$O,$B214,DATA!$N:$N,$A214,DATA!$M:$M,'SALES BY SYSTEM'!$O$4)</f>
        <v>0</v>
      </c>
      <c r="T214" s="182">
        <v>0</v>
      </c>
      <c r="U214" s="180" t="str">
        <f t="shared" si="27"/>
        <v/>
      </c>
      <c r="V214" s="218">
        <f>SUMIFS(DATA!$L:$L,DATA!$O:$O,$B214,DATA!$N:$N,$A214,DATA!$M:$M,'SALES BY SYSTEM'!$O$3)</f>
        <v>0</v>
      </c>
      <c r="W214" s="168"/>
    </row>
    <row r="215" spans="1:23" ht="15.75" customHeight="1" x14ac:dyDescent="0.25">
      <c r="A215" s="13" t="s">
        <v>1313</v>
      </c>
      <c r="B215" s="178" t="s">
        <v>138</v>
      </c>
      <c r="C215" s="13" t="str">
        <f>VLOOKUP(A215,CUSTOMER!$A:$C,3,0)</f>
        <v>COOP_HMON</v>
      </c>
      <c r="D215" s="178" t="s">
        <v>674</v>
      </c>
      <c r="E215" s="178" t="str">
        <f>VLOOKUP(A215,CUSTOMER!$A$2:$H$1094,5,0)</f>
        <v>VAVANCY-VU MINH TUAN</v>
      </c>
      <c r="F215" s="178" t="str">
        <f>VLOOKUP(A215,CUSTOMER!$A$2:$I$1094,6,0)</f>
        <v>VACANCY</v>
      </c>
      <c r="G215" s="178" t="s">
        <v>676</v>
      </c>
      <c r="H215" s="179">
        <f t="shared" si="22"/>
        <v>2364055.0009690202</v>
      </c>
      <c r="I215" s="180">
        <f t="shared" si="23"/>
        <v>0</v>
      </c>
      <c r="J215" s="181">
        <f t="shared" si="24"/>
        <v>0</v>
      </c>
      <c r="K215" s="182">
        <v>0</v>
      </c>
      <c r="L215" s="180" t="str">
        <f t="shared" si="28"/>
        <v/>
      </c>
      <c r="M215" s="218">
        <f>SUMIFS(DATA!$L:$L,DATA!$O:$O,$B215,DATA!$N:$N,$A215,DATA!$M:$M,'SALES BY SYSTEM'!$O$1)</f>
        <v>0</v>
      </c>
      <c r="N215" s="182">
        <v>870334.42898503155</v>
      </c>
      <c r="O215" s="180">
        <f t="shared" si="25"/>
        <v>0</v>
      </c>
      <c r="P215" s="218">
        <f>SUMIFS(DATA!$L:$L,DATA!$O:$O,$B215,DATA!$N:$N,$A215,DATA!$M:$M,'SALES BY SYSTEM'!$O$2)</f>
        <v>0</v>
      </c>
      <c r="Q215" s="182">
        <v>1493720.5719839886</v>
      </c>
      <c r="R215" s="180">
        <f t="shared" si="26"/>
        <v>0</v>
      </c>
      <c r="S215" s="218">
        <f>SUMIFS(DATA!$L:$L,DATA!$O:$O,$B215,DATA!$N:$N,$A215,DATA!$M:$M,'SALES BY SYSTEM'!$O$4)</f>
        <v>0</v>
      </c>
      <c r="T215" s="182">
        <v>0</v>
      </c>
      <c r="U215" s="180" t="str">
        <f t="shared" si="27"/>
        <v/>
      </c>
      <c r="V215" s="218">
        <f>SUMIFS(DATA!$L:$L,DATA!$O:$O,$B215,DATA!$N:$N,$A215,DATA!$M:$M,'SALES BY SYSTEM'!$O$3)</f>
        <v>0</v>
      </c>
      <c r="W215" s="168"/>
    </row>
    <row r="216" spans="1:23" ht="15.75" customHeight="1" x14ac:dyDescent="0.25">
      <c r="A216" s="13" t="s">
        <v>228</v>
      </c>
      <c r="B216" s="178" t="s">
        <v>138</v>
      </c>
      <c r="C216" s="13" t="str">
        <f>VLOOKUP(A216,CUSTOMER!$A:$C,3,0)</f>
        <v>COOP_BTAN</v>
      </c>
      <c r="D216" s="178" t="s">
        <v>674</v>
      </c>
      <c r="E216" s="178" t="str">
        <f>VLOOKUP(A216,CUSTOMER!$A$2:$H$1094,5,0)</f>
        <v>VAVANCY-VU MINH TUAN</v>
      </c>
      <c r="F216" s="178" t="str">
        <f>VLOOKUP(A216,CUSTOMER!$A$2:$I$1094,6,0)</f>
        <v>TRAN THI THANH TRUC</v>
      </c>
      <c r="G216" s="178" t="s">
        <v>676</v>
      </c>
      <c r="H216" s="179">
        <f t="shared" si="22"/>
        <v>1866148.1436410241</v>
      </c>
      <c r="I216" s="180">
        <f t="shared" si="23"/>
        <v>0</v>
      </c>
      <c r="J216" s="181">
        <f t="shared" si="24"/>
        <v>0</v>
      </c>
      <c r="K216" s="182">
        <v>0</v>
      </c>
      <c r="L216" s="180" t="str">
        <f t="shared" si="28"/>
        <v/>
      </c>
      <c r="M216" s="218">
        <f>SUMIFS(DATA!$L:$L,DATA!$O:$O,$B216,DATA!$N:$N,$A216,DATA!$M:$M,'SALES BY SYSTEM'!$O$1)</f>
        <v>0</v>
      </c>
      <c r="N216" s="182">
        <v>870334.42898503155</v>
      </c>
      <c r="O216" s="180">
        <f t="shared" si="25"/>
        <v>0</v>
      </c>
      <c r="P216" s="218">
        <f>SUMIFS(DATA!$L:$L,DATA!$O:$O,$B216,DATA!$N:$N,$A216,DATA!$M:$M,'SALES BY SYSTEM'!$O$2)</f>
        <v>0</v>
      </c>
      <c r="Q216" s="182">
        <v>995813.71465599257</v>
      </c>
      <c r="R216" s="180">
        <f t="shared" si="26"/>
        <v>0</v>
      </c>
      <c r="S216" s="218">
        <f>SUMIFS(DATA!$L:$L,DATA!$O:$O,$B216,DATA!$N:$N,$A216,DATA!$M:$M,'SALES BY SYSTEM'!$O$4)</f>
        <v>0</v>
      </c>
      <c r="T216" s="182">
        <v>0</v>
      </c>
      <c r="U216" s="180" t="str">
        <f t="shared" si="27"/>
        <v/>
      </c>
      <c r="V216" s="218">
        <f>SUMIFS(DATA!$L:$L,DATA!$O:$O,$B216,DATA!$N:$N,$A216,DATA!$M:$M,'SALES BY SYSTEM'!$O$3)</f>
        <v>0</v>
      </c>
      <c r="W216" s="168"/>
    </row>
    <row r="217" spans="1:23" ht="15.75" customHeight="1" x14ac:dyDescent="0.25">
      <c r="A217" s="13" t="s">
        <v>260</v>
      </c>
      <c r="B217" s="178" t="s">
        <v>138</v>
      </c>
      <c r="C217" s="13" t="str">
        <f>VLOOKUP(A217,CUSTOMER!$A:$C,3,0)</f>
        <v>COOP_BTAN2</v>
      </c>
      <c r="D217" s="178" t="s">
        <v>674</v>
      </c>
      <c r="E217" s="178" t="str">
        <f>VLOOKUP(A217,CUSTOMER!$A$2:$H$1094,5,0)</f>
        <v>VAVANCY-VU MINH TUAN</v>
      </c>
      <c r="F217" s="178" t="str">
        <f>VLOOKUP(A217,CUSTOMER!$A$2:$I$1094,6,0)</f>
        <v>TRAN THI THANH TRUC</v>
      </c>
      <c r="G217" s="178" t="s">
        <v>676</v>
      </c>
      <c r="H217" s="179">
        <f t="shared" si="22"/>
        <v>1866148.1436410241</v>
      </c>
      <c r="I217" s="180">
        <f t="shared" si="23"/>
        <v>0</v>
      </c>
      <c r="J217" s="181">
        <f t="shared" si="24"/>
        <v>0</v>
      </c>
      <c r="K217" s="182">
        <v>0</v>
      </c>
      <c r="L217" s="180" t="str">
        <f t="shared" si="28"/>
        <v/>
      </c>
      <c r="M217" s="218">
        <f>SUMIFS(DATA!$L:$L,DATA!$O:$O,$B217,DATA!$N:$N,$A217,DATA!$M:$M,'SALES BY SYSTEM'!$O$1)</f>
        <v>0</v>
      </c>
      <c r="N217" s="182">
        <v>870334.42898503155</v>
      </c>
      <c r="O217" s="180">
        <f t="shared" si="25"/>
        <v>0</v>
      </c>
      <c r="P217" s="218">
        <f>SUMIFS(DATA!$L:$L,DATA!$O:$O,$B217,DATA!$N:$N,$A217,DATA!$M:$M,'SALES BY SYSTEM'!$O$2)</f>
        <v>0</v>
      </c>
      <c r="Q217" s="182">
        <v>995813.71465599257</v>
      </c>
      <c r="R217" s="180">
        <f t="shared" si="26"/>
        <v>0</v>
      </c>
      <c r="S217" s="218">
        <f>SUMIFS(DATA!$L:$L,DATA!$O:$O,$B217,DATA!$N:$N,$A217,DATA!$M:$M,'SALES BY SYSTEM'!$O$4)</f>
        <v>0</v>
      </c>
      <c r="T217" s="182">
        <v>0</v>
      </c>
      <c r="U217" s="180" t="str">
        <f t="shared" si="27"/>
        <v/>
      </c>
      <c r="V217" s="218">
        <f>SUMIFS(DATA!$L:$L,DATA!$O:$O,$B217,DATA!$N:$N,$A217,DATA!$M:$M,'SALES BY SYSTEM'!$O$3)</f>
        <v>0</v>
      </c>
      <c r="W217" s="168"/>
    </row>
    <row r="218" spans="1:23" ht="15.75" customHeight="1" x14ac:dyDescent="0.25">
      <c r="A218" s="13" t="s">
        <v>150</v>
      </c>
      <c r="B218" s="178" t="s">
        <v>138</v>
      </c>
      <c r="C218" s="156" t="str">
        <f>VLOOKUP(A218,CUSTOMER!$A:$C,3,0)</f>
        <v>COOP_AUC_CTHANG</v>
      </c>
      <c r="D218" s="178" t="s">
        <v>674</v>
      </c>
      <c r="E218" s="178" t="str">
        <f>VLOOKUP(A218,CUSTOMER!$A$2:$H$1094,5,0)</f>
        <v>VAVANCY-VU MINH TUAN</v>
      </c>
      <c r="F218" s="178" t="str">
        <f>VLOOKUP(A218,CUSTOMER!$A$2:$I$1094,6,0)</f>
        <v>TRAN THI THANH TRUC</v>
      </c>
      <c r="G218" s="178" t="s">
        <v>676</v>
      </c>
      <c r="H218" s="179">
        <f t="shared" si="22"/>
        <v>1866148.1436410241</v>
      </c>
      <c r="I218" s="180">
        <f t="shared" si="23"/>
        <v>0</v>
      </c>
      <c r="J218" s="181">
        <f t="shared" si="24"/>
        <v>0</v>
      </c>
      <c r="K218" s="182">
        <v>0</v>
      </c>
      <c r="L218" s="180" t="str">
        <f t="shared" si="28"/>
        <v/>
      </c>
      <c r="M218" s="218">
        <f>SUMIFS(DATA!$L:$L,DATA!$O:$O,$B218,DATA!$N:$N,$A218,DATA!$M:$M,'SALES BY SYSTEM'!$O$1)</f>
        <v>0</v>
      </c>
      <c r="N218" s="182">
        <v>870334.42898503155</v>
      </c>
      <c r="O218" s="180">
        <f t="shared" si="25"/>
        <v>0</v>
      </c>
      <c r="P218" s="218">
        <f>SUMIFS(DATA!$L:$L,DATA!$O:$O,$B218,DATA!$N:$N,$A218,DATA!$M:$M,'SALES BY SYSTEM'!$O$2)</f>
        <v>0</v>
      </c>
      <c r="Q218" s="182">
        <v>995813.71465599257</v>
      </c>
      <c r="R218" s="180">
        <f t="shared" si="26"/>
        <v>0</v>
      </c>
      <c r="S218" s="218">
        <f>SUMIFS(DATA!$L:$L,DATA!$O:$O,$B218,DATA!$N:$N,$A218,DATA!$M:$M,'SALES BY SYSTEM'!$O$4)</f>
        <v>0</v>
      </c>
      <c r="T218" s="182">
        <v>0</v>
      </c>
      <c r="U218" s="180" t="str">
        <f t="shared" si="27"/>
        <v/>
      </c>
      <c r="V218" s="218">
        <f>SUMIFS(DATA!$L:$L,DATA!$O:$O,$B218,DATA!$N:$N,$A218,DATA!$M:$M,'SALES BY SYSTEM'!$O$3)</f>
        <v>0</v>
      </c>
      <c r="W218" s="168"/>
    </row>
    <row r="219" spans="1:23" ht="15.75" customHeight="1" x14ac:dyDescent="0.25">
      <c r="A219" s="13" t="s">
        <v>154</v>
      </c>
      <c r="B219" s="178" t="s">
        <v>138</v>
      </c>
      <c r="C219" s="156" t="str">
        <f>VLOOKUP(A219,CUSTOMER!$A:$C,3,0)</f>
        <v>COOP_CVA</v>
      </c>
      <c r="D219" s="178" t="s">
        <v>674</v>
      </c>
      <c r="E219" s="178" t="str">
        <f>VLOOKUP(A219,CUSTOMER!$A$2:$H$1094,5,0)</f>
        <v>VAVANCY-VU MINH TUAN</v>
      </c>
      <c r="F219" s="178" t="str">
        <f>VLOOKUP(A219,CUSTOMER!$A$2:$I$1094,6,0)</f>
        <v>TRAN THI THANH TRUC</v>
      </c>
      <c r="G219" s="178" t="s">
        <v>676</v>
      </c>
      <c r="H219" s="179">
        <f t="shared" si="22"/>
        <v>1866148.1436410241</v>
      </c>
      <c r="I219" s="180">
        <f t="shared" si="23"/>
        <v>0</v>
      </c>
      <c r="J219" s="181">
        <f t="shared" si="24"/>
        <v>0</v>
      </c>
      <c r="K219" s="182">
        <v>0</v>
      </c>
      <c r="L219" s="180" t="str">
        <f t="shared" si="28"/>
        <v/>
      </c>
      <c r="M219" s="218">
        <f>SUMIFS(DATA!$L:$L,DATA!$O:$O,$B219,DATA!$N:$N,$A219,DATA!$M:$M,'SALES BY SYSTEM'!$O$1)</f>
        <v>0</v>
      </c>
      <c r="N219" s="182">
        <v>870334.42898503155</v>
      </c>
      <c r="O219" s="180">
        <f t="shared" si="25"/>
        <v>0</v>
      </c>
      <c r="P219" s="218">
        <f>SUMIFS(DATA!$L:$L,DATA!$O:$O,$B219,DATA!$N:$N,$A219,DATA!$M:$M,'SALES BY SYSTEM'!$O$2)</f>
        <v>0</v>
      </c>
      <c r="Q219" s="182">
        <v>995813.71465599257</v>
      </c>
      <c r="R219" s="180">
        <f t="shared" si="26"/>
        <v>0</v>
      </c>
      <c r="S219" s="218">
        <f>SUMIFS(DATA!$L:$L,DATA!$O:$O,$B219,DATA!$N:$N,$A219,DATA!$M:$M,'SALES BY SYSTEM'!$O$4)</f>
        <v>0</v>
      </c>
      <c r="T219" s="182">
        <v>0</v>
      </c>
      <c r="U219" s="180" t="str">
        <f t="shared" si="27"/>
        <v/>
      </c>
      <c r="V219" s="218">
        <f>SUMIFS(DATA!$L:$L,DATA!$O:$O,$B219,DATA!$N:$N,$A219,DATA!$M:$M,'SALES BY SYSTEM'!$O$3)</f>
        <v>0</v>
      </c>
      <c r="W219" s="168"/>
    </row>
    <row r="220" spans="1:23" ht="15.75" customHeight="1" x14ac:dyDescent="0.25">
      <c r="A220" s="13" t="s">
        <v>226</v>
      </c>
      <c r="B220" s="178" t="s">
        <v>138</v>
      </c>
      <c r="C220" s="156" t="str">
        <f>VLOOKUP(A220,CUSTOMER!$A:$C,3,0)</f>
        <v>COOP_HGIANG</v>
      </c>
      <c r="D220" s="178" t="s">
        <v>674</v>
      </c>
      <c r="E220" s="178" t="str">
        <f>VLOOKUP(A220,CUSTOMER!$A$2:$H$1094,5,0)</f>
        <v>VAVANCY-VU MINH TUAN</v>
      </c>
      <c r="F220" s="178" t="str">
        <f>VLOOKUP(A220,CUSTOMER!$A$2:$I$1094,6,0)</f>
        <v>TRAN THI THANH TRUC</v>
      </c>
      <c r="G220" s="178" t="s">
        <v>676</v>
      </c>
      <c r="H220" s="179">
        <f t="shared" si="22"/>
        <v>1866148.1436410241</v>
      </c>
      <c r="I220" s="180">
        <f t="shared" si="23"/>
        <v>0</v>
      </c>
      <c r="J220" s="181">
        <f t="shared" si="24"/>
        <v>0</v>
      </c>
      <c r="K220" s="182">
        <v>0</v>
      </c>
      <c r="L220" s="180" t="str">
        <f t="shared" si="28"/>
        <v/>
      </c>
      <c r="M220" s="218">
        <f>SUMIFS(DATA!$L:$L,DATA!$O:$O,$B220,DATA!$N:$N,$A220,DATA!$M:$M,'SALES BY SYSTEM'!$O$1)</f>
        <v>0</v>
      </c>
      <c r="N220" s="182">
        <v>870334.42898503155</v>
      </c>
      <c r="O220" s="180">
        <f t="shared" si="25"/>
        <v>0</v>
      </c>
      <c r="P220" s="218">
        <f>SUMIFS(DATA!$L:$L,DATA!$O:$O,$B220,DATA!$N:$N,$A220,DATA!$M:$M,'SALES BY SYSTEM'!$O$2)</f>
        <v>0</v>
      </c>
      <c r="Q220" s="182">
        <v>995813.71465599257</v>
      </c>
      <c r="R220" s="180">
        <f t="shared" si="26"/>
        <v>0</v>
      </c>
      <c r="S220" s="218">
        <f>SUMIFS(DATA!$L:$L,DATA!$O:$O,$B220,DATA!$N:$N,$A220,DATA!$M:$M,'SALES BY SYSTEM'!$O$4)</f>
        <v>0</v>
      </c>
      <c r="T220" s="182">
        <v>0</v>
      </c>
      <c r="U220" s="180" t="str">
        <f t="shared" si="27"/>
        <v/>
      </c>
      <c r="V220" s="218">
        <f>SUMIFS(DATA!$L:$L,DATA!$O:$O,$B220,DATA!$N:$N,$A220,DATA!$M:$M,'SALES BY SYSTEM'!$O$3)</f>
        <v>0</v>
      </c>
      <c r="W220" s="168"/>
    </row>
    <row r="221" spans="1:23" ht="15.75" customHeight="1" x14ac:dyDescent="0.25">
      <c r="A221" s="13" t="s">
        <v>194</v>
      </c>
      <c r="B221" s="178" t="s">
        <v>138</v>
      </c>
      <c r="C221" s="156" t="str">
        <f>VLOOKUP(A221,CUSTOMER!$A:$C,3,0)</f>
        <v>COOP_ADONG</v>
      </c>
      <c r="D221" s="178" t="s">
        <v>674</v>
      </c>
      <c r="E221" s="178" t="str">
        <f>VLOOKUP(A221,CUSTOMER!$A$2:$H$1094,5,0)</f>
        <v>VAVANCY-VU MINH TUAN</v>
      </c>
      <c r="F221" s="178" t="str">
        <f>VLOOKUP(A221,CUSTOMER!$A$2:$I$1094,6,0)</f>
        <v>TRAN THI THANH TRUC</v>
      </c>
      <c r="G221" s="178" t="s">
        <v>676</v>
      </c>
      <c r="H221" s="179">
        <f t="shared" si="22"/>
        <v>1866148.1436410241</v>
      </c>
      <c r="I221" s="180">
        <f t="shared" si="23"/>
        <v>0</v>
      </c>
      <c r="J221" s="181">
        <f t="shared" si="24"/>
        <v>0</v>
      </c>
      <c r="K221" s="182">
        <v>0</v>
      </c>
      <c r="L221" s="180" t="str">
        <f t="shared" si="28"/>
        <v/>
      </c>
      <c r="M221" s="218">
        <f>SUMIFS(DATA!$L:$L,DATA!$O:$O,$B221,DATA!$N:$N,$A221,DATA!$M:$M,'SALES BY SYSTEM'!$O$1)</f>
        <v>0</v>
      </c>
      <c r="N221" s="182">
        <v>870334.42898503155</v>
      </c>
      <c r="O221" s="180">
        <f t="shared" si="25"/>
        <v>0</v>
      </c>
      <c r="P221" s="218">
        <f>SUMIFS(DATA!$L:$L,DATA!$O:$O,$B221,DATA!$N:$N,$A221,DATA!$M:$M,'SALES BY SYSTEM'!$O$2)</f>
        <v>0</v>
      </c>
      <c r="Q221" s="182">
        <v>995813.71465599257</v>
      </c>
      <c r="R221" s="180">
        <f t="shared" si="26"/>
        <v>0</v>
      </c>
      <c r="S221" s="218">
        <f>SUMIFS(DATA!$L:$L,DATA!$O:$O,$B221,DATA!$N:$N,$A221,DATA!$M:$M,'SALES BY SYSTEM'!$O$4)</f>
        <v>0</v>
      </c>
      <c r="T221" s="182">
        <v>0</v>
      </c>
      <c r="U221" s="180" t="str">
        <f t="shared" si="27"/>
        <v/>
      </c>
      <c r="V221" s="218">
        <f>SUMIFS(DATA!$L:$L,DATA!$O:$O,$B221,DATA!$N:$N,$A221,DATA!$M:$M,'SALES BY SYSTEM'!$O$3)</f>
        <v>0</v>
      </c>
      <c r="W221" s="168"/>
    </row>
    <row r="222" spans="1:23" ht="15.75" customHeight="1" x14ac:dyDescent="0.25">
      <c r="A222" s="13" t="s">
        <v>1315</v>
      </c>
      <c r="B222" s="178" t="s">
        <v>138</v>
      </c>
      <c r="C222" s="156" t="str">
        <f>VLOOKUP(A222,CUSTOMER!$A:$C,3,0)</f>
        <v>COOP_PMH</v>
      </c>
      <c r="D222" s="178" t="s">
        <v>674</v>
      </c>
      <c r="E222" s="178" t="str">
        <f>VLOOKUP(A222,CUSTOMER!$A$2:$H$1094,5,0)</f>
        <v>VAVANCY-VU MINH TUAN</v>
      </c>
      <c r="F222" s="178" t="str">
        <f>VLOOKUP(A222,CUSTOMER!$A$2:$I$1094,6,0)</f>
        <v>TRAN THI THANH TRUC</v>
      </c>
      <c r="G222" s="178" t="s">
        <v>676</v>
      </c>
      <c r="H222" s="179">
        <f t="shared" si="22"/>
        <v>1866148.1436410241</v>
      </c>
      <c r="I222" s="180">
        <f t="shared" si="23"/>
        <v>0</v>
      </c>
      <c r="J222" s="181">
        <f t="shared" si="24"/>
        <v>0</v>
      </c>
      <c r="K222" s="182">
        <v>0</v>
      </c>
      <c r="L222" s="180" t="str">
        <f t="shared" si="28"/>
        <v/>
      </c>
      <c r="M222" s="218">
        <f>SUMIFS(DATA!$L:$L,DATA!$O:$O,$B222,DATA!$N:$N,$A222,DATA!$M:$M,'SALES BY SYSTEM'!$O$1)</f>
        <v>0</v>
      </c>
      <c r="N222" s="182">
        <v>870334.42898503155</v>
      </c>
      <c r="O222" s="180">
        <f t="shared" si="25"/>
        <v>0</v>
      </c>
      <c r="P222" s="218">
        <f>SUMIFS(DATA!$L:$L,DATA!$O:$O,$B222,DATA!$N:$N,$A222,DATA!$M:$M,'SALES BY SYSTEM'!$O$2)</f>
        <v>0</v>
      </c>
      <c r="Q222" s="182">
        <v>995813.71465599257</v>
      </c>
      <c r="R222" s="180">
        <f t="shared" si="26"/>
        <v>0</v>
      </c>
      <c r="S222" s="218">
        <f>SUMIFS(DATA!$L:$L,DATA!$O:$O,$B222,DATA!$N:$N,$A222,DATA!$M:$M,'SALES BY SYSTEM'!$O$4)</f>
        <v>0</v>
      </c>
      <c r="T222" s="182">
        <v>0</v>
      </c>
      <c r="U222" s="180" t="str">
        <f t="shared" si="27"/>
        <v/>
      </c>
      <c r="V222" s="218">
        <f>SUMIFS(DATA!$L:$L,DATA!$O:$O,$B222,DATA!$N:$N,$A222,DATA!$M:$M,'SALES BY SYSTEM'!$O$3)</f>
        <v>0</v>
      </c>
      <c r="W222" s="168"/>
    </row>
    <row r="223" spans="1:23" ht="15.75" customHeight="1" x14ac:dyDescent="0.25">
      <c r="A223" s="13" t="s">
        <v>158</v>
      </c>
      <c r="B223" s="178" t="s">
        <v>138</v>
      </c>
      <c r="C223" s="156" t="str">
        <f>VLOOKUP(A223,CUSTOMER!$A:$C,3,0)</f>
        <v>COOP_DVC</v>
      </c>
      <c r="D223" s="178" t="s">
        <v>674</v>
      </c>
      <c r="E223" s="178" t="str">
        <f>VLOOKUP(A223,CUSTOMER!$A$2:$H$1094,5,0)</f>
        <v>VAVANCY-VU MINH TUAN</v>
      </c>
      <c r="F223" s="178" t="str">
        <f>VLOOKUP(A223,CUSTOMER!$A$2:$I$1094,6,0)</f>
        <v>TRAN THI THANH TRUC</v>
      </c>
      <c r="G223" s="178" t="s">
        <v>676</v>
      </c>
      <c r="H223" s="179">
        <f t="shared" si="22"/>
        <v>870334.42898503155</v>
      </c>
      <c r="I223" s="180">
        <f t="shared" si="23"/>
        <v>0</v>
      </c>
      <c r="J223" s="181">
        <f t="shared" si="24"/>
        <v>0</v>
      </c>
      <c r="K223" s="182">
        <v>0</v>
      </c>
      <c r="L223" s="180" t="str">
        <f t="shared" si="28"/>
        <v/>
      </c>
      <c r="M223" s="218">
        <f>SUMIFS(DATA!$L:$L,DATA!$O:$O,$B223,DATA!$N:$N,$A223,DATA!$M:$M,'SALES BY SYSTEM'!$O$1)</f>
        <v>0</v>
      </c>
      <c r="N223" s="182">
        <v>870334.42898503155</v>
      </c>
      <c r="O223" s="180">
        <f t="shared" si="25"/>
        <v>0</v>
      </c>
      <c r="P223" s="218">
        <f>SUMIFS(DATA!$L:$L,DATA!$O:$O,$B223,DATA!$N:$N,$A223,DATA!$M:$M,'SALES BY SYSTEM'!$O$2)</f>
        <v>0</v>
      </c>
      <c r="Q223" s="182">
        <v>0</v>
      </c>
      <c r="R223" s="180" t="str">
        <f t="shared" si="26"/>
        <v/>
      </c>
      <c r="S223" s="218">
        <f>SUMIFS(DATA!$L:$L,DATA!$O:$O,$B223,DATA!$N:$N,$A223,DATA!$M:$M,'SALES BY SYSTEM'!$O$4)</f>
        <v>0</v>
      </c>
      <c r="T223" s="182">
        <v>0</v>
      </c>
      <c r="U223" s="180" t="str">
        <f t="shared" si="27"/>
        <v/>
      </c>
      <c r="V223" s="218">
        <f>SUMIFS(DATA!$L:$L,DATA!$O:$O,$B223,DATA!$N:$N,$A223,DATA!$M:$M,'SALES BY SYSTEM'!$O$3)</f>
        <v>0</v>
      </c>
      <c r="W223" s="168"/>
    </row>
    <row r="224" spans="1:23" ht="15.75" customHeight="1" x14ac:dyDescent="0.25">
      <c r="A224" s="13" t="s">
        <v>1241</v>
      </c>
      <c r="B224" s="178" t="s">
        <v>138</v>
      </c>
      <c r="C224" s="156" t="str">
        <f>VLOOKUP(A224,CUSTOMER!$A:$C,3,0)</f>
        <v>COOP_DVC1</v>
      </c>
      <c r="D224" s="178" t="s">
        <v>674</v>
      </c>
      <c r="E224" s="178" t="str">
        <f>VLOOKUP(A224,CUSTOMER!$A$2:$H$1094,5,0)</f>
        <v>VAVANCY-VU MINH TUAN</v>
      </c>
      <c r="F224" s="178" t="str">
        <f>VLOOKUP(A224,CUSTOMER!$A$2:$I$1094,6,0)</f>
        <v>TRAN THI THANH TRUC</v>
      </c>
      <c r="G224" s="178" t="s">
        <v>676</v>
      </c>
      <c r="H224" s="179">
        <f t="shared" si="22"/>
        <v>870334.42898503155</v>
      </c>
      <c r="I224" s="180">
        <f t="shared" si="23"/>
        <v>0</v>
      </c>
      <c r="J224" s="181">
        <f t="shared" si="24"/>
        <v>0</v>
      </c>
      <c r="K224" s="182">
        <v>0</v>
      </c>
      <c r="L224" s="180" t="str">
        <f t="shared" si="28"/>
        <v/>
      </c>
      <c r="M224" s="218">
        <f>SUMIFS(DATA!$L:$L,DATA!$O:$O,$B224,DATA!$N:$N,$A224,DATA!$M:$M,'SALES BY SYSTEM'!$O$1)</f>
        <v>0</v>
      </c>
      <c r="N224" s="182">
        <v>870334.42898503155</v>
      </c>
      <c r="O224" s="180">
        <f t="shared" si="25"/>
        <v>0</v>
      </c>
      <c r="P224" s="218">
        <f>SUMIFS(DATA!$L:$L,DATA!$O:$O,$B224,DATA!$N:$N,$A224,DATA!$M:$M,'SALES BY SYSTEM'!$O$2)</f>
        <v>0</v>
      </c>
      <c r="Q224" s="182">
        <v>0</v>
      </c>
      <c r="R224" s="180" t="str">
        <f t="shared" si="26"/>
        <v/>
      </c>
      <c r="S224" s="218">
        <f>SUMIFS(DATA!$L:$L,DATA!$O:$O,$B224,DATA!$N:$N,$A224,DATA!$M:$M,'SALES BY SYSTEM'!$O$4)</f>
        <v>0</v>
      </c>
      <c r="T224" s="182">
        <v>0</v>
      </c>
      <c r="U224" s="180" t="str">
        <f t="shared" si="27"/>
        <v/>
      </c>
      <c r="V224" s="218">
        <f>SUMIFS(DATA!$L:$L,DATA!$O:$O,$B224,DATA!$N:$N,$A224,DATA!$M:$M,'SALES BY SYSTEM'!$O$3)</f>
        <v>0</v>
      </c>
      <c r="W224" s="168"/>
    </row>
    <row r="225" spans="1:23" ht="15.75" customHeight="1" x14ac:dyDescent="0.25">
      <c r="A225" s="13" t="s">
        <v>779</v>
      </c>
      <c r="B225" s="178" t="s">
        <v>598</v>
      </c>
      <c r="C225" s="156" t="str">
        <f>VLOOKUP(A225,CUSTOMER!$A:$C,3,0)</f>
        <v>SD_FELIZ</v>
      </c>
      <c r="D225" s="178" t="s">
        <v>674</v>
      </c>
      <c r="E225" s="178" t="str">
        <f>VLOOKUP(A225,CUSTOMER!$A$2:$H$1094,5,0)</f>
        <v>TRAN THI THAO NGUYEN</v>
      </c>
      <c r="F225" s="178" t="str">
        <f>VLOOKUP(A225,CUSTOMER!$A$2:$I$1094,6,0)</f>
        <v>NGUYEN THI MUON</v>
      </c>
      <c r="G225" s="178" t="str">
        <f>VLOOKUP(A225,CUSTOMER!$A$2:$J$1094,7,0)</f>
        <v>"NO PG"</v>
      </c>
      <c r="H225" s="179">
        <f t="shared" si="22"/>
        <v>2644378.2510507582</v>
      </c>
      <c r="I225" s="180">
        <f t="shared" si="23"/>
        <v>0</v>
      </c>
      <c r="J225" s="181">
        <f t="shared" si="24"/>
        <v>0</v>
      </c>
      <c r="K225" s="182">
        <v>0</v>
      </c>
      <c r="L225" s="180" t="str">
        <f t="shared" si="28"/>
        <v/>
      </c>
      <c r="M225" s="218">
        <f>SUMIFS(DATA!$L:$L,DATA!$O:$O,$B225,DATA!$N:$N,$A225,DATA!$M:$M,'SALES BY SYSTEM'!$O$1)</f>
        <v>0</v>
      </c>
      <c r="N225" s="182">
        <v>652750.82173877349</v>
      </c>
      <c r="O225" s="180">
        <f t="shared" si="25"/>
        <v>0</v>
      </c>
      <c r="P225" s="218">
        <f>SUMIFS(DATA!$L:$L,DATA!$O:$O,$B225,DATA!$N:$N,$A225,DATA!$M:$M,'SALES BY SYSTEM'!$O$2)</f>
        <v>0</v>
      </c>
      <c r="Q225" s="182">
        <v>1991627.4293119845</v>
      </c>
      <c r="R225" s="180">
        <f t="shared" si="26"/>
        <v>0</v>
      </c>
      <c r="S225" s="218">
        <f>SUMIFS(DATA!$L:$L,DATA!$O:$O,$B225,DATA!$N:$N,$A225,DATA!$M:$M,'SALES BY SYSTEM'!$O$4)</f>
        <v>0</v>
      </c>
      <c r="T225" s="182">
        <v>0</v>
      </c>
      <c r="U225" s="180" t="str">
        <f t="shared" si="27"/>
        <v/>
      </c>
      <c r="V225" s="218">
        <f>SUMIFS(DATA!$L:$L,DATA!$O:$O,$B225,DATA!$N:$N,$A225,DATA!$M:$M,'SALES BY SYSTEM'!$O$3)</f>
        <v>0</v>
      </c>
      <c r="W225" s="168"/>
    </row>
    <row r="226" spans="1:23" ht="15.75" customHeight="1" x14ac:dyDescent="0.25">
      <c r="A226" s="13" t="s">
        <v>608</v>
      </c>
      <c r="B226" s="178" t="s">
        <v>598</v>
      </c>
      <c r="C226" s="156" t="str">
        <f>VLOOKUP(A226,CUSTOMER!$A:$C,3,0)</f>
        <v>SD_LLOI</v>
      </c>
      <c r="D226" s="178" t="s">
        <v>674</v>
      </c>
      <c r="E226" s="178" t="str">
        <f>VLOOKUP(A226,CUSTOMER!$A$2:$H$1094,5,0)</f>
        <v>TRAN THI THAO NGUYEN</v>
      </c>
      <c r="F226" s="178" t="str">
        <f>VLOOKUP(A226,CUSTOMER!$A$2:$I$1094,6,0)</f>
        <v>NGUYEN THI MUON</v>
      </c>
      <c r="G226" s="178" t="str">
        <f>VLOOKUP(A226,CUSTOMER!$A$2:$J$1094,7,0)</f>
        <v>"NO PG"</v>
      </c>
      <c r="H226" s="179">
        <f t="shared" si="22"/>
        <v>2535587.0250313329</v>
      </c>
      <c r="I226" s="180">
        <f t="shared" si="23"/>
        <v>0</v>
      </c>
      <c r="J226" s="181">
        <f t="shared" si="24"/>
        <v>0</v>
      </c>
      <c r="K226" s="182">
        <v>0</v>
      </c>
      <c r="L226" s="180" t="str">
        <f t="shared" si="28"/>
        <v/>
      </c>
      <c r="M226" s="218">
        <f>SUMIFS(DATA!$L:$L,DATA!$O:$O,$B226,DATA!$N:$N,$A226,DATA!$M:$M,'SALES BY SYSTEM'!$O$1)</f>
        <v>0</v>
      </c>
      <c r="N226" s="182">
        <v>543959.59571934864</v>
      </c>
      <c r="O226" s="180">
        <f t="shared" si="25"/>
        <v>0</v>
      </c>
      <c r="P226" s="218">
        <f>SUMIFS(DATA!$L:$L,DATA!$O:$O,$B226,DATA!$N:$N,$A226,DATA!$M:$M,'SALES BY SYSTEM'!$O$2)</f>
        <v>0</v>
      </c>
      <c r="Q226" s="182">
        <v>1991627.4293119845</v>
      </c>
      <c r="R226" s="180">
        <f t="shared" si="26"/>
        <v>0</v>
      </c>
      <c r="S226" s="218">
        <f>SUMIFS(DATA!$L:$L,DATA!$O:$O,$B226,DATA!$N:$N,$A226,DATA!$M:$M,'SALES BY SYSTEM'!$O$4)</f>
        <v>0</v>
      </c>
      <c r="T226" s="182">
        <v>0</v>
      </c>
      <c r="U226" s="180" t="str">
        <f t="shared" si="27"/>
        <v/>
      </c>
      <c r="V226" s="218">
        <f>SUMIFS(DATA!$L:$L,DATA!$O:$O,$B226,DATA!$N:$N,$A226,DATA!$M:$M,'SALES BY SYSTEM'!$O$3)</f>
        <v>0</v>
      </c>
      <c r="W226" s="168"/>
    </row>
    <row r="227" spans="1:23" ht="15.75" customHeight="1" x14ac:dyDescent="0.25">
      <c r="A227" s="13" t="s">
        <v>604</v>
      </c>
      <c r="B227" s="178" t="s">
        <v>598</v>
      </c>
      <c r="C227" s="156" t="str">
        <f>VLOOKUP(A227,CUSTOMER!$A:$C,3,0)</f>
        <v>SD_SH</v>
      </c>
      <c r="D227" s="178" t="s">
        <v>674</v>
      </c>
      <c r="E227" s="178" t="str">
        <f>VLOOKUP(A227,CUSTOMER!$A$2:$H$1094,5,0)</f>
        <v>TRAN THI THAO NGUYEN</v>
      </c>
      <c r="F227" s="178" t="str">
        <f>VLOOKUP(A227,CUSTOMER!$A$2:$I$1094,6,0)</f>
        <v>NGUYEN THI MUON</v>
      </c>
      <c r="G227" s="178" t="str">
        <f>VLOOKUP(A227,CUSTOMER!$A$2:$J$1094,7,0)</f>
        <v>"NO PG"</v>
      </c>
      <c r="H227" s="179">
        <f t="shared" si="22"/>
        <v>4527213.8767396137</v>
      </c>
      <c r="I227" s="180">
        <f t="shared" si="23"/>
        <v>0</v>
      </c>
      <c r="J227" s="181">
        <f t="shared" si="24"/>
        <v>0</v>
      </c>
      <c r="K227" s="182">
        <v>0</v>
      </c>
      <c r="L227" s="180" t="str">
        <f t="shared" si="28"/>
        <v/>
      </c>
      <c r="M227" s="218">
        <f>SUMIFS(DATA!$L:$L,DATA!$O:$O,$B227,DATA!$N:$N,$A227,DATA!$M:$M,'SALES BY SYSTEM'!$O$1)</f>
        <v>0</v>
      </c>
      <c r="N227" s="182">
        <v>543959.01811564469</v>
      </c>
      <c r="O227" s="180">
        <f t="shared" si="25"/>
        <v>0</v>
      </c>
      <c r="P227" s="218">
        <f>SUMIFS(DATA!$L:$L,DATA!$O:$O,$B227,DATA!$N:$N,$A227,DATA!$M:$M,'SALES BY SYSTEM'!$O$2)</f>
        <v>0</v>
      </c>
      <c r="Q227" s="182">
        <v>3983254.8586239694</v>
      </c>
      <c r="R227" s="180">
        <f t="shared" si="26"/>
        <v>0</v>
      </c>
      <c r="S227" s="218">
        <f>SUMIFS(DATA!$L:$L,DATA!$O:$O,$B227,DATA!$N:$N,$A227,DATA!$M:$M,'SALES BY SYSTEM'!$O$4)</f>
        <v>0</v>
      </c>
      <c r="T227" s="182">
        <v>0</v>
      </c>
      <c r="U227" s="180" t="str">
        <f t="shared" si="27"/>
        <v/>
      </c>
      <c r="V227" s="218">
        <f>SUMIFS(DATA!$L:$L,DATA!$O:$O,$B227,DATA!$N:$N,$A227,DATA!$M:$M,'SALES BY SYSTEM'!$O$3)</f>
        <v>0</v>
      </c>
      <c r="W227" s="168"/>
    </row>
    <row r="228" spans="1:23" ht="15.75" customHeight="1" x14ac:dyDescent="0.25">
      <c r="A228" s="13" t="s">
        <v>600</v>
      </c>
      <c r="B228" s="178" t="s">
        <v>598</v>
      </c>
      <c r="C228" s="156" t="str">
        <f>VLOOKUP(A228,CUSTOMER!$A:$C,3,0)</f>
        <v>SD_LAND81</v>
      </c>
      <c r="D228" s="178" t="s">
        <v>674</v>
      </c>
      <c r="E228" s="178" t="str">
        <f>VLOOKUP(A228,CUSTOMER!$A$2:$H$1094,5,0)</f>
        <v>TRAN THI THAO NGUYEN</v>
      </c>
      <c r="F228" s="178" t="str">
        <f>VLOOKUP(A228,CUSTOMER!$A$2:$I$1094,6,0)</f>
        <v>NGUYEN THI MUON</v>
      </c>
      <c r="G228" s="178" t="str">
        <f>VLOOKUP(A228,CUSTOMER!$A$2:$J$1094,7,0)</f>
        <v>"NO PG"</v>
      </c>
      <c r="H228" s="179">
        <f t="shared" si="22"/>
        <v>2535586.447427629</v>
      </c>
      <c r="I228" s="180">
        <f t="shared" si="23"/>
        <v>0</v>
      </c>
      <c r="J228" s="181">
        <f t="shared" si="24"/>
        <v>0</v>
      </c>
      <c r="K228" s="182">
        <v>0</v>
      </c>
      <c r="L228" s="180" t="str">
        <f t="shared" si="28"/>
        <v/>
      </c>
      <c r="M228" s="218">
        <f>SUMIFS(DATA!$L:$L,DATA!$O:$O,$B228,DATA!$N:$N,$A228,DATA!$M:$M,'SALES BY SYSTEM'!$O$1)</f>
        <v>0</v>
      </c>
      <c r="N228" s="182">
        <v>543959.01811564469</v>
      </c>
      <c r="O228" s="180">
        <f t="shared" si="25"/>
        <v>0</v>
      </c>
      <c r="P228" s="218">
        <f>SUMIFS(DATA!$L:$L,DATA!$O:$O,$B228,DATA!$N:$N,$A228,DATA!$M:$M,'SALES BY SYSTEM'!$O$2)</f>
        <v>0</v>
      </c>
      <c r="Q228" s="182">
        <v>1991627.4293119845</v>
      </c>
      <c r="R228" s="180">
        <f t="shared" si="26"/>
        <v>0</v>
      </c>
      <c r="S228" s="218">
        <f>SUMIFS(DATA!$L:$L,DATA!$O:$O,$B228,DATA!$N:$N,$A228,DATA!$M:$M,'SALES BY SYSTEM'!$O$4)</f>
        <v>0</v>
      </c>
      <c r="T228" s="182">
        <v>0</v>
      </c>
      <c r="U228" s="180" t="str">
        <f t="shared" si="27"/>
        <v/>
      </c>
      <c r="V228" s="218">
        <f>SUMIFS(DATA!$L:$L,DATA!$O:$O,$B228,DATA!$N:$N,$A228,DATA!$M:$M,'SALES BY SYSTEM'!$O$3)</f>
        <v>0</v>
      </c>
      <c r="W228" s="168"/>
    </row>
    <row r="229" spans="1:23" ht="15.75" customHeight="1" x14ac:dyDescent="0.25">
      <c r="A229" s="13" t="s">
        <v>784</v>
      </c>
      <c r="B229" s="178" t="s">
        <v>598</v>
      </c>
      <c r="C229" s="156" t="str">
        <f>VLOOKUP(A229,CUSTOMER!$A:$C,3,0)</f>
        <v>SD_LBIEN</v>
      </c>
      <c r="D229" s="178" t="s">
        <v>674</v>
      </c>
      <c r="E229" s="178" t="str">
        <f>VLOOKUP(A229,CUSTOMER!$A$2:$H$1094,5,0)</f>
        <v>TRAN THI THAO NGUYEN</v>
      </c>
      <c r="F229" s="178" t="str">
        <f>VLOOKUP(A229,CUSTOMER!$A$2:$I$1094,6,0)</f>
        <v>LE THI HONG DIEP</v>
      </c>
      <c r="G229" s="178" t="str">
        <f>VLOOKUP(A229,CUSTOMER!$A$2:$J$1094,7,0)</f>
        <v>"NO PG"</v>
      </c>
      <c r="H229" s="179">
        <f t="shared" si="22"/>
        <v>2535586.447427629</v>
      </c>
      <c r="I229" s="180">
        <f t="shared" si="23"/>
        <v>0</v>
      </c>
      <c r="J229" s="181">
        <f t="shared" si="24"/>
        <v>0</v>
      </c>
      <c r="K229" s="182">
        <v>0</v>
      </c>
      <c r="L229" s="180" t="str">
        <f t="shared" si="28"/>
        <v/>
      </c>
      <c r="M229" s="218">
        <f>SUMIFS(DATA!$L:$L,DATA!$O:$O,$B229,DATA!$N:$N,$A229,DATA!$M:$M,'SALES BY SYSTEM'!$O$1)</f>
        <v>0</v>
      </c>
      <c r="N229" s="182">
        <v>543959.01811564469</v>
      </c>
      <c r="O229" s="180">
        <f t="shared" si="25"/>
        <v>0</v>
      </c>
      <c r="P229" s="218">
        <f>SUMIFS(DATA!$L:$L,DATA!$O:$O,$B229,DATA!$N:$N,$A229,DATA!$M:$M,'SALES BY SYSTEM'!$O$2)</f>
        <v>0</v>
      </c>
      <c r="Q229" s="182">
        <v>1991627.4293119845</v>
      </c>
      <c r="R229" s="180">
        <f t="shared" si="26"/>
        <v>0</v>
      </c>
      <c r="S229" s="218">
        <f>SUMIFS(DATA!$L:$L,DATA!$O:$O,$B229,DATA!$N:$N,$A229,DATA!$M:$M,'SALES BY SYSTEM'!$O$4)</f>
        <v>0</v>
      </c>
      <c r="T229" s="182">
        <v>0</v>
      </c>
      <c r="U229" s="180" t="str">
        <f t="shared" si="27"/>
        <v/>
      </c>
      <c r="V229" s="218">
        <f>SUMIFS(DATA!$L:$L,DATA!$O:$O,$B229,DATA!$N:$N,$A229,DATA!$M:$M,'SALES BY SYSTEM'!$O$3)</f>
        <v>0</v>
      </c>
      <c r="W229" s="168"/>
    </row>
    <row r="230" spans="1:23" ht="15.75" customHeight="1" x14ac:dyDescent="0.25">
      <c r="A230" s="13" t="s">
        <v>786</v>
      </c>
      <c r="B230" s="178" t="s">
        <v>598</v>
      </c>
      <c r="C230" s="156" t="str">
        <f>VLOOKUP(A230,CUSTOMER!$A:$C,3,0)</f>
        <v>SD_NDC</v>
      </c>
      <c r="D230" s="178" t="s">
        <v>674</v>
      </c>
      <c r="E230" s="178" t="str">
        <f>VLOOKUP(A230,CUSTOMER!$A$2:$H$1094,5,0)</f>
        <v>TRAN THI THAO NGUYEN</v>
      </c>
      <c r="F230" s="178" t="str">
        <f>VLOOKUP(A230,CUSTOMER!$A$2:$I$1094,6,0)</f>
        <v>NGUYEN THI MUON</v>
      </c>
      <c r="G230" s="178" t="str">
        <f>VLOOKUP(A230,CUSTOMER!$A$2:$J$1094,7,0)</f>
        <v>"NO PG"</v>
      </c>
      <c r="H230" s="179">
        <f t="shared" si="22"/>
        <v>2535586.447427629</v>
      </c>
      <c r="I230" s="180">
        <f t="shared" si="23"/>
        <v>0</v>
      </c>
      <c r="J230" s="181">
        <f t="shared" si="24"/>
        <v>0</v>
      </c>
      <c r="K230" s="182">
        <v>0</v>
      </c>
      <c r="L230" s="180" t="str">
        <f t="shared" si="28"/>
        <v/>
      </c>
      <c r="M230" s="218">
        <f>SUMIFS(DATA!$L:$L,DATA!$O:$O,$B230,DATA!$N:$N,$A230,DATA!$M:$M,'SALES BY SYSTEM'!$O$1)</f>
        <v>0</v>
      </c>
      <c r="N230" s="182">
        <v>543959.01811564469</v>
      </c>
      <c r="O230" s="180">
        <f t="shared" si="25"/>
        <v>0</v>
      </c>
      <c r="P230" s="218">
        <f>SUMIFS(DATA!$L:$L,DATA!$O:$O,$B230,DATA!$N:$N,$A230,DATA!$M:$M,'SALES BY SYSTEM'!$O$2)</f>
        <v>0</v>
      </c>
      <c r="Q230" s="182">
        <v>1991627.4293119845</v>
      </c>
      <c r="R230" s="180">
        <f t="shared" si="26"/>
        <v>0</v>
      </c>
      <c r="S230" s="218">
        <f>SUMIFS(DATA!$L:$L,DATA!$O:$O,$B230,DATA!$N:$N,$A230,DATA!$M:$M,'SALES BY SYSTEM'!$O$4)</f>
        <v>0</v>
      </c>
      <c r="T230" s="182">
        <v>0</v>
      </c>
      <c r="U230" s="180" t="str">
        <f t="shared" si="27"/>
        <v/>
      </c>
      <c r="V230" s="218">
        <f>SUMIFS(DATA!$L:$L,DATA!$O:$O,$B230,DATA!$N:$N,$A230,DATA!$M:$M,'SALES BY SYSTEM'!$O$3)</f>
        <v>0</v>
      </c>
      <c r="W230" s="168"/>
    </row>
    <row r="231" spans="1:23" ht="15.75" customHeight="1" x14ac:dyDescent="0.25">
      <c r="A231" s="178" t="s">
        <v>612</v>
      </c>
      <c r="B231" s="178" t="s">
        <v>598</v>
      </c>
      <c r="C231" s="178" t="str">
        <f>VLOOKUP(A231,CUSTOMER!$A:$C,3,0)</f>
        <v>SD_NHC</v>
      </c>
      <c r="D231" s="178" t="s">
        <v>674</v>
      </c>
      <c r="E231" s="178" t="str">
        <f>VLOOKUP(A231,CUSTOMER!$A$2:$H$1094,5,0)</f>
        <v>TRAN THI THAO NGUYEN</v>
      </c>
      <c r="F231" s="178" t="str">
        <f>VLOOKUP(A231,CUSTOMER!$A$2:$I$1094,6,0)</f>
        <v>NGUYEN THI MUON</v>
      </c>
      <c r="G231" s="178" t="str">
        <f>VLOOKUP(A231,CUSTOMER!$A$2:$J$1094,7,0)</f>
        <v>"NO PG"</v>
      </c>
      <c r="H231" s="179">
        <f t="shared" si="22"/>
        <v>2535586.447427629</v>
      </c>
      <c r="I231" s="180">
        <f t="shared" si="23"/>
        <v>0</v>
      </c>
      <c r="J231" s="181">
        <f t="shared" si="24"/>
        <v>0</v>
      </c>
      <c r="K231" s="182">
        <v>0</v>
      </c>
      <c r="L231" s="180" t="str">
        <f t="shared" si="28"/>
        <v/>
      </c>
      <c r="M231" s="218">
        <f>SUMIFS(DATA!$L:$L,DATA!$O:$O,$B231,DATA!$N:$N,$A231,DATA!$M:$M,'SALES BY SYSTEM'!$O$1)</f>
        <v>0</v>
      </c>
      <c r="N231" s="182">
        <v>543959.01811564469</v>
      </c>
      <c r="O231" s="180">
        <f t="shared" si="25"/>
        <v>0</v>
      </c>
      <c r="P231" s="218">
        <f>SUMIFS(DATA!$L:$L,DATA!$O:$O,$B231,DATA!$N:$N,$A231,DATA!$M:$M,'SALES BY SYSTEM'!$O$2)</f>
        <v>0</v>
      </c>
      <c r="Q231" s="182">
        <v>1991627.4293119845</v>
      </c>
      <c r="R231" s="180">
        <f t="shared" si="26"/>
        <v>0</v>
      </c>
      <c r="S231" s="218">
        <f>SUMIFS(DATA!$L:$L,DATA!$O:$O,$B231,DATA!$N:$N,$A231,DATA!$M:$M,'SALES BY SYSTEM'!$O$4)</f>
        <v>0</v>
      </c>
      <c r="T231" s="182">
        <v>0</v>
      </c>
      <c r="U231" s="180" t="str">
        <f t="shared" si="27"/>
        <v/>
      </c>
      <c r="V231" s="218">
        <f>SUMIFS(DATA!$L:$L,DATA!$O:$O,$B231,DATA!$N:$N,$A231,DATA!$M:$M,'SALES BY SYSTEM'!$O$3)</f>
        <v>0</v>
      </c>
      <c r="W231" s="168"/>
    </row>
    <row r="232" spans="1:23" ht="15.75" customHeight="1" x14ac:dyDescent="0.25">
      <c r="A232" s="178" t="s">
        <v>606</v>
      </c>
      <c r="B232" s="178" t="s">
        <v>598</v>
      </c>
      <c r="C232" s="178" t="str">
        <f>VLOOKUP(A232,CUSTOMER!$A:$C,3,0)</f>
        <v>SD_NLB</v>
      </c>
      <c r="D232" s="178" t="s">
        <v>674</v>
      </c>
      <c r="E232" s="178" t="str">
        <f>VLOOKUP(A232,CUSTOMER!$A$2:$H$1094,5,0)</f>
        <v>TRAN THI THAO NGUYEN</v>
      </c>
      <c r="F232" s="178" t="str">
        <f>VLOOKUP(A232,CUSTOMER!$A$2:$I$1094,6,0)</f>
        <v>NGUYEN THI MUON</v>
      </c>
      <c r="G232" s="178" t="str">
        <f>VLOOKUP(A232,CUSTOMER!$A$2:$J$1094,7,0)</f>
        <v>"NO PG"</v>
      </c>
      <c r="H232" s="179">
        <f t="shared" si="22"/>
        <v>2535586.447427629</v>
      </c>
      <c r="I232" s="180">
        <f t="shared" si="23"/>
        <v>0</v>
      </c>
      <c r="J232" s="181">
        <f t="shared" si="24"/>
        <v>0</v>
      </c>
      <c r="K232" s="182">
        <v>0</v>
      </c>
      <c r="L232" s="180" t="str">
        <f t="shared" si="28"/>
        <v/>
      </c>
      <c r="M232" s="218">
        <f>SUMIFS(DATA!$L:$L,DATA!$O:$O,$B232,DATA!$N:$N,$A232,DATA!$M:$M,'SALES BY SYSTEM'!$O$1)</f>
        <v>0</v>
      </c>
      <c r="N232" s="182">
        <v>543959.01811564469</v>
      </c>
      <c r="O232" s="180">
        <f t="shared" si="25"/>
        <v>0</v>
      </c>
      <c r="P232" s="218">
        <f>SUMIFS(DATA!$L:$L,DATA!$O:$O,$B232,DATA!$N:$N,$A232,DATA!$M:$M,'SALES BY SYSTEM'!$O$2)</f>
        <v>0</v>
      </c>
      <c r="Q232" s="182">
        <v>1991627.4293119845</v>
      </c>
      <c r="R232" s="180">
        <f t="shared" si="26"/>
        <v>0</v>
      </c>
      <c r="S232" s="218">
        <f>SUMIFS(DATA!$L:$L,DATA!$O:$O,$B232,DATA!$N:$N,$A232,DATA!$M:$M,'SALES BY SYSTEM'!$O$4)</f>
        <v>0</v>
      </c>
      <c r="T232" s="182">
        <v>0</v>
      </c>
      <c r="U232" s="180" t="str">
        <f t="shared" si="27"/>
        <v/>
      </c>
      <c r="V232" s="218">
        <f>SUMIFS(DATA!$L:$L,DATA!$O:$O,$B232,DATA!$N:$N,$A232,DATA!$M:$M,'SALES BY SYSTEM'!$O$3)</f>
        <v>0</v>
      </c>
      <c r="W232" s="168"/>
    </row>
    <row r="233" spans="1:23" ht="15.75" customHeight="1" x14ac:dyDescent="0.25">
      <c r="A233" s="178" t="s">
        <v>597</v>
      </c>
      <c r="B233" s="178" t="s">
        <v>598</v>
      </c>
      <c r="C233" s="178" t="str">
        <f>VLOOKUP(A233,CUSTOMER!$A:$C,3,0)</f>
        <v>SD_NVT</v>
      </c>
      <c r="D233" s="178" t="s">
        <v>674</v>
      </c>
      <c r="E233" s="178" t="str">
        <f>VLOOKUP(A233,CUSTOMER!$A$2:$H$1094,5,0)</f>
        <v>TRAN THI THAO NGUYEN</v>
      </c>
      <c r="F233" s="178" t="str">
        <f>VLOOKUP(A233,CUSTOMER!$A$2:$I$1094,6,0)</f>
        <v>NGUYEN THI MUON</v>
      </c>
      <c r="G233" s="178" t="str">
        <f>VLOOKUP(A233,CUSTOMER!$A$2:$J$1094,7,0)</f>
        <v>"NO PG"</v>
      </c>
      <c r="H233" s="179">
        <f t="shared" si="22"/>
        <v>2535586.447427629</v>
      </c>
      <c r="I233" s="180">
        <f t="shared" si="23"/>
        <v>0</v>
      </c>
      <c r="J233" s="181">
        <f t="shared" si="24"/>
        <v>0</v>
      </c>
      <c r="K233" s="182">
        <v>0</v>
      </c>
      <c r="L233" s="180" t="str">
        <f t="shared" si="28"/>
        <v/>
      </c>
      <c r="M233" s="218">
        <f>SUMIFS(DATA!$L:$L,DATA!$O:$O,$B233,DATA!$N:$N,$A233,DATA!$M:$M,'SALES BY SYSTEM'!$O$1)</f>
        <v>0</v>
      </c>
      <c r="N233" s="182">
        <v>543959.01811564469</v>
      </c>
      <c r="O233" s="180">
        <f t="shared" si="25"/>
        <v>0</v>
      </c>
      <c r="P233" s="218">
        <f>SUMIFS(DATA!$L:$L,DATA!$O:$O,$B233,DATA!$N:$N,$A233,DATA!$M:$M,'SALES BY SYSTEM'!$O$2)</f>
        <v>0</v>
      </c>
      <c r="Q233" s="182">
        <v>1991627.4293119845</v>
      </c>
      <c r="R233" s="180">
        <f t="shared" si="26"/>
        <v>0</v>
      </c>
      <c r="S233" s="218">
        <f>SUMIFS(DATA!$L:$L,DATA!$O:$O,$B233,DATA!$N:$N,$A233,DATA!$M:$M,'SALES BY SYSTEM'!$O$4)</f>
        <v>0</v>
      </c>
      <c r="T233" s="182">
        <v>0</v>
      </c>
      <c r="U233" s="180" t="str">
        <f t="shared" si="27"/>
        <v/>
      </c>
      <c r="V233" s="218">
        <f>SUMIFS(DATA!$L:$L,DATA!$O:$O,$B233,DATA!$N:$N,$A233,DATA!$M:$M,'SALES BY SYSTEM'!$O$3)</f>
        <v>0</v>
      </c>
      <c r="W233" s="168"/>
    </row>
    <row r="234" spans="1:23" ht="15.75" customHeight="1" x14ac:dyDescent="0.25">
      <c r="A234" s="178" t="s">
        <v>647</v>
      </c>
      <c r="B234" s="178" t="s">
        <v>647</v>
      </c>
      <c r="C234" s="178" t="str">
        <f>VLOOKUP(A234,CUSTOMER!$A:$C,3,0)</f>
        <v>3707</v>
      </c>
      <c r="D234" s="178" t="s">
        <v>674</v>
      </c>
      <c r="E234" s="178" t="str">
        <f>VLOOKUP(A234,CUSTOMER!$A$2:$H$1094,5,0)</f>
        <v>TRAN THI THAO NGUYEN</v>
      </c>
      <c r="F234" s="178" t="str">
        <f>VLOOKUP(A234,CUSTOMER!$A$2:$I$1094,6,0)</f>
        <v>NGUYEN THI MUON</v>
      </c>
      <c r="G234" s="178" t="s">
        <v>676</v>
      </c>
      <c r="H234" s="179">
        <f t="shared" si="22"/>
        <v>435167.21449251578</v>
      </c>
      <c r="I234" s="180">
        <f t="shared" si="23"/>
        <v>0</v>
      </c>
      <c r="J234" s="181">
        <f t="shared" si="24"/>
        <v>0</v>
      </c>
      <c r="K234" s="182">
        <v>0</v>
      </c>
      <c r="L234" s="180" t="str">
        <f t="shared" si="28"/>
        <v/>
      </c>
      <c r="M234" s="218">
        <f>SUMIFS(DATA!$L:$L,DATA!$O:$O,$B234,DATA!$N:$N,$A234,DATA!$M:$M,'SALES BY SYSTEM'!$O$1)</f>
        <v>0</v>
      </c>
      <c r="N234" s="182">
        <v>435167.21449251578</v>
      </c>
      <c r="O234" s="180">
        <f t="shared" si="25"/>
        <v>0</v>
      </c>
      <c r="P234" s="218">
        <f>SUMIFS(DATA!$L:$L,DATA!$O:$O,$B234,DATA!$N:$N,$A234,DATA!$M:$M,'SALES BY SYSTEM'!$O$2)</f>
        <v>0</v>
      </c>
      <c r="Q234" s="182">
        <v>0</v>
      </c>
      <c r="R234" s="180" t="str">
        <f t="shared" si="26"/>
        <v/>
      </c>
      <c r="S234" s="218">
        <f>SUMIFS(DATA!$L:$L,DATA!$O:$O,$B234,DATA!$N:$N,$A234,DATA!$M:$M,'SALES BY SYSTEM'!$O$4)</f>
        <v>0</v>
      </c>
      <c r="T234" s="182">
        <v>0</v>
      </c>
      <c r="U234" s="180" t="str">
        <f t="shared" si="27"/>
        <v/>
      </c>
      <c r="V234" s="218">
        <f>SUMIFS(DATA!$L:$L,DATA!$O:$O,$B234,DATA!$N:$N,$A234,DATA!$M:$M,'SALES BY SYSTEM'!$O$3)</f>
        <v>0</v>
      </c>
      <c r="W234" s="168"/>
    </row>
    <row r="235" spans="1:23" ht="15.75" customHeight="1" x14ac:dyDescent="0.25">
      <c r="A235" s="178" t="s">
        <v>128</v>
      </c>
      <c r="B235" s="178" t="s">
        <v>128</v>
      </c>
      <c r="C235" s="178" t="str">
        <f>VLOOKUP(A235,CUSTOMER!$A:$C,3,0)</f>
        <v>4201</v>
      </c>
      <c r="D235" s="178" t="s">
        <v>674</v>
      </c>
      <c r="E235" s="178" t="str">
        <f>VLOOKUP(A235,CUSTOMER!$A$2:$H$1094,5,0)</f>
        <v>VACANCY</v>
      </c>
      <c r="F235" s="178" t="str">
        <f>VLOOKUP(A235,CUSTOMER!$A$2:$I$1094,6,0)</f>
        <v>VACANCY</v>
      </c>
      <c r="G235" s="178" t="s">
        <v>676</v>
      </c>
      <c r="H235" s="179">
        <f t="shared" si="22"/>
        <v>44811617.159519657</v>
      </c>
      <c r="I235" s="180">
        <f t="shared" si="23"/>
        <v>0</v>
      </c>
      <c r="J235" s="181">
        <f t="shared" si="24"/>
        <v>0</v>
      </c>
      <c r="K235" s="182">
        <v>0</v>
      </c>
      <c r="L235" s="180" t="str">
        <f t="shared" si="28"/>
        <v/>
      </c>
      <c r="M235" s="218">
        <f>SUMIFS(DATA!$L:$L,DATA!$O:$O,$B235,DATA!$N:$N,$A235,DATA!$M:$M,'SALES BY SYSTEM'!$O$1)</f>
        <v>0</v>
      </c>
      <c r="N235" s="182">
        <v>0</v>
      </c>
      <c r="O235" s="180" t="str">
        <f t="shared" si="25"/>
        <v/>
      </c>
      <c r="P235" s="218">
        <f>SUMIFS(DATA!$L:$L,DATA!$O:$O,$B235,DATA!$N:$N,$A235,DATA!$M:$M,'SALES BY SYSTEM'!$O$2)</f>
        <v>0</v>
      </c>
      <c r="Q235" s="182">
        <v>44811617.159519657</v>
      </c>
      <c r="R235" s="180">
        <f t="shared" si="26"/>
        <v>0</v>
      </c>
      <c r="S235" s="218">
        <f>SUMIFS(DATA!$L:$L,DATA!$O:$O,$B235,DATA!$N:$N,$A235,DATA!$M:$M,'SALES BY SYSTEM'!$O$4)</f>
        <v>0</v>
      </c>
      <c r="T235" s="182">
        <v>0</v>
      </c>
      <c r="U235" s="180" t="str">
        <f t="shared" si="27"/>
        <v/>
      </c>
      <c r="V235" s="218">
        <f>SUMIFS(DATA!$L:$L,DATA!$O:$O,$B235,DATA!$N:$N,$A235,DATA!$M:$M,'SALES BY SYSTEM'!$O$3)</f>
        <v>0</v>
      </c>
      <c r="W235" s="168"/>
    </row>
    <row r="236" spans="1:23" ht="15.75" customHeight="1" x14ac:dyDescent="0.25">
      <c r="A236" s="139" t="s">
        <v>810</v>
      </c>
      <c r="B236" s="139" t="s">
        <v>561</v>
      </c>
      <c r="C236" s="178" t="str">
        <f>VLOOKUP(A236,CUSTOMER!$A:$C,3,0)</f>
        <v>BHX_6450_BMT</v>
      </c>
      <c r="D236" s="178" t="s">
        <v>674</v>
      </c>
      <c r="E236" s="178" t="str">
        <f>VLOOKUP(A236,CUSTOMER!$A$2:$H$1094,5,0)</f>
        <v>LE NAM PHUONG</v>
      </c>
      <c r="F236" s="178" t="str">
        <f>VLOOKUP(A236,CUSTOMER!$A$2:$I$1094,6,0)</f>
        <v>VACANCY</v>
      </c>
      <c r="G236" s="178" t="s">
        <v>676</v>
      </c>
      <c r="H236" s="179">
        <f t="shared" si="22"/>
        <v>42198611.628257751</v>
      </c>
      <c r="I236" s="180">
        <f t="shared" si="23"/>
        <v>0</v>
      </c>
      <c r="J236" s="181">
        <f t="shared" si="24"/>
        <v>0</v>
      </c>
      <c r="K236" s="182">
        <v>0</v>
      </c>
      <c r="L236" s="180" t="str">
        <f t="shared" si="28"/>
        <v/>
      </c>
      <c r="M236" s="218">
        <f>SUMIFS(DATA!$L:$L,DATA!$O:$O,$B236,DATA!$N:$N,$A236,DATA!$M:$M,'SALES BY SYSTEM'!$O$1)</f>
        <v>0</v>
      </c>
      <c r="N236" s="182">
        <v>0</v>
      </c>
      <c r="O236" s="180" t="str">
        <f t="shared" si="25"/>
        <v/>
      </c>
      <c r="P236" s="218">
        <f>SUMIFS(DATA!$L:$L,DATA!$O:$O,$B236,DATA!$N:$N,$A236,DATA!$M:$M,'SALES BY SYSTEM'!$O$2)</f>
        <v>0</v>
      </c>
      <c r="Q236" s="182">
        <v>42198611.628257751</v>
      </c>
      <c r="R236" s="180">
        <f t="shared" si="26"/>
        <v>0</v>
      </c>
      <c r="S236" s="218">
        <f>SUMIFS(DATA!$L:$L,DATA!$O:$O,$B236,DATA!$N:$N,$A236,DATA!$M:$M,'SALES BY SYSTEM'!$O$4)</f>
        <v>0</v>
      </c>
      <c r="T236" s="182">
        <v>0</v>
      </c>
      <c r="U236" s="180" t="str">
        <f t="shared" si="27"/>
        <v/>
      </c>
      <c r="V236" s="218">
        <f>SUMIFS(DATA!$L:$L,DATA!$O:$O,$B236,DATA!$N:$N,$A236,DATA!$M:$M,'SALES BY SYSTEM'!$O$3)</f>
        <v>0</v>
      </c>
      <c r="W236" s="168"/>
    </row>
    <row r="237" spans="1:23" ht="15.75" customHeight="1" x14ac:dyDescent="0.25">
      <c r="A237" s="139" t="s">
        <v>567</v>
      </c>
      <c r="B237" s="139" t="s">
        <v>561</v>
      </c>
      <c r="C237" s="178" t="str">
        <f>VLOOKUP(A237,CUSTOMER!$A:$C,3,0)</f>
        <v>BHX_7234_CDUOC</v>
      </c>
      <c r="D237" s="178" t="s">
        <v>674</v>
      </c>
      <c r="E237" s="178" t="str">
        <f>VLOOKUP(A237,CUSTOMER!$A$2:$H$1094,5,0)</f>
        <v>LE NAM PHUONG</v>
      </c>
      <c r="F237" s="178" t="str">
        <f>VLOOKUP(A237,CUSTOMER!$A$2:$I$1094,6,0)</f>
        <v>VACANCY</v>
      </c>
      <c r="G237" s="178" t="s">
        <v>676</v>
      </c>
      <c r="H237" s="179">
        <f t="shared" si="22"/>
        <v>42198611.628257751</v>
      </c>
      <c r="I237" s="180">
        <f t="shared" si="23"/>
        <v>0</v>
      </c>
      <c r="J237" s="181">
        <f t="shared" si="24"/>
        <v>0</v>
      </c>
      <c r="K237" s="182">
        <v>0</v>
      </c>
      <c r="L237" s="180" t="str">
        <f t="shared" si="28"/>
        <v/>
      </c>
      <c r="M237" s="218">
        <f>SUMIFS(DATA!$L:$L,DATA!$O:$O,$B237,DATA!$N:$N,$A237,DATA!$M:$M,'SALES BY SYSTEM'!$O$1)</f>
        <v>0</v>
      </c>
      <c r="N237" s="182">
        <v>0</v>
      </c>
      <c r="O237" s="180" t="str">
        <f t="shared" si="25"/>
        <v/>
      </c>
      <c r="P237" s="218">
        <f>SUMIFS(DATA!$L:$L,DATA!$O:$O,$B237,DATA!$N:$N,$A237,DATA!$M:$M,'SALES BY SYSTEM'!$O$2)</f>
        <v>0</v>
      </c>
      <c r="Q237" s="182">
        <v>42198611.628257751</v>
      </c>
      <c r="R237" s="180">
        <f t="shared" si="26"/>
        <v>0</v>
      </c>
      <c r="S237" s="218">
        <f>SUMIFS(DATA!$L:$L,DATA!$O:$O,$B237,DATA!$N:$N,$A237,DATA!$M:$M,'SALES BY SYSTEM'!$O$4)</f>
        <v>0</v>
      </c>
      <c r="T237" s="182">
        <v>0</v>
      </c>
      <c r="U237" s="180" t="str">
        <f t="shared" si="27"/>
        <v/>
      </c>
      <c r="V237" s="218">
        <f>SUMIFS(DATA!$L:$L,DATA!$O:$O,$B237,DATA!$N:$N,$A237,DATA!$M:$M,'SALES BY SYSTEM'!$O$3)</f>
        <v>0</v>
      </c>
      <c r="W237" s="168"/>
    </row>
    <row r="238" spans="1:23" ht="15.75" customHeight="1" x14ac:dyDescent="0.25">
      <c r="A238" s="139" t="s">
        <v>571</v>
      </c>
      <c r="B238" s="139" t="s">
        <v>561</v>
      </c>
      <c r="C238" s="178" t="str">
        <f>VLOOKUP(A238,CUSTOMER!$A:$C,3,0)</f>
        <v>BHX_5060_CTHANHA</v>
      </c>
      <c r="D238" s="178" t="s">
        <v>674</v>
      </c>
      <c r="E238" s="178" t="str">
        <f>VLOOKUP(A238,CUSTOMER!$A$2:$H$1094,5,0)</f>
        <v>LE NAM PHUONG</v>
      </c>
      <c r="F238" s="178" t="str">
        <f>VLOOKUP(A238,CUSTOMER!$A$2:$I$1094,6,0)</f>
        <v>VACANCY</v>
      </c>
      <c r="G238" s="178" t="s">
        <v>676</v>
      </c>
      <c r="H238" s="179">
        <f t="shared" si="22"/>
        <v>42198611.628257751</v>
      </c>
      <c r="I238" s="180">
        <f t="shared" si="23"/>
        <v>0</v>
      </c>
      <c r="J238" s="181">
        <f t="shared" si="24"/>
        <v>0</v>
      </c>
      <c r="K238" s="182">
        <v>0</v>
      </c>
      <c r="L238" s="180" t="str">
        <f t="shared" si="28"/>
        <v/>
      </c>
      <c r="M238" s="218">
        <f>SUMIFS(DATA!$L:$L,DATA!$O:$O,$B238,DATA!$N:$N,$A238,DATA!$M:$M,'SALES BY SYSTEM'!$O$1)</f>
        <v>0</v>
      </c>
      <c r="N238" s="182">
        <v>0</v>
      </c>
      <c r="O238" s="180" t="str">
        <f t="shared" si="25"/>
        <v/>
      </c>
      <c r="P238" s="218">
        <f>SUMIFS(DATA!$L:$L,DATA!$O:$O,$B238,DATA!$N:$N,$A238,DATA!$M:$M,'SALES BY SYSTEM'!$O$2)</f>
        <v>0</v>
      </c>
      <c r="Q238" s="182">
        <v>42198611.628257751</v>
      </c>
      <c r="R238" s="180">
        <f t="shared" si="26"/>
        <v>0</v>
      </c>
      <c r="S238" s="218">
        <f>SUMIFS(DATA!$L:$L,DATA!$O:$O,$B238,DATA!$N:$N,$A238,DATA!$M:$M,'SALES BY SYSTEM'!$O$4)</f>
        <v>0</v>
      </c>
      <c r="T238" s="182">
        <v>0</v>
      </c>
      <c r="U238" s="180" t="str">
        <f t="shared" si="27"/>
        <v/>
      </c>
      <c r="V238" s="218">
        <f>SUMIFS(DATA!$L:$L,DATA!$O:$O,$B238,DATA!$N:$N,$A238,DATA!$M:$M,'SALES BY SYSTEM'!$O$3)</f>
        <v>0</v>
      </c>
      <c r="W238" s="168"/>
    </row>
    <row r="239" spans="1:23" ht="15.75" customHeight="1" x14ac:dyDescent="0.25">
      <c r="A239" s="139" t="s">
        <v>565</v>
      </c>
      <c r="B239" s="139" t="s">
        <v>561</v>
      </c>
      <c r="C239" s="178" t="str">
        <f>VLOOKUP(A239,CUSTOMER!$A:$C,3,0)</f>
        <v>BHX_7200_DKHANH</v>
      </c>
      <c r="D239" s="178" t="s">
        <v>674</v>
      </c>
      <c r="E239" s="178" t="str">
        <f>VLOOKUP(A239,CUSTOMER!$A$2:$H$1094,5,0)</f>
        <v>LE NAM PHUONG</v>
      </c>
      <c r="F239" s="178" t="str">
        <f>VLOOKUP(A239,CUSTOMER!$A$2:$I$1094,6,0)</f>
        <v>VACANCY</v>
      </c>
      <c r="G239" s="178" t="s">
        <v>676</v>
      </c>
      <c r="H239" s="179">
        <f t="shared" si="22"/>
        <v>42198611.628257751</v>
      </c>
      <c r="I239" s="180">
        <f t="shared" si="23"/>
        <v>0</v>
      </c>
      <c r="J239" s="181">
        <f t="shared" si="24"/>
        <v>0</v>
      </c>
      <c r="K239" s="182">
        <v>0</v>
      </c>
      <c r="L239" s="180" t="str">
        <f t="shared" si="28"/>
        <v/>
      </c>
      <c r="M239" s="218">
        <f>SUMIFS(DATA!$L:$L,DATA!$O:$O,$B239,DATA!$N:$N,$A239,DATA!$M:$M,'SALES BY SYSTEM'!$O$1)</f>
        <v>0</v>
      </c>
      <c r="N239" s="182">
        <v>0</v>
      </c>
      <c r="O239" s="180" t="str">
        <f t="shared" si="25"/>
        <v/>
      </c>
      <c r="P239" s="218">
        <f>SUMIFS(DATA!$L:$L,DATA!$O:$O,$B239,DATA!$N:$N,$A239,DATA!$M:$M,'SALES BY SYSTEM'!$O$2)</f>
        <v>0</v>
      </c>
      <c r="Q239" s="182">
        <v>42198611.628257751</v>
      </c>
      <c r="R239" s="180">
        <f t="shared" si="26"/>
        <v>0</v>
      </c>
      <c r="S239" s="218">
        <f>SUMIFS(DATA!$L:$L,DATA!$O:$O,$B239,DATA!$N:$N,$A239,DATA!$M:$M,'SALES BY SYSTEM'!$O$4)</f>
        <v>0</v>
      </c>
      <c r="T239" s="182">
        <v>0</v>
      </c>
      <c r="U239" s="180" t="str">
        <f t="shared" si="27"/>
        <v/>
      </c>
      <c r="V239" s="218">
        <f>SUMIFS(DATA!$L:$L,DATA!$O:$O,$B239,DATA!$N:$N,$A239,DATA!$M:$M,'SALES BY SYSTEM'!$O$3)</f>
        <v>0</v>
      </c>
      <c r="W239" s="168"/>
    </row>
    <row r="240" spans="1:23" ht="15.75" customHeight="1" x14ac:dyDescent="0.25">
      <c r="A240" s="139" t="s">
        <v>813</v>
      </c>
      <c r="B240" s="139" t="s">
        <v>561</v>
      </c>
      <c r="C240" s="178" t="str">
        <f>VLOOKUP(A240,CUSTOMER!$A:$C,3,0)</f>
        <v>BHX_7866_DPHU</v>
      </c>
      <c r="D240" s="178" t="s">
        <v>674</v>
      </c>
      <c r="E240" s="178" t="str">
        <f>VLOOKUP(A240,CUSTOMER!$A$2:$H$1094,5,0)</f>
        <v>LE NAM PHUONG</v>
      </c>
      <c r="F240" s="178" t="str">
        <f>VLOOKUP(A240,CUSTOMER!$A$2:$I$1094,6,0)</f>
        <v>VACANCY</v>
      </c>
      <c r="G240" s="178" t="s">
        <v>676</v>
      </c>
      <c r="H240" s="179">
        <f t="shared" si="22"/>
        <v>42198611.628257751</v>
      </c>
      <c r="I240" s="180">
        <f t="shared" si="23"/>
        <v>0</v>
      </c>
      <c r="J240" s="181">
        <f t="shared" si="24"/>
        <v>0</v>
      </c>
      <c r="K240" s="182">
        <v>0</v>
      </c>
      <c r="L240" s="180" t="str">
        <f t="shared" si="28"/>
        <v/>
      </c>
      <c r="M240" s="218">
        <f>SUMIFS(DATA!$L:$L,DATA!$O:$O,$B240,DATA!$N:$N,$A240,DATA!$M:$M,'SALES BY SYSTEM'!$O$1)</f>
        <v>0</v>
      </c>
      <c r="N240" s="182">
        <v>0</v>
      </c>
      <c r="O240" s="180" t="str">
        <f t="shared" si="25"/>
        <v/>
      </c>
      <c r="P240" s="218">
        <f>SUMIFS(DATA!$L:$L,DATA!$O:$O,$B240,DATA!$N:$N,$A240,DATA!$M:$M,'SALES BY SYSTEM'!$O$2)</f>
        <v>0</v>
      </c>
      <c r="Q240" s="182">
        <v>42198611.628257751</v>
      </c>
      <c r="R240" s="180">
        <f t="shared" si="26"/>
        <v>0</v>
      </c>
      <c r="S240" s="218">
        <f>SUMIFS(DATA!$L:$L,DATA!$O:$O,$B240,DATA!$N:$N,$A240,DATA!$M:$M,'SALES BY SYSTEM'!$O$4)</f>
        <v>0</v>
      </c>
      <c r="T240" s="182">
        <v>0</v>
      </c>
      <c r="U240" s="180" t="str">
        <f t="shared" si="27"/>
        <v/>
      </c>
      <c r="V240" s="218">
        <f>SUMIFS(DATA!$L:$L,DATA!$O:$O,$B240,DATA!$N:$N,$A240,DATA!$M:$M,'SALES BY SYSTEM'!$O$3)</f>
        <v>0</v>
      </c>
      <c r="W240" s="168"/>
    </row>
    <row r="241" spans="1:23" ht="15.75" customHeight="1" x14ac:dyDescent="0.25">
      <c r="A241" s="139" t="s">
        <v>817</v>
      </c>
      <c r="B241" s="139" t="s">
        <v>561</v>
      </c>
      <c r="C241" s="178" t="str">
        <f>VLOOKUP(A241,CUSTOMER!$A:$C,3,0)</f>
        <v>BHX_8030_DTRONG</v>
      </c>
      <c r="D241" s="178" t="s">
        <v>674</v>
      </c>
      <c r="E241" s="178" t="str">
        <f>VLOOKUP(A241,CUSTOMER!$A$2:$H$1094,5,0)</f>
        <v>LE NAM PHUONG</v>
      </c>
      <c r="F241" s="178" t="str">
        <f>VLOOKUP(A241,CUSTOMER!$A$2:$I$1094,6,0)</f>
        <v>VACANCY</v>
      </c>
      <c r="G241" s="178" t="s">
        <v>676</v>
      </c>
      <c r="H241" s="179">
        <f t="shared" si="22"/>
        <v>42198611.628257751</v>
      </c>
      <c r="I241" s="180">
        <f t="shared" si="23"/>
        <v>0</v>
      </c>
      <c r="J241" s="181">
        <f t="shared" si="24"/>
        <v>0</v>
      </c>
      <c r="K241" s="182">
        <v>0</v>
      </c>
      <c r="L241" s="180" t="str">
        <f t="shared" si="28"/>
        <v/>
      </c>
      <c r="M241" s="218">
        <f>SUMIFS(DATA!$L:$L,DATA!$O:$O,$B241,DATA!$N:$N,$A241,DATA!$M:$M,'SALES BY SYSTEM'!$O$1)</f>
        <v>0</v>
      </c>
      <c r="N241" s="182">
        <v>0</v>
      </c>
      <c r="O241" s="180" t="str">
        <f t="shared" si="25"/>
        <v/>
      </c>
      <c r="P241" s="218">
        <f>SUMIFS(DATA!$L:$L,DATA!$O:$O,$B241,DATA!$N:$N,$A241,DATA!$M:$M,'SALES BY SYSTEM'!$O$2)</f>
        <v>0</v>
      </c>
      <c r="Q241" s="182">
        <v>42198611.628257751</v>
      </c>
      <c r="R241" s="180">
        <f t="shared" si="26"/>
        <v>0</v>
      </c>
      <c r="S241" s="218">
        <f>SUMIFS(DATA!$L:$L,DATA!$O:$O,$B241,DATA!$N:$N,$A241,DATA!$M:$M,'SALES BY SYSTEM'!$O$4)</f>
        <v>0</v>
      </c>
      <c r="T241" s="182">
        <v>0</v>
      </c>
      <c r="U241" s="180" t="str">
        <f t="shared" si="27"/>
        <v/>
      </c>
      <c r="V241" s="218">
        <f>SUMIFS(DATA!$L:$L,DATA!$O:$O,$B241,DATA!$N:$N,$A241,DATA!$M:$M,'SALES BY SYSTEM'!$O$3)</f>
        <v>0</v>
      </c>
      <c r="W241" s="168"/>
    </row>
    <row r="242" spans="1:23" ht="15.75" customHeight="1" x14ac:dyDescent="0.25">
      <c r="A242" s="139" t="s">
        <v>823</v>
      </c>
      <c r="B242" s="139" t="s">
        <v>561</v>
      </c>
      <c r="C242" s="178" t="str">
        <f>VLOOKUP(A242,CUSTOMER!$A:$C,3,0)</f>
        <v>BHX_7211_HTA</v>
      </c>
      <c r="D242" s="178" t="s">
        <v>674</v>
      </c>
      <c r="E242" s="178" t="str">
        <f>VLOOKUP(A242,CUSTOMER!$A$2:$H$1094,5,0)</f>
        <v>LE NAM PHUONG</v>
      </c>
      <c r="F242" s="178" t="str">
        <f>VLOOKUP(A242,CUSTOMER!$A$2:$I$1094,6,0)</f>
        <v>VACANCY</v>
      </c>
      <c r="G242" s="178" t="s">
        <v>676</v>
      </c>
      <c r="H242" s="179">
        <f t="shared" si="22"/>
        <v>42198611.628257751</v>
      </c>
      <c r="I242" s="180">
        <f t="shared" si="23"/>
        <v>0</v>
      </c>
      <c r="J242" s="181">
        <f t="shared" si="24"/>
        <v>0</v>
      </c>
      <c r="K242" s="182">
        <v>0</v>
      </c>
      <c r="L242" s="180" t="str">
        <f t="shared" si="28"/>
        <v/>
      </c>
      <c r="M242" s="218">
        <f>SUMIFS(DATA!$L:$L,DATA!$O:$O,$B242,DATA!$N:$N,$A242,DATA!$M:$M,'SALES BY SYSTEM'!$O$1)</f>
        <v>0</v>
      </c>
      <c r="N242" s="182">
        <v>0</v>
      </c>
      <c r="O242" s="180" t="str">
        <f t="shared" si="25"/>
        <v/>
      </c>
      <c r="P242" s="218">
        <f>SUMIFS(DATA!$L:$L,DATA!$O:$O,$B242,DATA!$N:$N,$A242,DATA!$M:$M,'SALES BY SYSTEM'!$O$2)</f>
        <v>0</v>
      </c>
      <c r="Q242" s="182">
        <v>42198611.628257751</v>
      </c>
      <c r="R242" s="180">
        <f t="shared" si="26"/>
        <v>0</v>
      </c>
      <c r="S242" s="218">
        <f>SUMIFS(DATA!$L:$L,DATA!$O:$O,$B242,DATA!$N:$N,$A242,DATA!$M:$M,'SALES BY SYSTEM'!$O$4)</f>
        <v>0</v>
      </c>
      <c r="T242" s="182">
        <v>0</v>
      </c>
      <c r="U242" s="180" t="str">
        <f t="shared" si="27"/>
        <v/>
      </c>
      <c r="V242" s="218">
        <f>SUMIFS(DATA!$L:$L,DATA!$O:$O,$B242,DATA!$N:$N,$A242,DATA!$M:$M,'SALES BY SYSTEM'!$O$3)</f>
        <v>0</v>
      </c>
      <c r="W242" s="168"/>
    </row>
    <row r="243" spans="1:23" ht="15.75" customHeight="1" x14ac:dyDescent="0.25">
      <c r="A243" s="139" t="s">
        <v>581</v>
      </c>
      <c r="B243" s="139" t="s">
        <v>561</v>
      </c>
      <c r="C243" s="178" t="str">
        <f>VLOOKUP(A243,CUSTOMER!$A:$C,3,0)</f>
        <v>BHX_4089_LBINH</v>
      </c>
      <c r="D243" s="178" t="s">
        <v>674</v>
      </c>
      <c r="E243" s="178" t="str">
        <f>VLOOKUP(A243,CUSTOMER!$A$2:$H$1094,5,0)</f>
        <v>LE NAM PHUONG</v>
      </c>
      <c r="F243" s="178" t="str">
        <f>VLOOKUP(A243,CUSTOMER!$A$2:$I$1094,6,0)</f>
        <v>VACANCY</v>
      </c>
      <c r="G243" s="178" t="s">
        <v>676</v>
      </c>
      <c r="H243" s="179">
        <f t="shared" si="22"/>
        <v>42198611.628257751</v>
      </c>
      <c r="I243" s="180">
        <f t="shared" si="23"/>
        <v>0</v>
      </c>
      <c r="J243" s="181">
        <f t="shared" si="24"/>
        <v>0</v>
      </c>
      <c r="K243" s="182">
        <v>0</v>
      </c>
      <c r="L243" s="180" t="str">
        <f t="shared" si="28"/>
        <v/>
      </c>
      <c r="M243" s="218">
        <f>SUMIFS(DATA!$L:$L,DATA!$O:$O,$B243,DATA!$N:$N,$A243,DATA!$M:$M,'SALES BY SYSTEM'!$O$1)</f>
        <v>0</v>
      </c>
      <c r="N243" s="182">
        <v>0</v>
      </c>
      <c r="O243" s="180" t="str">
        <f t="shared" si="25"/>
        <v/>
      </c>
      <c r="P243" s="218">
        <f>SUMIFS(DATA!$L:$L,DATA!$O:$O,$B243,DATA!$N:$N,$A243,DATA!$M:$M,'SALES BY SYSTEM'!$O$2)</f>
        <v>0</v>
      </c>
      <c r="Q243" s="182">
        <v>42198611.628257751</v>
      </c>
      <c r="R243" s="180">
        <f t="shared" si="26"/>
        <v>0</v>
      </c>
      <c r="S243" s="218">
        <f>SUMIFS(DATA!$L:$L,DATA!$O:$O,$B243,DATA!$N:$N,$A243,DATA!$M:$M,'SALES BY SYSTEM'!$O$4)</f>
        <v>0</v>
      </c>
      <c r="T243" s="182">
        <v>0</v>
      </c>
      <c r="U243" s="180" t="str">
        <f t="shared" si="27"/>
        <v/>
      </c>
      <c r="V243" s="218">
        <f>SUMIFS(DATA!$L:$L,DATA!$O:$O,$B243,DATA!$N:$N,$A243,DATA!$M:$M,'SALES BY SYSTEM'!$O$3)</f>
        <v>0</v>
      </c>
      <c r="W243" s="168"/>
    </row>
    <row r="244" spans="1:23" ht="15.75" customHeight="1" x14ac:dyDescent="0.25">
      <c r="A244" s="139" t="s">
        <v>563</v>
      </c>
      <c r="B244" s="139" t="s">
        <v>561</v>
      </c>
      <c r="C244" s="178" t="str">
        <f>VLOOKUP(A244,CUSTOMER!$A:$C,3,0)</f>
        <v>BHX_6655_NHBE</v>
      </c>
      <c r="D244" s="178" t="s">
        <v>674</v>
      </c>
      <c r="E244" s="178" t="str">
        <f>VLOOKUP(A244,CUSTOMER!$A$2:$H$1094,5,0)</f>
        <v>LE NAM PHUONG</v>
      </c>
      <c r="F244" s="178" t="str">
        <f>VLOOKUP(A244,CUSTOMER!$A$2:$I$1094,6,0)</f>
        <v>VACANCY</v>
      </c>
      <c r="G244" s="178" t="s">
        <v>676</v>
      </c>
      <c r="H244" s="179">
        <f t="shared" si="22"/>
        <v>42198611.628257751</v>
      </c>
      <c r="I244" s="180">
        <f t="shared" si="23"/>
        <v>0</v>
      </c>
      <c r="J244" s="181">
        <f t="shared" si="24"/>
        <v>0</v>
      </c>
      <c r="K244" s="182">
        <v>0</v>
      </c>
      <c r="L244" s="180" t="str">
        <f t="shared" si="28"/>
        <v/>
      </c>
      <c r="M244" s="218">
        <f>SUMIFS(DATA!$L:$L,DATA!$O:$O,$B244,DATA!$N:$N,$A244,DATA!$M:$M,'SALES BY SYSTEM'!$O$1)</f>
        <v>0</v>
      </c>
      <c r="N244" s="182">
        <v>0</v>
      </c>
      <c r="O244" s="180" t="str">
        <f t="shared" si="25"/>
        <v/>
      </c>
      <c r="P244" s="218">
        <f>SUMIFS(DATA!$L:$L,DATA!$O:$O,$B244,DATA!$N:$N,$A244,DATA!$M:$M,'SALES BY SYSTEM'!$O$2)</f>
        <v>0</v>
      </c>
      <c r="Q244" s="182">
        <v>42198611.628257751</v>
      </c>
      <c r="R244" s="180">
        <f t="shared" si="26"/>
        <v>0</v>
      </c>
      <c r="S244" s="218">
        <f>SUMIFS(DATA!$L:$L,DATA!$O:$O,$B244,DATA!$N:$N,$A244,DATA!$M:$M,'SALES BY SYSTEM'!$O$4)</f>
        <v>0</v>
      </c>
      <c r="T244" s="182">
        <v>0</v>
      </c>
      <c r="U244" s="180" t="str">
        <f t="shared" si="27"/>
        <v/>
      </c>
      <c r="V244" s="218">
        <f>SUMIFS(DATA!$L:$L,DATA!$O:$O,$B244,DATA!$N:$N,$A244,DATA!$M:$M,'SALES BY SYSTEM'!$O$3)</f>
        <v>0</v>
      </c>
      <c r="W244" s="168"/>
    </row>
    <row r="245" spans="1:23" ht="15.75" customHeight="1" x14ac:dyDescent="0.25">
      <c r="A245" s="139" t="s">
        <v>575</v>
      </c>
      <c r="B245" s="139" t="s">
        <v>561</v>
      </c>
      <c r="C245" s="178" t="str">
        <f>VLOOKUP(A245,CUSTOMER!$A:$C,3,0)</f>
        <v>BHX_3240_TDN</v>
      </c>
      <c r="D245" s="178" t="s">
        <v>674</v>
      </c>
      <c r="E245" s="178" t="str">
        <f>VLOOKUP(A245,CUSTOMER!$A$2:$H$1094,5,0)</f>
        <v>LE NAM PHUONG</v>
      </c>
      <c r="F245" s="178" t="str">
        <f>VLOOKUP(A245,CUSTOMER!$A$2:$I$1094,6,0)</f>
        <v>VACANCY</v>
      </c>
      <c r="G245" s="178" t="s">
        <v>676</v>
      </c>
      <c r="H245" s="179">
        <f t="shared" si="22"/>
        <v>42198611.628257751</v>
      </c>
      <c r="I245" s="180">
        <f t="shared" si="23"/>
        <v>0</v>
      </c>
      <c r="J245" s="181">
        <f t="shared" si="24"/>
        <v>0</v>
      </c>
      <c r="K245" s="182">
        <v>0</v>
      </c>
      <c r="L245" s="180" t="str">
        <f t="shared" si="28"/>
        <v/>
      </c>
      <c r="M245" s="218">
        <f>SUMIFS(DATA!$L:$L,DATA!$O:$O,$B245,DATA!$N:$N,$A245,DATA!$M:$M,'SALES BY SYSTEM'!$O$1)</f>
        <v>0</v>
      </c>
      <c r="N245" s="182">
        <v>0</v>
      </c>
      <c r="O245" s="180" t="str">
        <f t="shared" si="25"/>
        <v/>
      </c>
      <c r="P245" s="218">
        <f>SUMIFS(DATA!$L:$L,DATA!$O:$O,$B245,DATA!$N:$N,$A245,DATA!$M:$M,'SALES BY SYSTEM'!$O$2)</f>
        <v>0</v>
      </c>
      <c r="Q245" s="182">
        <v>42198611.628257751</v>
      </c>
      <c r="R245" s="180">
        <f t="shared" si="26"/>
        <v>0</v>
      </c>
      <c r="S245" s="218">
        <f>SUMIFS(DATA!$L:$L,DATA!$O:$O,$B245,DATA!$N:$N,$A245,DATA!$M:$M,'SALES BY SYSTEM'!$O$4)</f>
        <v>0</v>
      </c>
      <c r="T245" s="182">
        <v>0</v>
      </c>
      <c r="U245" s="180" t="str">
        <f t="shared" si="27"/>
        <v/>
      </c>
      <c r="V245" s="218">
        <f>SUMIFS(DATA!$L:$L,DATA!$O:$O,$B245,DATA!$N:$N,$A245,DATA!$M:$M,'SALES BY SYSTEM'!$O$3)</f>
        <v>0</v>
      </c>
      <c r="W245" s="168"/>
    </row>
    <row r="246" spans="1:23" ht="15.75" customHeight="1" x14ac:dyDescent="0.25">
      <c r="A246" s="139" t="s">
        <v>560</v>
      </c>
      <c r="B246" s="139" t="s">
        <v>561</v>
      </c>
      <c r="C246" s="178" t="str">
        <f>VLOOKUP(A246,CUSTOMER!$A:$C,3,0)</f>
        <v>BHX_1522_VLOC</v>
      </c>
      <c r="D246" s="178" t="s">
        <v>674</v>
      </c>
      <c r="E246" s="178" t="str">
        <f>VLOOKUP(A246,CUSTOMER!$A$2:$H$1094,5,0)</f>
        <v>LE NAM PHUONG</v>
      </c>
      <c r="F246" s="178" t="str">
        <f>VLOOKUP(A246,CUSTOMER!$A$2:$I$1094,6,0)</f>
        <v>VACANCY</v>
      </c>
      <c r="G246" s="178" t="s">
        <v>676</v>
      </c>
      <c r="H246" s="179">
        <f t="shared" si="22"/>
        <v>42198611.628257751</v>
      </c>
      <c r="I246" s="180">
        <f t="shared" si="23"/>
        <v>0</v>
      </c>
      <c r="J246" s="181">
        <f t="shared" si="24"/>
        <v>0</v>
      </c>
      <c r="K246" s="182">
        <v>0</v>
      </c>
      <c r="L246" s="180" t="str">
        <f t="shared" si="28"/>
        <v/>
      </c>
      <c r="M246" s="218">
        <f>SUMIFS(DATA!$L:$L,DATA!$O:$O,$B246,DATA!$N:$N,$A246,DATA!$M:$M,'SALES BY SYSTEM'!$O$1)</f>
        <v>0</v>
      </c>
      <c r="N246" s="182">
        <v>0</v>
      </c>
      <c r="O246" s="180" t="str">
        <f t="shared" si="25"/>
        <v/>
      </c>
      <c r="P246" s="218">
        <f>SUMIFS(DATA!$L:$L,DATA!$O:$O,$B246,DATA!$N:$N,$A246,DATA!$M:$M,'SALES BY SYSTEM'!$O$2)</f>
        <v>0</v>
      </c>
      <c r="Q246" s="182">
        <v>42198611.628257751</v>
      </c>
      <c r="R246" s="180">
        <f t="shared" si="26"/>
        <v>0</v>
      </c>
      <c r="S246" s="218">
        <f>SUMIFS(DATA!$L:$L,DATA!$O:$O,$B246,DATA!$N:$N,$A246,DATA!$M:$M,'SALES BY SYSTEM'!$O$4)</f>
        <v>0</v>
      </c>
      <c r="T246" s="182">
        <v>0</v>
      </c>
      <c r="U246" s="180" t="str">
        <f t="shared" si="27"/>
        <v/>
      </c>
      <c r="V246" s="218">
        <f>SUMIFS(DATA!$L:$L,DATA!$O:$O,$B246,DATA!$N:$N,$A246,DATA!$M:$M,'SALES BY SYSTEM'!$O$3)</f>
        <v>0</v>
      </c>
      <c r="W246" s="168"/>
    </row>
    <row r="247" spans="1:23" ht="15.75" customHeight="1" x14ac:dyDescent="0.25">
      <c r="A247" s="139" t="s">
        <v>838</v>
      </c>
      <c r="B247" s="139" t="s">
        <v>561</v>
      </c>
      <c r="C247" s="178" t="str">
        <f>VLOOKUP(A247,CUSTOMER!$A:$C,3,0)</f>
        <v>BHX_7161_PMY</v>
      </c>
      <c r="D247" s="178" t="s">
        <v>674</v>
      </c>
      <c r="E247" s="178" t="str">
        <f>VLOOKUP(A247,CUSTOMER!$A$2:$H$1094,5,0)</f>
        <v>LE NAM PHUONG</v>
      </c>
      <c r="F247" s="178" t="str">
        <f>VLOOKUP(A247,CUSTOMER!$A$2:$I$1094,6,0)</f>
        <v>VACANCY</v>
      </c>
      <c r="G247" s="178" t="s">
        <v>676</v>
      </c>
      <c r="H247" s="179">
        <f t="shared" si="22"/>
        <v>42198611.628257751</v>
      </c>
      <c r="I247" s="180">
        <f t="shared" si="23"/>
        <v>0</v>
      </c>
      <c r="J247" s="181">
        <f t="shared" si="24"/>
        <v>0</v>
      </c>
      <c r="K247" s="182">
        <v>0</v>
      </c>
      <c r="L247" s="180" t="str">
        <f t="shared" si="28"/>
        <v/>
      </c>
      <c r="M247" s="218">
        <f>SUMIFS(DATA!$L:$L,DATA!$O:$O,$B247,DATA!$N:$N,$A247,DATA!$M:$M,'SALES BY SYSTEM'!$O$1)</f>
        <v>0</v>
      </c>
      <c r="N247" s="182">
        <v>0</v>
      </c>
      <c r="O247" s="180" t="str">
        <f t="shared" si="25"/>
        <v/>
      </c>
      <c r="P247" s="218">
        <f>SUMIFS(DATA!$L:$L,DATA!$O:$O,$B247,DATA!$N:$N,$A247,DATA!$M:$M,'SALES BY SYSTEM'!$O$2)</f>
        <v>0</v>
      </c>
      <c r="Q247" s="182">
        <v>42198611.628257751</v>
      </c>
      <c r="R247" s="180">
        <f t="shared" si="26"/>
        <v>0</v>
      </c>
      <c r="S247" s="218">
        <f>SUMIFS(DATA!$L:$L,DATA!$O:$O,$B247,DATA!$N:$N,$A247,DATA!$M:$M,'SALES BY SYSTEM'!$O$4)</f>
        <v>0</v>
      </c>
      <c r="T247" s="182">
        <v>0</v>
      </c>
      <c r="U247" s="180" t="str">
        <f t="shared" si="27"/>
        <v/>
      </c>
      <c r="V247" s="218">
        <f>SUMIFS(DATA!$L:$L,DATA!$O:$O,$B247,DATA!$N:$N,$A247,DATA!$M:$M,'SALES BY SYSTEM'!$O$3)</f>
        <v>0</v>
      </c>
      <c r="W247" s="168"/>
    </row>
    <row r="248" spans="1:23" ht="15.75" customHeight="1" x14ac:dyDescent="0.25">
      <c r="A248" s="139" t="s">
        <v>573</v>
      </c>
      <c r="B248" s="139" t="s">
        <v>561</v>
      </c>
      <c r="C248" s="178" t="str">
        <f>VLOOKUP(A248,CUSTOMER!$A:$C,3,0)</f>
        <v>BHX_6911_KGIANG</v>
      </c>
      <c r="D248" s="178" t="s">
        <v>674</v>
      </c>
      <c r="E248" s="178" t="str">
        <f>VLOOKUP(A248,CUSTOMER!$A$2:$H$1094,5,0)</f>
        <v>LE NAM PHUONG</v>
      </c>
      <c r="F248" s="178" t="str">
        <f>VLOOKUP(A248,CUSTOMER!$A$2:$I$1094,6,0)</f>
        <v>VACANCY</v>
      </c>
      <c r="G248" s="178" t="s">
        <v>676</v>
      </c>
      <c r="H248" s="179">
        <f t="shared" si="22"/>
        <v>42198611.628257751</v>
      </c>
      <c r="I248" s="180">
        <f t="shared" si="23"/>
        <v>0</v>
      </c>
      <c r="J248" s="181">
        <f t="shared" si="24"/>
        <v>0</v>
      </c>
      <c r="K248" s="182">
        <v>0</v>
      </c>
      <c r="L248" s="180" t="str">
        <f t="shared" si="28"/>
        <v/>
      </c>
      <c r="M248" s="218">
        <f>SUMIFS(DATA!$L:$L,DATA!$O:$O,$B248,DATA!$N:$N,$A248,DATA!$M:$M,'SALES BY SYSTEM'!$O$1)</f>
        <v>0</v>
      </c>
      <c r="N248" s="182">
        <v>0</v>
      </c>
      <c r="O248" s="180" t="str">
        <f t="shared" si="25"/>
        <v/>
      </c>
      <c r="P248" s="218">
        <f>SUMIFS(DATA!$L:$L,DATA!$O:$O,$B248,DATA!$N:$N,$A248,DATA!$M:$M,'SALES BY SYSTEM'!$O$2)</f>
        <v>0</v>
      </c>
      <c r="Q248" s="182">
        <v>42198611.628257751</v>
      </c>
      <c r="R248" s="180">
        <f t="shared" si="26"/>
        <v>0</v>
      </c>
      <c r="S248" s="218">
        <f>SUMIFS(DATA!$L:$L,DATA!$O:$O,$B248,DATA!$N:$N,$A248,DATA!$M:$M,'SALES BY SYSTEM'!$O$4)</f>
        <v>0</v>
      </c>
      <c r="T248" s="182">
        <v>0</v>
      </c>
      <c r="U248" s="180" t="str">
        <f t="shared" si="27"/>
        <v/>
      </c>
      <c r="V248" s="218">
        <f>SUMIFS(DATA!$L:$L,DATA!$O:$O,$B248,DATA!$N:$N,$A248,DATA!$M:$M,'SALES BY SYSTEM'!$O$3)</f>
        <v>0</v>
      </c>
      <c r="W248" s="168"/>
    </row>
    <row r="249" spans="1:23" ht="15.75" customHeight="1" x14ac:dyDescent="0.25">
      <c r="A249" s="139" t="s">
        <v>801</v>
      </c>
      <c r="B249" s="139" t="s">
        <v>561</v>
      </c>
      <c r="C249" s="178" t="str">
        <f>VLOOKUP(A249,CUSTOMER!$A:$C,3,0)</f>
        <v>BHX_13628_TNINH</v>
      </c>
      <c r="D249" s="178" t="s">
        <v>674</v>
      </c>
      <c r="E249" s="178" t="str">
        <f>VLOOKUP(A249,CUSTOMER!$A$2:$H$1094,5,0)</f>
        <v>LE NAM PHUONG</v>
      </c>
      <c r="F249" s="178" t="str">
        <f>VLOOKUP(A249,CUSTOMER!$A$2:$I$1094,6,0)</f>
        <v>VACANCY</v>
      </c>
      <c r="G249" s="178" t="s">
        <v>676</v>
      </c>
      <c r="H249" s="179">
        <f t="shared" si="22"/>
        <v>42198611.628257751</v>
      </c>
      <c r="I249" s="180">
        <f t="shared" si="23"/>
        <v>0</v>
      </c>
      <c r="J249" s="181">
        <f t="shared" si="24"/>
        <v>0</v>
      </c>
      <c r="K249" s="182">
        <v>0</v>
      </c>
      <c r="L249" s="180" t="str">
        <f t="shared" si="28"/>
        <v/>
      </c>
      <c r="M249" s="218">
        <f>SUMIFS(DATA!$L:$L,DATA!$O:$O,$B249,DATA!$N:$N,$A249,DATA!$M:$M,'SALES BY SYSTEM'!$O$1)</f>
        <v>0</v>
      </c>
      <c r="N249" s="182">
        <v>0</v>
      </c>
      <c r="O249" s="180" t="str">
        <f t="shared" si="25"/>
        <v/>
      </c>
      <c r="P249" s="218">
        <f>SUMIFS(DATA!$L:$L,DATA!$O:$O,$B249,DATA!$N:$N,$A249,DATA!$M:$M,'SALES BY SYSTEM'!$O$2)</f>
        <v>0</v>
      </c>
      <c r="Q249" s="182">
        <v>42198611.628257751</v>
      </c>
      <c r="R249" s="180">
        <f t="shared" si="26"/>
        <v>0</v>
      </c>
      <c r="S249" s="218">
        <f>SUMIFS(DATA!$L:$L,DATA!$O:$O,$B249,DATA!$N:$N,$A249,DATA!$M:$M,'SALES BY SYSTEM'!$O$4)</f>
        <v>0</v>
      </c>
      <c r="T249" s="182">
        <v>0</v>
      </c>
      <c r="U249" s="180" t="str">
        <f t="shared" si="27"/>
        <v/>
      </c>
      <c r="V249" s="218">
        <f>SUMIFS(DATA!$L:$L,DATA!$O:$O,$B249,DATA!$N:$N,$A249,DATA!$M:$M,'SALES BY SYSTEM'!$O$3)</f>
        <v>0</v>
      </c>
      <c r="W249" s="168"/>
    </row>
    <row r="250" spans="1:23" ht="15.75" customHeight="1" x14ac:dyDescent="0.25">
      <c r="A250" s="139" t="s">
        <v>840</v>
      </c>
      <c r="B250" s="139" t="s">
        <v>561</v>
      </c>
      <c r="C250" s="178" t="str">
        <f>VLOOKUP(A250,CUSTOMER!$A:$C,3,0)</f>
        <v>BHX_5058_TNOT</v>
      </c>
      <c r="D250" s="178" t="s">
        <v>674</v>
      </c>
      <c r="E250" s="178" t="str">
        <f>VLOOKUP(A250,CUSTOMER!$A$2:$H$1094,5,0)</f>
        <v>LE NAM PHUONG</v>
      </c>
      <c r="F250" s="178" t="str">
        <f>VLOOKUP(A250,CUSTOMER!$A$2:$I$1094,6,0)</f>
        <v>"NO SALE"</v>
      </c>
      <c r="G250" s="178" t="s">
        <v>676</v>
      </c>
      <c r="H250" s="179">
        <f t="shared" si="22"/>
        <v>42198611.628257751</v>
      </c>
      <c r="I250" s="180">
        <f t="shared" si="23"/>
        <v>0</v>
      </c>
      <c r="J250" s="181">
        <f t="shared" si="24"/>
        <v>0</v>
      </c>
      <c r="K250" s="182">
        <v>0</v>
      </c>
      <c r="L250" s="180" t="str">
        <f t="shared" si="28"/>
        <v/>
      </c>
      <c r="M250" s="218">
        <f>SUMIFS(DATA!$L:$L,DATA!$O:$O,$B250,DATA!$N:$N,$A250,DATA!$M:$M,'SALES BY SYSTEM'!$O$1)</f>
        <v>0</v>
      </c>
      <c r="N250" s="182">
        <v>0</v>
      </c>
      <c r="O250" s="180" t="str">
        <f t="shared" si="25"/>
        <v/>
      </c>
      <c r="P250" s="218">
        <f>SUMIFS(DATA!$L:$L,DATA!$O:$O,$B250,DATA!$N:$N,$A250,DATA!$M:$M,'SALES BY SYSTEM'!$O$2)</f>
        <v>0</v>
      </c>
      <c r="Q250" s="182">
        <v>42198611.628257751</v>
      </c>
      <c r="R250" s="180">
        <f t="shared" si="26"/>
        <v>0</v>
      </c>
      <c r="S250" s="218">
        <f>SUMIFS(DATA!$L:$L,DATA!$O:$O,$B250,DATA!$N:$N,$A250,DATA!$M:$M,'SALES BY SYSTEM'!$O$4)</f>
        <v>0</v>
      </c>
      <c r="T250" s="182">
        <v>0</v>
      </c>
      <c r="U250" s="180" t="str">
        <f t="shared" si="27"/>
        <v/>
      </c>
      <c r="V250" s="218">
        <f>SUMIFS(DATA!$L:$L,DATA!$O:$O,$B250,DATA!$N:$N,$A250,DATA!$M:$M,'SALES BY SYSTEM'!$O$3)</f>
        <v>0</v>
      </c>
      <c r="W250" s="168"/>
    </row>
    <row r="251" spans="1:23" ht="15.75" customHeight="1" x14ac:dyDescent="0.25">
      <c r="A251" s="139" t="s">
        <v>844</v>
      </c>
      <c r="B251" s="139" t="s">
        <v>561</v>
      </c>
      <c r="C251" s="178" t="str">
        <f>VLOOKUP(A251,CUSTOMER!$A:$C,3,0)</f>
        <v>BHX_5851_THAN</v>
      </c>
      <c r="D251" s="178" t="s">
        <v>674</v>
      </c>
      <c r="E251" s="178" t="str">
        <f>VLOOKUP(A251,CUSTOMER!$A$2:$H$1094,5,0)</f>
        <v>LE NAM PHUONG</v>
      </c>
      <c r="F251" s="178" t="str">
        <f>VLOOKUP(A251,CUSTOMER!$A$2:$I$1094,6,0)</f>
        <v>VACANCY</v>
      </c>
      <c r="G251" s="178" t="s">
        <v>676</v>
      </c>
      <c r="H251" s="179">
        <f t="shared" si="22"/>
        <v>42198611.628257751</v>
      </c>
      <c r="I251" s="180">
        <f t="shared" si="23"/>
        <v>0</v>
      </c>
      <c r="J251" s="181">
        <f t="shared" si="24"/>
        <v>0</v>
      </c>
      <c r="K251" s="182">
        <v>0</v>
      </c>
      <c r="L251" s="180" t="str">
        <f t="shared" si="28"/>
        <v/>
      </c>
      <c r="M251" s="218">
        <f>SUMIFS(DATA!$L:$L,DATA!$O:$O,$B251,DATA!$N:$N,$A251,DATA!$M:$M,'SALES BY SYSTEM'!$O$1)</f>
        <v>0</v>
      </c>
      <c r="N251" s="182">
        <v>0</v>
      </c>
      <c r="O251" s="180" t="str">
        <f t="shared" si="25"/>
        <v/>
      </c>
      <c r="P251" s="218">
        <f>SUMIFS(DATA!$L:$L,DATA!$O:$O,$B251,DATA!$N:$N,$A251,DATA!$M:$M,'SALES BY SYSTEM'!$O$2)</f>
        <v>0</v>
      </c>
      <c r="Q251" s="182">
        <v>42198611.628257751</v>
      </c>
      <c r="R251" s="180">
        <f t="shared" si="26"/>
        <v>0</v>
      </c>
      <c r="S251" s="218">
        <f>SUMIFS(DATA!$L:$L,DATA!$O:$O,$B251,DATA!$N:$N,$A251,DATA!$M:$M,'SALES BY SYSTEM'!$O$4)</f>
        <v>0</v>
      </c>
      <c r="T251" s="182">
        <v>0</v>
      </c>
      <c r="U251" s="180" t="str">
        <f t="shared" si="27"/>
        <v/>
      </c>
      <c r="V251" s="218">
        <f>SUMIFS(DATA!$L:$L,DATA!$O:$O,$B251,DATA!$N:$N,$A251,DATA!$M:$M,'SALES BY SYSTEM'!$O$3)</f>
        <v>0</v>
      </c>
      <c r="W251" s="168"/>
    </row>
    <row r="252" spans="1:23" ht="15.75" customHeight="1" x14ac:dyDescent="0.25">
      <c r="A252" s="139" t="s">
        <v>569</v>
      </c>
      <c r="B252" s="139" t="s">
        <v>561</v>
      </c>
      <c r="C252" s="178" t="str">
        <f>VLOOKUP(A252,CUSTOMER!$A:$C,3,0)</f>
        <v>BHX_13807_XUYENA</v>
      </c>
      <c r="D252" s="178" t="s">
        <v>674</v>
      </c>
      <c r="E252" s="178" t="str">
        <f>VLOOKUP(A252,CUSTOMER!$A$2:$H$1094,5,0)</f>
        <v>LE NAM PHUONG</v>
      </c>
      <c r="F252" s="178" t="str">
        <f>VLOOKUP(A252,CUSTOMER!$A$2:$I$1094,6,0)</f>
        <v>VACANCY</v>
      </c>
      <c r="G252" s="178" t="s">
        <v>676</v>
      </c>
      <c r="H252" s="179">
        <f t="shared" si="22"/>
        <v>42198611.628257751</v>
      </c>
      <c r="I252" s="180">
        <f t="shared" si="23"/>
        <v>0</v>
      </c>
      <c r="J252" s="181">
        <f t="shared" si="24"/>
        <v>0</v>
      </c>
      <c r="K252" s="182">
        <v>0</v>
      </c>
      <c r="L252" s="180" t="str">
        <f t="shared" si="28"/>
        <v/>
      </c>
      <c r="M252" s="218">
        <f>SUMIFS(DATA!$L:$L,DATA!$O:$O,$B252,DATA!$N:$N,$A252,DATA!$M:$M,'SALES BY SYSTEM'!$O$1)</f>
        <v>0</v>
      </c>
      <c r="N252" s="182">
        <v>0</v>
      </c>
      <c r="O252" s="180" t="str">
        <f t="shared" si="25"/>
        <v/>
      </c>
      <c r="P252" s="218">
        <f>SUMIFS(DATA!$L:$L,DATA!$O:$O,$B252,DATA!$N:$N,$A252,DATA!$M:$M,'SALES BY SYSTEM'!$O$2)</f>
        <v>0</v>
      </c>
      <c r="Q252" s="182">
        <v>42198611.628257751</v>
      </c>
      <c r="R252" s="180">
        <f t="shared" si="26"/>
        <v>0</v>
      </c>
      <c r="S252" s="218">
        <f>SUMIFS(DATA!$L:$L,DATA!$O:$O,$B252,DATA!$N:$N,$A252,DATA!$M:$M,'SALES BY SYSTEM'!$O$4)</f>
        <v>0</v>
      </c>
      <c r="T252" s="182">
        <v>0</v>
      </c>
      <c r="U252" s="180" t="str">
        <f t="shared" si="27"/>
        <v/>
      </c>
      <c r="V252" s="218">
        <f>SUMIFS(DATA!$L:$L,DATA!$O:$O,$B252,DATA!$N:$N,$A252,DATA!$M:$M,'SALES BY SYSTEM'!$O$3)</f>
        <v>0</v>
      </c>
      <c r="W252" s="168"/>
    </row>
    <row r="253" spans="1:23" ht="15.75" customHeight="1" x14ac:dyDescent="0.25">
      <c r="A253" s="139" t="s">
        <v>55</v>
      </c>
      <c r="B253" s="139" t="s">
        <v>43</v>
      </c>
      <c r="C253" s="178" t="str">
        <f>VLOOKUP(A253,CUSTOMER!$A:$C,3,0)</f>
        <v>MG_APHU</v>
      </c>
      <c r="D253" s="178" t="s">
        <v>674</v>
      </c>
      <c r="E253" s="178" t="str">
        <f>VLOOKUP(A253,CUSTOMER!$A$2:$H$1094,5,0)</f>
        <v>LE NAM PHUONG</v>
      </c>
      <c r="F253" s="178" t="str">
        <f>VLOOKUP(A253,CUSTOMER!$A$2:$I$1094,6,0)</f>
        <v>VU THUY MINH THAO</v>
      </c>
      <c r="G253" s="178" t="s">
        <v>676</v>
      </c>
      <c r="H253" s="179">
        <f t="shared" si="22"/>
        <v>94941465.837542146</v>
      </c>
      <c r="I253" s="180">
        <f t="shared" si="23"/>
        <v>0</v>
      </c>
      <c r="J253" s="181">
        <f t="shared" si="24"/>
        <v>0</v>
      </c>
      <c r="K253" s="182">
        <v>67538077.605631858</v>
      </c>
      <c r="L253" s="180">
        <f>IFERROR(M253/K257,"")</f>
        <v>0</v>
      </c>
      <c r="M253" s="218">
        <f>SUMIFS(DATA!$L:$L,DATA!$O:$O,$B253,DATA!$N:$N,$A253,DATA!$M:$M,'SALES BY SYSTEM'!$O$1)</f>
        <v>0</v>
      </c>
      <c r="N253" s="182">
        <v>0</v>
      </c>
      <c r="O253" s="180" t="str">
        <f t="shared" si="25"/>
        <v/>
      </c>
      <c r="P253" s="218">
        <f>SUMIFS(DATA!$L:$L,DATA!$O:$O,$B253,DATA!$N:$N,$A253,DATA!$M:$M,'SALES BY SYSTEM'!$O$2)</f>
        <v>0</v>
      </c>
      <c r="Q253" s="182">
        <v>27403388.231910281</v>
      </c>
      <c r="R253" s="180">
        <f t="shared" si="26"/>
        <v>0</v>
      </c>
      <c r="S253" s="218">
        <f>SUMIFS(DATA!$L:$L,DATA!$O:$O,$B253,DATA!$N:$N,$A253,DATA!$M:$M,'SALES BY SYSTEM'!$O$4)</f>
        <v>0</v>
      </c>
      <c r="T253" s="182">
        <v>0</v>
      </c>
      <c r="U253" s="180" t="str">
        <f t="shared" si="27"/>
        <v/>
      </c>
      <c r="V253" s="218">
        <f>SUMIFS(DATA!$L:$L,DATA!$O:$O,$B253,DATA!$N:$N,$A253,DATA!$M:$M,'SALES BY SYSTEM'!$O$3)</f>
        <v>0</v>
      </c>
      <c r="W253" s="168"/>
    </row>
    <row r="254" spans="1:23" ht="15.75" customHeight="1" x14ac:dyDescent="0.25">
      <c r="A254" s="139" t="s">
        <v>86</v>
      </c>
      <c r="B254" s="139" t="s">
        <v>60</v>
      </c>
      <c r="C254" s="178" t="str">
        <f>VLOOKUP(A254,CUSTOMER!$A:$C,3,0)</f>
        <v>LOTTE_ZTLEX</v>
      </c>
      <c r="D254" s="178" t="s">
        <v>674</v>
      </c>
      <c r="E254" s="178" t="str">
        <f>VLOOKUP(A254,CUSTOMER!$A$2:$H$1094,5,0)</f>
        <v>TRAN THI THAO NGUYEN</v>
      </c>
      <c r="F254" s="178" t="str">
        <f>VLOOKUP(A254,CUSTOMER!$A$2:$I$1094,6,0)</f>
        <v>VACANCY</v>
      </c>
      <c r="G254" s="178" t="str">
        <f>VLOOKUP(A254,CUSTOMER!$A$1:$J$1160,7,0)</f>
        <v>"NO PG"</v>
      </c>
      <c r="H254" s="179">
        <f t="shared" si="22"/>
        <v>22560270.229448207</v>
      </c>
      <c r="I254" s="180">
        <f t="shared" si="23"/>
        <v>0</v>
      </c>
      <c r="J254" s="181">
        <f t="shared" si="24"/>
        <v>0</v>
      </c>
      <c r="K254" s="182">
        <v>0</v>
      </c>
      <c r="L254" s="180" t="str">
        <f>IFERROR(M254/K254,"")</f>
        <v/>
      </c>
      <c r="M254" s="218">
        <f>SUMIFS(DATA!$L:$L,DATA!$O:$O,$B254,DATA!$N:$N,$A254,DATA!$M:$M,'SALES BY SYSTEM'!$O$1)</f>
        <v>0</v>
      </c>
      <c r="N254" s="182">
        <v>0</v>
      </c>
      <c r="O254" s="180" t="str">
        <f t="shared" si="25"/>
        <v/>
      </c>
      <c r="P254" s="218">
        <f>SUMIFS(DATA!$L:$L,DATA!$O:$O,$B254,DATA!$N:$N,$A254,DATA!$M:$M,'SALES BY SYSTEM'!$O$2)</f>
        <v>0</v>
      </c>
      <c r="Q254" s="182">
        <v>22560270.229448207</v>
      </c>
      <c r="R254" s="180">
        <f t="shared" si="26"/>
        <v>0</v>
      </c>
      <c r="S254" s="218">
        <f>SUMIFS(DATA!$L:$L,DATA!$O:$O,$B254,DATA!$N:$N,$A254,DATA!$M:$M,'SALES BY SYSTEM'!$O$4)</f>
        <v>0</v>
      </c>
      <c r="T254" s="182">
        <v>0</v>
      </c>
      <c r="U254" s="180" t="str">
        <f t="shared" si="27"/>
        <v/>
      </c>
      <c r="V254" s="218">
        <f>SUMIFS(DATA!$L:$L,DATA!$O:$O,$B254,DATA!$N:$N,$A254,DATA!$M:$M,'SALES BY SYSTEM'!$O$3)</f>
        <v>0</v>
      </c>
      <c r="W254" s="168"/>
    </row>
    <row r="255" spans="1:23" ht="15.75" customHeight="1" x14ac:dyDescent="0.25">
      <c r="A255" s="139" t="s">
        <v>1515</v>
      </c>
      <c r="B255" s="139" t="s">
        <v>60</v>
      </c>
      <c r="C255" s="178" t="str">
        <f>VLOOKUP(A255,CUSTOMER!$A:$C,3,0)</f>
        <v>LOTTE_CGIAY</v>
      </c>
      <c r="D255" s="178" t="s">
        <v>674</v>
      </c>
      <c r="E255" s="178" t="str">
        <f>VLOOKUP(A255,CUSTOMER!$A$2:$H$1094,5,0)</f>
        <v>TRAN THI THAO NGUYEN</v>
      </c>
      <c r="F255" s="178" t="str">
        <f>VLOOKUP(A255,CUSTOMER!$A$2:$I$1094,6,0)</f>
        <v>LE THI HONG DIEP</v>
      </c>
      <c r="G255" s="178" t="str">
        <f>VLOOKUP(A255,CUSTOMER!$A$1:$J$1160,7,0)</f>
        <v>"NO PG"</v>
      </c>
      <c r="H255" s="179">
        <f t="shared" si="22"/>
        <v>18215005.229287934</v>
      </c>
      <c r="I255" s="180">
        <f t="shared" si="23"/>
        <v>0</v>
      </c>
      <c r="J255" s="181">
        <f t="shared" si="24"/>
        <v>0</v>
      </c>
      <c r="K255" s="182">
        <v>0</v>
      </c>
      <c r="L255" s="180" t="str">
        <f>IFERROR(M255/K255,"")</f>
        <v/>
      </c>
      <c r="M255" s="218">
        <f>SUMIFS(DATA!$L:$L,DATA!$O:$O,$B255,DATA!$N:$N,$A255,DATA!$M:$M,'SALES BY SYSTEM'!$O$1)</f>
        <v>0</v>
      </c>
      <c r="N255" s="182">
        <v>0</v>
      </c>
      <c r="O255" s="180" t="str">
        <f t="shared" si="25"/>
        <v/>
      </c>
      <c r="P255" s="218">
        <f>SUMIFS(DATA!$L:$L,DATA!$O:$O,$B255,DATA!$N:$N,$A255,DATA!$M:$M,'SALES BY SYSTEM'!$O$2)</f>
        <v>0</v>
      </c>
      <c r="Q255" s="182">
        <v>18215005.229287934</v>
      </c>
      <c r="R255" s="180">
        <f t="shared" si="26"/>
        <v>0</v>
      </c>
      <c r="S255" s="218">
        <f>SUMIFS(DATA!$L:$L,DATA!$O:$O,$B255,DATA!$N:$N,$A255,DATA!$M:$M,'SALES BY SYSTEM'!$O$4)</f>
        <v>0</v>
      </c>
      <c r="T255" s="182">
        <v>0</v>
      </c>
      <c r="U255" s="180" t="str">
        <f t="shared" si="27"/>
        <v/>
      </c>
      <c r="V255" s="218">
        <f>SUMIFS(DATA!$L:$L,DATA!$O:$O,$B255,DATA!$N:$N,$A255,DATA!$M:$M,'SALES BY SYSTEM'!$O$3)</f>
        <v>0</v>
      </c>
      <c r="W255" s="168"/>
    </row>
    <row r="256" spans="1:23" ht="15.75" customHeight="1" x14ac:dyDescent="0.25">
      <c r="A256" s="178" t="s">
        <v>95</v>
      </c>
      <c r="B256" s="178" t="s">
        <v>96</v>
      </c>
      <c r="C256" s="178" t="str">
        <f>VLOOKUP(A256,CUSTOMER!$A:$C,3,0)</f>
        <v>6209</v>
      </c>
      <c r="D256" s="178" t="s">
        <v>674</v>
      </c>
      <c r="E256" s="178" t="str">
        <f>VLOOKUP(A256,CUSTOMER!$A$2:$H$1094,5,0)</f>
        <v>TRAN THI THAO NGUYEN</v>
      </c>
      <c r="F256" s="178" t="str">
        <f>VLOOKUP(A256,CUSTOMER!$A$2:$I$1094,6,0)</f>
        <v>VACANCY</v>
      </c>
      <c r="G256" s="178" t="s">
        <v>676</v>
      </c>
      <c r="H256" s="179">
        <f t="shared" si="22"/>
        <v>17177786.577815872</v>
      </c>
      <c r="I256" s="180">
        <f t="shared" si="23"/>
        <v>0</v>
      </c>
      <c r="J256" s="181">
        <f t="shared" si="24"/>
        <v>0</v>
      </c>
      <c r="K256" s="182">
        <v>0</v>
      </c>
      <c r="L256" s="180" t="str">
        <f>IFERROR(M256/K256,"")</f>
        <v/>
      </c>
      <c r="M256" s="218">
        <f>SUMIFS(DATA!$L:$L,DATA!$O:$O,$B256,DATA!$N:$N,$A256,DATA!$M:$M,'SALES BY SYSTEM'!$O$1)</f>
        <v>0</v>
      </c>
      <c r="N256" s="182">
        <v>0</v>
      </c>
      <c r="O256" s="180" t="str">
        <f t="shared" si="25"/>
        <v/>
      </c>
      <c r="P256" s="218">
        <f>SUMIFS(DATA!$L:$L,DATA!$O:$O,$B256,DATA!$N:$N,$A256,DATA!$M:$M,'SALES BY SYSTEM'!$O$2)</f>
        <v>0</v>
      </c>
      <c r="Q256" s="182">
        <v>17177786.577815872</v>
      </c>
      <c r="R256" s="180">
        <f t="shared" si="26"/>
        <v>0</v>
      </c>
      <c r="S256" s="218">
        <f>SUMIFS(DATA!$L:$L,DATA!$O:$O,$B256,DATA!$N:$N,$A256,DATA!$M:$M,'SALES BY SYSTEM'!$O$4)</f>
        <v>0</v>
      </c>
      <c r="T256" s="182">
        <v>0</v>
      </c>
      <c r="U256" s="180" t="str">
        <f t="shared" si="27"/>
        <v/>
      </c>
      <c r="V256" s="218">
        <f>SUMIFS(DATA!$L:$L,DATA!$O:$O,$B256,DATA!$N:$N,$A256,DATA!$M:$M,'SALES BY SYSTEM'!$O$3)</f>
        <v>0</v>
      </c>
      <c r="W256" s="168"/>
    </row>
    <row r="257" spans="1:23" ht="15.75" customHeight="1" x14ac:dyDescent="0.25">
      <c r="A257" s="139" t="s">
        <v>1696</v>
      </c>
      <c r="B257" s="139" t="s">
        <v>43</v>
      </c>
      <c r="C257" s="178" t="str">
        <f>VLOOKUP(A257,CUSTOMER!$A:$C,3,0)</f>
        <v>MG_BHOA</v>
      </c>
      <c r="D257" s="178" t="s">
        <v>674</v>
      </c>
      <c r="E257" s="178" t="str">
        <f>VLOOKUP(A257,CUSTOMER!$A$2:$H$1094,5,0)</f>
        <v>LE NAM PHUONG</v>
      </c>
      <c r="F257" s="178" t="str">
        <f>VLOOKUP(A257,CUSTOMER!$A$2:$I$1094,6,0)</f>
        <v>TRAN THI NHAN</v>
      </c>
      <c r="G257" s="178" t="s">
        <v>676</v>
      </c>
      <c r="H257" s="179">
        <f t="shared" si="22"/>
        <v>30605640.218562953</v>
      </c>
      <c r="I257" s="180">
        <f t="shared" si="23"/>
        <v>0</v>
      </c>
      <c r="J257" s="181">
        <f t="shared" si="24"/>
        <v>0</v>
      </c>
      <c r="K257" s="182">
        <v>14169751.5368679</v>
      </c>
      <c r="L257" s="180" t="str">
        <f>IFERROR(M257/K261,"")</f>
        <v/>
      </c>
      <c r="M257" s="218">
        <f>SUMIFS(DATA!$L:$L,DATA!$O:$O,$B257,DATA!$N:$N,$A257,DATA!$M:$M,'SALES BY SYSTEM'!$O$1)</f>
        <v>0</v>
      </c>
      <c r="N257" s="182">
        <v>0</v>
      </c>
      <c r="O257" s="180" t="str">
        <f t="shared" si="25"/>
        <v/>
      </c>
      <c r="P257" s="218">
        <f>SUMIFS(DATA!$L:$L,DATA!$O:$O,$B257,DATA!$N:$N,$A257,DATA!$M:$M,'SALES BY SYSTEM'!$O$2)</f>
        <v>0</v>
      </c>
      <c r="Q257" s="182">
        <v>16435888.681695053</v>
      </c>
      <c r="R257" s="180">
        <f t="shared" si="26"/>
        <v>0</v>
      </c>
      <c r="S257" s="218">
        <f>SUMIFS(DATA!$L:$L,DATA!$O:$O,$B257,DATA!$N:$N,$A257,DATA!$M:$M,'SALES BY SYSTEM'!$O$4)</f>
        <v>0</v>
      </c>
      <c r="T257" s="182">
        <v>0</v>
      </c>
      <c r="U257" s="180" t="str">
        <f t="shared" si="27"/>
        <v/>
      </c>
      <c r="V257" s="218">
        <f>SUMIFS(DATA!$L:$L,DATA!$O:$O,$B257,DATA!$N:$N,$A257,DATA!$M:$M,'SALES BY SYSTEM'!$O$3)</f>
        <v>0</v>
      </c>
      <c r="W257" s="168"/>
    </row>
    <row r="258" spans="1:23" ht="15.75" customHeight="1" x14ac:dyDescent="0.25">
      <c r="A258" s="139" t="s">
        <v>1722</v>
      </c>
      <c r="B258" s="139" t="s">
        <v>43</v>
      </c>
      <c r="C258" s="178" t="str">
        <f>VLOOKUP(A258,CUSTOMER!$A:$C,3,0)</f>
        <v>MG_VTAU</v>
      </c>
      <c r="D258" s="178" t="s">
        <v>674</v>
      </c>
      <c r="E258" s="178" t="str">
        <f>VLOOKUP(A258,CUSTOMER!$A$2:$H$1094,5,0)</f>
        <v>LE NAM PHUONG</v>
      </c>
      <c r="F258" s="178" t="str">
        <f>VLOOKUP(A258,CUSTOMER!$A$2:$I$1094,6,0)</f>
        <v>VACANCY</v>
      </c>
      <c r="G258" s="178" t="s">
        <v>676</v>
      </c>
      <c r="H258" s="179">
        <f t="shared" si="22"/>
        <v>26143997.254640177</v>
      </c>
      <c r="I258" s="180">
        <f t="shared" si="23"/>
        <v>0</v>
      </c>
      <c r="J258" s="181">
        <f t="shared" si="24"/>
        <v>0</v>
      </c>
      <c r="K258" s="182">
        <v>14169753.536867861</v>
      </c>
      <c r="L258" s="180" t="str">
        <f>IFERROR(M258/#REF!,"")</f>
        <v/>
      </c>
      <c r="M258" s="218">
        <f>SUMIFS(DATA!$L:$L,DATA!$O:$O,$B258,DATA!$N:$N,$A258,DATA!$M:$M,'SALES BY SYSTEM'!$O$1)</f>
        <v>0</v>
      </c>
      <c r="N258" s="182">
        <v>0</v>
      </c>
      <c r="O258" s="180" t="str">
        <f t="shared" si="25"/>
        <v/>
      </c>
      <c r="P258" s="218">
        <f>SUMIFS(DATA!$L:$L,DATA!$O:$O,$B258,DATA!$N:$N,$A258,DATA!$M:$M,'SALES BY SYSTEM'!$O$2)</f>
        <v>0</v>
      </c>
      <c r="Q258" s="182">
        <v>11974243.717772316</v>
      </c>
      <c r="R258" s="180">
        <f t="shared" si="26"/>
        <v>0</v>
      </c>
      <c r="S258" s="218">
        <f>SUMIFS(DATA!$L:$L,DATA!$O:$O,$B258,DATA!$N:$N,$A258,DATA!$M:$M,'SALES BY SYSTEM'!$O$4)</f>
        <v>0</v>
      </c>
      <c r="T258" s="182">
        <v>0</v>
      </c>
      <c r="U258" s="180" t="str">
        <f t="shared" si="27"/>
        <v/>
      </c>
      <c r="V258" s="218">
        <f>SUMIFS(DATA!$L:$L,DATA!$O:$O,$B258,DATA!$N:$N,$A258,DATA!$M:$M,'SALES BY SYSTEM'!$O$3)</f>
        <v>0</v>
      </c>
      <c r="W258" s="168"/>
    </row>
    <row r="259" spans="1:23" ht="15.75" customHeight="1" x14ac:dyDescent="0.25">
      <c r="A259" s="139" t="s">
        <v>1698</v>
      </c>
      <c r="B259" s="139" t="s">
        <v>43</v>
      </c>
      <c r="C259" s="178" t="str">
        <f>VLOOKUP(A259,CUSTOMER!$A:$C,3,0)</f>
        <v>MG_BDUONG</v>
      </c>
      <c r="D259" s="178" t="s">
        <v>674</v>
      </c>
      <c r="E259" s="178" t="str">
        <f>VLOOKUP(A259,CUSTOMER!$A$2:$H$1094,5,0)</f>
        <v>LE NAM PHUONG</v>
      </c>
      <c r="F259" s="178" t="str">
        <f>VLOOKUP(A259,CUSTOMER!$A$2:$I$1094,6,0)</f>
        <v>VACANCY</v>
      </c>
      <c r="G259" s="178" t="s">
        <v>676</v>
      </c>
      <c r="H259" s="179">
        <f t="shared" ref="H259:H322" si="29">SUM(K259,N259,Q259,T259)</f>
        <v>25137253.087083064</v>
      </c>
      <c r="I259" s="180">
        <f t="shared" ref="I259:I322" si="30">IFERROR(J259/H259,"")</f>
        <v>0</v>
      </c>
      <c r="J259" s="181">
        <f t="shared" ref="J259:J322" si="31">SUM(M259,P259,S259,V259)</f>
        <v>0</v>
      </c>
      <c r="K259" s="182">
        <v>14169753.536867861</v>
      </c>
      <c r="L259" s="180">
        <f t="shared" ref="L259:L266" si="32">IFERROR(M259/K263,"")</f>
        <v>0</v>
      </c>
      <c r="M259" s="218">
        <f>SUMIFS(DATA!$L:$L,DATA!$O:$O,$B259,DATA!$N:$N,$A259,DATA!$M:$M,'SALES BY SYSTEM'!$O$1)</f>
        <v>0</v>
      </c>
      <c r="N259" s="182">
        <v>0</v>
      </c>
      <c r="O259" s="180" t="str">
        <f t="shared" ref="O259:O322" si="33">IFERROR(P259/N259,"")</f>
        <v/>
      </c>
      <c r="P259" s="218">
        <f>SUMIFS(DATA!$L:$L,DATA!$O:$O,$B259,DATA!$N:$N,$A259,DATA!$M:$M,'SALES BY SYSTEM'!$O$2)</f>
        <v>0</v>
      </c>
      <c r="Q259" s="182">
        <v>10967499.550215201</v>
      </c>
      <c r="R259" s="180">
        <f t="shared" ref="R259:R322" si="34">IFERROR(S259/Q259,"")</f>
        <v>0</v>
      </c>
      <c r="S259" s="218">
        <f>SUMIFS(DATA!$L:$L,DATA!$O:$O,$B259,DATA!$N:$N,$A259,DATA!$M:$M,'SALES BY SYSTEM'!$O$4)</f>
        <v>0</v>
      </c>
      <c r="T259" s="182">
        <v>0</v>
      </c>
      <c r="U259" s="180" t="str">
        <f t="shared" ref="U259:U322" si="35">IFERROR(V259/T259,"")</f>
        <v/>
      </c>
      <c r="V259" s="218">
        <f>SUMIFS(DATA!$L:$L,DATA!$O:$O,$B259,DATA!$N:$N,$A259,DATA!$M:$M,'SALES BY SYSTEM'!$O$3)</f>
        <v>0</v>
      </c>
      <c r="W259" s="168"/>
    </row>
    <row r="260" spans="1:23" ht="15.75" customHeight="1" x14ac:dyDescent="0.25">
      <c r="A260" s="139" t="s">
        <v>53</v>
      </c>
      <c r="B260" s="139" t="s">
        <v>43</v>
      </c>
      <c r="C260" s="178" t="str">
        <f>VLOOKUP(A260,CUSTOMER!$A:$C,3,0)</f>
        <v>MG_BPHU</v>
      </c>
      <c r="D260" s="178" t="s">
        <v>674</v>
      </c>
      <c r="E260" s="178" t="str">
        <f>VLOOKUP(A260,CUSTOMER!$A$2:$H$1094,5,0)</f>
        <v>LE NAM PHUONG</v>
      </c>
      <c r="F260" s="178" t="str">
        <f>VLOOKUP(A260,CUSTOMER!$A$2:$I$1094,6,0)</f>
        <v>VU THUY MINH THAO</v>
      </c>
      <c r="G260" s="178" t="s">
        <v>676</v>
      </c>
      <c r="H260" s="179">
        <f t="shared" si="29"/>
        <v>29904646.800421774</v>
      </c>
      <c r="I260" s="180">
        <f t="shared" si="30"/>
        <v>0</v>
      </c>
      <c r="J260" s="181">
        <f t="shared" si="31"/>
        <v>0</v>
      </c>
      <c r="K260" s="182">
        <v>18937147.250206571</v>
      </c>
      <c r="L260" s="180">
        <f t="shared" si="32"/>
        <v>0</v>
      </c>
      <c r="M260" s="218">
        <f>SUMIFS(DATA!$L:$L,DATA!$O:$O,$B260,DATA!$N:$N,$A260,DATA!$M:$M,'SALES BY SYSTEM'!$O$1)</f>
        <v>0</v>
      </c>
      <c r="N260" s="182">
        <v>0</v>
      </c>
      <c r="O260" s="180" t="str">
        <f t="shared" si="33"/>
        <v/>
      </c>
      <c r="P260" s="218">
        <f>SUMIFS(DATA!$L:$L,DATA!$O:$O,$B260,DATA!$N:$N,$A260,DATA!$M:$M,'SALES BY SYSTEM'!$O$2)</f>
        <v>0</v>
      </c>
      <c r="Q260" s="182">
        <v>10967499.550215201</v>
      </c>
      <c r="R260" s="180">
        <f t="shared" si="34"/>
        <v>0</v>
      </c>
      <c r="S260" s="218">
        <f>SUMIFS(DATA!$L:$L,DATA!$O:$O,$B260,DATA!$N:$N,$A260,DATA!$M:$M,'SALES BY SYSTEM'!$O$4)</f>
        <v>0</v>
      </c>
      <c r="T260" s="182">
        <v>0</v>
      </c>
      <c r="U260" s="180" t="str">
        <f t="shared" si="35"/>
        <v/>
      </c>
      <c r="V260" s="218">
        <f>SUMIFS(DATA!$L:$L,DATA!$O:$O,$B260,DATA!$N:$N,$A260,DATA!$M:$M,'SALES BY SYSTEM'!$O$3)</f>
        <v>0</v>
      </c>
      <c r="W260" s="168"/>
    </row>
    <row r="261" spans="1:23" ht="15.75" customHeight="1" x14ac:dyDescent="0.25">
      <c r="A261" s="139" t="s">
        <v>1700</v>
      </c>
      <c r="B261" s="139" t="s">
        <v>43</v>
      </c>
      <c r="C261" s="178" t="str">
        <f>VLOOKUP(A261,CUSTOMER!$A:$C,3,0)</f>
        <v>MG_BMT</v>
      </c>
      <c r="D261" s="178" t="s">
        <v>674</v>
      </c>
      <c r="E261" s="178" t="str">
        <f>VLOOKUP(A261,CUSTOMER!$A$2:$H$1094,5,0)</f>
        <v>LE NAM PHUONG</v>
      </c>
      <c r="F261" s="178" t="str">
        <f>VLOOKUP(A261,CUSTOMER!$A$2:$I$1094,6,0)</f>
        <v>VACANCY</v>
      </c>
      <c r="G261" s="178" t="s">
        <v>676</v>
      </c>
      <c r="H261" s="179">
        <f t="shared" si="29"/>
        <v>10967499.550215201</v>
      </c>
      <c r="I261" s="180">
        <f t="shared" si="30"/>
        <v>0</v>
      </c>
      <c r="J261" s="181">
        <f t="shared" si="31"/>
        <v>0</v>
      </c>
      <c r="K261" s="182">
        <v>0</v>
      </c>
      <c r="L261" s="180">
        <f t="shared" si="32"/>
        <v>0</v>
      </c>
      <c r="M261" s="218">
        <f>SUMIFS(DATA!$L:$L,DATA!$O:$O,$B261,DATA!$N:$N,$A261,DATA!$M:$M,'SALES BY SYSTEM'!$O$1)</f>
        <v>0</v>
      </c>
      <c r="N261" s="182">
        <v>0</v>
      </c>
      <c r="O261" s="180" t="str">
        <f t="shared" si="33"/>
        <v/>
      </c>
      <c r="P261" s="218">
        <f>SUMIFS(DATA!$L:$L,DATA!$O:$O,$B261,DATA!$N:$N,$A261,DATA!$M:$M,'SALES BY SYSTEM'!$O$2)</f>
        <v>0</v>
      </c>
      <c r="Q261" s="182">
        <v>10967499.550215201</v>
      </c>
      <c r="R261" s="180">
        <f t="shared" si="34"/>
        <v>0</v>
      </c>
      <c r="S261" s="218">
        <f>SUMIFS(DATA!$L:$L,DATA!$O:$O,$B261,DATA!$N:$N,$A261,DATA!$M:$M,'SALES BY SYSTEM'!$O$4)</f>
        <v>0</v>
      </c>
      <c r="T261" s="182">
        <v>0</v>
      </c>
      <c r="U261" s="180" t="str">
        <f t="shared" si="35"/>
        <v/>
      </c>
      <c r="V261" s="218">
        <f>SUMIFS(DATA!$L:$L,DATA!$O:$O,$B261,DATA!$N:$N,$A261,DATA!$M:$M,'SALES BY SYSTEM'!$O$3)</f>
        <v>0</v>
      </c>
      <c r="W261" s="168"/>
    </row>
    <row r="262" spans="1:23" ht="15.75" customHeight="1" x14ac:dyDescent="0.25">
      <c r="A262" s="139" t="s">
        <v>47</v>
      </c>
      <c r="B262" s="139" t="s">
        <v>43</v>
      </c>
      <c r="C262" s="178" t="str">
        <f>VLOOKUP(A262,CUSTOMER!$A:$C,3,0)</f>
        <v>MG_HLOI</v>
      </c>
      <c r="D262" s="178" t="s">
        <v>674</v>
      </c>
      <c r="E262" s="178" t="str">
        <f>VLOOKUP(A262,CUSTOMER!$A$2:$H$1094,5,0)</f>
        <v>LE NAM PHUONG</v>
      </c>
      <c r="F262" s="178" t="str">
        <f>VLOOKUP(A262,CUSTOMER!$A$2:$I$1094,6,0)</f>
        <v>HUYNH NGOC HIEU</v>
      </c>
      <c r="G262" s="178" t="s">
        <v>676</v>
      </c>
      <c r="H262" s="179">
        <f t="shared" si="29"/>
        <v>25137253.087083064</v>
      </c>
      <c r="I262" s="180">
        <f t="shared" si="30"/>
        <v>0</v>
      </c>
      <c r="J262" s="181">
        <f t="shared" si="31"/>
        <v>0</v>
      </c>
      <c r="K262" s="182">
        <v>14169753.536867861</v>
      </c>
      <c r="L262" s="180">
        <f t="shared" si="32"/>
        <v>0</v>
      </c>
      <c r="M262" s="218">
        <f>SUMIFS(DATA!$L:$L,DATA!$O:$O,$B262,DATA!$N:$N,$A262,DATA!$M:$M,'SALES BY SYSTEM'!$O$1)</f>
        <v>0</v>
      </c>
      <c r="N262" s="182">
        <v>0</v>
      </c>
      <c r="O262" s="180" t="str">
        <f t="shared" si="33"/>
        <v/>
      </c>
      <c r="P262" s="218">
        <f>SUMIFS(DATA!$L:$L,DATA!$O:$O,$B262,DATA!$N:$N,$A262,DATA!$M:$M,'SALES BY SYSTEM'!$O$2)</f>
        <v>0</v>
      </c>
      <c r="Q262" s="182">
        <v>10967499.550215201</v>
      </c>
      <c r="R262" s="180">
        <f t="shared" si="34"/>
        <v>0</v>
      </c>
      <c r="S262" s="218">
        <f>SUMIFS(DATA!$L:$L,DATA!$O:$O,$B262,DATA!$N:$N,$A262,DATA!$M:$M,'SALES BY SYSTEM'!$O$4)</f>
        <v>0</v>
      </c>
      <c r="T262" s="182">
        <v>0</v>
      </c>
      <c r="U262" s="180" t="str">
        <f t="shared" si="35"/>
        <v/>
      </c>
      <c r="V262" s="218">
        <f>SUMIFS(DATA!$L:$L,DATA!$O:$O,$B262,DATA!$N:$N,$A262,DATA!$M:$M,'SALES BY SYSTEM'!$O$3)</f>
        <v>0</v>
      </c>
      <c r="W262" s="168"/>
    </row>
    <row r="263" spans="1:23" ht="15.75" customHeight="1" x14ac:dyDescent="0.25">
      <c r="A263" s="139" t="s">
        <v>1702</v>
      </c>
      <c r="B263" s="139" t="s">
        <v>43</v>
      </c>
      <c r="C263" s="178" t="str">
        <f>VLOOKUP(A263,CUSTOMER!$A:$C,3,0)</f>
        <v>MG_DNANG</v>
      </c>
      <c r="D263" s="178" t="s">
        <v>674</v>
      </c>
      <c r="E263" s="178" t="str">
        <f>VLOOKUP(A263,CUSTOMER!$A$2:$H$1094,5,0)</f>
        <v>LE NAM PHUONG</v>
      </c>
      <c r="F263" s="178" t="str">
        <f>VLOOKUP(A263,CUSTOMER!$A$2:$I$1094,6,0)</f>
        <v>PHAM THI BINH</v>
      </c>
      <c r="G263" s="178" t="s">
        <v>676</v>
      </c>
      <c r="H263" s="179">
        <f t="shared" si="29"/>
        <v>25137253.087083064</v>
      </c>
      <c r="I263" s="180">
        <f t="shared" si="30"/>
        <v>0</v>
      </c>
      <c r="J263" s="181">
        <f t="shared" si="31"/>
        <v>0</v>
      </c>
      <c r="K263" s="182">
        <v>14169753.536867861</v>
      </c>
      <c r="L263" s="180" t="str">
        <f t="shared" si="32"/>
        <v/>
      </c>
      <c r="M263" s="218">
        <f>SUMIFS(DATA!$L:$L,DATA!$O:$O,$B263,DATA!$N:$N,$A263,DATA!$M:$M,'SALES BY SYSTEM'!$O$1)</f>
        <v>0</v>
      </c>
      <c r="N263" s="182">
        <v>0</v>
      </c>
      <c r="O263" s="180" t="str">
        <f t="shared" si="33"/>
        <v/>
      </c>
      <c r="P263" s="218">
        <f>SUMIFS(DATA!$L:$L,DATA!$O:$O,$B263,DATA!$N:$N,$A263,DATA!$M:$M,'SALES BY SYSTEM'!$O$2)</f>
        <v>0</v>
      </c>
      <c r="Q263" s="182">
        <v>10967499.550215201</v>
      </c>
      <c r="R263" s="180">
        <f t="shared" si="34"/>
        <v>0</v>
      </c>
      <c r="S263" s="218">
        <f>SUMIFS(DATA!$L:$L,DATA!$O:$O,$B263,DATA!$N:$N,$A263,DATA!$M:$M,'SALES BY SYSTEM'!$O$4)</f>
        <v>0</v>
      </c>
      <c r="T263" s="182">
        <v>0</v>
      </c>
      <c r="U263" s="180" t="str">
        <f t="shared" si="35"/>
        <v/>
      </c>
      <c r="V263" s="218">
        <f>SUMIFS(DATA!$L:$L,DATA!$O:$O,$B263,DATA!$N:$N,$A263,DATA!$M:$M,'SALES BY SYSTEM'!$O$3)</f>
        <v>0</v>
      </c>
      <c r="W263" s="168"/>
    </row>
    <row r="264" spans="1:23" ht="15.75" customHeight="1" x14ac:dyDescent="0.25">
      <c r="A264" s="139" t="s">
        <v>51</v>
      </c>
      <c r="B264" s="139" t="s">
        <v>43</v>
      </c>
      <c r="C264" s="178" t="str">
        <f>VLOOKUP(A264,CUSTOMER!$A:$C,3,0)</f>
        <v>MG_LXUYEN</v>
      </c>
      <c r="D264" s="178" t="s">
        <v>674</v>
      </c>
      <c r="E264" s="178" t="str">
        <f>VLOOKUP(A264,CUSTOMER!$A$2:$H$1094,5,0)</f>
        <v>LE NAM PHUONG</v>
      </c>
      <c r="F264" s="178" t="str">
        <f>VLOOKUP(A264,CUSTOMER!$A$2:$I$1094,6,0)</f>
        <v>VACANCY</v>
      </c>
      <c r="G264" s="178" t="s">
        <v>676</v>
      </c>
      <c r="H264" s="179">
        <f t="shared" si="29"/>
        <v>25137253.087083064</v>
      </c>
      <c r="I264" s="180">
        <f t="shared" si="30"/>
        <v>0</v>
      </c>
      <c r="J264" s="181">
        <f t="shared" si="31"/>
        <v>0</v>
      </c>
      <c r="K264" s="182">
        <v>14169753.536867861</v>
      </c>
      <c r="L264" s="180" t="str">
        <f t="shared" si="32"/>
        <v/>
      </c>
      <c r="M264" s="218">
        <f>SUMIFS(DATA!$L:$L,DATA!$O:$O,$B264,DATA!$N:$N,$A264,DATA!$M:$M,'SALES BY SYSTEM'!$O$1)</f>
        <v>0</v>
      </c>
      <c r="N264" s="182">
        <v>0</v>
      </c>
      <c r="O264" s="180" t="str">
        <f t="shared" si="33"/>
        <v/>
      </c>
      <c r="P264" s="218">
        <f>SUMIFS(DATA!$L:$L,DATA!$O:$O,$B264,DATA!$N:$N,$A264,DATA!$M:$M,'SALES BY SYSTEM'!$O$2)</f>
        <v>0</v>
      </c>
      <c r="Q264" s="182">
        <v>10967499.550215201</v>
      </c>
      <c r="R264" s="180">
        <f t="shared" si="34"/>
        <v>0</v>
      </c>
      <c r="S264" s="218">
        <f>SUMIFS(DATA!$L:$L,DATA!$O:$O,$B264,DATA!$N:$N,$A264,DATA!$M:$M,'SALES BY SYSTEM'!$O$4)</f>
        <v>0</v>
      </c>
      <c r="T264" s="182">
        <v>0</v>
      </c>
      <c r="U264" s="180" t="str">
        <f t="shared" si="35"/>
        <v/>
      </c>
      <c r="V264" s="218">
        <f>SUMIFS(DATA!$L:$L,DATA!$O:$O,$B264,DATA!$N:$N,$A264,DATA!$M:$M,'SALES BY SYSTEM'!$O$3)</f>
        <v>0</v>
      </c>
      <c r="W264" s="168"/>
    </row>
    <row r="265" spans="1:23" ht="15.75" customHeight="1" x14ac:dyDescent="0.25">
      <c r="A265" s="139" t="s">
        <v>1714</v>
      </c>
      <c r="B265" s="139" t="s">
        <v>43</v>
      </c>
      <c r="C265" s="178" t="str">
        <f>VLOOKUP(A265,CUSTOMER!$A:$C,3,0)</f>
        <v>MG_QNHON</v>
      </c>
      <c r="D265" s="178" t="s">
        <v>674</v>
      </c>
      <c r="E265" s="178" t="str">
        <f>VLOOKUP(A265,CUSTOMER!$A$2:$H$1094,5,0)</f>
        <v>LE NAM PHUONG</v>
      </c>
      <c r="F265" s="178" t="str">
        <f>VLOOKUP(A265,CUSTOMER!$A$2:$I$1094,6,0)</f>
        <v>VACANCY</v>
      </c>
      <c r="G265" s="178" t="s">
        <v>676</v>
      </c>
      <c r="H265" s="179">
        <f t="shared" si="29"/>
        <v>25137253.087083064</v>
      </c>
      <c r="I265" s="180">
        <f t="shared" si="30"/>
        <v>0</v>
      </c>
      <c r="J265" s="181">
        <f t="shared" si="31"/>
        <v>0</v>
      </c>
      <c r="K265" s="182">
        <v>14169753.536867861</v>
      </c>
      <c r="L265" s="180" t="str">
        <f t="shared" si="32"/>
        <v/>
      </c>
      <c r="M265" s="218">
        <f>SUMIFS(DATA!$L:$L,DATA!$O:$O,$B265,DATA!$N:$N,$A265,DATA!$M:$M,'SALES BY SYSTEM'!$O$1)</f>
        <v>0</v>
      </c>
      <c r="N265" s="182">
        <v>0</v>
      </c>
      <c r="O265" s="180" t="str">
        <f t="shared" si="33"/>
        <v/>
      </c>
      <c r="P265" s="218">
        <f>SUMIFS(DATA!$L:$L,DATA!$O:$O,$B265,DATA!$N:$N,$A265,DATA!$M:$M,'SALES BY SYSTEM'!$O$2)</f>
        <v>0</v>
      </c>
      <c r="Q265" s="182">
        <v>10967499.550215201</v>
      </c>
      <c r="R265" s="180">
        <f t="shared" si="34"/>
        <v>0</v>
      </c>
      <c r="S265" s="218">
        <f>SUMIFS(DATA!$L:$L,DATA!$O:$O,$B265,DATA!$N:$N,$A265,DATA!$M:$M,'SALES BY SYSTEM'!$O$4)</f>
        <v>0</v>
      </c>
      <c r="T265" s="182">
        <v>0</v>
      </c>
      <c r="U265" s="180" t="str">
        <f t="shared" si="35"/>
        <v/>
      </c>
      <c r="V265" s="218">
        <f>SUMIFS(DATA!$L:$L,DATA!$O:$O,$B265,DATA!$N:$N,$A265,DATA!$M:$M,'SALES BY SYSTEM'!$O$3)</f>
        <v>0</v>
      </c>
      <c r="W265" s="168"/>
    </row>
    <row r="266" spans="1:23" ht="15.75" customHeight="1" x14ac:dyDescent="0.25">
      <c r="A266" s="139" t="s">
        <v>1716</v>
      </c>
      <c r="B266" s="139" t="s">
        <v>43</v>
      </c>
      <c r="C266" s="178" t="str">
        <f>VLOOKUP(A266,CUSTOMER!$A:$C,3,0)</f>
        <v>MG_RGIA</v>
      </c>
      <c r="D266" s="178" t="s">
        <v>674</v>
      </c>
      <c r="E266" s="178" t="str">
        <f>VLOOKUP(A266,CUSTOMER!$A$2:$H$1094,5,0)</f>
        <v>LE NAM PHUONG</v>
      </c>
      <c r="F266" s="178" t="str">
        <f>VLOOKUP(A266,CUSTOMER!$A$2:$I$1094,6,0)</f>
        <v>VACANCY</v>
      </c>
      <c r="G266" s="178" t="s">
        <v>676</v>
      </c>
      <c r="H266" s="179">
        <f t="shared" si="29"/>
        <v>25137253.087083064</v>
      </c>
      <c r="I266" s="180">
        <f t="shared" si="30"/>
        <v>0</v>
      </c>
      <c r="J266" s="181">
        <f t="shared" si="31"/>
        <v>0</v>
      </c>
      <c r="K266" s="182">
        <v>14169753.536867861</v>
      </c>
      <c r="L266" s="180" t="str">
        <f t="shared" si="32"/>
        <v/>
      </c>
      <c r="M266" s="218">
        <f>SUMIFS(DATA!$L:$L,DATA!$O:$O,$B266,DATA!$N:$N,$A266,DATA!$M:$M,'SALES BY SYSTEM'!$O$1)</f>
        <v>0</v>
      </c>
      <c r="N266" s="182">
        <v>0</v>
      </c>
      <c r="O266" s="180" t="str">
        <f t="shared" si="33"/>
        <v/>
      </c>
      <c r="P266" s="218">
        <f>SUMIFS(DATA!$L:$L,DATA!$O:$O,$B266,DATA!$N:$N,$A266,DATA!$M:$M,'SALES BY SYSTEM'!$O$2)</f>
        <v>0</v>
      </c>
      <c r="Q266" s="182">
        <v>10967499.550215201</v>
      </c>
      <c r="R266" s="180">
        <f t="shared" si="34"/>
        <v>0</v>
      </c>
      <c r="S266" s="218">
        <f>SUMIFS(DATA!$L:$L,DATA!$O:$O,$B266,DATA!$N:$N,$A266,DATA!$M:$M,'SALES BY SYSTEM'!$O$4)</f>
        <v>0</v>
      </c>
      <c r="T266" s="182">
        <v>0</v>
      </c>
      <c r="U266" s="180" t="str">
        <f t="shared" si="35"/>
        <v/>
      </c>
      <c r="V266" s="218">
        <f>SUMIFS(DATA!$L:$L,DATA!$O:$O,$B266,DATA!$N:$N,$A266,DATA!$M:$M,'SALES BY SYSTEM'!$O$3)</f>
        <v>0</v>
      </c>
      <c r="W266" s="168"/>
    </row>
    <row r="267" spans="1:23" ht="15.75" customHeight="1" x14ac:dyDescent="0.25">
      <c r="A267" s="139" t="s">
        <v>808</v>
      </c>
      <c r="B267" s="139" t="s">
        <v>561</v>
      </c>
      <c r="C267" s="178" t="str">
        <f>VLOOKUP(A267,CUSTOMER!$A:$C,3,0)</f>
        <v>BHX_7000_BTRE</v>
      </c>
      <c r="D267" s="178" t="s">
        <v>674</v>
      </c>
      <c r="E267" s="178" t="str">
        <f>VLOOKUP(A267,CUSTOMER!$A$2:$H$1094,5,0)</f>
        <v>LE NAM PHUONG</v>
      </c>
      <c r="F267" s="178" t="str">
        <f>VLOOKUP(A267,CUSTOMER!$A$2:$I$1094,6,0)</f>
        <v>VACANCY</v>
      </c>
      <c r="G267" s="178" t="s">
        <v>676</v>
      </c>
      <c r="H267" s="179">
        <f t="shared" si="29"/>
        <v>50911980.399969816</v>
      </c>
      <c r="I267" s="180">
        <f t="shared" si="30"/>
        <v>0</v>
      </c>
      <c r="J267" s="181">
        <f t="shared" si="31"/>
        <v>0</v>
      </c>
      <c r="K267" s="182">
        <v>0</v>
      </c>
      <c r="L267" s="180" t="str">
        <f t="shared" ref="L267:L282" si="36">IFERROR(M267/K267,"")</f>
        <v/>
      </c>
      <c r="M267" s="218">
        <f>SUMIFS(DATA!$L:$L,DATA!$O:$O,$B267,DATA!$N:$N,$A267,DATA!$M:$M,'SALES BY SYSTEM'!$O$1)</f>
        <v>0</v>
      </c>
      <c r="N267" s="182">
        <v>0</v>
      </c>
      <c r="O267" s="180" t="str">
        <f t="shared" si="33"/>
        <v/>
      </c>
      <c r="P267" s="218">
        <f>SUMIFS(DATA!$L:$L,DATA!$O:$O,$B267,DATA!$N:$N,$A267,DATA!$M:$M,'SALES BY SYSTEM'!$O$2)</f>
        <v>0</v>
      </c>
      <c r="Q267" s="182">
        <v>50911980.399969816</v>
      </c>
      <c r="R267" s="180">
        <f t="shared" si="34"/>
        <v>0</v>
      </c>
      <c r="S267" s="218">
        <f>SUMIFS(DATA!$L:$L,DATA!$O:$O,$B267,DATA!$N:$N,$A267,DATA!$M:$M,'SALES BY SYSTEM'!$O$4)</f>
        <v>0</v>
      </c>
      <c r="T267" s="182">
        <v>0</v>
      </c>
      <c r="U267" s="180" t="str">
        <f t="shared" si="35"/>
        <v/>
      </c>
      <c r="V267" s="218">
        <f>SUMIFS(DATA!$L:$L,DATA!$O:$O,$B267,DATA!$N:$N,$A267,DATA!$M:$M,'SALES BY SYSTEM'!$O$3)</f>
        <v>0</v>
      </c>
      <c r="W267" s="168"/>
    </row>
    <row r="268" spans="1:23" ht="15.75" customHeight="1" x14ac:dyDescent="0.25">
      <c r="A268" s="139" t="s">
        <v>526</v>
      </c>
      <c r="B268" s="139" t="s">
        <v>432</v>
      </c>
      <c r="C268" s="178" t="str">
        <f>VLOOKUP(A268,CUSTOMER!$A:$C,3,0)</f>
        <v>BIGC_ANPHU</v>
      </c>
      <c r="D268" s="178" t="s">
        <v>674</v>
      </c>
      <c r="E268" s="178" t="str">
        <f>VLOOKUP(A268,CUSTOMER!$A$2:$H$1094,5,0)</f>
        <v>LE NAM PHUONG</v>
      </c>
      <c r="F268" s="178" t="str">
        <f>VLOOKUP(A268,CUSTOMER!$A$2:$I$1094,6,0)</f>
        <v>NGUYEN THI OANH</v>
      </c>
      <c r="G268" s="178" t="s">
        <v>676</v>
      </c>
      <c r="H268" s="179">
        <f t="shared" si="29"/>
        <v>6223835.7165999562</v>
      </c>
      <c r="I268" s="180">
        <f t="shared" si="30"/>
        <v>0</v>
      </c>
      <c r="J268" s="181">
        <f t="shared" si="31"/>
        <v>0</v>
      </c>
      <c r="K268" s="182">
        <v>0</v>
      </c>
      <c r="L268" s="180" t="str">
        <f t="shared" si="36"/>
        <v/>
      </c>
      <c r="M268" s="218">
        <f>SUMIFS(DATA!$L:$L,DATA!$O:$O,$B268,DATA!$N:$N,$A268,DATA!$M:$M,'SALES BY SYSTEM'!$O$1)</f>
        <v>0</v>
      </c>
      <c r="N268" s="182">
        <v>0</v>
      </c>
      <c r="O268" s="180" t="str">
        <f t="shared" si="33"/>
        <v/>
      </c>
      <c r="P268" s="218">
        <f>SUMIFS(DATA!$L:$L,DATA!$O:$O,$B268,DATA!$N:$N,$A268,DATA!$M:$M,'SALES BY SYSTEM'!$O$2)</f>
        <v>0</v>
      </c>
      <c r="Q268" s="182">
        <v>6223835.7165999562</v>
      </c>
      <c r="R268" s="180">
        <f t="shared" si="34"/>
        <v>0</v>
      </c>
      <c r="S268" s="218">
        <f>SUMIFS(DATA!$L:$L,DATA!$O:$O,$B268,DATA!$N:$N,$A268,DATA!$M:$M,'SALES BY SYSTEM'!$O$4)</f>
        <v>0</v>
      </c>
      <c r="T268" s="182">
        <v>0</v>
      </c>
      <c r="U268" s="180" t="str">
        <f t="shared" si="35"/>
        <v/>
      </c>
      <c r="V268" s="218">
        <f>SUMIFS(DATA!$L:$L,DATA!$O:$O,$B268,DATA!$N:$N,$A268,DATA!$M:$M,'SALES BY SYSTEM'!$O$3)</f>
        <v>0</v>
      </c>
      <c r="W268" s="168"/>
    </row>
    <row r="269" spans="1:23" ht="15.75" customHeight="1" x14ac:dyDescent="0.25">
      <c r="A269" s="139" t="s">
        <v>444</v>
      </c>
      <c r="B269" s="139" t="s">
        <v>432</v>
      </c>
      <c r="C269" s="178" t="str">
        <f>VLOOKUP(A269,CUSTOMER!$A:$C,3,0)</f>
        <v>BIGC_AUCO</v>
      </c>
      <c r="D269" s="178" t="s">
        <v>674</v>
      </c>
      <c r="E269" s="178" t="str">
        <f>VLOOKUP(A269,CUSTOMER!$A$2:$H$1094,5,0)</f>
        <v>LE NAM PHUONG</v>
      </c>
      <c r="F269" s="178" t="str">
        <f>VLOOKUP(A269,CUSTOMER!$A$2:$I$1094,6,0)</f>
        <v>NGUYEN THI OANH</v>
      </c>
      <c r="G269" s="178" t="s">
        <v>676</v>
      </c>
      <c r="H269" s="179">
        <f t="shared" si="29"/>
        <v>6223835.7165999562</v>
      </c>
      <c r="I269" s="180">
        <f t="shared" si="30"/>
        <v>0</v>
      </c>
      <c r="J269" s="181">
        <f t="shared" si="31"/>
        <v>0</v>
      </c>
      <c r="K269" s="182">
        <v>0</v>
      </c>
      <c r="L269" s="180" t="str">
        <f t="shared" si="36"/>
        <v/>
      </c>
      <c r="M269" s="218">
        <f>SUMIFS(DATA!$L:$L,DATA!$O:$O,$B269,DATA!$N:$N,$A269,DATA!$M:$M,'SALES BY SYSTEM'!$O$1)</f>
        <v>0</v>
      </c>
      <c r="N269" s="182">
        <v>0</v>
      </c>
      <c r="O269" s="180" t="str">
        <f t="shared" si="33"/>
        <v/>
      </c>
      <c r="P269" s="218">
        <f>SUMIFS(DATA!$L:$L,DATA!$O:$O,$B269,DATA!$N:$N,$A269,DATA!$M:$M,'SALES BY SYSTEM'!$O$2)</f>
        <v>0</v>
      </c>
      <c r="Q269" s="182">
        <v>6223835.7165999562</v>
      </c>
      <c r="R269" s="180">
        <f t="shared" si="34"/>
        <v>0</v>
      </c>
      <c r="S269" s="218">
        <f>SUMIFS(DATA!$L:$L,DATA!$O:$O,$B269,DATA!$N:$N,$A269,DATA!$M:$M,'SALES BY SYSTEM'!$O$4)</f>
        <v>0</v>
      </c>
      <c r="T269" s="182">
        <v>0</v>
      </c>
      <c r="U269" s="180" t="str">
        <f t="shared" si="35"/>
        <v/>
      </c>
      <c r="V269" s="218">
        <f>SUMIFS(DATA!$L:$L,DATA!$O:$O,$B269,DATA!$N:$N,$A269,DATA!$M:$M,'SALES BY SYSTEM'!$O$3)</f>
        <v>0</v>
      </c>
      <c r="W269" s="168"/>
    </row>
    <row r="270" spans="1:23" ht="15.75" customHeight="1" x14ac:dyDescent="0.25">
      <c r="A270" s="139" t="s">
        <v>476</v>
      </c>
      <c r="B270" s="139" t="s">
        <v>432</v>
      </c>
      <c r="C270" s="178" t="str">
        <f>VLOOKUP(A270,CUSTOMER!$A:$C,3,0)</f>
        <v>BIGC_DBAN</v>
      </c>
      <c r="D270" s="178" t="s">
        <v>674</v>
      </c>
      <c r="E270" s="178" t="str">
        <f>VLOOKUP(A270,CUSTOMER!$A$2:$H$1094,5,0)</f>
        <v>LE NAM PHUONG</v>
      </c>
      <c r="F270" s="178" t="str">
        <f>VLOOKUP(A270,CUSTOMER!$A$2:$I$1094,6,0)</f>
        <v>VACANCY</v>
      </c>
      <c r="G270" s="178" t="s">
        <v>676</v>
      </c>
      <c r="H270" s="179">
        <f t="shared" si="29"/>
        <v>6223835.7165999562</v>
      </c>
      <c r="I270" s="180">
        <f t="shared" si="30"/>
        <v>0</v>
      </c>
      <c r="J270" s="181">
        <f t="shared" si="31"/>
        <v>0</v>
      </c>
      <c r="K270" s="182">
        <v>0</v>
      </c>
      <c r="L270" s="180" t="str">
        <f t="shared" si="36"/>
        <v/>
      </c>
      <c r="M270" s="218">
        <f>SUMIFS(DATA!$L:$L,DATA!$O:$O,$B270,DATA!$N:$N,$A270,DATA!$M:$M,'SALES BY SYSTEM'!$O$1)</f>
        <v>0</v>
      </c>
      <c r="N270" s="182">
        <v>0</v>
      </c>
      <c r="O270" s="180" t="str">
        <f t="shared" si="33"/>
        <v/>
      </c>
      <c r="P270" s="218">
        <f>SUMIFS(DATA!$L:$L,DATA!$O:$O,$B270,DATA!$N:$N,$A270,DATA!$M:$M,'SALES BY SYSTEM'!$O$2)</f>
        <v>0</v>
      </c>
      <c r="Q270" s="182">
        <v>6223835.7165999562</v>
      </c>
      <c r="R270" s="180">
        <f t="shared" si="34"/>
        <v>0</v>
      </c>
      <c r="S270" s="218">
        <f>SUMIFS(DATA!$L:$L,DATA!$O:$O,$B270,DATA!$N:$N,$A270,DATA!$M:$M,'SALES BY SYSTEM'!$O$4)</f>
        <v>0</v>
      </c>
      <c r="T270" s="182">
        <v>0</v>
      </c>
      <c r="U270" s="180" t="str">
        <f t="shared" si="35"/>
        <v/>
      </c>
      <c r="V270" s="218">
        <f>SUMIFS(DATA!$L:$L,DATA!$O:$O,$B270,DATA!$N:$N,$A270,DATA!$M:$M,'SALES BY SYSTEM'!$O$3)</f>
        <v>0</v>
      </c>
      <c r="W270" s="168"/>
    </row>
    <row r="271" spans="1:23" ht="15.75" customHeight="1" x14ac:dyDescent="0.25">
      <c r="A271" s="139" t="s">
        <v>544</v>
      </c>
      <c r="B271" s="139" t="s">
        <v>432</v>
      </c>
      <c r="C271" s="178" t="str">
        <f>VLOOKUP(A271,CUSTOMER!$A:$C,3,0)</f>
        <v>BIGC_GARDEN</v>
      </c>
      <c r="D271" s="178" t="s">
        <v>674</v>
      </c>
      <c r="E271" s="178" t="str">
        <f>VLOOKUP(A271,CUSTOMER!$A$2:$H$1094,5,0)</f>
        <v>LE NAM PHUONG</v>
      </c>
      <c r="F271" s="178" t="str">
        <f>VLOOKUP(A271,CUSTOMER!$A$2:$I$1094,6,0)</f>
        <v>LE THI HONG DIEP</v>
      </c>
      <c r="G271" s="178" t="s">
        <v>676</v>
      </c>
      <c r="H271" s="179">
        <f t="shared" si="29"/>
        <v>6223835.7165999562</v>
      </c>
      <c r="I271" s="180">
        <f t="shared" si="30"/>
        <v>0</v>
      </c>
      <c r="J271" s="181">
        <f t="shared" si="31"/>
        <v>0</v>
      </c>
      <c r="K271" s="182">
        <v>0</v>
      </c>
      <c r="L271" s="180" t="str">
        <f t="shared" si="36"/>
        <v/>
      </c>
      <c r="M271" s="218">
        <f>SUMIFS(DATA!$L:$L,DATA!$O:$O,$B271,DATA!$N:$N,$A271,DATA!$M:$M,'SALES BY SYSTEM'!$O$1)</f>
        <v>0</v>
      </c>
      <c r="N271" s="182">
        <v>0</v>
      </c>
      <c r="O271" s="180" t="str">
        <f t="shared" si="33"/>
        <v/>
      </c>
      <c r="P271" s="218">
        <f>SUMIFS(DATA!$L:$L,DATA!$O:$O,$B271,DATA!$N:$N,$A271,DATA!$M:$M,'SALES BY SYSTEM'!$O$2)</f>
        <v>0</v>
      </c>
      <c r="Q271" s="182">
        <v>6223835.7165999562</v>
      </c>
      <c r="R271" s="180">
        <f t="shared" si="34"/>
        <v>0</v>
      </c>
      <c r="S271" s="218">
        <f>SUMIFS(DATA!$L:$L,DATA!$O:$O,$B271,DATA!$N:$N,$A271,DATA!$M:$M,'SALES BY SYSTEM'!$O$4)</f>
        <v>0</v>
      </c>
      <c r="T271" s="182">
        <v>0</v>
      </c>
      <c r="U271" s="180" t="str">
        <f t="shared" si="35"/>
        <v/>
      </c>
      <c r="V271" s="218">
        <f>SUMIFS(DATA!$L:$L,DATA!$O:$O,$B271,DATA!$N:$N,$A271,DATA!$M:$M,'SALES BY SYSTEM'!$O$3)</f>
        <v>0</v>
      </c>
      <c r="W271" s="168"/>
    </row>
    <row r="272" spans="1:23" ht="15.75" customHeight="1" x14ac:dyDescent="0.25">
      <c r="A272" s="139" t="s">
        <v>456</v>
      </c>
      <c r="B272" s="139" t="s">
        <v>432</v>
      </c>
      <c r="C272" s="178" t="str">
        <f>VLOOKUP(A272,CUSTOMER!$A:$C,3,0)</f>
        <v>BIGC_GO_BRIA</v>
      </c>
      <c r="D272" s="178" t="s">
        <v>674</v>
      </c>
      <c r="E272" s="178" t="str">
        <f>VLOOKUP(A272,CUSTOMER!$A$2:$H$1094,5,0)</f>
        <v>LE NAM PHUONG</v>
      </c>
      <c r="F272" s="178" t="str">
        <f>VLOOKUP(A272,CUSTOMER!$A$2:$I$1094,6,0)</f>
        <v>VACANCY</v>
      </c>
      <c r="G272" s="178" t="s">
        <v>676</v>
      </c>
      <c r="H272" s="179">
        <f t="shared" si="29"/>
        <v>6223835.7165999562</v>
      </c>
      <c r="I272" s="180">
        <f t="shared" si="30"/>
        <v>0</v>
      </c>
      <c r="J272" s="181">
        <f t="shared" si="31"/>
        <v>0</v>
      </c>
      <c r="K272" s="182">
        <v>0</v>
      </c>
      <c r="L272" s="180" t="str">
        <f t="shared" si="36"/>
        <v/>
      </c>
      <c r="M272" s="218">
        <f>SUMIFS(DATA!$L:$L,DATA!$O:$O,$B272,DATA!$N:$N,$A272,DATA!$M:$M,'SALES BY SYSTEM'!$O$1)</f>
        <v>0</v>
      </c>
      <c r="N272" s="182">
        <v>0</v>
      </c>
      <c r="O272" s="180" t="str">
        <f t="shared" si="33"/>
        <v/>
      </c>
      <c r="P272" s="218">
        <f>SUMIFS(DATA!$L:$L,DATA!$O:$O,$B272,DATA!$N:$N,$A272,DATA!$M:$M,'SALES BY SYSTEM'!$O$2)</f>
        <v>0</v>
      </c>
      <c r="Q272" s="182">
        <v>6223835.7165999562</v>
      </c>
      <c r="R272" s="180">
        <f t="shared" si="34"/>
        <v>0</v>
      </c>
      <c r="S272" s="218">
        <f>SUMIFS(DATA!$L:$L,DATA!$O:$O,$B272,DATA!$N:$N,$A272,DATA!$M:$M,'SALES BY SYSTEM'!$O$4)</f>
        <v>0</v>
      </c>
      <c r="T272" s="182">
        <v>0</v>
      </c>
      <c r="U272" s="180" t="str">
        <f t="shared" si="35"/>
        <v/>
      </c>
      <c r="V272" s="218">
        <f>SUMIFS(DATA!$L:$L,DATA!$O:$O,$B272,DATA!$N:$N,$A272,DATA!$M:$M,'SALES BY SYSTEM'!$O$3)</f>
        <v>0</v>
      </c>
      <c r="W272" s="168"/>
    </row>
    <row r="273" spans="1:23" ht="15.75" customHeight="1" x14ac:dyDescent="0.25">
      <c r="A273" s="139" t="s">
        <v>486</v>
      </c>
      <c r="B273" s="139" t="s">
        <v>432</v>
      </c>
      <c r="C273" s="178" t="str">
        <f>VLOOKUP(A273,CUSTOMER!$A:$C,3,0)</f>
        <v>BIGC_GO_BMT</v>
      </c>
      <c r="D273" s="178" t="s">
        <v>674</v>
      </c>
      <c r="E273" s="178" t="str">
        <f>VLOOKUP(A273,CUSTOMER!$A$2:$H$1094,5,0)</f>
        <v>LE NAM PHUONG</v>
      </c>
      <c r="F273" s="178" t="str">
        <f>VLOOKUP(A273,CUSTOMER!$A$2:$I$1094,6,0)</f>
        <v>VACANCY</v>
      </c>
      <c r="G273" s="178" t="s">
        <v>676</v>
      </c>
      <c r="H273" s="179">
        <f t="shared" si="29"/>
        <v>6223835.7165999562</v>
      </c>
      <c r="I273" s="180">
        <f t="shared" si="30"/>
        <v>0</v>
      </c>
      <c r="J273" s="181">
        <f t="shared" si="31"/>
        <v>0</v>
      </c>
      <c r="K273" s="182">
        <v>0</v>
      </c>
      <c r="L273" s="180" t="str">
        <f t="shared" si="36"/>
        <v/>
      </c>
      <c r="M273" s="218">
        <f>SUMIFS(DATA!$L:$L,DATA!$O:$O,$B273,DATA!$N:$N,$A273,DATA!$M:$M,'SALES BY SYSTEM'!$O$1)</f>
        <v>0</v>
      </c>
      <c r="N273" s="182">
        <v>0</v>
      </c>
      <c r="O273" s="180" t="str">
        <f t="shared" si="33"/>
        <v/>
      </c>
      <c r="P273" s="218">
        <f>SUMIFS(DATA!$L:$L,DATA!$O:$O,$B273,DATA!$N:$N,$A273,DATA!$M:$M,'SALES BY SYSTEM'!$O$2)</f>
        <v>0</v>
      </c>
      <c r="Q273" s="182">
        <v>6223835.7165999562</v>
      </c>
      <c r="R273" s="180">
        <f t="shared" si="34"/>
        <v>0</v>
      </c>
      <c r="S273" s="218">
        <f>SUMIFS(DATA!$L:$L,DATA!$O:$O,$B273,DATA!$N:$N,$A273,DATA!$M:$M,'SALES BY SYSTEM'!$O$4)</f>
        <v>0</v>
      </c>
      <c r="T273" s="182">
        <v>0</v>
      </c>
      <c r="U273" s="180" t="str">
        <f t="shared" si="35"/>
        <v/>
      </c>
      <c r="V273" s="218">
        <f>SUMIFS(DATA!$L:$L,DATA!$O:$O,$B273,DATA!$N:$N,$A273,DATA!$M:$M,'SALES BY SYSTEM'!$O$3)</f>
        <v>0</v>
      </c>
      <c r="W273" s="168"/>
    </row>
    <row r="274" spans="1:23" ht="15.75" customHeight="1" x14ac:dyDescent="0.25">
      <c r="A274" s="139" t="s">
        <v>502</v>
      </c>
      <c r="B274" s="139" t="s">
        <v>432</v>
      </c>
      <c r="C274" s="178" t="str">
        <f>VLOOKUP(A274,CUSTOMER!$A:$C,3,0)</f>
        <v>BIGC_GO_GDAU</v>
      </c>
      <c r="D274" s="178" t="s">
        <v>674</v>
      </c>
      <c r="E274" s="178" t="str">
        <f>VLOOKUP(A274,CUSTOMER!$A$2:$H$1094,5,0)</f>
        <v>LE NAM PHUONG</v>
      </c>
      <c r="F274" s="178" t="str">
        <f>VLOOKUP(A274,CUSTOMER!$A$2:$I$1094,6,0)</f>
        <v>VACANCY</v>
      </c>
      <c r="G274" s="178" t="s">
        <v>676</v>
      </c>
      <c r="H274" s="179">
        <f t="shared" si="29"/>
        <v>6223835.7165999562</v>
      </c>
      <c r="I274" s="180">
        <f t="shared" si="30"/>
        <v>0</v>
      </c>
      <c r="J274" s="181">
        <f t="shared" si="31"/>
        <v>0</v>
      </c>
      <c r="K274" s="182">
        <v>0</v>
      </c>
      <c r="L274" s="180" t="str">
        <f t="shared" si="36"/>
        <v/>
      </c>
      <c r="M274" s="218">
        <f>SUMIFS(DATA!$L:$L,DATA!$O:$O,$B274,DATA!$N:$N,$A274,DATA!$M:$M,'SALES BY SYSTEM'!$O$1)</f>
        <v>0</v>
      </c>
      <c r="N274" s="182">
        <v>0</v>
      </c>
      <c r="O274" s="180" t="str">
        <f t="shared" si="33"/>
        <v/>
      </c>
      <c r="P274" s="218">
        <f>SUMIFS(DATA!$L:$L,DATA!$O:$O,$B274,DATA!$N:$N,$A274,DATA!$M:$M,'SALES BY SYSTEM'!$O$2)</f>
        <v>0</v>
      </c>
      <c r="Q274" s="182">
        <v>6223835.7165999562</v>
      </c>
      <c r="R274" s="180">
        <f t="shared" si="34"/>
        <v>0</v>
      </c>
      <c r="S274" s="218">
        <f>SUMIFS(DATA!$L:$L,DATA!$O:$O,$B274,DATA!$N:$N,$A274,DATA!$M:$M,'SALES BY SYSTEM'!$O$4)</f>
        <v>0</v>
      </c>
      <c r="T274" s="182">
        <v>0</v>
      </c>
      <c r="U274" s="180" t="str">
        <f t="shared" si="35"/>
        <v/>
      </c>
      <c r="V274" s="218">
        <f>SUMIFS(DATA!$L:$L,DATA!$O:$O,$B274,DATA!$N:$N,$A274,DATA!$M:$M,'SALES BY SYSTEM'!$O$3)</f>
        <v>0</v>
      </c>
      <c r="W274" s="168"/>
    </row>
    <row r="275" spans="1:23" ht="15.75" customHeight="1" x14ac:dyDescent="0.25">
      <c r="A275" s="139" t="s">
        <v>528</v>
      </c>
      <c r="B275" s="139" t="s">
        <v>432</v>
      </c>
      <c r="C275" s="178" t="str">
        <f>VLOOKUP(A275,CUSTOMER!$A:$C,3,0)</f>
        <v>BIGC_GO_LAOCAI</v>
      </c>
      <c r="D275" s="178" t="s">
        <v>674</v>
      </c>
      <c r="E275" s="178" t="str">
        <f>VLOOKUP(A275,CUSTOMER!$A$2:$H$1094,5,0)</f>
        <v>LE NAM PHUONG</v>
      </c>
      <c r="F275" s="178" t="str">
        <f>VLOOKUP(A275,CUSTOMER!$A$2:$I$1094,6,0)</f>
        <v>VACANCY</v>
      </c>
      <c r="G275" s="178" t="s">
        <v>676</v>
      </c>
      <c r="H275" s="179">
        <f t="shared" si="29"/>
        <v>6223835.7165999562</v>
      </c>
      <c r="I275" s="180">
        <f t="shared" si="30"/>
        <v>0</v>
      </c>
      <c r="J275" s="181">
        <f t="shared" si="31"/>
        <v>0</v>
      </c>
      <c r="K275" s="182">
        <v>0</v>
      </c>
      <c r="L275" s="180" t="str">
        <f t="shared" si="36"/>
        <v/>
      </c>
      <c r="M275" s="218">
        <f>SUMIFS(DATA!$L:$L,DATA!$O:$O,$B275,DATA!$N:$N,$A275,DATA!$M:$M,'SALES BY SYSTEM'!$O$1)</f>
        <v>0</v>
      </c>
      <c r="N275" s="182">
        <v>0</v>
      </c>
      <c r="O275" s="180" t="str">
        <f t="shared" si="33"/>
        <v/>
      </c>
      <c r="P275" s="218">
        <f>SUMIFS(DATA!$L:$L,DATA!$O:$O,$B275,DATA!$N:$N,$A275,DATA!$M:$M,'SALES BY SYSTEM'!$O$2)</f>
        <v>0</v>
      </c>
      <c r="Q275" s="182">
        <v>6223835.7165999562</v>
      </c>
      <c r="R275" s="180">
        <f t="shared" si="34"/>
        <v>0</v>
      </c>
      <c r="S275" s="218">
        <f>SUMIFS(DATA!$L:$L,DATA!$O:$O,$B275,DATA!$N:$N,$A275,DATA!$M:$M,'SALES BY SYSTEM'!$O$4)</f>
        <v>0</v>
      </c>
      <c r="T275" s="182">
        <v>0</v>
      </c>
      <c r="U275" s="180" t="str">
        <f t="shared" si="35"/>
        <v/>
      </c>
      <c r="V275" s="218">
        <f>SUMIFS(DATA!$L:$L,DATA!$O:$O,$B275,DATA!$N:$N,$A275,DATA!$M:$M,'SALES BY SYSTEM'!$O$3)</f>
        <v>0</v>
      </c>
      <c r="W275" s="168"/>
    </row>
    <row r="276" spans="1:23" ht="15.75" customHeight="1" x14ac:dyDescent="0.25">
      <c r="A276" s="139" t="s">
        <v>472</v>
      </c>
      <c r="B276" s="139" t="s">
        <v>432</v>
      </c>
      <c r="C276" s="178" t="str">
        <f>VLOOKUP(A276,CUSTOMER!$A:$C,3,0)</f>
        <v>BIGC_GO_TKY</v>
      </c>
      <c r="D276" s="178" t="s">
        <v>674</v>
      </c>
      <c r="E276" s="178" t="str">
        <f>VLOOKUP(A276,CUSTOMER!$A$2:$H$1094,5,0)</f>
        <v>LE NAM PHUONG</v>
      </c>
      <c r="F276" s="178" t="str">
        <f>VLOOKUP(A276,CUSTOMER!$A$2:$I$1094,6,0)</f>
        <v>VACANCY</v>
      </c>
      <c r="G276" s="178" t="s">
        <v>676</v>
      </c>
      <c r="H276" s="179">
        <f t="shared" si="29"/>
        <v>6223835.7165999562</v>
      </c>
      <c r="I276" s="180">
        <f t="shared" si="30"/>
        <v>0</v>
      </c>
      <c r="J276" s="181">
        <f t="shared" si="31"/>
        <v>0</v>
      </c>
      <c r="K276" s="182">
        <v>0</v>
      </c>
      <c r="L276" s="180" t="str">
        <f t="shared" si="36"/>
        <v/>
      </c>
      <c r="M276" s="218">
        <f>SUMIFS(DATA!$L:$L,DATA!$O:$O,$B276,DATA!$N:$N,$A276,DATA!$M:$M,'SALES BY SYSTEM'!$O$1)</f>
        <v>0</v>
      </c>
      <c r="N276" s="182">
        <v>0</v>
      </c>
      <c r="O276" s="180" t="str">
        <f t="shared" si="33"/>
        <v/>
      </c>
      <c r="P276" s="218">
        <f>SUMIFS(DATA!$L:$L,DATA!$O:$O,$B276,DATA!$N:$N,$A276,DATA!$M:$M,'SALES BY SYSTEM'!$O$2)</f>
        <v>0</v>
      </c>
      <c r="Q276" s="182">
        <v>6223835.7165999562</v>
      </c>
      <c r="R276" s="180">
        <f t="shared" si="34"/>
        <v>0</v>
      </c>
      <c r="S276" s="218">
        <f>SUMIFS(DATA!$L:$L,DATA!$O:$O,$B276,DATA!$N:$N,$A276,DATA!$M:$M,'SALES BY SYSTEM'!$O$4)</f>
        <v>0</v>
      </c>
      <c r="T276" s="182">
        <v>0</v>
      </c>
      <c r="U276" s="180" t="str">
        <f t="shared" si="35"/>
        <v/>
      </c>
      <c r="V276" s="218">
        <f>SUMIFS(DATA!$L:$L,DATA!$O:$O,$B276,DATA!$N:$N,$A276,DATA!$M:$M,'SALES BY SYSTEM'!$O$3)</f>
        <v>0</v>
      </c>
      <c r="W276" s="168"/>
    </row>
    <row r="277" spans="1:23" ht="15.75" customHeight="1" x14ac:dyDescent="0.25">
      <c r="A277" s="139" t="s">
        <v>534</v>
      </c>
      <c r="B277" s="139" t="s">
        <v>432</v>
      </c>
      <c r="C277" s="178" t="str">
        <f>VLOOKUP(A277,CUSTOMER!$A:$C,3,0)</f>
        <v>BIGC_GO_TBINH</v>
      </c>
      <c r="D277" s="178" t="s">
        <v>674</v>
      </c>
      <c r="E277" s="178" t="str">
        <f>VLOOKUP(A277,CUSTOMER!$A$2:$H$1094,5,0)</f>
        <v>LE NAM PHUONG</v>
      </c>
      <c r="F277" s="178" t="str">
        <f>VLOOKUP(A277,CUSTOMER!$A$2:$I$1094,6,0)</f>
        <v>VACANCY</v>
      </c>
      <c r="G277" s="178" t="s">
        <v>676</v>
      </c>
      <c r="H277" s="179">
        <f t="shared" si="29"/>
        <v>6223835.7165999562</v>
      </c>
      <c r="I277" s="180">
        <f t="shared" si="30"/>
        <v>0</v>
      </c>
      <c r="J277" s="181">
        <f t="shared" si="31"/>
        <v>0</v>
      </c>
      <c r="K277" s="182">
        <v>0</v>
      </c>
      <c r="L277" s="180" t="str">
        <f t="shared" si="36"/>
        <v/>
      </c>
      <c r="M277" s="218">
        <f>SUMIFS(DATA!$L:$L,DATA!$O:$O,$B277,DATA!$N:$N,$A277,DATA!$M:$M,'SALES BY SYSTEM'!$O$1)</f>
        <v>0</v>
      </c>
      <c r="N277" s="182">
        <v>0</v>
      </c>
      <c r="O277" s="180" t="str">
        <f t="shared" si="33"/>
        <v/>
      </c>
      <c r="P277" s="218">
        <f>SUMIFS(DATA!$L:$L,DATA!$O:$O,$B277,DATA!$N:$N,$A277,DATA!$M:$M,'SALES BY SYSTEM'!$O$2)</f>
        <v>0</v>
      </c>
      <c r="Q277" s="182">
        <v>6223835.7165999562</v>
      </c>
      <c r="R277" s="180">
        <f t="shared" si="34"/>
        <v>0</v>
      </c>
      <c r="S277" s="218">
        <f>SUMIFS(DATA!$L:$L,DATA!$O:$O,$B277,DATA!$N:$N,$A277,DATA!$M:$M,'SALES BY SYSTEM'!$O$4)</f>
        <v>0</v>
      </c>
      <c r="T277" s="182">
        <v>0</v>
      </c>
      <c r="U277" s="180" t="str">
        <f t="shared" si="35"/>
        <v/>
      </c>
      <c r="V277" s="218">
        <f>SUMIFS(DATA!$L:$L,DATA!$O:$O,$B277,DATA!$N:$N,$A277,DATA!$M:$M,'SALES BY SYSTEM'!$O$3)</f>
        <v>0</v>
      </c>
      <c r="W277" s="168"/>
    </row>
    <row r="278" spans="1:23" ht="15.75" customHeight="1" x14ac:dyDescent="0.25">
      <c r="A278" s="12" t="s">
        <v>536</v>
      </c>
      <c r="B278" s="139" t="s">
        <v>432</v>
      </c>
      <c r="C278" s="301" t="str">
        <f>VLOOKUP(A278,CUSTOMER!$A:$C,3,0)</f>
        <v>BIGC_HGUOM</v>
      </c>
      <c r="D278" s="178" t="s">
        <v>674</v>
      </c>
      <c r="E278" s="178" t="str">
        <f>VLOOKUP(A278,CUSTOMER!$A$2:$H$1094,5,0)</f>
        <v>LE NAM PHUONG</v>
      </c>
      <c r="F278" s="178" t="str">
        <f>VLOOKUP(A278,CUSTOMER!$A$2:$I$1094,6,0)</f>
        <v>LE THI HONG DIEP</v>
      </c>
      <c r="G278" s="178" t="s">
        <v>676</v>
      </c>
      <c r="H278" s="179">
        <f t="shared" si="29"/>
        <v>6223835.7165999562</v>
      </c>
      <c r="I278" s="180">
        <f t="shared" si="30"/>
        <v>0</v>
      </c>
      <c r="J278" s="181">
        <f t="shared" si="31"/>
        <v>0</v>
      </c>
      <c r="K278" s="182">
        <v>0</v>
      </c>
      <c r="L278" s="180" t="str">
        <f t="shared" si="36"/>
        <v/>
      </c>
      <c r="M278" s="218">
        <f>SUMIFS(DATA!$L:$L,DATA!$O:$O,$B278,DATA!$N:$N,$A278,DATA!$M:$M,'SALES BY SYSTEM'!$O$1)</f>
        <v>0</v>
      </c>
      <c r="N278" s="182">
        <v>0</v>
      </c>
      <c r="O278" s="180" t="str">
        <f t="shared" si="33"/>
        <v/>
      </c>
      <c r="P278" s="218">
        <f>SUMIFS(DATA!$L:$L,DATA!$O:$O,$B278,DATA!$N:$N,$A278,DATA!$M:$M,'SALES BY SYSTEM'!$O$2)</f>
        <v>0</v>
      </c>
      <c r="Q278" s="182">
        <v>6223835.7165999562</v>
      </c>
      <c r="R278" s="180">
        <f t="shared" si="34"/>
        <v>0</v>
      </c>
      <c r="S278" s="218">
        <f>SUMIFS(DATA!$L:$L,DATA!$O:$O,$B278,DATA!$N:$N,$A278,DATA!$M:$M,'SALES BY SYSTEM'!$O$4)</f>
        <v>0</v>
      </c>
      <c r="T278" s="182">
        <v>0</v>
      </c>
      <c r="U278" s="180" t="str">
        <f t="shared" si="35"/>
        <v/>
      </c>
      <c r="V278" s="218">
        <f>SUMIFS(DATA!$L:$L,DATA!$O:$O,$B278,DATA!$N:$N,$A278,DATA!$M:$M,'SALES BY SYSTEM'!$O$3)</f>
        <v>0</v>
      </c>
      <c r="W278" s="168"/>
    </row>
    <row r="279" spans="1:23" ht="15.75" customHeight="1" x14ac:dyDescent="0.25">
      <c r="A279" s="139" t="s">
        <v>478</v>
      </c>
      <c r="B279" s="139" t="s">
        <v>432</v>
      </c>
      <c r="C279" s="178" t="str">
        <f>VLOOKUP(A279,CUSTOMER!$A:$C,3,0)</f>
        <v>BIGC_HTHANH</v>
      </c>
      <c r="D279" s="178" t="s">
        <v>674</v>
      </c>
      <c r="E279" s="178" t="str">
        <f>VLOOKUP(A279,CUSTOMER!$A$2:$H$1094,5,0)</f>
        <v>LE NAM PHUONG</v>
      </c>
      <c r="F279" s="178" t="str">
        <f>VLOOKUP(A279,CUSTOMER!$A$2:$I$1094,6,0)</f>
        <v>VACANCY</v>
      </c>
      <c r="G279" s="178" t="s">
        <v>676</v>
      </c>
      <c r="H279" s="179">
        <f t="shared" si="29"/>
        <v>6223835.7165999562</v>
      </c>
      <c r="I279" s="180">
        <f t="shared" si="30"/>
        <v>0</v>
      </c>
      <c r="J279" s="181">
        <f t="shared" si="31"/>
        <v>0</v>
      </c>
      <c r="K279" s="182">
        <v>0</v>
      </c>
      <c r="L279" s="180" t="str">
        <f t="shared" si="36"/>
        <v/>
      </c>
      <c r="M279" s="218">
        <f>SUMIFS(DATA!$L:$L,DATA!$O:$O,$B279,DATA!$N:$N,$A279,DATA!$M:$M,'SALES BY SYSTEM'!$O$1)</f>
        <v>0</v>
      </c>
      <c r="N279" s="182">
        <v>0</v>
      </c>
      <c r="O279" s="180" t="str">
        <f t="shared" si="33"/>
        <v/>
      </c>
      <c r="P279" s="218">
        <f>SUMIFS(DATA!$L:$L,DATA!$O:$O,$B279,DATA!$N:$N,$A279,DATA!$M:$M,'SALES BY SYSTEM'!$O$2)</f>
        <v>0</v>
      </c>
      <c r="Q279" s="182">
        <v>6223835.7165999562</v>
      </c>
      <c r="R279" s="180">
        <f t="shared" si="34"/>
        <v>0</v>
      </c>
      <c r="S279" s="218">
        <f>SUMIFS(DATA!$L:$L,DATA!$O:$O,$B279,DATA!$N:$N,$A279,DATA!$M:$M,'SALES BY SYSTEM'!$O$4)</f>
        <v>0</v>
      </c>
      <c r="T279" s="182">
        <v>0</v>
      </c>
      <c r="U279" s="180" t="str">
        <f t="shared" si="35"/>
        <v/>
      </c>
      <c r="V279" s="218">
        <f>SUMIFS(DATA!$L:$L,DATA!$O:$O,$B279,DATA!$N:$N,$A279,DATA!$M:$M,'SALES BY SYSTEM'!$O$3)</f>
        <v>0</v>
      </c>
      <c r="W279" s="168"/>
    </row>
    <row r="280" spans="1:23" ht="15.75" customHeight="1" x14ac:dyDescent="0.25">
      <c r="A280" s="139" t="s">
        <v>552</v>
      </c>
      <c r="B280" s="139" t="s">
        <v>432</v>
      </c>
      <c r="C280" s="178" t="str">
        <f>VLOOKUP(A280,CUSTOMER!$A:$C,3,0)</f>
        <v>BIGC_HNGU</v>
      </c>
      <c r="D280" s="178" t="s">
        <v>674</v>
      </c>
      <c r="E280" s="178" t="str">
        <f>VLOOKUP(A280,CUSTOMER!$A$2:$H$1094,5,0)</f>
        <v>LE NAM PHUONG</v>
      </c>
      <c r="F280" s="178" t="str">
        <f>VLOOKUP(A280,CUSTOMER!$A$2:$I$1094,6,0)</f>
        <v>VACANCY</v>
      </c>
      <c r="G280" s="178" t="s">
        <v>676</v>
      </c>
      <c r="H280" s="179">
        <f t="shared" si="29"/>
        <v>6223835.7165999562</v>
      </c>
      <c r="I280" s="180">
        <f t="shared" si="30"/>
        <v>0</v>
      </c>
      <c r="J280" s="181">
        <f t="shared" si="31"/>
        <v>0</v>
      </c>
      <c r="K280" s="182">
        <v>0</v>
      </c>
      <c r="L280" s="180" t="str">
        <f t="shared" si="36"/>
        <v/>
      </c>
      <c r="M280" s="218">
        <f>SUMIFS(DATA!$L:$L,DATA!$O:$O,$B280,DATA!$N:$N,$A280,DATA!$M:$M,'SALES BY SYSTEM'!$O$1)</f>
        <v>0</v>
      </c>
      <c r="N280" s="182">
        <v>0</v>
      </c>
      <c r="O280" s="180" t="str">
        <f t="shared" si="33"/>
        <v/>
      </c>
      <c r="P280" s="218">
        <f>SUMIFS(DATA!$L:$L,DATA!$O:$O,$B280,DATA!$N:$N,$A280,DATA!$M:$M,'SALES BY SYSTEM'!$O$2)</f>
        <v>0</v>
      </c>
      <c r="Q280" s="182">
        <v>6223835.7165999562</v>
      </c>
      <c r="R280" s="180">
        <f t="shared" si="34"/>
        <v>0</v>
      </c>
      <c r="S280" s="218">
        <f>SUMIFS(DATA!$L:$L,DATA!$O:$O,$B280,DATA!$N:$N,$A280,DATA!$M:$M,'SALES BY SYSTEM'!$O$4)</f>
        <v>0</v>
      </c>
      <c r="T280" s="182">
        <v>0</v>
      </c>
      <c r="U280" s="180" t="str">
        <f t="shared" si="35"/>
        <v/>
      </c>
      <c r="V280" s="218">
        <f>SUMIFS(DATA!$L:$L,DATA!$O:$O,$B280,DATA!$N:$N,$A280,DATA!$M:$M,'SALES BY SYSTEM'!$O$3)</f>
        <v>0</v>
      </c>
      <c r="W280" s="168"/>
    </row>
    <row r="281" spans="1:23" ht="15.75" customHeight="1" x14ac:dyDescent="0.25">
      <c r="A281" s="139" t="s">
        <v>550</v>
      </c>
      <c r="B281" s="139" t="s">
        <v>432</v>
      </c>
      <c r="C281" s="178" t="str">
        <f>VLOOKUP(A281,CUSTOMER!$A:$C,3,0)</f>
        <v>BIGC_LTT</v>
      </c>
      <c r="D281" s="178" t="s">
        <v>674</v>
      </c>
      <c r="E281" s="178" t="str">
        <f>VLOOKUP(A281,CUSTOMER!$A$2:$H$1094,5,0)</f>
        <v>LE NAM PHUONG</v>
      </c>
      <c r="F281" s="178" t="str">
        <f>VLOOKUP(A281,CUSTOMER!$A$2:$I$1094,6,0)</f>
        <v>LE THI HONG DIEP</v>
      </c>
      <c r="G281" s="178" t="s">
        <v>676</v>
      </c>
      <c r="H281" s="179">
        <f t="shared" si="29"/>
        <v>6223835.7165999562</v>
      </c>
      <c r="I281" s="180">
        <f t="shared" si="30"/>
        <v>0</v>
      </c>
      <c r="J281" s="181">
        <f t="shared" si="31"/>
        <v>0</v>
      </c>
      <c r="K281" s="182">
        <v>0</v>
      </c>
      <c r="L281" s="180" t="str">
        <f t="shared" si="36"/>
        <v/>
      </c>
      <c r="M281" s="218">
        <f>SUMIFS(DATA!$L:$L,DATA!$O:$O,$B281,DATA!$N:$N,$A281,DATA!$M:$M,'SALES BY SYSTEM'!$O$1)</f>
        <v>0</v>
      </c>
      <c r="N281" s="182">
        <v>0</v>
      </c>
      <c r="O281" s="180" t="str">
        <f t="shared" si="33"/>
        <v/>
      </c>
      <c r="P281" s="218">
        <f>SUMIFS(DATA!$L:$L,DATA!$O:$O,$B281,DATA!$N:$N,$A281,DATA!$M:$M,'SALES BY SYSTEM'!$O$2)</f>
        <v>0</v>
      </c>
      <c r="Q281" s="182">
        <v>6223835.7165999562</v>
      </c>
      <c r="R281" s="180">
        <f t="shared" si="34"/>
        <v>0</v>
      </c>
      <c r="S281" s="218">
        <f>SUMIFS(DATA!$L:$L,DATA!$O:$O,$B281,DATA!$N:$N,$A281,DATA!$M:$M,'SALES BY SYSTEM'!$O$4)</f>
        <v>0</v>
      </c>
      <c r="T281" s="182">
        <v>0</v>
      </c>
      <c r="U281" s="180" t="str">
        <f t="shared" si="35"/>
        <v/>
      </c>
      <c r="V281" s="218">
        <f>SUMIFS(DATA!$L:$L,DATA!$O:$O,$B281,DATA!$N:$N,$A281,DATA!$M:$M,'SALES BY SYSTEM'!$O$3)</f>
        <v>0</v>
      </c>
      <c r="W281" s="168"/>
    </row>
    <row r="282" spans="1:23" ht="15.75" customHeight="1" x14ac:dyDescent="0.25">
      <c r="A282" s="178" t="s">
        <v>98</v>
      </c>
      <c r="B282" s="178" t="s">
        <v>99</v>
      </c>
      <c r="C282" s="178" t="str">
        <f>VLOOKUP(A282,CUSTOMER!$A:$C,3,0)</f>
        <v>4932</v>
      </c>
      <c r="D282" s="178" t="s">
        <v>674</v>
      </c>
      <c r="E282" s="178" t="str">
        <f>VLOOKUP(A282,CUSTOMER!$A$2:$H$1094,5,0)</f>
        <v>TRAN THI THAO NGUYEN</v>
      </c>
      <c r="F282" s="178" t="str">
        <f>VLOOKUP(A282,CUSTOMER!$A$2:$I$1094,6,0)</f>
        <v>NGUYEN THI MUON</v>
      </c>
      <c r="G282" s="178" t="s">
        <v>676</v>
      </c>
      <c r="H282" s="179">
        <f t="shared" si="29"/>
        <v>6223835.7165999562</v>
      </c>
      <c r="I282" s="180">
        <f t="shared" si="30"/>
        <v>0</v>
      </c>
      <c r="J282" s="181">
        <f t="shared" si="31"/>
        <v>0</v>
      </c>
      <c r="K282" s="182">
        <v>0</v>
      </c>
      <c r="L282" s="180" t="str">
        <f t="shared" si="36"/>
        <v/>
      </c>
      <c r="M282" s="218">
        <f>SUMIFS(DATA!$L:$L,DATA!$O:$O,$B282,DATA!$N:$N,$A282,DATA!$M:$M,'SALES BY SYSTEM'!$O$1)</f>
        <v>0</v>
      </c>
      <c r="N282" s="182">
        <v>0</v>
      </c>
      <c r="O282" s="180" t="str">
        <f t="shared" si="33"/>
        <v/>
      </c>
      <c r="P282" s="218">
        <f>SUMIFS(DATA!$L:$L,DATA!$O:$O,$B282,DATA!$N:$N,$A282,DATA!$M:$M,'SALES BY SYSTEM'!$O$2)</f>
        <v>0</v>
      </c>
      <c r="Q282" s="182">
        <v>6223835.7165999562</v>
      </c>
      <c r="R282" s="180">
        <f t="shared" si="34"/>
        <v>0</v>
      </c>
      <c r="S282" s="218">
        <f>SUMIFS(DATA!$L:$L,DATA!$O:$O,$B282,DATA!$N:$N,$A282,DATA!$M:$M,'SALES BY SYSTEM'!$O$4)</f>
        <v>0</v>
      </c>
      <c r="T282" s="182">
        <v>0</v>
      </c>
      <c r="U282" s="180" t="str">
        <f t="shared" si="35"/>
        <v/>
      </c>
      <c r="V282" s="218">
        <f>SUMIFS(DATA!$L:$L,DATA!$O:$O,$B282,DATA!$N:$N,$A282,DATA!$M:$M,'SALES BY SYSTEM'!$O$3)</f>
        <v>0</v>
      </c>
      <c r="W282" s="168"/>
    </row>
    <row r="283" spans="1:23" ht="15.75" customHeight="1" x14ac:dyDescent="0.25">
      <c r="A283" s="139" t="s">
        <v>45</v>
      </c>
      <c r="B283" s="139" t="s">
        <v>43</v>
      </c>
      <c r="C283" s="178" t="str">
        <f>VLOOKUP(A283,CUSTOMER!$A:$C,3,0)</f>
        <v>MG_HLONG</v>
      </c>
      <c r="D283" s="178" t="s">
        <v>674</v>
      </c>
      <c r="E283" s="178" t="str">
        <f>VLOOKUP(A283,CUSTOMER!$A$2:$H$1094,5,0)</f>
        <v>LE NAM PHUONG</v>
      </c>
      <c r="F283" s="178" t="str">
        <f>VLOOKUP(A283,CUSTOMER!$A$2:$I$1094,6,0)</f>
        <v>VACANCY</v>
      </c>
      <c r="G283" s="178" t="s">
        <v>676</v>
      </c>
      <c r="H283" s="179">
        <f t="shared" si="29"/>
        <v>20314010.987968817</v>
      </c>
      <c r="I283" s="180">
        <f t="shared" si="30"/>
        <v>0</v>
      </c>
      <c r="J283" s="181">
        <f t="shared" si="31"/>
        <v>0</v>
      </c>
      <c r="K283" s="182">
        <v>14169753.536867861</v>
      </c>
      <c r="L283" s="180" t="str">
        <f>IFERROR(M283/K287,"")</f>
        <v/>
      </c>
      <c r="M283" s="218">
        <f>SUMIFS(DATA!$L:$L,DATA!$O:$O,$B283,DATA!$N:$N,$A283,DATA!$M:$M,'SALES BY SYSTEM'!$O$1)</f>
        <v>0</v>
      </c>
      <c r="N283" s="182">
        <v>0</v>
      </c>
      <c r="O283" s="180" t="str">
        <f t="shared" si="33"/>
        <v/>
      </c>
      <c r="P283" s="218">
        <f>SUMIFS(DATA!$L:$L,DATA!$O:$O,$B283,DATA!$N:$N,$A283,DATA!$M:$M,'SALES BY SYSTEM'!$O$2)</f>
        <v>0</v>
      </c>
      <c r="Q283" s="182">
        <v>6144257.4511009548</v>
      </c>
      <c r="R283" s="180">
        <f t="shared" si="34"/>
        <v>0</v>
      </c>
      <c r="S283" s="218">
        <f>SUMIFS(DATA!$L:$L,DATA!$O:$O,$B283,DATA!$N:$N,$A283,DATA!$M:$M,'SALES BY SYSTEM'!$O$4)</f>
        <v>0</v>
      </c>
      <c r="T283" s="182">
        <v>0</v>
      </c>
      <c r="U283" s="180" t="str">
        <f t="shared" si="35"/>
        <v/>
      </c>
      <c r="V283" s="218">
        <f>SUMIFS(DATA!$L:$L,DATA!$O:$O,$B283,DATA!$N:$N,$A283,DATA!$M:$M,'SALES BY SYSTEM'!$O$3)</f>
        <v>0</v>
      </c>
      <c r="W283" s="168"/>
    </row>
    <row r="284" spans="1:23" ht="15.75" customHeight="1" x14ac:dyDescent="0.25">
      <c r="A284" s="139" t="s">
        <v>1706</v>
      </c>
      <c r="B284" s="139" t="s">
        <v>43</v>
      </c>
      <c r="C284" s="178" t="str">
        <f>VLOOKUP(A284,CUSTOMER!$A:$C,3,0)</f>
        <v>MG_HPHU</v>
      </c>
      <c r="D284" s="178" t="s">
        <v>674</v>
      </c>
      <c r="E284" s="178" t="str">
        <f>VLOOKUP(A284,CUSTOMER!$A$2:$H$1094,5,0)</f>
        <v>LE NAM PHUONG</v>
      </c>
      <c r="F284" s="178" t="str">
        <f>VLOOKUP(A284,CUSTOMER!$A$2:$I$1094,6,0)</f>
        <v>VU THUY MINH THAO</v>
      </c>
      <c r="G284" s="178" t="s">
        <v>676</v>
      </c>
      <c r="H284" s="179">
        <f t="shared" si="29"/>
        <v>20314010.987968817</v>
      </c>
      <c r="I284" s="180">
        <f t="shared" si="30"/>
        <v>0</v>
      </c>
      <c r="J284" s="181">
        <f t="shared" si="31"/>
        <v>0</v>
      </c>
      <c r="K284" s="182">
        <v>14169753.536867861</v>
      </c>
      <c r="L284" s="180" t="str">
        <f>IFERROR(M284/K288,"")</f>
        <v/>
      </c>
      <c r="M284" s="218">
        <f>SUMIFS(DATA!$L:$L,DATA!$O:$O,$B284,DATA!$N:$N,$A284,DATA!$M:$M,'SALES BY SYSTEM'!$O$1)</f>
        <v>0</v>
      </c>
      <c r="N284" s="182">
        <v>0</v>
      </c>
      <c r="O284" s="180" t="str">
        <f t="shared" si="33"/>
        <v/>
      </c>
      <c r="P284" s="218">
        <f>SUMIFS(DATA!$L:$L,DATA!$O:$O,$B284,DATA!$N:$N,$A284,DATA!$M:$M,'SALES BY SYSTEM'!$O$2)</f>
        <v>0</v>
      </c>
      <c r="Q284" s="182">
        <v>6144257.4511009548</v>
      </c>
      <c r="R284" s="180">
        <f t="shared" si="34"/>
        <v>0</v>
      </c>
      <c r="S284" s="218">
        <f>SUMIFS(DATA!$L:$L,DATA!$O:$O,$B284,DATA!$N:$N,$A284,DATA!$M:$M,'SALES BY SYSTEM'!$O$4)</f>
        <v>0</v>
      </c>
      <c r="T284" s="182">
        <v>0</v>
      </c>
      <c r="U284" s="180" t="str">
        <f t="shared" si="35"/>
        <v/>
      </c>
      <c r="V284" s="218">
        <f>SUMIFS(DATA!$L:$L,DATA!$O:$O,$B284,DATA!$N:$N,$A284,DATA!$M:$M,'SALES BY SYSTEM'!$O$3)</f>
        <v>0</v>
      </c>
      <c r="W284" s="168"/>
    </row>
    <row r="285" spans="1:23" ht="15.75" customHeight="1" x14ac:dyDescent="0.25">
      <c r="A285" s="139" t="s">
        <v>872</v>
      </c>
      <c r="B285" s="139" t="s">
        <v>432</v>
      </c>
      <c r="C285" s="178" t="str">
        <f>VLOOKUP(A285,CUSTOMER!$A:$C,3,0)</f>
        <v>BIGC_NXIEN</v>
      </c>
      <c r="D285" s="178" t="s">
        <v>674</v>
      </c>
      <c r="E285" s="178" t="str">
        <f>VLOOKUP(A285,CUSTOMER!$A$2:$H$1094,5,0)</f>
        <v>LE NAM PHUONG</v>
      </c>
      <c r="F285" s="178" t="str">
        <f>VLOOKUP(A285,CUSTOMER!$A$2:$I$1094,6,0)</f>
        <v>LE THI HONG DIEP</v>
      </c>
      <c r="G285" s="178" t="s">
        <v>676</v>
      </c>
      <c r="H285" s="179">
        <f t="shared" si="29"/>
        <v>5987329.9593691546</v>
      </c>
      <c r="I285" s="180">
        <f t="shared" si="30"/>
        <v>0</v>
      </c>
      <c r="J285" s="181">
        <f t="shared" si="31"/>
        <v>0</v>
      </c>
      <c r="K285" s="182">
        <v>0</v>
      </c>
      <c r="L285" s="180" t="str">
        <f t="shared" ref="L285:L291" si="37">IFERROR(M285/K285,"")</f>
        <v/>
      </c>
      <c r="M285" s="218">
        <f>SUMIFS(DATA!$L:$L,DATA!$O:$O,$B285,DATA!$N:$N,$A285,DATA!$M:$M,'SALES BY SYSTEM'!$O$1)</f>
        <v>0</v>
      </c>
      <c r="N285" s="182">
        <v>0</v>
      </c>
      <c r="O285" s="180" t="str">
        <f t="shared" si="33"/>
        <v/>
      </c>
      <c r="P285" s="218">
        <f>SUMIFS(DATA!$L:$L,DATA!$O:$O,$B285,DATA!$N:$N,$A285,DATA!$M:$M,'SALES BY SYSTEM'!$O$2)</f>
        <v>0</v>
      </c>
      <c r="Q285" s="182">
        <v>5987329.9593691546</v>
      </c>
      <c r="R285" s="180">
        <f t="shared" si="34"/>
        <v>0</v>
      </c>
      <c r="S285" s="218">
        <f>SUMIFS(DATA!$L:$L,DATA!$O:$O,$B285,DATA!$N:$N,$A285,DATA!$M:$M,'SALES BY SYSTEM'!$O$4)</f>
        <v>0</v>
      </c>
      <c r="T285" s="182">
        <v>0</v>
      </c>
      <c r="U285" s="180" t="str">
        <f t="shared" si="35"/>
        <v/>
      </c>
      <c r="V285" s="218">
        <f>SUMIFS(DATA!$L:$L,DATA!$O:$O,$B285,DATA!$N:$N,$A285,DATA!$M:$M,'SALES BY SYSTEM'!$O$3)</f>
        <v>0</v>
      </c>
      <c r="W285" s="168"/>
    </row>
    <row r="286" spans="1:23" ht="15.75" customHeight="1" x14ac:dyDescent="0.25">
      <c r="A286" s="139" t="s">
        <v>500</v>
      </c>
      <c r="B286" s="139" t="s">
        <v>432</v>
      </c>
      <c r="C286" s="178" t="str">
        <f>VLOOKUP(A286,CUSTOMER!$A:$C,3,0)</f>
        <v>BIGC_NTRACH</v>
      </c>
      <c r="D286" s="178" t="s">
        <v>674</v>
      </c>
      <c r="E286" s="178" t="str">
        <f>VLOOKUP(A286,CUSTOMER!$A$2:$H$1094,5,0)</f>
        <v>LE NAM PHUONG</v>
      </c>
      <c r="F286" s="178" t="str">
        <f>VLOOKUP(A286,CUSTOMER!$A$2:$I$1094,6,0)</f>
        <v>VACANCY</v>
      </c>
      <c r="G286" s="178" t="s">
        <v>676</v>
      </c>
      <c r="H286" s="179">
        <f t="shared" si="29"/>
        <v>5974882.2879359554</v>
      </c>
      <c r="I286" s="180">
        <f t="shared" si="30"/>
        <v>0</v>
      </c>
      <c r="J286" s="181">
        <f t="shared" si="31"/>
        <v>0</v>
      </c>
      <c r="K286" s="182">
        <v>0</v>
      </c>
      <c r="L286" s="180" t="str">
        <f t="shared" si="37"/>
        <v/>
      </c>
      <c r="M286" s="218">
        <f>SUMIFS(DATA!$L:$L,DATA!$O:$O,$B286,DATA!$N:$N,$A286,DATA!$M:$M,'SALES BY SYSTEM'!$O$1)</f>
        <v>0</v>
      </c>
      <c r="N286" s="182">
        <v>0</v>
      </c>
      <c r="O286" s="180" t="str">
        <f t="shared" si="33"/>
        <v/>
      </c>
      <c r="P286" s="218">
        <f>SUMIFS(DATA!$L:$L,DATA!$O:$O,$B286,DATA!$N:$N,$A286,DATA!$M:$M,'SALES BY SYSTEM'!$O$2)</f>
        <v>0</v>
      </c>
      <c r="Q286" s="182">
        <v>5974882.2879359554</v>
      </c>
      <c r="R286" s="180">
        <f t="shared" si="34"/>
        <v>0</v>
      </c>
      <c r="S286" s="218">
        <f>SUMIFS(DATA!$L:$L,DATA!$O:$O,$B286,DATA!$N:$N,$A286,DATA!$M:$M,'SALES BY SYSTEM'!$O$4)</f>
        <v>0</v>
      </c>
      <c r="T286" s="182">
        <v>0</v>
      </c>
      <c r="U286" s="180" t="str">
        <f t="shared" si="35"/>
        <v/>
      </c>
      <c r="V286" s="218">
        <f>SUMIFS(DATA!$L:$L,DATA!$O:$O,$B286,DATA!$N:$N,$A286,DATA!$M:$M,'SALES BY SYSTEM'!$O$3)</f>
        <v>0</v>
      </c>
      <c r="W286" s="168"/>
    </row>
    <row r="287" spans="1:23" ht="15.75" customHeight="1" x14ac:dyDescent="0.25">
      <c r="A287" s="139" t="s">
        <v>556</v>
      </c>
      <c r="B287" s="139" t="s">
        <v>432</v>
      </c>
      <c r="C287" s="178" t="str">
        <f>VLOOKUP(A287,CUSTOMER!$A:$C,3,0)</f>
        <v>BIGC_GO_PMY</v>
      </c>
      <c r="D287" s="178" t="s">
        <v>674</v>
      </c>
      <c r="E287" s="178" t="str">
        <f>VLOOKUP(A287,CUSTOMER!$A$2:$H$1094,5,0)</f>
        <v>LE NAM PHUONG</v>
      </c>
      <c r="F287" s="178" t="str">
        <f>VLOOKUP(A287,CUSTOMER!$A$2:$I$1094,6,0)</f>
        <v>"NO SALE"</v>
      </c>
      <c r="G287" s="178" t="s">
        <v>676</v>
      </c>
      <c r="H287" s="179">
        <f t="shared" si="29"/>
        <v>5974882.2879359554</v>
      </c>
      <c r="I287" s="180">
        <f t="shared" si="30"/>
        <v>0</v>
      </c>
      <c r="J287" s="181">
        <f t="shared" si="31"/>
        <v>0</v>
      </c>
      <c r="K287" s="182">
        <v>0</v>
      </c>
      <c r="L287" s="180" t="str">
        <f t="shared" si="37"/>
        <v/>
      </c>
      <c r="M287" s="218">
        <f>SUMIFS(DATA!$L:$L,DATA!$O:$O,$B287,DATA!$N:$N,$A287,DATA!$M:$M,'SALES BY SYSTEM'!$O$1)</f>
        <v>0</v>
      </c>
      <c r="N287" s="182">
        <v>0</v>
      </c>
      <c r="O287" s="180" t="str">
        <f t="shared" si="33"/>
        <v/>
      </c>
      <c r="P287" s="218">
        <f>SUMIFS(DATA!$L:$L,DATA!$O:$O,$B287,DATA!$N:$N,$A287,DATA!$M:$M,'SALES BY SYSTEM'!$O$2)</f>
        <v>0</v>
      </c>
      <c r="Q287" s="182">
        <v>5974882.2879359554</v>
      </c>
      <c r="R287" s="180">
        <f t="shared" si="34"/>
        <v>0</v>
      </c>
      <c r="S287" s="218">
        <f>SUMIFS(DATA!$L:$L,DATA!$O:$O,$B287,DATA!$N:$N,$A287,DATA!$M:$M,'SALES BY SYSTEM'!$O$4)</f>
        <v>0</v>
      </c>
      <c r="T287" s="182">
        <v>0</v>
      </c>
      <c r="U287" s="180" t="str">
        <f t="shared" si="35"/>
        <v/>
      </c>
      <c r="V287" s="218">
        <f>SUMIFS(DATA!$L:$L,DATA!$O:$O,$B287,DATA!$N:$N,$A287,DATA!$M:$M,'SALES BY SYSTEM'!$O$3)</f>
        <v>0</v>
      </c>
      <c r="W287" s="168"/>
    </row>
    <row r="288" spans="1:23" ht="15.75" customHeight="1" x14ac:dyDescent="0.25">
      <c r="A288" s="139" t="s">
        <v>554</v>
      </c>
      <c r="B288" s="139" t="s">
        <v>432</v>
      </c>
      <c r="C288" s="178" t="str">
        <f>VLOOKUP(A288,CUSTOMER!$A:$C,3,0)</f>
        <v>BIGC_RGIA</v>
      </c>
      <c r="D288" s="178" t="s">
        <v>674</v>
      </c>
      <c r="E288" s="178" t="str">
        <f>VLOOKUP(A288,CUSTOMER!$A$2:$H$1094,5,0)</f>
        <v>LE NAM PHUONG</v>
      </c>
      <c r="F288" s="178" t="str">
        <f>VLOOKUP(A288,CUSTOMER!$A$2:$I$1094,6,0)</f>
        <v>VACANCY</v>
      </c>
      <c r="G288" s="178" t="s">
        <v>676</v>
      </c>
      <c r="H288" s="179">
        <f t="shared" si="29"/>
        <v>5974882.2879359554</v>
      </c>
      <c r="I288" s="180">
        <f t="shared" si="30"/>
        <v>0</v>
      </c>
      <c r="J288" s="181">
        <f t="shared" si="31"/>
        <v>0</v>
      </c>
      <c r="K288" s="182">
        <v>0</v>
      </c>
      <c r="L288" s="180" t="str">
        <f t="shared" si="37"/>
        <v/>
      </c>
      <c r="M288" s="218">
        <f>SUMIFS(DATA!$L:$L,DATA!$O:$O,$B288,DATA!$N:$N,$A288,DATA!$M:$M,'SALES BY SYSTEM'!$O$1)</f>
        <v>0</v>
      </c>
      <c r="N288" s="182">
        <v>0</v>
      </c>
      <c r="O288" s="180" t="str">
        <f t="shared" si="33"/>
        <v/>
      </c>
      <c r="P288" s="218">
        <f>SUMIFS(DATA!$L:$L,DATA!$O:$O,$B288,DATA!$N:$N,$A288,DATA!$M:$M,'SALES BY SYSTEM'!$O$2)</f>
        <v>0</v>
      </c>
      <c r="Q288" s="182">
        <v>5974882.2879359554</v>
      </c>
      <c r="R288" s="180">
        <f t="shared" si="34"/>
        <v>0</v>
      </c>
      <c r="S288" s="218">
        <f>SUMIFS(DATA!$L:$L,DATA!$O:$O,$B288,DATA!$N:$N,$A288,DATA!$M:$M,'SALES BY SYSTEM'!$O$4)</f>
        <v>0</v>
      </c>
      <c r="T288" s="182">
        <v>0</v>
      </c>
      <c r="U288" s="180" t="str">
        <f t="shared" si="35"/>
        <v/>
      </c>
      <c r="V288" s="218">
        <f>SUMIFS(DATA!$L:$L,DATA!$O:$O,$B288,DATA!$N:$N,$A288,DATA!$M:$M,'SALES BY SYSTEM'!$O$3)</f>
        <v>0</v>
      </c>
      <c r="W288" s="168"/>
    </row>
    <row r="289" spans="1:23" ht="15.75" customHeight="1" x14ac:dyDescent="0.25">
      <c r="A289" s="139" t="s">
        <v>474</v>
      </c>
      <c r="B289" s="139" t="s">
        <v>432</v>
      </c>
      <c r="C289" s="178" t="str">
        <f>VLOOKUP(A289,CUSTOMER!$A:$C,3,0)</f>
        <v>BIGC_TANUYEN</v>
      </c>
      <c r="D289" s="178" t="s">
        <v>674</v>
      </c>
      <c r="E289" s="178" t="str">
        <f>VLOOKUP(A289,CUSTOMER!$A$2:$H$1094,5,0)</f>
        <v>LE NAM PHUONG</v>
      </c>
      <c r="F289" s="178" t="str">
        <f>VLOOKUP(A289,CUSTOMER!$A$2:$I$1094,6,0)</f>
        <v>VACANCY</v>
      </c>
      <c r="G289" s="178" t="s">
        <v>676</v>
      </c>
      <c r="H289" s="179">
        <f t="shared" si="29"/>
        <v>5974882.2879359554</v>
      </c>
      <c r="I289" s="180">
        <f t="shared" si="30"/>
        <v>0</v>
      </c>
      <c r="J289" s="181">
        <f t="shared" si="31"/>
        <v>0</v>
      </c>
      <c r="K289" s="182">
        <v>0</v>
      </c>
      <c r="L289" s="180" t="str">
        <f t="shared" si="37"/>
        <v/>
      </c>
      <c r="M289" s="218">
        <f>SUMIFS(DATA!$L:$L,DATA!$O:$O,$B289,DATA!$N:$N,$A289,DATA!$M:$M,'SALES BY SYSTEM'!$O$1)</f>
        <v>0</v>
      </c>
      <c r="N289" s="182">
        <v>0</v>
      </c>
      <c r="O289" s="180" t="str">
        <f t="shared" si="33"/>
        <v/>
      </c>
      <c r="P289" s="218">
        <f>SUMIFS(DATA!$L:$L,DATA!$O:$O,$B289,DATA!$N:$N,$A289,DATA!$M:$M,'SALES BY SYSTEM'!$O$2)</f>
        <v>0</v>
      </c>
      <c r="Q289" s="182">
        <v>5974882.2879359554</v>
      </c>
      <c r="R289" s="180">
        <f t="shared" si="34"/>
        <v>0</v>
      </c>
      <c r="S289" s="218">
        <f>SUMIFS(DATA!$L:$L,DATA!$O:$O,$B289,DATA!$N:$N,$A289,DATA!$M:$M,'SALES BY SYSTEM'!$O$4)</f>
        <v>0</v>
      </c>
      <c r="T289" s="182">
        <v>0</v>
      </c>
      <c r="U289" s="180" t="str">
        <f t="shared" si="35"/>
        <v/>
      </c>
      <c r="V289" s="218">
        <f>SUMIFS(DATA!$L:$L,DATA!$O:$O,$B289,DATA!$N:$N,$A289,DATA!$M:$M,'SALES BY SYSTEM'!$O$3)</f>
        <v>0</v>
      </c>
      <c r="W289" s="168"/>
    </row>
    <row r="290" spans="1:23" ht="15.75" customHeight="1" x14ac:dyDescent="0.25">
      <c r="A290" s="139" t="s">
        <v>442</v>
      </c>
      <c r="B290" s="139" t="s">
        <v>432</v>
      </c>
      <c r="C290" s="178" t="str">
        <f>VLOOKUP(A290,CUSTOMER!$A:$C,3,0)</f>
        <v>BIGC_TDIEN</v>
      </c>
      <c r="D290" s="178" t="s">
        <v>674</v>
      </c>
      <c r="E290" s="178" t="str">
        <f>VLOOKUP(A290,CUSTOMER!$A$2:$H$1094,5,0)</f>
        <v>LE NAM PHUONG</v>
      </c>
      <c r="F290" s="178" t="str">
        <f>VLOOKUP(A290,CUSTOMER!$A$2:$I$1094,6,0)</f>
        <v>NGUYEN THI OANH</v>
      </c>
      <c r="G290" s="178" t="s">
        <v>676</v>
      </c>
      <c r="H290" s="179">
        <f t="shared" si="29"/>
        <v>5974882.2879359554</v>
      </c>
      <c r="I290" s="180">
        <f t="shared" si="30"/>
        <v>0</v>
      </c>
      <c r="J290" s="181">
        <f t="shared" si="31"/>
        <v>0</v>
      </c>
      <c r="K290" s="182">
        <v>0</v>
      </c>
      <c r="L290" s="180" t="str">
        <f t="shared" si="37"/>
        <v/>
      </c>
      <c r="M290" s="218">
        <f>SUMIFS(DATA!$L:$L,DATA!$O:$O,$B290,DATA!$N:$N,$A290,DATA!$M:$M,'SALES BY SYSTEM'!$O$1)</f>
        <v>0</v>
      </c>
      <c r="N290" s="182">
        <v>0</v>
      </c>
      <c r="O290" s="180" t="str">
        <f t="shared" si="33"/>
        <v/>
      </c>
      <c r="P290" s="218">
        <f>SUMIFS(DATA!$L:$L,DATA!$O:$O,$B290,DATA!$N:$N,$A290,DATA!$M:$M,'SALES BY SYSTEM'!$O$2)</f>
        <v>0</v>
      </c>
      <c r="Q290" s="182">
        <v>5974882.2879359554</v>
      </c>
      <c r="R290" s="180">
        <f t="shared" si="34"/>
        <v>0</v>
      </c>
      <c r="S290" s="218">
        <f>SUMIFS(DATA!$L:$L,DATA!$O:$O,$B290,DATA!$N:$N,$A290,DATA!$M:$M,'SALES BY SYSTEM'!$O$4)</f>
        <v>0</v>
      </c>
      <c r="T290" s="182">
        <v>0</v>
      </c>
      <c r="U290" s="180" t="str">
        <f t="shared" si="35"/>
        <v/>
      </c>
      <c r="V290" s="218">
        <f>SUMIFS(DATA!$L:$L,DATA!$O:$O,$B290,DATA!$N:$N,$A290,DATA!$M:$M,'SALES BY SYSTEM'!$O$3)</f>
        <v>0</v>
      </c>
      <c r="W290" s="168"/>
    </row>
    <row r="291" spans="1:23" ht="15.75" customHeight="1" x14ac:dyDescent="0.25">
      <c r="A291" s="139" t="s">
        <v>514</v>
      </c>
      <c r="B291" s="139" t="s">
        <v>432</v>
      </c>
      <c r="C291" s="178" t="str">
        <f>VLOOKUP(A291,CUSTOMER!$A:$C,3,0)</f>
        <v>BIGC_VINH</v>
      </c>
      <c r="D291" s="178" t="s">
        <v>674</v>
      </c>
      <c r="E291" s="178" t="str">
        <f>VLOOKUP(A291,CUSTOMER!$A$2:$H$1094,5,0)</f>
        <v>LE NAM PHUONG</v>
      </c>
      <c r="F291" s="178" t="str">
        <f>VLOOKUP(A291,CUSTOMER!$A$2:$I$1094,6,0)</f>
        <v>VACANCY</v>
      </c>
      <c r="G291" s="178" t="s">
        <v>676</v>
      </c>
      <c r="H291" s="179">
        <f t="shared" si="29"/>
        <v>5974882.2879359554</v>
      </c>
      <c r="I291" s="180">
        <f t="shared" si="30"/>
        <v>0</v>
      </c>
      <c r="J291" s="181">
        <f t="shared" si="31"/>
        <v>0</v>
      </c>
      <c r="K291" s="182">
        <v>0</v>
      </c>
      <c r="L291" s="180" t="str">
        <f t="shared" si="37"/>
        <v/>
      </c>
      <c r="M291" s="218">
        <f>SUMIFS(DATA!$L:$L,DATA!$O:$O,$B291,DATA!$N:$N,$A291,DATA!$M:$M,'SALES BY SYSTEM'!$O$1)</f>
        <v>0</v>
      </c>
      <c r="N291" s="182">
        <v>0</v>
      </c>
      <c r="O291" s="180" t="str">
        <f t="shared" si="33"/>
        <v/>
      </c>
      <c r="P291" s="218">
        <f>SUMIFS(DATA!$L:$L,DATA!$O:$O,$B291,DATA!$N:$N,$A291,DATA!$M:$M,'SALES BY SYSTEM'!$O$2)</f>
        <v>0</v>
      </c>
      <c r="Q291" s="182">
        <v>5974882.2879359554</v>
      </c>
      <c r="R291" s="180">
        <f t="shared" si="34"/>
        <v>0</v>
      </c>
      <c r="S291" s="218">
        <f>SUMIFS(DATA!$L:$L,DATA!$O:$O,$B291,DATA!$N:$N,$A291,DATA!$M:$M,'SALES BY SYSTEM'!$O$4)</f>
        <v>0</v>
      </c>
      <c r="T291" s="182">
        <v>0</v>
      </c>
      <c r="U291" s="180" t="str">
        <f t="shared" si="35"/>
        <v/>
      </c>
      <c r="V291" s="218">
        <f>SUMIFS(DATA!$L:$L,DATA!$O:$O,$B291,DATA!$N:$N,$A291,DATA!$M:$M,'SALES BY SYSTEM'!$O$3)</f>
        <v>0</v>
      </c>
      <c r="W291" s="168"/>
    </row>
    <row r="292" spans="1:23" ht="15.75" customHeight="1" x14ac:dyDescent="0.25">
      <c r="A292" s="139" t="s">
        <v>57</v>
      </c>
      <c r="B292" s="139" t="s">
        <v>43</v>
      </c>
      <c r="C292" s="178" t="str">
        <f>VLOOKUP(A292,CUSTOMER!$A:$C,3,0)</f>
        <v>MG_NTRANG</v>
      </c>
      <c r="D292" s="178" t="s">
        <v>674</v>
      </c>
      <c r="E292" s="178" t="str">
        <f>VLOOKUP(A292,CUSTOMER!$A$2:$H$1094,5,0)</f>
        <v>LE NAM PHUONG</v>
      </c>
      <c r="F292" s="178" t="str">
        <f>VLOOKUP(A292,CUSTOMER!$A$2:$I$1094,6,0)</f>
        <v>TRAN THANH TUAN</v>
      </c>
      <c r="G292" s="178" t="s">
        <v>676</v>
      </c>
      <c r="H292" s="179">
        <f t="shared" si="29"/>
        <v>19699585.242858719</v>
      </c>
      <c r="I292" s="180">
        <f t="shared" si="30"/>
        <v>0</v>
      </c>
      <c r="J292" s="181">
        <f t="shared" si="31"/>
        <v>0</v>
      </c>
      <c r="K292" s="182">
        <v>14169753.536867861</v>
      </c>
      <c r="L292" s="180" t="str">
        <f>IFERROR(M292/K296,"")</f>
        <v/>
      </c>
      <c r="M292" s="218">
        <f>SUMIFS(DATA!$L:$L,DATA!$O:$O,$B292,DATA!$N:$N,$A292,DATA!$M:$M,'SALES BY SYSTEM'!$O$1)</f>
        <v>0</v>
      </c>
      <c r="N292" s="182">
        <v>0</v>
      </c>
      <c r="O292" s="180" t="str">
        <f t="shared" si="33"/>
        <v/>
      </c>
      <c r="P292" s="218">
        <f>SUMIFS(DATA!$L:$L,DATA!$O:$O,$B292,DATA!$N:$N,$A292,DATA!$M:$M,'SALES BY SYSTEM'!$O$2)</f>
        <v>0</v>
      </c>
      <c r="Q292" s="182">
        <v>5529831.7059908593</v>
      </c>
      <c r="R292" s="180">
        <f t="shared" si="34"/>
        <v>0</v>
      </c>
      <c r="S292" s="218">
        <f>SUMIFS(DATA!$L:$L,DATA!$O:$O,$B292,DATA!$N:$N,$A292,DATA!$M:$M,'SALES BY SYSTEM'!$O$4)</f>
        <v>0</v>
      </c>
      <c r="T292" s="182">
        <v>0</v>
      </c>
      <c r="U292" s="180" t="str">
        <f t="shared" si="35"/>
        <v/>
      </c>
      <c r="V292" s="218">
        <f>SUMIFS(DATA!$L:$L,DATA!$O:$O,$B292,DATA!$N:$N,$A292,DATA!$M:$M,'SALES BY SYSTEM'!$O$3)</f>
        <v>0</v>
      </c>
      <c r="W292" s="168"/>
    </row>
    <row r="293" spans="1:23" ht="15.75" customHeight="1" x14ac:dyDescent="0.25">
      <c r="A293" s="139" t="s">
        <v>1704</v>
      </c>
      <c r="B293" s="139" t="s">
        <v>43</v>
      </c>
      <c r="C293" s="178" t="str">
        <f>VLOOKUP(A293,CUSTOMER!$A:$C,3,0)</f>
        <v>MG_HDONG</v>
      </c>
      <c r="D293" s="178" t="s">
        <v>674</v>
      </c>
      <c r="E293" s="178" t="str">
        <f>VLOOKUP(A293,CUSTOMER!$A$2:$H$1094,5,0)</f>
        <v>LE NAM PHUONG</v>
      </c>
      <c r="F293" s="178" t="str">
        <f>VLOOKUP(A293,CUSTOMER!$A$2:$I$1094,6,0)</f>
        <v>LE THI HONG DIEP</v>
      </c>
      <c r="G293" s="178" t="s">
        <v>676</v>
      </c>
      <c r="H293" s="179">
        <f t="shared" si="29"/>
        <v>5483749.7751076007</v>
      </c>
      <c r="I293" s="180">
        <f t="shared" si="30"/>
        <v>0</v>
      </c>
      <c r="J293" s="181">
        <f t="shared" si="31"/>
        <v>0</v>
      </c>
      <c r="K293" s="182">
        <v>0</v>
      </c>
      <c r="L293" s="180" t="str">
        <f>IFERROR(M293/K297,"")</f>
        <v/>
      </c>
      <c r="M293" s="218">
        <f>SUMIFS(DATA!$L:$L,DATA!$O:$O,$B293,DATA!$N:$N,$A293,DATA!$M:$M,'SALES BY SYSTEM'!$O$1)</f>
        <v>0</v>
      </c>
      <c r="N293" s="182">
        <v>0</v>
      </c>
      <c r="O293" s="180" t="str">
        <f t="shared" si="33"/>
        <v/>
      </c>
      <c r="P293" s="218">
        <f>SUMIFS(DATA!$L:$L,DATA!$O:$O,$B293,DATA!$N:$N,$A293,DATA!$M:$M,'SALES BY SYSTEM'!$O$2)</f>
        <v>0</v>
      </c>
      <c r="Q293" s="182">
        <v>5483749.7751076007</v>
      </c>
      <c r="R293" s="180">
        <f t="shared" si="34"/>
        <v>0</v>
      </c>
      <c r="S293" s="218">
        <f>SUMIFS(DATA!$L:$L,DATA!$O:$O,$B293,DATA!$N:$N,$A293,DATA!$M:$M,'SALES BY SYSTEM'!$O$4)</f>
        <v>0</v>
      </c>
      <c r="T293" s="182">
        <v>0</v>
      </c>
      <c r="U293" s="180" t="str">
        <f t="shared" si="35"/>
        <v/>
      </c>
      <c r="V293" s="218">
        <f>SUMIFS(DATA!$L:$L,DATA!$O:$O,$B293,DATA!$N:$N,$A293,DATA!$M:$M,'SALES BY SYSTEM'!$O$3)</f>
        <v>0</v>
      </c>
      <c r="W293" s="168"/>
    </row>
    <row r="294" spans="1:23" ht="15.75" customHeight="1" x14ac:dyDescent="0.25">
      <c r="A294" s="139" t="s">
        <v>42</v>
      </c>
      <c r="B294" s="139" t="s">
        <v>43</v>
      </c>
      <c r="C294" s="178" t="str">
        <f>VLOOKUP(A294,CUSTOMER!$A:$C,3,0)</f>
        <v>MG_TLONG</v>
      </c>
      <c r="D294" s="178" t="s">
        <v>674</v>
      </c>
      <c r="E294" s="178" t="str">
        <f>VLOOKUP(A294,CUSTOMER!$A$2:$H$1094,5,0)</f>
        <v>LE NAM PHUONG</v>
      </c>
      <c r="F294" s="178" t="str">
        <f>VLOOKUP(A294,CUSTOMER!$A$2:$I$1094,6,0)</f>
        <v>LE THI HONG DIEP</v>
      </c>
      <c r="G294" s="178" t="s">
        <v>676</v>
      </c>
      <c r="H294" s="179">
        <f t="shared" si="29"/>
        <v>38590650.562182039</v>
      </c>
      <c r="I294" s="180">
        <f t="shared" si="30"/>
        <v>0</v>
      </c>
      <c r="J294" s="181">
        <f t="shared" si="31"/>
        <v>0</v>
      </c>
      <c r="K294" s="182">
        <v>33106900.787074439</v>
      </c>
      <c r="L294" s="180" t="str">
        <f>IFERROR(M294/#REF!,"")</f>
        <v/>
      </c>
      <c r="M294" s="218">
        <f>SUMIFS(DATA!$L:$L,DATA!$O:$O,$B294,DATA!$N:$N,$A294,DATA!$M:$M,'SALES BY SYSTEM'!$O$1)</f>
        <v>0</v>
      </c>
      <c r="N294" s="182">
        <v>0</v>
      </c>
      <c r="O294" s="180" t="str">
        <f t="shared" si="33"/>
        <v/>
      </c>
      <c r="P294" s="218">
        <f>SUMIFS(DATA!$L:$L,DATA!$O:$O,$B294,DATA!$N:$N,$A294,DATA!$M:$M,'SALES BY SYSTEM'!$O$2)</f>
        <v>0</v>
      </c>
      <c r="Q294" s="182">
        <v>5483749.7751076007</v>
      </c>
      <c r="R294" s="180">
        <f t="shared" si="34"/>
        <v>0</v>
      </c>
      <c r="S294" s="218">
        <f>SUMIFS(DATA!$L:$L,DATA!$O:$O,$B294,DATA!$N:$N,$A294,DATA!$M:$M,'SALES BY SYSTEM'!$O$4)</f>
        <v>0</v>
      </c>
      <c r="T294" s="182">
        <v>0</v>
      </c>
      <c r="U294" s="180" t="str">
        <f t="shared" si="35"/>
        <v/>
      </c>
      <c r="V294" s="218">
        <f>SUMIFS(DATA!$L:$L,DATA!$O:$O,$B294,DATA!$N:$N,$A294,DATA!$M:$M,'SALES BY SYSTEM'!$O$3)</f>
        <v>0</v>
      </c>
      <c r="W294" s="168"/>
    </row>
    <row r="295" spans="1:23" ht="15.75" customHeight="1" x14ac:dyDescent="0.25">
      <c r="A295" s="139" t="s">
        <v>1708</v>
      </c>
      <c r="B295" s="139" t="s">
        <v>43</v>
      </c>
      <c r="C295" s="178" t="str">
        <f>VLOOKUP(A295,CUSTOMER!$A:$C,3,0)</f>
        <v>MG_HMAI</v>
      </c>
      <c r="D295" s="178" t="s">
        <v>674</v>
      </c>
      <c r="E295" s="178" t="str">
        <f>VLOOKUP(A295,CUSTOMER!$A$2:$H$1094,5,0)</f>
        <v>LE NAM PHUONG</v>
      </c>
      <c r="F295" s="178" t="str">
        <f>VLOOKUP(A295,CUSTOMER!$A$2:$I$1094,6,0)</f>
        <v>LE THI HONG DIEP</v>
      </c>
      <c r="G295" s="178" t="s">
        <v>676</v>
      </c>
      <c r="H295" s="179">
        <f t="shared" si="29"/>
        <v>5468389.1314798472</v>
      </c>
      <c r="I295" s="180">
        <f t="shared" si="30"/>
        <v>0</v>
      </c>
      <c r="J295" s="181">
        <f t="shared" si="31"/>
        <v>0</v>
      </c>
      <c r="K295" s="182">
        <v>0</v>
      </c>
      <c r="L295" s="180" t="str">
        <f>IFERROR(M295/K299,"")</f>
        <v/>
      </c>
      <c r="M295" s="218">
        <f>SUMIFS(DATA!$L:$L,DATA!$O:$O,$B295,DATA!$N:$N,$A295,DATA!$M:$M,'SALES BY SYSTEM'!$O$1)</f>
        <v>0</v>
      </c>
      <c r="N295" s="182">
        <v>0</v>
      </c>
      <c r="O295" s="180" t="str">
        <f t="shared" si="33"/>
        <v/>
      </c>
      <c r="P295" s="218">
        <f>SUMIFS(DATA!$L:$L,DATA!$O:$O,$B295,DATA!$N:$N,$A295,DATA!$M:$M,'SALES BY SYSTEM'!$O$2)</f>
        <v>0</v>
      </c>
      <c r="Q295" s="182">
        <v>5468389.1314798472</v>
      </c>
      <c r="R295" s="180">
        <f t="shared" si="34"/>
        <v>0</v>
      </c>
      <c r="S295" s="218">
        <f>SUMIFS(DATA!$L:$L,DATA!$O:$O,$B295,DATA!$N:$N,$A295,DATA!$M:$M,'SALES BY SYSTEM'!$O$4)</f>
        <v>0</v>
      </c>
      <c r="T295" s="182">
        <v>0</v>
      </c>
      <c r="U295" s="180" t="str">
        <f t="shared" si="35"/>
        <v/>
      </c>
      <c r="V295" s="218">
        <f>SUMIFS(DATA!$L:$L,DATA!$O:$O,$B295,DATA!$N:$N,$A295,DATA!$M:$M,'SALES BY SYSTEM'!$O$3)</f>
        <v>0</v>
      </c>
      <c r="W295" s="168"/>
    </row>
    <row r="296" spans="1:23" ht="15.75" customHeight="1" x14ac:dyDescent="0.25">
      <c r="A296" s="178" t="s">
        <v>1489</v>
      </c>
      <c r="B296" s="178" t="s">
        <v>657</v>
      </c>
      <c r="C296" s="178" t="str">
        <f>VLOOKUP(A296,CUSTOMER!$A:$C,3,0)</f>
        <v>6627</v>
      </c>
      <c r="D296" s="178" t="s">
        <v>674</v>
      </c>
      <c r="E296" s="178" t="str">
        <f>VLOOKUP(A296,CUSTOMER!$A$2:$H$1094,5,0)</f>
        <v>TRAN THI THAO NGUYEN</v>
      </c>
      <c r="F296" s="178" t="str">
        <f>VLOOKUP(A296,CUSTOMER!$A$2:$I$1094,6,0)</f>
        <v>VACANCY</v>
      </c>
      <c r="G296" s="178" t="str">
        <f>VLOOKUP(A296,CUSTOMER!$A$1:$J$1160,7,0)</f>
        <v>"NO PG"</v>
      </c>
      <c r="H296" s="179">
        <f t="shared" si="29"/>
        <v>4979068.5732799629</v>
      </c>
      <c r="I296" s="180">
        <f t="shared" si="30"/>
        <v>0</v>
      </c>
      <c r="J296" s="181">
        <f t="shared" si="31"/>
        <v>0</v>
      </c>
      <c r="K296" s="182">
        <v>0</v>
      </c>
      <c r="L296" s="180" t="str">
        <f t="shared" ref="L296:L333" si="38">IFERROR(M296/K296,"")</f>
        <v/>
      </c>
      <c r="M296" s="218">
        <f>SUMIFS(DATA!$L:$L,DATA!$O:$O,$B296,DATA!$N:$N,$A296,DATA!$M:$M,'SALES BY SYSTEM'!$O$1)</f>
        <v>0</v>
      </c>
      <c r="N296" s="182">
        <v>0</v>
      </c>
      <c r="O296" s="180" t="str">
        <f t="shared" si="33"/>
        <v/>
      </c>
      <c r="P296" s="218">
        <f>SUMIFS(DATA!$L:$L,DATA!$O:$O,$B296,DATA!$N:$N,$A296,DATA!$M:$M,'SALES BY SYSTEM'!$O$2)</f>
        <v>0</v>
      </c>
      <c r="Q296" s="182">
        <v>4979068.5732799629</v>
      </c>
      <c r="R296" s="180">
        <f t="shared" si="34"/>
        <v>0</v>
      </c>
      <c r="S296" s="218">
        <f>SUMIFS(DATA!$L:$L,DATA!$O:$O,$B296,DATA!$N:$N,$A296,DATA!$M:$M,'SALES BY SYSTEM'!$O$4)</f>
        <v>0</v>
      </c>
      <c r="T296" s="182">
        <v>0</v>
      </c>
      <c r="U296" s="180" t="str">
        <f t="shared" si="35"/>
        <v/>
      </c>
      <c r="V296" s="218">
        <f>SUMIFS(DATA!$L:$L,DATA!$O:$O,$B296,DATA!$N:$N,$A296,DATA!$M:$M,'SALES BY SYSTEM'!$O$3)</f>
        <v>0</v>
      </c>
      <c r="W296" s="168"/>
    </row>
    <row r="297" spans="1:23" ht="15.75" customHeight="1" x14ac:dyDescent="0.25">
      <c r="A297" s="178" t="s">
        <v>1301</v>
      </c>
      <c r="B297" s="178" t="s">
        <v>138</v>
      </c>
      <c r="C297" s="178" t="str">
        <f>VLOOKUP(A297,CUSTOMER!$A:$C,3,0)</f>
        <v>COOP_AUC_GOLDSILK</v>
      </c>
      <c r="D297" s="178" t="s">
        <v>674</v>
      </c>
      <c r="E297" s="178" t="str">
        <f>VLOOKUP(A297,CUSTOMER!$A$2:$H$1094,5,0)</f>
        <v>VAVANCY-VU MINH TUAN</v>
      </c>
      <c r="F297" s="178" t="str">
        <f>VLOOKUP(A297,CUSTOMER!$A$2:$I$1094,6,0)</f>
        <v>LE THI HONG DIEP</v>
      </c>
      <c r="G297" s="178" t="s">
        <v>676</v>
      </c>
      <c r="H297" s="179">
        <f t="shared" si="29"/>
        <v>2987441.1439679773</v>
      </c>
      <c r="I297" s="180">
        <f t="shared" si="30"/>
        <v>0</v>
      </c>
      <c r="J297" s="181">
        <f t="shared" si="31"/>
        <v>0</v>
      </c>
      <c r="K297" s="182">
        <v>0</v>
      </c>
      <c r="L297" s="180" t="str">
        <f t="shared" si="38"/>
        <v/>
      </c>
      <c r="M297" s="218">
        <f>SUMIFS(DATA!$L:$L,DATA!$O:$O,$B297,DATA!$N:$N,$A297,DATA!$M:$M,'SALES BY SYSTEM'!$O$1)</f>
        <v>0</v>
      </c>
      <c r="N297" s="182">
        <v>0</v>
      </c>
      <c r="O297" s="180" t="str">
        <f t="shared" si="33"/>
        <v/>
      </c>
      <c r="P297" s="218">
        <f>SUMIFS(DATA!$L:$L,DATA!$O:$O,$B297,DATA!$N:$N,$A297,DATA!$M:$M,'SALES BY SYSTEM'!$O$2)</f>
        <v>0</v>
      </c>
      <c r="Q297" s="182">
        <v>2987441.1439679773</v>
      </c>
      <c r="R297" s="180">
        <f t="shared" si="34"/>
        <v>0</v>
      </c>
      <c r="S297" s="218">
        <f>SUMIFS(DATA!$L:$L,DATA!$O:$O,$B297,DATA!$N:$N,$A297,DATA!$M:$M,'SALES BY SYSTEM'!$O$4)</f>
        <v>0</v>
      </c>
      <c r="T297" s="182">
        <v>0</v>
      </c>
      <c r="U297" s="180" t="str">
        <f t="shared" si="35"/>
        <v/>
      </c>
      <c r="V297" s="218">
        <f>SUMIFS(DATA!$L:$L,DATA!$O:$O,$B297,DATA!$N:$N,$A297,DATA!$M:$M,'SALES BY SYSTEM'!$O$3)</f>
        <v>0</v>
      </c>
      <c r="W297" s="168"/>
    </row>
    <row r="298" spans="1:23" ht="15.75" customHeight="1" x14ac:dyDescent="0.25">
      <c r="A298" s="178" t="s">
        <v>653</v>
      </c>
      <c r="B298" s="178" t="s">
        <v>653</v>
      </c>
      <c r="C298" s="178" t="str">
        <f>VLOOKUP(A298,CUSTOMER!$A:$C,3,0)</f>
        <v>6415</v>
      </c>
      <c r="D298" s="178" t="s">
        <v>674</v>
      </c>
      <c r="E298" s="178" t="str">
        <f>VLOOKUP(A298,CUSTOMER!$A$2:$H$1094,5,0)</f>
        <v>TRAN THI THAO NGUYEN</v>
      </c>
      <c r="F298" s="178" t="str">
        <f>VLOOKUP(A298,CUSTOMER!$A$2:$I$1094,6,0)</f>
        <v>NGUYEN THI MUON</v>
      </c>
      <c r="G298" s="178" t="s">
        <v>676</v>
      </c>
      <c r="H298" s="179">
        <f t="shared" si="29"/>
        <v>1991627.4293119845</v>
      </c>
      <c r="I298" s="180">
        <f t="shared" si="30"/>
        <v>0</v>
      </c>
      <c r="J298" s="181">
        <f t="shared" si="31"/>
        <v>0</v>
      </c>
      <c r="K298" s="182">
        <v>0</v>
      </c>
      <c r="L298" s="180" t="str">
        <f t="shared" si="38"/>
        <v/>
      </c>
      <c r="M298" s="218">
        <f>SUMIFS(DATA!$L:$L,DATA!$O:$O,$B298,DATA!$N:$N,$A298,DATA!$M:$M,'SALES BY SYSTEM'!$O$1)</f>
        <v>0</v>
      </c>
      <c r="N298" s="182">
        <v>0</v>
      </c>
      <c r="O298" s="180" t="str">
        <f t="shared" si="33"/>
        <v/>
      </c>
      <c r="P298" s="218">
        <f>SUMIFS(DATA!$L:$L,DATA!$O:$O,$B298,DATA!$N:$N,$A298,DATA!$M:$M,'SALES BY SYSTEM'!$O$2)</f>
        <v>0</v>
      </c>
      <c r="Q298" s="182">
        <v>1991627.4293119845</v>
      </c>
      <c r="R298" s="180">
        <f t="shared" si="34"/>
        <v>0</v>
      </c>
      <c r="S298" s="218">
        <f>SUMIFS(DATA!$L:$L,DATA!$O:$O,$B298,DATA!$N:$N,$A298,DATA!$M:$M,'SALES BY SYSTEM'!$O$4)</f>
        <v>0</v>
      </c>
      <c r="T298" s="182">
        <v>0</v>
      </c>
      <c r="U298" s="180" t="str">
        <f t="shared" si="35"/>
        <v/>
      </c>
      <c r="V298" s="218">
        <f>SUMIFS(DATA!$L:$L,DATA!$O:$O,$B298,DATA!$N:$N,$A298,DATA!$M:$M,'SALES BY SYSTEM'!$O$3)</f>
        <v>0</v>
      </c>
      <c r="W298" s="168"/>
    </row>
    <row r="299" spans="1:23" ht="15.75" customHeight="1" x14ac:dyDescent="0.25">
      <c r="A299" s="178" t="s">
        <v>1109</v>
      </c>
      <c r="B299" s="178" t="s">
        <v>16</v>
      </c>
      <c r="C299" s="178" t="str">
        <f>VLOOKUP(A299,CUSTOMER!$A:$C,3,0)</f>
        <v>COOP_F_NHT</v>
      </c>
      <c r="D299" s="178" t="s">
        <v>674</v>
      </c>
      <c r="E299" s="178" t="str">
        <f>VLOOKUP(A299,CUSTOMER!$A$2:$H$1094,5,0)</f>
        <v>VAVANCY-VU MINH TUAN</v>
      </c>
      <c r="F299" s="178" t="str">
        <f>VLOOKUP(A299,CUSTOMER!$A$2:$I$1094,6,0)</f>
        <v>NO SALE</v>
      </c>
      <c r="G299" s="178" t="s">
        <v>676</v>
      </c>
      <c r="H299" s="179">
        <f t="shared" si="29"/>
        <v>1244767.1433199905</v>
      </c>
      <c r="I299" s="180">
        <f t="shared" si="30"/>
        <v>0</v>
      </c>
      <c r="J299" s="181">
        <f t="shared" si="31"/>
        <v>0</v>
      </c>
      <c r="K299" s="182">
        <v>0</v>
      </c>
      <c r="L299" s="180" t="str">
        <f t="shared" si="38"/>
        <v/>
      </c>
      <c r="M299" s="218">
        <f>SUMIFS(DATA!$L:$L,DATA!$O:$O,$B299,DATA!$N:$N,$A299,DATA!$M:$M,'SALES BY SYSTEM'!$O$1)</f>
        <v>0</v>
      </c>
      <c r="N299" s="182">
        <v>0</v>
      </c>
      <c r="O299" s="180" t="str">
        <f t="shared" si="33"/>
        <v/>
      </c>
      <c r="P299" s="218">
        <f>SUMIFS(DATA!$L:$L,DATA!$O:$O,$B299,DATA!$N:$N,$A299,DATA!$M:$M,'SALES BY SYSTEM'!$O$2)</f>
        <v>0</v>
      </c>
      <c r="Q299" s="182">
        <v>1244767.1433199905</v>
      </c>
      <c r="R299" s="180">
        <f t="shared" si="34"/>
        <v>0</v>
      </c>
      <c r="S299" s="218">
        <f>SUMIFS(DATA!$L:$L,DATA!$O:$O,$B299,DATA!$N:$N,$A299,DATA!$M:$M,'SALES BY SYSTEM'!$O$4)</f>
        <v>0</v>
      </c>
      <c r="T299" s="182">
        <v>0</v>
      </c>
      <c r="U299" s="180" t="str">
        <f t="shared" si="35"/>
        <v/>
      </c>
      <c r="V299" s="218">
        <f>SUMIFS(DATA!$L:$L,DATA!$O:$O,$B299,DATA!$N:$N,$A299,DATA!$M:$M,'SALES BY SYSTEM'!$O$3)</f>
        <v>0</v>
      </c>
      <c r="W299" s="168"/>
    </row>
    <row r="300" spans="1:23" ht="15.75" customHeight="1" x14ac:dyDescent="0.25">
      <c r="A300" s="178" t="s">
        <v>212</v>
      </c>
      <c r="B300" s="178" t="s">
        <v>138</v>
      </c>
      <c r="C300" s="178" t="str">
        <f>VLOOKUP(A300,CUSTOMER!$A:$C,3,0)</f>
        <v>COOP_F_ADVUONG</v>
      </c>
      <c r="D300" s="178" t="s">
        <v>674</v>
      </c>
      <c r="E300" s="178" t="str">
        <f>VLOOKUP(A300,CUSTOMER!$A$2:$H$1094,5,0)</f>
        <v>VAVANCY-VU MINH TUAN</v>
      </c>
      <c r="F300" s="178" t="str">
        <f>VLOOKUP(A300,CUSTOMER!$A$2:$I$1094,6,0)</f>
        <v>TRAN THI THANH TRUC</v>
      </c>
      <c r="G300" s="178" t="s">
        <v>676</v>
      </c>
      <c r="H300" s="179">
        <f t="shared" si="29"/>
        <v>1244767.1433199905</v>
      </c>
      <c r="I300" s="180">
        <f t="shared" si="30"/>
        <v>0</v>
      </c>
      <c r="J300" s="181">
        <f t="shared" si="31"/>
        <v>0</v>
      </c>
      <c r="K300" s="182">
        <v>0</v>
      </c>
      <c r="L300" s="180" t="str">
        <f t="shared" si="38"/>
        <v/>
      </c>
      <c r="M300" s="218">
        <f>SUMIFS(DATA!$L:$L,DATA!$O:$O,$B300,DATA!$N:$N,$A300,DATA!$M:$M,'SALES BY SYSTEM'!$O$1)</f>
        <v>0</v>
      </c>
      <c r="N300" s="182">
        <v>0</v>
      </c>
      <c r="O300" s="180" t="str">
        <f t="shared" si="33"/>
        <v/>
      </c>
      <c r="P300" s="218">
        <f>SUMIFS(DATA!$L:$L,DATA!$O:$O,$B300,DATA!$N:$N,$A300,DATA!$M:$M,'SALES BY SYSTEM'!$O$2)</f>
        <v>0</v>
      </c>
      <c r="Q300" s="182">
        <v>1244767.1433199905</v>
      </c>
      <c r="R300" s="180">
        <f t="shared" si="34"/>
        <v>0</v>
      </c>
      <c r="S300" s="218">
        <f>SUMIFS(DATA!$L:$L,DATA!$O:$O,$B300,DATA!$N:$N,$A300,DATA!$M:$M,'SALES BY SYSTEM'!$O$4)</f>
        <v>0</v>
      </c>
      <c r="T300" s="182">
        <v>0</v>
      </c>
      <c r="U300" s="180" t="str">
        <f t="shared" si="35"/>
        <v/>
      </c>
      <c r="V300" s="218">
        <f>SUMIFS(DATA!$L:$L,DATA!$O:$O,$B300,DATA!$N:$N,$A300,DATA!$M:$M,'SALES BY SYSTEM'!$O$3)</f>
        <v>0</v>
      </c>
      <c r="W300" s="168"/>
    </row>
    <row r="301" spans="1:23" ht="15.75" customHeight="1" x14ac:dyDescent="0.25">
      <c r="A301" s="178" t="s">
        <v>1143</v>
      </c>
      <c r="B301" s="178" t="s">
        <v>16</v>
      </c>
      <c r="C301" s="178" t="str">
        <f>VLOOKUP(A301,CUSTOMER!$A:$C,3,0)</f>
        <v>COOP_F_ANLAC</v>
      </c>
      <c r="D301" s="178" t="s">
        <v>674</v>
      </c>
      <c r="E301" s="178" t="str">
        <f>VLOOKUP(A301,CUSTOMER!$A$2:$H$1094,5,0)</f>
        <v>VAVANCY-VU MINH TUAN</v>
      </c>
      <c r="F301" s="178" t="str">
        <f>VLOOKUP(A301,CUSTOMER!$A$2:$I$1094,6,0)</f>
        <v>"NO SALE"</v>
      </c>
      <c r="G301" s="178" t="s">
        <v>676</v>
      </c>
      <c r="H301" s="179">
        <f t="shared" si="29"/>
        <v>1244767.1433199905</v>
      </c>
      <c r="I301" s="180">
        <f t="shared" si="30"/>
        <v>0</v>
      </c>
      <c r="J301" s="181">
        <f t="shared" si="31"/>
        <v>0</v>
      </c>
      <c r="K301" s="182">
        <v>0</v>
      </c>
      <c r="L301" s="180" t="str">
        <f t="shared" si="38"/>
        <v/>
      </c>
      <c r="M301" s="218">
        <f>SUMIFS(DATA!$L:$L,DATA!$O:$O,$B301,DATA!$N:$N,$A301,DATA!$M:$M,'SALES BY SYSTEM'!$O$1)</f>
        <v>0</v>
      </c>
      <c r="N301" s="182">
        <v>0</v>
      </c>
      <c r="O301" s="180" t="str">
        <f t="shared" si="33"/>
        <v/>
      </c>
      <c r="P301" s="218">
        <f>SUMIFS(DATA!$L:$L,DATA!$O:$O,$B301,DATA!$N:$N,$A301,DATA!$M:$M,'SALES BY SYSTEM'!$O$2)</f>
        <v>0</v>
      </c>
      <c r="Q301" s="182">
        <v>1244767.1433199905</v>
      </c>
      <c r="R301" s="180">
        <f t="shared" si="34"/>
        <v>0</v>
      </c>
      <c r="S301" s="218">
        <f>SUMIFS(DATA!$L:$L,DATA!$O:$O,$B301,DATA!$N:$N,$A301,DATA!$M:$M,'SALES BY SYSTEM'!$O$4)</f>
        <v>0</v>
      </c>
      <c r="T301" s="182">
        <v>0</v>
      </c>
      <c r="U301" s="180" t="str">
        <f t="shared" si="35"/>
        <v/>
      </c>
      <c r="V301" s="218">
        <f>SUMIFS(DATA!$L:$L,DATA!$O:$O,$B301,DATA!$N:$N,$A301,DATA!$M:$M,'SALES BY SYSTEM'!$O$3)</f>
        <v>0</v>
      </c>
      <c r="W301" s="168"/>
    </row>
    <row r="302" spans="1:23" ht="15.75" customHeight="1" x14ac:dyDescent="0.25">
      <c r="A302" s="178" t="s">
        <v>376</v>
      </c>
      <c r="B302" s="178" t="s">
        <v>16</v>
      </c>
      <c r="C302" s="178" t="str">
        <f>VLOOKUP(A302,CUSTOMER!$A:$C,3,0)</f>
        <v>COOP_F_BELLE</v>
      </c>
      <c r="D302" s="178" t="s">
        <v>674</v>
      </c>
      <c r="E302" s="178" t="str">
        <f>VLOOKUP(A302,CUSTOMER!$A$2:$H$1094,5,0)</f>
        <v>VAVANCY-VU MINH TUAN</v>
      </c>
      <c r="F302" s="178" t="str">
        <f>VLOOKUP(A302,CUSTOMER!$A$2:$I$1094,6,0)</f>
        <v>TRAN THI THANH TRUC</v>
      </c>
      <c r="G302" s="178" t="s">
        <v>676</v>
      </c>
      <c r="H302" s="179">
        <f t="shared" si="29"/>
        <v>1244767.1433199905</v>
      </c>
      <c r="I302" s="180">
        <f t="shared" si="30"/>
        <v>0</v>
      </c>
      <c r="J302" s="181">
        <f t="shared" si="31"/>
        <v>0</v>
      </c>
      <c r="K302" s="182">
        <v>0</v>
      </c>
      <c r="L302" s="180" t="str">
        <f t="shared" si="38"/>
        <v/>
      </c>
      <c r="M302" s="218">
        <f>SUMIFS(DATA!$L:$L,DATA!$O:$O,$B302,DATA!$N:$N,$A302,DATA!$M:$M,'SALES BY SYSTEM'!$O$1)</f>
        <v>0</v>
      </c>
      <c r="N302" s="182">
        <v>0</v>
      </c>
      <c r="O302" s="180" t="str">
        <f t="shared" si="33"/>
        <v/>
      </c>
      <c r="P302" s="218">
        <f>SUMIFS(DATA!$L:$L,DATA!$O:$O,$B302,DATA!$N:$N,$A302,DATA!$M:$M,'SALES BY SYSTEM'!$O$2)</f>
        <v>0</v>
      </c>
      <c r="Q302" s="182">
        <v>1244767.1433199905</v>
      </c>
      <c r="R302" s="180">
        <f t="shared" si="34"/>
        <v>0</v>
      </c>
      <c r="S302" s="218">
        <f>SUMIFS(DATA!$L:$L,DATA!$O:$O,$B302,DATA!$N:$N,$A302,DATA!$M:$M,'SALES BY SYSTEM'!$O$4)</f>
        <v>0</v>
      </c>
      <c r="T302" s="182">
        <v>0</v>
      </c>
      <c r="U302" s="180" t="str">
        <f t="shared" si="35"/>
        <v/>
      </c>
      <c r="V302" s="218">
        <f>SUMIFS(DATA!$L:$L,DATA!$O:$O,$B302,DATA!$N:$N,$A302,DATA!$M:$M,'SALES BY SYSTEM'!$O$3)</f>
        <v>0</v>
      </c>
      <c r="W302" s="168"/>
    </row>
    <row r="303" spans="1:23" ht="15.75" customHeight="1" x14ac:dyDescent="0.25">
      <c r="A303" s="178" t="s">
        <v>1133</v>
      </c>
      <c r="B303" s="178" t="s">
        <v>16</v>
      </c>
      <c r="C303" s="178" t="str">
        <f>VLOOKUP(A303,CUSTOMER!$A:$C,3,0)</f>
        <v>COOP_F_BTRUNG</v>
      </c>
      <c r="D303" s="178" t="s">
        <v>674</v>
      </c>
      <c r="E303" s="178" t="str">
        <f>VLOOKUP(A303,CUSTOMER!$A$2:$H$1094,5,0)</f>
        <v>VAVANCY-VU MINH TUAN</v>
      </c>
      <c r="F303" s="178" t="str">
        <f>VLOOKUP(A303,CUSTOMER!$A$2:$I$1094,6,0)</f>
        <v>"NO SALE"</v>
      </c>
      <c r="G303" s="178" t="s">
        <v>676</v>
      </c>
      <c r="H303" s="179">
        <f t="shared" si="29"/>
        <v>1244767.1433199905</v>
      </c>
      <c r="I303" s="180">
        <f t="shared" si="30"/>
        <v>0</v>
      </c>
      <c r="J303" s="181">
        <f t="shared" si="31"/>
        <v>0</v>
      </c>
      <c r="K303" s="182">
        <v>0</v>
      </c>
      <c r="L303" s="180" t="str">
        <f t="shared" si="38"/>
        <v/>
      </c>
      <c r="M303" s="218">
        <f>SUMIFS(DATA!$L:$L,DATA!$O:$O,$B303,DATA!$N:$N,$A303,DATA!$M:$M,'SALES BY SYSTEM'!$O$1)</f>
        <v>0</v>
      </c>
      <c r="N303" s="182">
        <v>0</v>
      </c>
      <c r="O303" s="180" t="str">
        <f t="shared" si="33"/>
        <v/>
      </c>
      <c r="P303" s="218">
        <f>SUMIFS(DATA!$L:$L,DATA!$O:$O,$B303,DATA!$N:$N,$A303,DATA!$M:$M,'SALES BY SYSTEM'!$O$2)</f>
        <v>0</v>
      </c>
      <c r="Q303" s="182">
        <v>1244767.1433199905</v>
      </c>
      <c r="R303" s="180">
        <f t="shared" si="34"/>
        <v>0</v>
      </c>
      <c r="S303" s="218">
        <f>SUMIFS(DATA!$L:$L,DATA!$O:$O,$B303,DATA!$N:$N,$A303,DATA!$M:$M,'SALES BY SYSTEM'!$O$4)</f>
        <v>0</v>
      </c>
      <c r="T303" s="182">
        <v>0</v>
      </c>
      <c r="U303" s="180" t="str">
        <f t="shared" si="35"/>
        <v/>
      </c>
      <c r="V303" s="218">
        <f>SUMIFS(DATA!$L:$L,DATA!$O:$O,$B303,DATA!$N:$N,$A303,DATA!$M:$M,'SALES BY SYSTEM'!$O$3)</f>
        <v>0</v>
      </c>
      <c r="W303" s="168"/>
    </row>
    <row r="304" spans="1:23" ht="15.75" customHeight="1" x14ac:dyDescent="0.25">
      <c r="A304" s="178" t="s">
        <v>368</v>
      </c>
      <c r="B304" s="178" t="s">
        <v>16</v>
      </c>
      <c r="C304" s="178" t="str">
        <f>VLOOKUP(A304,CUSTOMER!$A:$C,3,0)</f>
        <v>COOP_F_BSAO</v>
      </c>
      <c r="D304" s="178" t="s">
        <v>674</v>
      </c>
      <c r="E304" s="178" t="str">
        <f>VLOOKUP(A304,CUSTOMER!$A$2:$H$1094,5,0)</f>
        <v>VAVANCY-VU MINH TUAN</v>
      </c>
      <c r="F304" s="178" t="str">
        <f>VLOOKUP(A304,CUSTOMER!$A$2:$I$1094,6,0)</f>
        <v>NO SALE</v>
      </c>
      <c r="G304" s="178" t="str">
        <f>VLOOKUP(A304,CUSTOMER!$A$1:$J$1160,7,0)</f>
        <v>"NO PG"</v>
      </c>
      <c r="H304" s="179">
        <f t="shared" si="29"/>
        <v>1244767.1433199905</v>
      </c>
      <c r="I304" s="180">
        <f t="shared" si="30"/>
        <v>0</v>
      </c>
      <c r="J304" s="181">
        <f t="shared" si="31"/>
        <v>0</v>
      </c>
      <c r="K304" s="182">
        <v>0</v>
      </c>
      <c r="L304" s="180" t="str">
        <f t="shared" si="38"/>
        <v/>
      </c>
      <c r="M304" s="218">
        <f>SUMIFS(DATA!$L:$L,DATA!$O:$O,$B304,DATA!$N:$N,$A304,DATA!$M:$M,'SALES BY SYSTEM'!$O$1)</f>
        <v>0</v>
      </c>
      <c r="N304" s="182">
        <v>0</v>
      </c>
      <c r="O304" s="180" t="str">
        <f t="shared" si="33"/>
        <v/>
      </c>
      <c r="P304" s="218">
        <f>SUMIFS(DATA!$L:$L,DATA!$O:$O,$B304,DATA!$N:$N,$A304,DATA!$M:$M,'SALES BY SYSTEM'!$O$2)</f>
        <v>0</v>
      </c>
      <c r="Q304" s="182">
        <v>1244767.1433199905</v>
      </c>
      <c r="R304" s="180">
        <f t="shared" si="34"/>
        <v>0</v>
      </c>
      <c r="S304" s="218">
        <f>SUMIFS(DATA!$L:$L,DATA!$O:$O,$B304,DATA!$N:$N,$A304,DATA!$M:$M,'SALES BY SYSTEM'!$O$4)</f>
        <v>0</v>
      </c>
      <c r="T304" s="182">
        <v>0</v>
      </c>
      <c r="U304" s="180" t="str">
        <f t="shared" si="35"/>
        <v/>
      </c>
      <c r="V304" s="218">
        <f>SUMIFS(DATA!$L:$L,DATA!$O:$O,$B304,DATA!$N:$N,$A304,DATA!$M:$M,'SALES BY SYSTEM'!$O$3)</f>
        <v>0</v>
      </c>
      <c r="W304" s="168"/>
    </row>
    <row r="305" spans="1:23" ht="15.75" customHeight="1" x14ac:dyDescent="0.25">
      <c r="A305" s="178" t="s">
        <v>1161</v>
      </c>
      <c r="B305" s="178" t="s">
        <v>16</v>
      </c>
      <c r="C305" s="178" t="str">
        <f>VLOOKUP(A305,CUSTOMER!$A:$C,3,0)</f>
        <v>COOP_F_CLO</v>
      </c>
      <c r="D305" s="178" t="s">
        <v>674</v>
      </c>
      <c r="E305" s="178" t="str">
        <f>VLOOKUP(A305,CUSTOMER!$A$2:$H$1094,5,0)</f>
        <v>VAVANCY-VU MINH TUAN</v>
      </c>
      <c r="F305" s="178" t="str">
        <f>VLOOKUP(A305,CUSTOMER!$A$2:$I$1094,6,0)</f>
        <v>NO SALE</v>
      </c>
      <c r="G305" s="178" t="s">
        <v>676</v>
      </c>
      <c r="H305" s="179">
        <f t="shared" si="29"/>
        <v>1244767.1433199905</v>
      </c>
      <c r="I305" s="180">
        <f t="shared" si="30"/>
        <v>0</v>
      </c>
      <c r="J305" s="181">
        <f t="shared" si="31"/>
        <v>0</v>
      </c>
      <c r="K305" s="182">
        <v>0</v>
      </c>
      <c r="L305" s="180" t="str">
        <f t="shared" si="38"/>
        <v/>
      </c>
      <c r="M305" s="218">
        <f>SUMIFS(DATA!$L:$L,DATA!$O:$O,$B305,DATA!$N:$N,$A305,DATA!$M:$M,'SALES BY SYSTEM'!$O$1)</f>
        <v>0</v>
      </c>
      <c r="N305" s="182">
        <v>0</v>
      </c>
      <c r="O305" s="180" t="str">
        <f t="shared" si="33"/>
        <v/>
      </c>
      <c r="P305" s="218">
        <f>SUMIFS(DATA!$L:$L,DATA!$O:$O,$B305,DATA!$N:$N,$A305,DATA!$M:$M,'SALES BY SYSTEM'!$O$2)</f>
        <v>0</v>
      </c>
      <c r="Q305" s="182">
        <v>1244767.1433199905</v>
      </c>
      <c r="R305" s="180">
        <f t="shared" si="34"/>
        <v>0</v>
      </c>
      <c r="S305" s="218">
        <f>SUMIFS(DATA!$L:$L,DATA!$O:$O,$B305,DATA!$N:$N,$A305,DATA!$M:$M,'SALES BY SYSTEM'!$O$4)</f>
        <v>0</v>
      </c>
      <c r="T305" s="182">
        <v>0</v>
      </c>
      <c r="U305" s="180" t="str">
        <f t="shared" si="35"/>
        <v/>
      </c>
      <c r="V305" s="218">
        <f>SUMIFS(DATA!$L:$L,DATA!$O:$O,$B305,DATA!$N:$N,$A305,DATA!$M:$M,'SALES BY SYSTEM'!$O$3)</f>
        <v>0</v>
      </c>
      <c r="W305" s="168"/>
    </row>
    <row r="306" spans="1:23" ht="15.75" customHeight="1" x14ac:dyDescent="0.25">
      <c r="A306" s="178" t="s">
        <v>1083</v>
      </c>
      <c r="B306" s="178" t="s">
        <v>16</v>
      </c>
      <c r="C306" s="178" t="str">
        <f>VLOOKUP(A306,CUSTOMER!$A:$C,3,0)</f>
        <v>COOP_F_CARINA</v>
      </c>
      <c r="D306" s="178" t="s">
        <v>674</v>
      </c>
      <c r="E306" s="178" t="str">
        <f>VLOOKUP(A306,CUSTOMER!$A$2:$H$1094,5,0)</f>
        <v>VAVANCY-VU MINH TUAN</v>
      </c>
      <c r="F306" s="178" t="str">
        <f>VLOOKUP(A306,CUSTOMER!$A$2:$I$1094,6,0)</f>
        <v>NO SALE</v>
      </c>
      <c r="G306" s="178" t="str">
        <f>VLOOKUP(A306,CUSTOMER!$A$1:$J$1160,7,0)</f>
        <v>"NO PG"</v>
      </c>
      <c r="H306" s="179">
        <f t="shared" si="29"/>
        <v>1244767.1433199905</v>
      </c>
      <c r="I306" s="180">
        <f t="shared" si="30"/>
        <v>0</v>
      </c>
      <c r="J306" s="181">
        <f t="shared" si="31"/>
        <v>0</v>
      </c>
      <c r="K306" s="182">
        <v>0</v>
      </c>
      <c r="L306" s="180" t="str">
        <f t="shared" si="38"/>
        <v/>
      </c>
      <c r="M306" s="218">
        <f>SUMIFS(DATA!$L:$L,DATA!$O:$O,$B306,DATA!$N:$N,$A306,DATA!$M:$M,'SALES BY SYSTEM'!$O$1)</f>
        <v>0</v>
      </c>
      <c r="N306" s="182">
        <v>0</v>
      </c>
      <c r="O306" s="180" t="str">
        <f t="shared" si="33"/>
        <v/>
      </c>
      <c r="P306" s="218">
        <f>SUMIFS(DATA!$L:$L,DATA!$O:$O,$B306,DATA!$N:$N,$A306,DATA!$M:$M,'SALES BY SYSTEM'!$O$2)</f>
        <v>0</v>
      </c>
      <c r="Q306" s="182">
        <v>1244767.1433199905</v>
      </c>
      <c r="R306" s="180">
        <f t="shared" si="34"/>
        <v>0</v>
      </c>
      <c r="S306" s="218">
        <f>SUMIFS(DATA!$L:$L,DATA!$O:$O,$B306,DATA!$N:$N,$A306,DATA!$M:$M,'SALES BY SYSTEM'!$O$4)</f>
        <v>0</v>
      </c>
      <c r="T306" s="182">
        <v>0</v>
      </c>
      <c r="U306" s="180" t="str">
        <f t="shared" si="35"/>
        <v/>
      </c>
      <c r="V306" s="218">
        <f>SUMIFS(DATA!$L:$L,DATA!$O:$O,$B306,DATA!$N:$N,$A306,DATA!$M:$M,'SALES BY SYSTEM'!$O$3)</f>
        <v>0</v>
      </c>
      <c r="W306" s="168"/>
    </row>
    <row r="307" spans="1:23" ht="15.75" customHeight="1" x14ac:dyDescent="0.25">
      <c r="A307" s="178" t="s">
        <v>329</v>
      </c>
      <c r="B307" s="178" t="s">
        <v>16</v>
      </c>
      <c r="C307" s="178" t="str">
        <f>VLOOKUP(A307,CUSTOMER!$A:$C,3,0)</f>
        <v>COOP_F_CHOLON</v>
      </c>
      <c r="D307" s="178" t="s">
        <v>674</v>
      </c>
      <c r="E307" s="178" t="str">
        <f>VLOOKUP(A307,CUSTOMER!$A$2:$H$1094,5,0)</f>
        <v>VAVANCY-VU MINH TUAN</v>
      </c>
      <c r="F307" s="178" t="str">
        <f>VLOOKUP(A307,CUSTOMER!$A$2:$I$1094,6,0)</f>
        <v>NO SALE</v>
      </c>
      <c r="G307" s="178" t="s">
        <v>676</v>
      </c>
      <c r="H307" s="179">
        <f t="shared" si="29"/>
        <v>1244767.1433199905</v>
      </c>
      <c r="I307" s="180">
        <f t="shared" si="30"/>
        <v>0</v>
      </c>
      <c r="J307" s="181">
        <f t="shared" si="31"/>
        <v>0</v>
      </c>
      <c r="K307" s="182">
        <v>0</v>
      </c>
      <c r="L307" s="180" t="str">
        <f t="shared" si="38"/>
        <v/>
      </c>
      <c r="M307" s="218">
        <f>SUMIFS(DATA!$L:$L,DATA!$O:$O,$B307,DATA!$N:$N,$A307,DATA!$M:$M,'SALES BY SYSTEM'!$O$1)</f>
        <v>0</v>
      </c>
      <c r="N307" s="182">
        <v>0</v>
      </c>
      <c r="O307" s="180" t="str">
        <f t="shared" si="33"/>
        <v/>
      </c>
      <c r="P307" s="218">
        <f>SUMIFS(DATA!$L:$L,DATA!$O:$O,$B307,DATA!$N:$N,$A307,DATA!$M:$M,'SALES BY SYSTEM'!$O$2)</f>
        <v>0</v>
      </c>
      <c r="Q307" s="182">
        <v>1244767.1433199905</v>
      </c>
      <c r="R307" s="180">
        <f t="shared" si="34"/>
        <v>0</v>
      </c>
      <c r="S307" s="218">
        <f>SUMIFS(DATA!$L:$L,DATA!$O:$O,$B307,DATA!$N:$N,$A307,DATA!$M:$M,'SALES BY SYSTEM'!$O$4)</f>
        <v>0</v>
      </c>
      <c r="T307" s="182">
        <v>0</v>
      </c>
      <c r="U307" s="180" t="str">
        <f t="shared" si="35"/>
        <v/>
      </c>
      <c r="V307" s="218">
        <f>SUMIFS(DATA!$L:$L,DATA!$O:$O,$B307,DATA!$N:$N,$A307,DATA!$M:$M,'SALES BY SYSTEM'!$O$3)</f>
        <v>0</v>
      </c>
      <c r="W307" s="168"/>
    </row>
    <row r="308" spans="1:23" ht="15.75" customHeight="1" x14ac:dyDescent="0.25">
      <c r="A308" s="178" t="s">
        <v>1276</v>
      </c>
      <c r="B308" s="178" t="s">
        <v>138</v>
      </c>
      <c r="C308" s="178" t="str">
        <f>VLOOKUP(A308,CUSTOMER!$A:$C,3,0)</f>
        <v>COOP_CHOMOI</v>
      </c>
      <c r="D308" s="178" t="s">
        <v>674</v>
      </c>
      <c r="E308" s="178" t="str">
        <f>VLOOKUP(A308,CUSTOMER!$A$2:$H$1094,5,0)</f>
        <v>VAVANCY-VU MINH TUAN</v>
      </c>
      <c r="F308" s="178" t="str">
        <f>VLOOKUP(A308,CUSTOMER!$A$2:$I$1094,6,0)</f>
        <v>"NO SALE"</v>
      </c>
      <c r="G308" s="178" t="s">
        <v>676</v>
      </c>
      <c r="H308" s="179">
        <f t="shared" si="29"/>
        <v>1244767.1433199905</v>
      </c>
      <c r="I308" s="180">
        <f t="shared" si="30"/>
        <v>0</v>
      </c>
      <c r="J308" s="181">
        <f t="shared" si="31"/>
        <v>0</v>
      </c>
      <c r="K308" s="182">
        <v>0</v>
      </c>
      <c r="L308" s="180" t="str">
        <f t="shared" si="38"/>
        <v/>
      </c>
      <c r="M308" s="218">
        <f>SUMIFS(DATA!$L:$L,DATA!$O:$O,$B308,DATA!$N:$N,$A308,DATA!$M:$M,'SALES BY SYSTEM'!$O$1)</f>
        <v>0</v>
      </c>
      <c r="N308" s="182">
        <v>0</v>
      </c>
      <c r="O308" s="180" t="str">
        <f t="shared" si="33"/>
        <v/>
      </c>
      <c r="P308" s="218">
        <f>SUMIFS(DATA!$L:$L,DATA!$O:$O,$B308,DATA!$N:$N,$A308,DATA!$M:$M,'SALES BY SYSTEM'!$O$2)</f>
        <v>0</v>
      </c>
      <c r="Q308" s="182">
        <v>1244767.1433199905</v>
      </c>
      <c r="R308" s="180">
        <f t="shared" si="34"/>
        <v>0</v>
      </c>
      <c r="S308" s="218">
        <f>SUMIFS(DATA!$L:$L,DATA!$O:$O,$B308,DATA!$N:$N,$A308,DATA!$M:$M,'SALES BY SYSTEM'!$O$4)</f>
        <v>0</v>
      </c>
      <c r="T308" s="182">
        <v>0</v>
      </c>
      <c r="U308" s="180" t="str">
        <f t="shared" si="35"/>
        <v/>
      </c>
      <c r="V308" s="218">
        <f>SUMIFS(DATA!$L:$L,DATA!$O:$O,$B308,DATA!$N:$N,$A308,DATA!$M:$M,'SALES BY SYSTEM'!$O$3)</f>
        <v>0</v>
      </c>
      <c r="W308" s="168"/>
    </row>
    <row r="309" spans="1:23" ht="15.75" customHeight="1" x14ac:dyDescent="0.25">
      <c r="A309" s="178" t="s">
        <v>1087</v>
      </c>
      <c r="B309" s="178" t="s">
        <v>16</v>
      </c>
      <c r="C309" s="178" t="str">
        <f>VLOOKUP(A309,CUSTOMER!$A:$C,3,0)</f>
        <v>COOP_F_DMOI</v>
      </c>
      <c r="D309" s="178" t="s">
        <v>674</v>
      </c>
      <c r="E309" s="178" t="str">
        <f>VLOOKUP(A309,CUSTOMER!$A$2:$H$1094,5,0)</f>
        <v>VAVANCY-VU MINH TUAN</v>
      </c>
      <c r="F309" s="178" t="str">
        <f>VLOOKUP(A309,CUSTOMER!$A$2:$I$1094,6,0)</f>
        <v>NO SALE</v>
      </c>
      <c r="G309" s="178" t="str">
        <f>VLOOKUP(A309,CUSTOMER!$A$1:$J$1160,7,0)</f>
        <v>"NO PG"</v>
      </c>
      <c r="H309" s="179">
        <f t="shared" si="29"/>
        <v>1244767.1433199905</v>
      </c>
      <c r="I309" s="180">
        <f t="shared" si="30"/>
        <v>0</v>
      </c>
      <c r="J309" s="181">
        <f t="shared" si="31"/>
        <v>0</v>
      </c>
      <c r="K309" s="182">
        <v>0</v>
      </c>
      <c r="L309" s="180" t="str">
        <f t="shared" si="38"/>
        <v/>
      </c>
      <c r="M309" s="218">
        <f>SUMIFS(DATA!$L:$L,DATA!$O:$O,$B309,DATA!$N:$N,$A309,DATA!$M:$M,'SALES BY SYSTEM'!$O$1)</f>
        <v>0</v>
      </c>
      <c r="N309" s="182">
        <v>0</v>
      </c>
      <c r="O309" s="180" t="str">
        <f t="shared" si="33"/>
        <v/>
      </c>
      <c r="P309" s="218">
        <f>SUMIFS(DATA!$L:$L,DATA!$O:$O,$B309,DATA!$N:$N,$A309,DATA!$M:$M,'SALES BY SYSTEM'!$O$2)</f>
        <v>0</v>
      </c>
      <c r="Q309" s="182">
        <v>1244767.1433199905</v>
      </c>
      <c r="R309" s="180">
        <f t="shared" si="34"/>
        <v>0</v>
      </c>
      <c r="S309" s="218">
        <f>SUMIFS(DATA!$L:$L,DATA!$O:$O,$B309,DATA!$N:$N,$A309,DATA!$M:$M,'SALES BY SYSTEM'!$O$4)</f>
        <v>0</v>
      </c>
      <c r="T309" s="182">
        <v>0</v>
      </c>
      <c r="U309" s="180" t="str">
        <f t="shared" si="35"/>
        <v/>
      </c>
      <c r="V309" s="218">
        <f>SUMIFS(DATA!$L:$L,DATA!$O:$O,$B309,DATA!$N:$N,$A309,DATA!$M:$M,'SALES BY SYSTEM'!$O$3)</f>
        <v>0</v>
      </c>
      <c r="W309" s="168"/>
    </row>
    <row r="310" spans="1:23" ht="15.75" customHeight="1" x14ac:dyDescent="0.25">
      <c r="A310" s="178" t="s">
        <v>1165</v>
      </c>
      <c r="B310" s="178" t="s">
        <v>16</v>
      </c>
      <c r="C310" s="178" t="str">
        <f>VLOOKUP(A310,CUSTOMER!$A:$C,3,0)</f>
        <v>COOP_F_DIAMOND</v>
      </c>
      <c r="D310" s="178" t="s">
        <v>674</v>
      </c>
      <c r="E310" s="178" t="str">
        <f>VLOOKUP(A310,CUSTOMER!$A$2:$H$1094,5,0)</f>
        <v>VAVANCY-VU MINH TUAN</v>
      </c>
      <c r="F310" s="178" t="str">
        <f>VLOOKUP(A310,CUSTOMER!$A$2:$I$1094,6,0)</f>
        <v>NO SALE</v>
      </c>
      <c r="G310" s="178" t="s">
        <v>676</v>
      </c>
      <c r="H310" s="179">
        <f t="shared" si="29"/>
        <v>1244767.1433199905</v>
      </c>
      <c r="I310" s="180">
        <f t="shared" si="30"/>
        <v>0</v>
      </c>
      <c r="J310" s="181">
        <f t="shared" si="31"/>
        <v>0</v>
      </c>
      <c r="K310" s="182">
        <v>0</v>
      </c>
      <c r="L310" s="180" t="str">
        <f t="shared" si="38"/>
        <v/>
      </c>
      <c r="M310" s="218">
        <f>SUMIFS(DATA!$L:$L,DATA!$O:$O,$B310,DATA!$N:$N,$A310,DATA!$M:$M,'SALES BY SYSTEM'!$O$1)</f>
        <v>0</v>
      </c>
      <c r="N310" s="182">
        <v>0</v>
      </c>
      <c r="O310" s="180" t="str">
        <f t="shared" si="33"/>
        <v/>
      </c>
      <c r="P310" s="218">
        <f>SUMIFS(DATA!$L:$L,DATA!$O:$O,$B310,DATA!$N:$N,$A310,DATA!$M:$M,'SALES BY SYSTEM'!$O$2)</f>
        <v>0</v>
      </c>
      <c r="Q310" s="182">
        <v>1244767.1433199905</v>
      </c>
      <c r="R310" s="180">
        <f t="shared" si="34"/>
        <v>0</v>
      </c>
      <c r="S310" s="218">
        <f>SUMIFS(DATA!$L:$L,DATA!$O:$O,$B310,DATA!$N:$N,$A310,DATA!$M:$M,'SALES BY SYSTEM'!$O$4)</f>
        <v>0</v>
      </c>
      <c r="T310" s="182">
        <v>0</v>
      </c>
      <c r="U310" s="180" t="str">
        <f t="shared" si="35"/>
        <v/>
      </c>
      <c r="V310" s="218">
        <f>SUMIFS(DATA!$L:$L,DATA!$O:$O,$B310,DATA!$N:$N,$A310,DATA!$M:$M,'SALES BY SYSTEM'!$O$3)</f>
        <v>0</v>
      </c>
      <c r="W310" s="168"/>
    </row>
    <row r="311" spans="1:23" ht="15.75" customHeight="1" x14ac:dyDescent="0.25">
      <c r="A311" s="178" t="s">
        <v>1129</v>
      </c>
      <c r="B311" s="178" t="s">
        <v>16</v>
      </c>
      <c r="C311" s="178" t="str">
        <f>VLOOKUP(A311,CUSTOMER!$A:$C,3,0)</f>
        <v>COOP_F_DXHOP100</v>
      </c>
      <c r="D311" s="178" t="s">
        <v>674</v>
      </c>
      <c r="E311" s="178" t="str">
        <f>VLOOKUP(A311,CUSTOMER!$A$2:$H$1094,5,0)</f>
        <v>VAVANCY-VU MINH TUAN</v>
      </c>
      <c r="F311" s="178" t="str">
        <f>VLOOKUP(A311,CUSTOMER!$A$2:$I$1094,6,0)</f>
        <v>"NO SALE"</v>
      </c>
      <c r="G311" s="178" t="s">
        <v>676</v>
      </c>
      <c r="H311" s="179">
        <f t="shared" si="29"/>
        <v>1244767.1433199905</v>
      </c>
      <c r="I311" s="180">
        <f t="shared" si="30"/>
        <v>0</v>
      </c>
      <c r="J311" s="181">
        <f t="shared" si="31"/>
        <v>0</v>
      </c>
      <c r="K311" s="182">
        <v>0</v>
      </c>
      <c r="L311" s="180" t="str">
        <f t="shared" si="38"/>
        <v/>
      </c>
      <c r="M311" s="218">
        <f>SUMIFS(DATA!$L:$L,DATA!$O:$O,$B311,DATA!$N:$N,$A311,DATA!$M:$M,'SALES BY SYSTEM'!$O$1)</f>
        <v>0</v>
      </c>
      <c r="N311" s="182">
        <v>0</v>
      </c>
      <c r="O311" s="180" t="str">
        <f t="shared" si="33"/>
        <v/>
      </c>
      <c r="P311" s="218">
        <f>SUMIFS(DATA!$L:$L,DATA!$O:$O,$B311,DATA!$N:$N,$A311,DATA!$M:$M,'SALES BY SYSTEM'!$O$2)</f>
        <v>0</v>
      </c>
      <c r="Q311" s="182">
        <v>1244767.1433199905</v>
      </c>
      <c r="R311" s="180">
        <f t="shared" si="34"/>
        <v>0</v>
      </c>
      <c r="S311" s="218">
        <f>SUMIFS(DATA!$L:$L,DATA!$O:$O,$B311,DATA!$N:$N,$A311,DATA!$M:$M,'SALES BY SYSTEM'!$O$4)</f>
        <v>0</v>
      </c>
      <c r="T311" s="182">
        <v>0</v>
      </c>
      <c r="U311" s="180" t="str">
        <f t="shared" si="35"/>
        <v/>
      </c>
      <c r="V311" s="218">
        <f>SUMIFS(DATA!$L:$L,DATA!$O:$O,$B311,DATA!$N:$N,$A311,DATA!$M:$M,'SALES BY SYSTEM'!$O$3)</f>
        <v>0</v>
      </c>
      <c r="W311" s="168"/>
    </row>
    <row r="312" spans="1:23" ht="15.75" customHeight="1" x14ac:dyDescent="0.25">
      <c r="A312" s="178" t="s">
        <v>1103</v>
      </c>
      <c r="B312" s="178" t="s">
        <v>16</v>
      </c>
      <c r="C312" s="178" t="str">
        <f>VLOOKUP(A312,CUSTOMER!$A:$C,3,0)</f>
        <v>COOP_F_DXHOP729</v>
      </c>
      <c r="D312" s="178" t="s">
        <v>674</v>
      </c>
      <c r="E312" s="178" t="str">
        <f>VLOOKUP(A312,CUSTOMER!$A$2:$H$1094,5,0)</f>
        <v>VAVANCY-VU MINH TUAN</v>
      </c>
      <c r="F312" s="178" t="str">
        <f>VLOOKUP(A312,CUSTOMER!$A$2:$I$1094,6,0)</f>
        <v>NO SALE</v>
      </c>
      <c r="G312" s="178" t="str">
        <f>VLOOKUP(A312,CUSTOMER!$A$1:$J$1160,7,0)</f>
        <v>"NO PG"</v>
      </c>
      <c r="H312" s="179">
        <f t="shared" si="29"/>
        <v>1244767.1433199905</v>
      </c>
      <c r="I312" s="180">
        <f t="shared" si="30"/>
        <v>0</v>
      </c>
      <c r="J312" s="181">
        <f t="shared" si="31"/>
        <v>0</v>
      </c>
      <c r="K312" s="182">
        <v>0</v>
      </c>
      <c r="L312" s="180" t="str">
        <f t="shared" si="38"/>
        <v/>
      </c>
      <c r="M312" s="218">
        <f>SUMIFS(DATA!$L:$L,DATA!$O:$O,$B312,DATA!$N:$N,$A312,DATA!$M:$M,'SALES BY SYSTEM'!$O$1)</f>
        <v>0</v>
      </c>
      <c r="N312" s="182">
        <v>0</v>
      </c>
      <c r="O312" s="180" t="str">
        <f t="shared" si="33"/>
        <v/>
      </c>
      <c r="P312" s="218">
        <f>SUMIFS(DATA!$L:$L,DATA!$O:$O,$B312,DATA!$N:$N,$A312,DATA!$M:$M,'SALES BY SYSTEM'!$O$2)</f>
        <v>0</v>
      </c>
      <c r="Q312" s="182">
        <v>1244767.1433199905</v>
      </c>
      <c r="R312" s="180">
        <f t="shared" si="34"/>
        <v>0</v>
      </c>
      <c r="S312" s="218">
        <f>SUMIFS(DATA!$L:$L,DATA!$O:$O,$B312,DATA!$N:$N,$A312,DATA!$M:$M,'SALES BY SYSTEM'!$O$4)</f>
        <v>0</v>
      </c>
      <c r="T312" s="182">
        <v>0</v>
      </c>
      <c r="U312" s="180" t="str">
        <f t="shared" si="35"/>
        <v/>
      </c>
      <c r="V312" s="218">
        <f>SUMIFS(DATA!$L:$L,DATA!$O:$O,$B312,DATA!$N:$N,$A312,DATA!$M:$M,'SALES BY SYSTEM'!$O$3)</f>
        <v>0</v>
      </c>
      <c r="W312" s="168"/>
    </row>
    <row r="313" spans="1:23" ht="15.75" customHeight="1" x14ac:dyDescent="0.25">
      <c r="A313" s="178" t="s">
        <v>1137</v>
      </c>
      <c r="B313" s="178" t="s">
        <v>16</v>
      </c>
      <c r="C313" s="178" t="str">
        <f>VLOOKUP(A313,CUSTOMER!$A:$C,3,0)</f>
        <v>COOP_F_EHOMES</v>
      </c>
      <c r="D313" s="178" t="s">
        <v>674</v>
      </c>
      <c r="E313" s="178" t="str">
        <f>VLOOKUP(A313,CUSTOMER!$A$2:$H$1094,5,0)</f>
        <v>VAVANCY-VU MINH TUAN</v>
      </c>
      <c r="F313" s="178" t="str">
        <f>VLOOKUP(A313,CUSTOMER!$A$2:$I$1094,6,0)</f>
        <v>"NO SALE"</v>
      </c>
      <c r="G313" s="178" t="s">
        <v>676</v>
      </c>
      <c r="H313" s="179">
        <f t="shared" si="29"/>
        <v>1244767.1433199905</v>
      </c>
      <c r="I313" s="180">
        <f t="shared" si="30"/>
        <v>0</v>
      </c>
      <c r="J313" s="181">
        <f t="shared" si="31"/>
        <v>0</v>
      </c>
      <c r="K313" s="182">
        <v>0</v>
      </c>
      <c r="L313" s="180" t="str">
        <f t="shared" si="38"/>
        <v/>
      </c>
      <c r="M313" s="218">
        <f>SUMIFS(DATA!$L:$L,DATA!$O:$O,$B313,DATA!$N:$N,$A313,DATA!$M:$M,'SALES BY SYSTEM'!$O$1)</f>
        <v>0</v>
      </c>
      <c r="N313" s="182">
        <v>0</v>
      </c>
      <c r="O313" s="180" t="str">
        <f t="shared" si="33"/>
        <v/>
      </c>
      <c r="P313" s="218">
        <f>SUMIFS(DATA!$L:$L,DATA!$O:$O,$B313,DATA!$N:$N,$A313,DATA!$M:$M,'SALES BY SYSTEM'!$O$2)</f>
        <v>0</v>
      </c>
      <c r="Q313" s="182">
        <v>1244767.1433199905</v>
      </c>
      <c r="R313" s="180">
        <f t="shared" si="34"/>
        <v>0</v>
      </c>
      <c r="S313" s="218">
        <f>SUMIFS(DATA!$L:$L,DATA!$O:$O,$B313,DATA!$N:$N,$A313,DATA!$M:$M,'SALES BY SYSTEM'!$O$4)</f>
        <v>0</v>
      </c>
      <c r="T313" s="182">
        <v>0</v>
      </c>
      <c r="U313" s="180" t="str">
        <f t="shared" si="35"/>
        <v/>
      </c>
      <c r="V313" s="218">
        <f>SUMIFS(DATA!$L:$L,DATA!$O:$O,$B313,DATA!$N:$N,$A313,DATA!$M:$M,'SALES BY SYSTEM'!$O$3)</f>
        <v>0</v>
      </c>
      <c r="W313" s="168"/>
    </row>
    <row r="314" spans="1:23" ht="15.75" customHeight="1" x14ac:dyDescent="0.25">
      <c r="A314" s="178" t="s">
        <v>1167</v>
      </c>
      <c r="B314" s="178" t="s">
        <v>16</v>
      </c>
      <c r="C314" s="178" t="str">
        <f>VLOOKUP(A314,CUSTOMER!$A:$C,3,0)</f>
        <v>COOP_F_GREENSTAR</v>
      </c>
      <c r="D314" s="178" t="s">
        <v>674</v>
      </c>
      <c r="E314" s="178" t="str">
        <f>VLOOKUP(A314,CUSTOMER!$A$2:$H$1094,5,0)</f>
        <v>VAVANCY-VU MINH TUAN</v>
      </c>
      <c r="F314" s="178" t="str">
        <f>VLOOKUP(A314,CUSTOMER!$A$2:$I$1094,6,0)</f>
        <v>NO SALE</v>
      </c>
      <c r="G314" s="178" t="s">
        <v>676</v>
      </c>
      <c r="H314" s="179">
        <f t="shared" si="29"/>
        <v>1244767.1433199905</v>
      </c>
      <c r="I314" s="180">
        <f t="shared" si="30"/>
        <v>0</v>
      </c>
      <c r="J314" s="181">
        <f t="shared" si="31"/>
        <v>0</v>
      </c>
      <c r="K314" s="182">
        <v>0</v>
      </c>
      <c r="L314" s="180" t="str">
        <f t="shared" si="38"/>
        <v/>
      </c>
      <c r="M314" s="218">
        <f>SUMIFS(DATA!$L:$L,DATA!$O:$O,$B314,DATA!$N:$N,$A314,DATA!$M:$M,'SALES BY SYSTEM'!$O$1)</f>
        <v>0</v>
      </c>
      <c r="N314" s="182">
        <v>0</v>
      </c>
      <c r="O314" s="180" t="str">
        <f t="shared" si="33"/>
        <v/>
      </c>
      <c r="P314" s="218">
        <f>SUMIFS(DATA!$L:$L,DATA!$O:$O,$B314,DATA!$N:$N,$A314,DATA!$M:$M,'SALES BY SYSTEM'!$O$2)</f>
        <v>0</v>
      </c>
      <c r="Q314" s="182">
        <v>1244767.1433199905</v>
      </c>
      <c r="R314" s="180">
        <f t="shared" si="34"/>
        <v>0</v>
      </c>
      <c r="S314" s="218">
        <f>SUMIFS(DATA!$L:$L,DATA!$O:$O,$B314,DATA!$N:$N,$A314,DATA!$M:$M,'SALES BY SYSTEM'!$O$4)</f>
        <v>0</v>
      </c>
      <c r="T314" s="182">
        <v>0</v>
      </c>
      <c r="U314" s="180" t="str">
        <f t="shared" si="35"/>
        <v/>
      </c>
      <c r="V314" s="218">
        <f>SUMIFS(DATA!$L:$L,DATA!$O:$O,$B314,DATA!$N:$N,$A314,DATA!$M:$M,'SALES BY SYSTEM'!$O$3)</f>
        <v>0</v>
      </c>
      <c r="W314" s="168"/>
    </row>
    <row r="315" spans="1:23" ht="15.75" customHeight="1" x14ac:dyDescent="0.25">
      <c r="A315" s="178" t="s">
        <v>1099</v>
      </c>
      <c r="B315" s="178" t="s">
        <v>16</v>
      </c>
      <c r="C315" s="178" t="str">
        <f>VLOOKUP(A315,CUSTOMER!$A:$C,3,0)</f>
        <v>COOP_F_HQUAN</v>
      </c>
      <c r="D315" s="178" t="s">
        <v>674</v>
      </c>
      <c r="E315" s="178" t="str">
        <f>VLOOKUP(A315,CUSTOMER!$A$2:$H$1094,5,0)</f>
        <v>VAVANCY-VU MINH TUAN</v>
      </c>
      <c r="F315" s="178" t="str">
        <f>VLOOKUP(A315,CUSTOMER!$A$2:$I$1094,6,0)</f>
        <v>NO SALE</v>
      </c>
      <c r="G315" s="178" t="str">
        <f>VLOOKUP(A315,CUSTOMER!$A$1:$J$1160,7,0)</f>
        <v>"NO PG"</v>
      </c>
      <c r="H315" s="179">
        <f t="shared" si="29"/>
        <v>1244767.1433199905</v>
      </c>
      <c r="I315" s="180">
        <f t="shared" si="30"/>
        <v>0</v>
      </c>
      <c r="J315" s="181">
        <f t="shared" si="31"/>
        <v>0</v>
      </c>
      <c r="K315" s="182">
        <v>0</v>
      </c>
      <c r="L315" s="180" t="str">
        <f t="shared" si="38"/>
        <v/>
      </c>
      <c r="M315" s="218">
        <f>SUMIFS(DATA!$L:$L,DATA!$O:$O,$B315,DATA!$N:$N,$A315,DATA!$M:$M,'SALES BY SYSTEM'!$O$1)</f>
        <v>0</v>
      </c>
      <c r="N315" s="182">
        <v>0</v>
      </c>
      <c r="O315" s="180" t="str">
        <f t="shared" si="33"/>
        <v/>
      </c>
      <c r="P315" s="218">
        <f>SUMIFS(DATA!$L:$L,DATA!$O:$O,$B315,DATA!$N:$N,$A315,DATA!$M:$M,'SALES BY SYSTEM'!$O$2)</f>
        <v>0</v>
      </c>
      <c r="Q315" s="182">
        <v>1244767.1433199905</v>
      </c>
      <c r="R315" s="180">
        <f t="shared" si="34"/>
        <v>0</v>
      </c>
      <c r="S315" s="218">
        <f>SUMIFS(DATA!$L:$L,DATA!$O:$O,$B315,DATA!$N:$N,$A315,DATA!$M:$M,'SALES BY SYSTEM'!$O$4)</f>
        <v>0</v>
      </c>
      <c r="T315" s="182">
        <v>0</v>
      </c>
      <c r="U315" s="180" t="str">
        <f t="shared" si="35"/>
        <v/>
      </c>
      <c r="V315" s="218">
        <f>SUMIFS(DATA!$L:$L,DATA!$O:$O,$B315,DATA!$N:$N,$A315,DATA!$M:$M,'SALES BY SYSTEM'!$O$3)</f>
        <v>0</v>
      </c>
      <c r="W315" s="168"/>
    </row>
    <row r="316" spans="1:23" ht="15.75" customHeight="1" x14ac:dyDescent="0.25">
      <c r="A316" s="178" t="s">
        <v>1095</v>
      </c>
      <c r="B316" s="178" t="s">
        <v>16</v>
      </c>
      <c r="C316" s="178" t="str">
        <f>VLOOKUP(A316,CUSTOMER!$A:$C,3,0)</f>
        <v>COOP_F_KDCHTHANHIII</v>
      </c>
      <c r="D316" s="178" t="s">
        <v>674</v>
      </c>
      <c r="E316" s="178" t="str">
        <f>VLOOKUP(A316,CUSTOMER!$A$2:$H$1094,5,0)</f>
        <v>VAVANCY-VU MINH TUAN</v>
      </c>
      <c r="F316" s="178" t="str">
        <f>VLOOKUP(A316,CUSTOMER!$A$2:$I$1094,6,0)</f>
        <v>NO SALE</v>
      </c>
      <c r="G316" s="178" t="str">
        <f>VLOOKUP(A316,CUSTOMER!$A$1:$J$1160,7,0)</f>
        <v>"NO PG"</v>
      </c>
      <c r="H316" s="179">
        <f t="shared" si="29"/>
        <v>1244767.1433199905</v>
      </c>
      <c r="I316" s="180">
        <f t="shared" si="30"/>
        <v>0</v>
      </c>
      <c r="J316" s="181">
        <f t="shared" si="31"/>
        <v>0</v>
      </c>
      <c r="K316" s="182">
        <v>0</v>
      </c>
      <c r="L316" s="180" t="str">
        <f t="shared" si="38"/>
        <v/>
      </c>
      <c r="M316" s="218">
        <f>SUMIFS(DATA!$L:$L,DATA!$O:$O,$B316,DATA!$N:$N,$A316,DATA!$M:$M,'SALES BY SYSTEM'!$O$1)</f>
        <v>0</v>
      </c>
      <c r="N316" s="182">
        <v>0</v>
      </c>
      <c r="O316" s="180" t="str">
        <f t="shared" si="33"/>
        <v/>
      </c>
      <c r="P316" s="218">
        <f>SUMIFS(DATA!$L:$L,DATA!$O:$O,$B316,DATA!$N:$N,$A316,DATA!$M:$M,'SALES BY SYSTEM'!$O$2)</f>
        <v>0</v>
      </c>
      <c r="Q316" s="182">
        <v>1244767.1433199905</v>
      </c>
      <c r="R316" s="180">
        <f t="shared" si="34"/>
        <v>0</v>
      </c>
      <c r="S316" s="218">
        <f>SUMIFS(DATA!$L:$L,DATA!$O:$O,$B316,DATA!$N:$N,$A316,DATA!$M:$M,'SALES BY SYSTEM'!$O$4)</f>
        <v>0</v>
      </c>
      <c r="T316" s="182">
        <v>0</v>
      </c>
      <c r="U316" s="180" t="str">
        <f t="shared" si="35"/>
        <v/>
      </c>
      <c r="V316" s="218">
        <f>SUMIFS(DATA!$L:$L,DATA!$O:$O,$B316,DATA!$N:$N,$A316,DATA!$M:$M,'SALES BY SYSTEM'!$O$3)</f>
        <v>0</v>
      </c>
      <c r="W316" s="168"/>
    </row>
    <row r="317" spans="1:23" ht="15.75" customHeight="1" x14ac:dyDescent="0.25">
      <c r="A317" s="178" t="s">
        <v>390</v>
      </c>
      <c r="B317" s="178" t="s">
        <v>16</v>
      </c>
      <c r="C317" s="178" t="str">
        <f>VLOOKUP(A317,CUSTOMER!$A:$C,3,0)</f>
        <v>COOP_F_KDIEN</v>
      </c>
      <c r="D317" s="178" t="s">
        <v>674</v>
      </c>
      <c r="E317" s="178" t="str">
        <f>VLOOKUP(A317,CUSTOMER!$A$2:$H$1094,5,0)</f>
        <v>VAVANCY-VU MINH TUAN</v>
      </c>
      <c r="F317" s="178" t="str">
        <f>VLOOKUP(A317,CUSTOMER!$A$2:$I$1094,6,0)</f>
        <v>"NO SALE"</v>
      </c>
      <c r="G317" s="178" t="s">
        <v>676</v>
      </c>
      <c r="H317" s="179">
        <f t="shared" si="29"/>
        <v>1244767.1433199905</v>
      </c>
      <c r="I317" s="180">
        <f t="shared" si="30"/>
        <v>0</v>
      </c>
      <c r="J317" s="181">
        <f t="shared" si="31"/>
        <v>0</v>
      </c>
      <c r="K317" s="182">
        <v>0</v>
      </c>
      <c r="L317" s="180" t="str">
        <f t="shared" si="38"/>
        <v/>
      </c>
      <c r="M317" s="218">
        <f>SUMIFS(DATA!$L:$L,DATA!$O:$O,$B317,DATA!$N:$N,$A317,DATA!$M:$M,'SALES BY SYSTEM'!$O$1)</f>
        <v>0</v>
      </c>
      <c r="N317" s="182">
        <v>0</v>
      </c>
      <c r="O317" s="180" t="str">
        <f t="shared" si="33"/>
        <v/>
      </c>
      <c r="P317" s="218">
        <f>SUMIFS(DATA!$L:$L,DATA!$O:$O,$B317,DATA!$N:$N,$A317,DATA!$M:$M,'SALES BY SYSTEM'!$O$2)</f>
        <v>0</v>
      </c>
      <c r="Q317" s="182">
        <v>1244767.1433199905</v>
      </c>
      <c r="R317" s="180">
        <f t="shared" si="34"/>
        <v>0</v>
      </c>
      <c r="S317" s="218">
        <f>SUMIFS(DATA!$L:$L,DATA!$O:$O,$B317,DATA!$N:$N,$A317,DATA!$M:$M,'SALES BY SYSTEM'!$O$4)</f>
        <v>0</v>
      </c>
      <c r="T317" s="182">
        <v>0</v>
      </c>
      <c r="U317" s="180" t="str">
        <f t="shared" si="35"/>
        <v/>
      </c>
      <c r="V317" s="218">
        <f>SUMIFS(DATA!$L:$L,DATA!$O:$O,$B317,DATA!$N:$N,$A317,DATA!$M:$M,'SALES BY SYSTEM'!$O$3)</f>
        <v>0</v>
      </c>
      <c r="W317" s="168"/>
    </row>
    <row r="318" spans="1:23" ht="15.75" customHeight="1" x14ac:dyDescent="0.25">
      <c r="A318" s="178" t="s">
        <v>1177</v>
      </c>
      <c r="B318" s="178" t="s">
        <v>16</v>
      </c>
      <c r="C318" s="178" t="str">
        <f>VLOOKUP(A318,CUSTOMER!$A:$C,3,0)</f>
        <v>COOP_F_KDONG</v>
      </c>
      <c r="D318" s="178" t="s">
        <v>674</v>
      </c>
      <c r="E318" s="178" t="str">
        <f>VLOOKUP(A318,CUSTOMER!$A$2:$H$1094,5,0)</f>
        <v>VAVANCY-VU MINH TUAN</v>
      </c>
      <c r="F318" s="178" t="str">
        <f>VLOOKUP(A318,CUSTOMER!$A$2:$I$1094,6,0)</f>
        <v>TRAN THI THANH TRUC</v>
      </c>
      <c r="G318" s="178" t="s">
        <v>676</v>
      </c>
      <c r="H318" s="179">
        <f t="shared" si="29"/>
        <v>1244767.1433199905</v>
      </c>
      <c r="I318" s="180">
        <f t="shared" si="30"/>
        <v>0</v>
      </c>
      <c r="J318" s="181">
        <f t="shared" si="31"/>
        <v>0</v>
      </c>
      <c r="K318" s="182">
        <v>0</v>
      </c>
      <c r="L318" s="180" t="str">
        <f t="shared" si="38"/>
        <v/>
      </c>
      <c r="M318" s="218">
        <f>SUMIFS(DATA!$L:$L,DATA!$O:$O,$B318,DATA!$N:$N,$A318,DATA!$M:$M,'SALES BY SYSTEM'!$O$1)</f>
        <v>0</v>
      </c>
      <c r="N318" s="182">
        <v>0</v>
      </c>
      <c r="O318" s="180" t="str">
        <f t="shared" si="33"/>
        <v/>
      </c>
      <c r="P318" s="218">
        <f>SUMIFS(DATA!$L:$L,DATA!$O:$O,$B318,DATA!$N:$N,$A318,DATA!$M:$M,'SALES BY SYSTEM'!$O$2)</f>
        <v>0</v>
      </c>
      <c r="Q318" s="182">
        <v>1244767.1433199905</v>
      </c>
      <c r="R318" s="180">
        <f t="shared" si="34"/>
        <v>0</v>
      </c>
      <c r="S318" s="218">
        <f>SUMIFS(DATA!$L:$L,DATA!$O:$O,$B318,DATA!$N:$N,$A318,DATA!$M:$M,'SALES BY SYSTEM'!$O$4)</f>
        <v>0</v>
      </c>
      <c r="T318" s="182">
        <v>0</v>
      </c>
      <c r="U318" s="180" t="str">
        <f t="shared" si="35"/>
        <v/>
      </c>
      <c r="V318" s="218">
        <f>SUMIFS(DATA!$L:$L,DATA!$O:$O,$B318,DATA!$N:$N,$A318,DATA!$M:$M,'SALES BY SYSTEM'!$O$3)</f>
        <v>0</v>
      </c>
      <c r="W318" s="168"/>
    </row>
    <row r="319" spans="1:23" ht="15.75" customHeight="1" x14ac:dyDescent="0.25">
      <c r="A319" s="178" t="s">
        <v>392</v>
      </c>
      <c r="B319" s="178" t="s">
        <v>16</v>
      </c>
      <c r="C319" s="178" t="str">
        <f>VLOOKUP(A319,CUSTOMER!$A:$C,3,0)</f>
        <v>COOP_F_KRISTA</v>
      </c>
      <c r="D319" s="178" t="s">
        <v>674</v>
      </c>
      <c r="E319" s="178" t="str">
        <f>VLOOKUP(A319,CUSTOMER!$A$2:$H$1094,5,0)</f>
        <v>VAVANCY-VU MINH TUAN</v>
      </c>
      <c r="F319" s="178" t="str">
        <f>VLOOKUP(A319,CUSTOMER!$A$2:$I$1094,6,0)</f>
        <v>NO SALE</v>
      </c>
      <c r="G319" s="178" t="str">
        <f>VLOOKUP(A319,CUSTOMER!$A$1:$J$1160,7,0)</f>
        <v>"NO PG"</v>
      </c>
      <c r="H319" s="179">
        <f t="shared" si="29"/>
        <v>1244767.1433199905</v>
      </c>
      <c r="I319" s="180">
        <f t="shared" si="30"/>
        <v>0</v>
      </c>
      <c r="J319" s="181">
        <f t="shared" si="31"/>
        <v>0</v>
      </c>
      <c r="K319" s="182">
        <v>0</v>
      </c>
      <c r="L319" s="180" t="str">
        <f t="shared" si="38"/>
        <v/>
      </c>
      <c r="M319" s="218">
        <f>SUMIFS(DATA!$L:$L,DATA!$O:$O,$B319,DATA!$N:$N,$A319,DATA!$M:$M,'SALES BY SYSTEM'!$O$1)</f>
        <v>0</v>
      </c>
      <c r="N319" s="182">
        <v>0</v>
      </c>
      <c r="O319" s="180" t="str">
        <f t="shared" si="33"/>
        <v/>
      </c>
      <c r="P319" s="218">
        <f>SUMIFS(DATA!$L:$L,DATA!$O:$O,$B319,DATA!$N:$N,$A319,DATA!$M:$M,'SALES BY SYSTEM'!$O$2)</f>
        <v>0</v>
      </c>
      <c r="Q319" s="182">
        <v>1244767.1433199905</v>
      </c>
      <c r="R319" s="180">
        <f t="shared" si="34"/>
        <v>0</v>
      </c>
      <c r="S319" s="218">
        <f>SUMIFS(DATA!$L:$L,DATA!$O:$O,$B319,DATA!$N:$N,$A319,DATA!$M:$M,'SALES BY SYSTEM'!$O$4)</f>
        <v>0</v>
      </c>
      <c r="T319" s="182">
        <v>0</v>
      </c>
      <c r="U319" s="180" t="str">
        <f t="shared" si="35"/>
        <v/>
      </c>
      <c r="V319" s="218">
        <f>SUMIFS(DATA!$L:$L,DATA!$O:$O,$B319,DATA!$N:$N,$A319,DATA!$M:$M,'SALES BY SYSTEM'!$O$3)</f>
        <v>0</v>
      </c>
      <c r="W319" s="168"/>
    </row>
    <row r="320" spans="1:23" ht="15.75" customHeight="1" x14ac:dyDescent="0.25">
      <c r="A320" s="178" t="s">
        <v>396</v>
      </c>
      <c r="B320" s="178" t="s">
        <v>16</v>
      </c>
      <c r="C320" s="178" t="str">
        <f>VLOOKUP(A320,CUSTOMER!$A:$C,3,0)</f>
        <v>COOP_F_LACASA</v>
      </c>
      <c r="D320" s="178" t="s">
        <v>674</v>
      </c>
      <c r="E320" s="178" t="str">
        <f>VLOOKUP(A320,CUSTOMER!$A$2:$H$1094,5,0)</f>
        <v>VAVANCY-VU MINH TUAN</v>
      </c>
      <c r="F320" s="178" t="str">
        <f>VLOOKUP(A320,CUSTOMER!$A$2:$I$1094,6,0)</f>
        <v>NO SALE</v>
      </c>
      <c r="G320" s="178" t="str">
        <f>VLOOKUP(A320,CUSTOMER!$A$1:$J$1160,7,0)</f>
        <v>"NO PG"</v>
      </c>
      <c r="H320" s="179">
        <f t="shared" si="29"/>
        <v>1244767.1433199905</v>
      </c>
      <c r="I320" s="180">
        <f t="shared" si="30"/>
        <v>0</v>
      </c>
      <c r="J320" s="181">
        <f t="shared" si="31"/>
        <v>0</v>
      </c>
      <c r="K320" s="182">
        <v>0</v>
      </c>
      <c r="L320" s="180" t="str">
        <f t="shared" si="38"/>
        <v/>
      </c>
      <c r="M320" s="218">
        <f>SUMIFS(DATA!$L:$L,DATA!$O:$O,$B320,DATA!$N:$N,$A320,DATA!$M:$M,'SALES BY SYSTEM'!$O$1)</f>
        <v>0</v>
      </c>
      <c r="N320" s="182">
        <v>0</v>
      </c>
      <c r="O320" s="180" t="str">
        <f t="shared" si="33"/>
        <v/>
      </c>
      <c r="P320" s="218">
        <f>SUMIFS(DATA!$L:$L,DATA!$O:$O,$B320,DATA!$N:$N,$A320,DATA!$M:$M,'SALES BY SYSTEM'!$O$2)</f>
        <v>0</v>
      </c>
      <c r="Q320" s="182">
        <v>1244767.1433199905</v>
      </c>
      <c r="R320" s="180">
        <f t="shared" si="34"/>
        <v>0</v>
      </c>
      <c r="S320" s="218">
        <f>SUMIFS(DATA!$L:$L,DATA!$O:$O,$B320,DATA!$N:$N,$A320,DATA!$M:$M,'SALES BY SYSTEM'!$O$4)</f>
        <v>0</v>
      </c>
      <c r="T320" s="182">
        <v>0</v>
      </c>
      <c r="U320" s="180" t="str">
        <f t="shared" si="35"/>
        <v/>
      </c>
      <c r="V320" s="218">
        <f>SUMIFS(DATA!$L:$L,DATA!$O:$O,$B320,DATA!$N:$N,$A320,DATA!$M:$M,'SALES BY SYSTEM'!$O$3)</f>
        <v>0</v>
      </c>
      <c r="W320" s="168"/>
    </row>
    <row r="321" spans="1:23" ht="15.75" customHeight="1" x14ac:dyDescent="0.25">
      <c r="A321" s="178" t="s">
        <v>1179</v>
      </c>
      <c r="B321" s="178" t="s">
        <v>16</v>
      </c>
      <c r="C321" s="178" t="str">
        <f>VLOOKUP(A321,CUSTOMER!$A:$C,3,0)</f>
        <v>COOP_F_LVBEN</v>
      </c>
      <c r="D321" s="178" t="s">
        <v>674</v>
      </c>
      <c r="E321" s="178" t="str">
        <f>VLOOKUP(A321,CUSTOMER!$A$2:$H$1094,5,0)</f>
        <v>VAVANCY-VU MINH TUAN</v>
      </c>
      <c r="F321" s="178" t="str">
        <f>VLOOKUP(A321,CUSTOMER!$A$2:$I$1094,6,0)</f>
        <v>NO SALE</v>
      </c>
      <c r="G321" s="178" t="s">
        <v>676</v>
      </c>
      <c r="H321" s="179">
        <f t="shared" si="29"/>
        <v>1244767.1433199905</v>
      </c>
      <c r="I321" s="180">
        <f t="shared" si="30"/>
        <v>0</v>
      </c>
      <c r="J321" s="181">
        <f t="shared" si="31"/>
        <v>0</v>
      </c>
      <c r="K321" s="182">
        <v>0</v>
      </c>
      <c r="L321" s="180" t="str">
        <f t="shared" si="38"/>
        <v/>
      </c>
      <c r="M321" s="218">
        <f>SUMIFS(DATA!$L:$L,DATA!$O:$O,$B321,DATA!$N:$N,$A321,DATA!$M:$M,'SALES BY SYSTEM'!$O$1)</f>
        <v>0</v>
      </c>
      <c r="N321" s="182">
        <v>0</v>
      </c>
      <c r="O321" s="180" t="str">
        <f t="shared" si="33"/>
        <v/>
      </c>
      <c r="P321" s="218">
        <f>SUMIFS(DATA!$L:$L,DATA!$O:$O,$B321,DATA!$N:$N,$A321,DATA!$M:$M,'SALES BY SYSTEM'!$O$2)</f>
        <v>0</v>
      </c>
      <c r="Q321" s="182">
        <v>1244767.1433199905</v>
      </c>
      <c r="R321" s="180">
        <f t="shared" si="34"/>
        <v>0</v>
      </c>
      <c r="S321" s="218">
        <f>SUMIFS(DATA!$L:$L,DATA!$O:$O,$B321,DATA!$N:$N,$A321,DATA!$M:$M,'SALES BY SYSTEM'!$O$4)</f>
        <v>0</v>
      </c>
      <c r="T321" s="182">
        <v>0</v>
      </c>
      <c r="U321" s="180" t="str">
        <f t="shared" si="35"/>
        <v/>
      </c>
      <c r="V321" s="218">
        <f>SUMIFS(DATA!$L:$L,DATA!$O:$O,$B321,DATA!$N:$N,$A321,DATA!$M:$M,'SALES BY SYSTEM'!$O$3)</f>
        <v>0</v>
      </c>
      <c r="W321" s="168"/>
    </row>
    <row r="322" spans="1:23" ht="15.75" customHeight="1" x14ac:dyDescent="0.25">
      <c r="A322" s="178" t="s">
        <v>1141</v>
      </c>
      <c r="B322" s="178" t="s">
        <v>16</v>
      </c>
      <c r="C322" s="178" t="str">
        <f>VLOOKUP(A322,CUSTOMER!$A:$C,3,0)</f>
        <v>COOP_F_LKHU5_6</v>
      </c>
      <c r="D322" s="178" t="s">
        <v>674</v>
      </c>
      <c r="E322" s="178" t="str">
        <f>VLOOKUP(A322,CUSTOMER!$A$2:$H$1094,5,0)</f>
        <v>VAVANCY-VU MINH TUAN</v>
      </c>
      <c r="F322" s="178" t="str">
        <f>VLOOKUP(A322,CUSTOMER!$A$2:$I$1094,6,0)</f>
        <v>"NO SALE"</v>
      </c>
      <c r="G322" s="178" t="s">
        <v>676</v>
      </c>
      <c r="H322" s="179">
        <f t="shared" si="29"/>
        <v>1244767.1433199905</v>
      </c>
      <c r="I322" s="180">
        <f t="shared" si="30"/>
        <v>0</v>
      </c>
      <c r="J322" s="181">
        <f t="shared" si="31"/>
        <v>0</v>
      </c>
      <c r="K322" s="182">
        <v>0</v>
      </c>
      <c r="L322" s="180" t="str">
        <f t="shared" si="38"/>
        <v/>
      </c>
      <c r="M322" s="218">
        <f>SUMIFS(DATA!$L:$L,DATA!$O:$O,$B322,DATA!$N:$N,$A322,DATA!$M:$M,'SALES BY SYSTEM'!$O$1)</f>
        <v>0</v>
      </c>
      <c r="N322" s="182">
        <v>0</v>
      </c>
      <c r="O322" s="180" t="str">
        <f t="shared" si="33"/>
        <v/>
      </c>
      <c r="P322" s="218">
        <f>SUMIFS(DATA!$L:$L,DATA!$O:$O,$B322,DATA!$N:$N,$A322,DATA!$M:$M,'SALES BY SYSTEM'!$O$2)</f>
        <v>0</v>
      </c>
      <c r="Q322" s="182">
        <v>1244767.1433199905</v>
      </c>
      <c r="R322" s="180">
        <f t="shared" si="34"/>
        <v>0</v>
      </c>
      <c r="S322" s="218">
        <f>SUMIFS(DATA!$L:$L,DATA!$O:$O,$B322,DATA!$N:$N,$A322,DATA!$M:$M,'SALES BY SYSTEM'!$O$4)</f>
        <v>0</v>
      </c>
      <c r="T322" s="182">
        <v>0</v>
      </c>
      <c r="U322" s="180" t="str">
        <f t="shared" si="35"/>
        <v/>
      </c>
      <c r="V322" s="218">
        <f>SUMIFS(DATA!$L:$L,DATA!$O:$O,$B322,DATA!$N:$N,$A322,DATA!$M:$M,'SALES BY SYSTEM'!$O$3)</f>
        <v>0</v>
      </c>
      <c r="W322" s="168"/>
    </row>
    <row r="323" spans="1:23" ht="15.75" customHeight="1" x14ac:dyDescent="0.25">
      <c r="A323" s="178" t="s">
        <v>1107</v>
      </c>
      <c r="B323" s="178" t="s">
        <v>16</v>
      </c>
      <c r="C323" s="178" t="str">
        <f>VLOOKUP(A323,CUSTOMER!$A:$C,3,0)</f>
        <v>COOP_F_LCHOANG113</v>
      </c>
      <c r="D323" s="178" t="s">
        <v>674</v>
      </c>
      <c r="E323" s="178" t="str">
        <f>VLOOKUP(A323,CUSTOMER!$A$2:$H$1094,5,0)</f>
        <v>VAVANCY-VU MINH TUAN</v>
      </c>
      <c r="F323" s="178" t="str">
        <f>VLOOKUP(A323,CUSTOMER!$A$2:$I$1094,6,0)</f>
        <v>NO SALE</v>
      </c>
      <c r="G323" s="178" t="str">
        <f>VLOOKUP(A323,CUSTOMER!$A$1:$J$1160,7,0)</f>
        <v>"NO PG"</v>
      </c>
      <c r="H323" s="179">
        <f t="shared" ref="H323:H366" si="39">SUM(K323,N323,Q323,T323)</f>
        <v>1244767.1433199905</v>
      </c>
      <c r="I323" s="180">
        <f t="shared" ref="I323:I366" si="40">IFERROR(J323/H323,"")</f>
        <v>0</v>
      </c>
      <c r="J323" s="181">
        <f t="shared" ref="J323:J366" si="41">SUM(M323,P323,S323,V323)</f>
        <v>0</v>
      </c>
      <c r="K323" s="182">
        <v>0</v>
      </c>
      <c r="L323" s="180" t="str">
        <f t="shared" si="38"/>
        <v/>
      </c>
      <c r="M323" s="218">
        <f>SUMIFS(DATA!$L:$L,DATA!$O:$O,$B323,DATA!$N:$N,$A323,DATA!$M:$M,'SALES BY SYSTEM'!$O$1)</f>
        <v>0</v>
      </c>
      <c r="N323" s="182">
        <v>0</v>
      </c>
      <c r="O323" s="180" t="str">
        <f t="shared" ref="O323:O333" si="42">IFERROR(P323/N323,"")</f>
        <v/>
      </c>
      <c r="P323" s="218">
        <f>SUMIFS(DATA!$L:$L,DATA!$O:$O,$B323,DATA!$N:$N,$A323,DATA!$M:$M,'SALES BY SYSTEM'!$O$2)</f>
        <v>0</v>
      </c>
      <c r="Q323" s="182">
        <v>1244767.1433199905</v>
      </c>
      <c r="R323" s="180">
        <f t="shared" ref="R323:R333" si="43">IFERROR(S323/Q323,"")</f>
        <v>0</v>
      </c>
      <c r="S323" s="218">
        <f>SUMIFS(DATA!$L:$L,DATA!$O:$O,$B323,DATA!$N:$N,$A323,DATA!$M:$M,'SALES BY SYSTEM'!$O$4)</f>
        <v>0</v>
      </c>
      <c r="T323" s="182">
        <v>0</v>
      </c>
      <c r="U323" s="180" t="str">
        <f t="shared" ref="U323:U333" si="44">IFERROR(V323/T323,"")</f>
        <v/>
      </c>
      <c r="V323" s="218">
        <f>SUMIFS(DATA!$L:$L,DATA!$O:$O,$B323,DATA!$N:$N,$A323,DATA!$M:$M,'SALES BY SYSTEM'!$O$3)</f>
        <v>0</v>
      </c>
      <c r="W323" s="168"/>
    </row>
    <row r="324" spans="1:23" ht="15.75" customHeight="1" x14ac:dyDescent="0.25">
      <c r="A324" s="178" t="s">
        <v>1097</v>
      </c>
      <c r="B324" s="178" t="s">
        <v>16</v>
      </c>
      <c r="C324" s="178" t="str">
        <f>VLOOKUP(A324,CUSTOMER!$A:$C,3,0)</f>
        <v>COOP_F_MTHIEN126</v>
      </c>
      <c r="D324" s="178" t="s">
        <v>674</v>
      </c>
      <c r="E324" s="178" t="str">
        <f>VLOOKUP(A324,CUSTOMER!$A$2:$H$1094,5,0)</f>
        <v>VAVANCY-VU MINH TUAN</v>
      </c>
      <c r="F324" s="178" t="str">
        <f>VLOOKUP(A324,CUSTOMER!$A$2:$I$1094,6,0)</f>
        <v>NO SALE</v>
      </c>
      <c r="G324" s="178" t="str">
        <f>VLOOKUP(A324,CUSTOMER!$A$1:$J$1160,7,0)</f>
        <v>"NO PG"</v>
      </c>
      <c r="H324" s="179">
        <f t="shared" si="39"/>
        <v>1244767.1433199905</v>
      </c>
      <c r="I324" s="180">
        <f t="shared" si="40"/>
        <v>0</v>
      </c>
      <c r="J324" s="181">
        <f t="shared" si="41"/>
        <v>0</v>
      </c>
      <c r="K324" s="182">
        <v>0</v>
      </c>
      <c r="L324" s="180" t="str">
        <f t="shared" si="38"/>
        <v/>
      </c>
      <c r="M324" s="218">
        <f>SUMIFS(DATA!$L:$L,DATA!$O:$O,$B324,DATA!$N:$N,$A324,DATA!$M:$M,'SALES BY SYSTEM'!$O$1)</f>
        <v>0</v>
      </c>
      <c r="N324" s="182">
        <v>0</v>
      </c>
      <c r="O324" s="180" t="str">
        <f t="shared" si="42"/>
        <v/>
      </c>
      <c r="P324" s="218">
        <f>SUMIFS(DATA!$L:$L,DATA!$O:$O,$B324,DATA!$N:$N,$A324,DATA!$M:$M,'SALES BY SYSTEM'!$O$2)</f>
        <v>0</v>
      </c>
      <c r="Q324" s="182">
        <v>1244767.1433199905</v>
      </c>
      <c r="R324" s="180">
        <f t="shared" si="43"/>
        <v>0</v>
      </c>
      <c r="S324" s="218">
        <f>SUMIFS(DATA!$L:$L,DATA!$O:$O,$B324,DATA!$N:$N,$A324,DATA!$M:$M,'SALES BY SYSTEM'!$O$4)</f>
        <v>0</v>
      </c>
      <c r="T324" s="182">
        <v>0</v>
      </c>
      <c r="U324" s="180" t="str">
        <f t="shared" si="44"/>
        <v/>
      </c>
      <c r="V324" s="218">
        <f>SUMIFS(DATA!$L:$L,DATA!$O:$O,$B324,DATA!$N:$N,$A324,DATA!$M:$M,'SALES BY SYSTEM'!$O$3)</f>
        <v>0</v>
      </c>
      <c r="W324" s="168"/>
    </row>
    <row r="325" spans="1:23" ht="15.75" customHeight="1" x14ac:dyDescent="0.25">
      <c r="A325" s="178" t="s">
        <v>357</v>
      </c>
      <c r="B325" s="178" t="s">
        <v>16</v>
      </c>
      <c r="C325" s="178" t="str">
        <f>VLOOKUP(A325,CUSTOMER!$A:$C,3,0)</f>
        <v>COOP_F_MTHIEN</v>
      </c>
      <c r="D325" s="178" t="s">
        <v>674</v>
      </c>
      <c r="E325" s="178" t="str">
        <f>VLOOKUP(A325,CUSTOMER!$A$2:$H$1094,5,0)</f>
        <v>VAVANCY-VU MINH TUAN</v>
      </c>
      <c r="F325" s="178" t="str">
        <f>VLOOKUP(A325,CUSTOMER!$A$2:$I$1094,6,0)</f>
        <v>NO SALE</v>
      </c>
      <c r="G325" s="178" t="s">
        <v>676</v>
      </c>
      <c r="H325" s="179">
        <f t="shared" si="39"/>
        <v>1244767.1433199905</v>
      </c>
      <c r="I325" s="180">
        <f t="shared" si="40"/>
        <v>0</v>
      </c>
      <c r="J325" s="181">
        <f t="shared" si="41"/>
        <v>0</v>
      </c>
      <c r="K325" s="182">
        <v>0</v>
      </c>
      <c r="L325" s="180" t="str">
        <f t="shared" si="38"/>
        <v/>
      </c>
      <c r="M325" s="218">
        <f>SUMIFS(DATA!$L:$L,DATA!$O:$O,$B325,DATA!$N:$N,$A325,DATA!$M:$M,'SALES BY SYSTEM'!$O$1)</f>
        <v>0</v>
      </c>
      <c r="N325" s="182">
        <v>0</v>
      </c>
      <c r="O325" s="180" t="str">
        <f t="shared" si="42"/>
        <v/>
      </c>
      <c r="P325" s="218">
        <f>SUMIFS(DATA!$L:$L,DATA!$O:$O,$B325,DATA!$N:$N,$A325,DATA!$M:$M,'SALES BY SYSTEM'!$O$2)</f>
        <v>0</v>
      </c>
      <c r="Q325" s="182">
        <v>1244767.1433199905</v>
      </c>
      <c r="R325" s="180">
        <f t="shared" si="43"/>
        <v>0</v>
      </c>
      <c r="S325" s="218">
        <f>SUMIFS(DATA!$L:$L,DATA!$O:$O,$B325,DATA!$N:$N,$A325,DATA!$M:$M,'SALES BY SYSTEM'!$O$4)</f>
        <v>0</v>
      </c>
      <c r="T325" s="182">
        <v>0</v>
      </c>
      <c r="U325" s="180" t="str">
        <f t="shared" si="44"/>
        <v/>
      </c>
      <c r="V325" s="218">
        <f>SUMIFS(DATA!$L:$L,DATA!$O:$O,$B325,DATA!$N:$N,$A325,DATA!$M:$M,'SALES BY SYSTEM'!$O$3)</f>
        <v>0</v>
      </c>
      <c r="W325" s="168"/>
    </row>
    <row r="326" spans="1:23" ht="15.75" customHeight="1" x14ac:dyDescent="0.25">
      <c r="A326" s="178" t="s">
        <v>1181</v>
      </c>
      <c r="B326" s="178" t="s">
        <v>16</v>
      </c>
      <c r="C326" s="178" t="str">
        <f>VLOOKUP(A326,CUSTOMER!$A:$C,3,0)</f>
        <v>COOP_F_NBTONG</v>
      </c>
      <c r="D326" s="178" t="s">
        <v>674</v>
      </c>
      <c r="E326" s="178" t="str">
        <f>VLOOKUP(A326,CUSTOMER!$A$2:$H$1094,5,0)</f>
        <v>VAVANCY-VU MINH TUAN</v>
      </c>
      <c r="F326" s="178" t="str">
        <f>VLOOKUP(A326,CUSTOMER!$A$2:$I$1094,6,0)</f>
        <v>NO SALE</v>
      </c>
      <c r="G326" s="178" t="s">
        <v>676</v>
      </c>
      <c r="H326" s="179">
        <f t="shared" si="39"/>
        <v>1244767.1433199905</v>
      </c>
      <c r="I326" s="180">
        <f t="shared" si="40"/>
        <v>0</v>
      </c>
      <c r="J326" s="181">
        <f t="shared" si="41"/>
        <v>0</v>
      </c>
      <c r="K326" s="182">
        <v>0</v>
      </c>
      <c r="L326" s="180" t="str">
        <f t="shared" si="38"/>
        <v/>
      </c>
      <c r="M326" s="218">
        <f>SUMIFS(DATA!$L:$L,DATA!$O:$O,$B326,DATA!$N:$N,$A326,DATA!$M:$M,'SALES BY SYSTEM'!$O$1)</f>
        <v>0</v>
      </c>
      <c r="N326" s="182">
        <v>0</v>
      </c>
      <c r="O326" s="180" t="str">
        <f t="shared" si="42"/>
        <v/>
      </c>
      <c r="P326" s="218">
        <f>SUMIFS(DATA!$L:$L,DATA!$O:$O,$B326,DATA!$N:$N,$A326,DATA!$M:$M,'SALES BY SYSTEM'!$O$2)</f>
        <v>0</v>
      </c>
      <c r="Q326" s="182">
        <v>1244767.1433199905</v>
      </c>
      <c r="R326" s="180">
        <f t="shared" si="43"/>
        <v>0</v>
      </c>
      <c r="S326" s="218">
        <f>SUMIFS(DATA!$L:$L,DATA!$O:$O,$B326,DATA!$N:$N,$A326,DATA!$M:$M,'SALES BY SYSTEM'!$O$4)</f>
        <v>0</v>
      </c>
      <c r="T326" s="182">
        <v>0</v>
      </c>
      <c r="U326" s="180" t="str">
        <f t="shared" si="44"/>
        <v/>
      </c>
      <c r="V326" s="218">
        <f>SUMIFS(DATA!$L:$L,DATA!$O:$O,$B326,DATA!$N:$N,$A326,DATA!$M:$M,'SALES BY SYSTEM'!$O$3)</f>
        <v>0</v>
      </c>
      <c r="W326" s="168"/>
    </row>
    <row r="327" spans="1:23" ht="15.75" customHeight="1" x14ac:dyDescent="0.25">
      <c r="A327" s="198" t="s">
        <v>1155</v>
      </c>
      <c r="B327" s="178" t="s">
        <v>16</v>
      </c>
      <c r="C327" s="178" t="str">
        <f>VLOOKUP(A327,CUSTOMER!$A:$C,3,0)</f>
        <v>COOP_F_NCDAM</v>
      </c>
      <c r="D327" s="178" t="s">
        <v>674</v>
      </c>
      <c r="E327" s="178" t="str">
        <f>VLOOKUP(A327,CUSTOMER!$A$2:$H$1094,5,0)</f>
        <v>VAVANCY-VU MINH TUAN</v>
      </c>
      <c r="F327" s="178" t="str">
        <f>VLOOKUP(A327,CUSTOMER!$A$2:$I$1094,6,0)</f>
        <v>NO SALE</v>
      </c>
      <c r="G327" s="178" t="s">
        <v>676</v>
      </c>
      <c r="H327" s="179">
        <f t="shared" si="39"/>
        <v>1244767.1433199905</v>
      </c>
      <c r="I327" s="180">
        <f t="shared" si="40"/>
        <v>0</v>
      </c>
      <c r="J327" s="181">
        <f t="shared" si="41"/>
        <v>0</v>
      </c>
      <c r="K327" s="182">
        <v>0</v>
      </c>
      <c r="L327" s="180" t="str">
        <f t="shared" si="38"/>
        <v/>
      </c>
      <c r="M327" s="218">
        <f>SUMIFS(DATA!$L:$L,DATA!$O:$O,$B327,DATA!$N:$N,$A327,DATA!$M:$M,'SALES BY SYSTEM'!$O$1)</f>
        <v>0</v>
      </c>
      <c r="N327" s="182">
        <v>0</v>
      </c>
      <c r="O327" s="180" t="str">
        <f t="shared" si="42"/>
        <v/>
      </c>
      <c r="P327" s="218">
        <f>SUMIFS(DATA!$L:$L,DATA!$O:$O,$B327,DATA!$N:$N,$A327,DATA!$M:$M,'SALES BY SYSTEM'!$O$2)</f>
        <v>0</v>
      </c>
      <c r="Q327" s="182">
        <v>1244767.1433199905</v>
      </c>
      <c r="R327" s="180">
        <f t="shared" si="43"/>
        <v>0</v>
      </c>
      <c r="S327" s="218">
        <f>SUMIFS(DATA!$L:$L,DATA!$O:$O,$B327,DATA!$N:$N,$A327,DATA!$M:$M,'SALES BY SYSTEM'!$O$4)</f>
        <v>0</v>
      </c>
      <c r="T327" s="182">
        <v>0</v>
      </c>
      <c r="U327" s="180" t="str">
        <f t="shared" si="44"/>
        <v/>
      </c>
      <c r="V327" s="218">
        <f>SUMIFS(DATA!$L:$L,DATA!$O:$O,$B327,DATA!$N:$N,$A327,DATA!$M:$M,'SALES BY SYSTEM'!$O$3)</f>
        <v>0</v>
      </c>
      <c r="W327" s="168"/>
    </row>
    <row r="328" spans="1:23" ht="15.75" customHeight="1" x14ac:dyDescent="0.25">
      <c r="A328" s="178" t="s">
        <v>1149</v>
      </c>
      <c r="B328" s="178" t="s">
        <v>16</v>
      </c>
      <c r="C328" s="178" t="str">
        <f>VLOOKUP(A328,CUSTOMER!$A:$C,3,0)</f>
        <v>COOP_F_NLB</v>
      </c>
      <c r="D328" s="178" t="s">
        <v>674</v>
      </c>
      <c r="E328" s="178" t="str">
        <f>VLOOKUP(A328,CUSTOMER!$A$2:$H$1094,5,0)</f>
        <v>VAVANCY-VU MINH TUAN</v>
      </c>
      <c r="F328" s="178" t="str">
        <f>VLOOKUP(A328,CUSTOMER!$A$2:$I$1094,6,0)</f>
        <v>TRAN THI THANH TRUC</v>
      </c>
      <c r="G328" s="178" t="s">
        <v>676</v>
      </c>
      <c r="H328" s="179">
        <f t="shared" si="39"/>
        <v>1244767.1433199905</v>
      </c>
      <c r="I328" s="180">
        <f t="shared" si="40"/>
        <v>0</v>
      </c>
      <c r="J328" s="181">
        <f t="shared" si="41"/>
        <v>0</v>
      </c>
      <c r="K328" s="182">
        <v>0</v>
      </c>
      <c r="L328" s="180" t="str">
        <f t="shared" si="38"/>
        <v/>
      </c>
      <c r="M328" s="218">
        <f>SUMIFS(DATA!$L:$L,DATA!$O:$O,$B328,DATA!$N:$N,$A328,DATA!$M:$M,'SALES BY SYSTEM'!$O$1)</f>
        <v>0</v>
      </c>
      <c r="N328" s="182">
        <v>0</v>
      </c>
      <c r="O328" s="180" t="str">
        <f t="shared" si="42"/>
        <v/>
      </c>
      <c r="P328" s="218">
        <f>SUMIFS(DATA!$L:$L,DATA!$O:$O,$B328,DATA!$N:$N,$A328,DATA!$M:$M,'SALES BY SYSTEM'!$O$2)</f>
        <v>0</v>
      </c>
      <c r="Q328" s="182">
        <v>1244767.1433199905</v>
      </c>
      <c r="R328" s="180">
        <f t="shared" si="43"/>
        <v>0</v>
      </c>
      <c r="S328" s="218">
        <f>SUMIFS(DATA!$L:$L,DATA!$O:$O,$B328,DATA!$N:$N,$A328,DATA!$M:$M,'SALES BY SYSTEM'!$O$4)</f>
        <v>0</v>
      </c>
      <c r="T328" s="182">
        <v>0</v>
      </c>
      <c r="U328" s="180" t="str">
        <f t="shared" si="44"/>
        <v/>
      </c>
      <c r="V328" s="218">
        <f>SUMIFS(DATA!$L:$L,DATA!$O:$O,$B328,DATA!$N:$N,$A328,DATA!$M:$M,'SALES BY SYSTEM'!$O$3)</f>
        <v>0</v>
      </c>
      <c r="W328" s="168"/>
    </row>
    <row r="329" spans="1:23" ht="15.75" customHeight="1" x14ac:dyDescent="0.25">
      <c r="A329" s="178" t="s">
        <v>1159</v>
      </c>
      <c r="B329" s="178" t="s">
        <v>16</v>
      </c>
      <c r="C329" s="178" t="str">
        <f>VLOOKUP(A329,CUSTOMER!$A:$C,3,0)</f>
        <v>COOP_F_NOANH</v>
      </c>
      <c r="D329" s="178" t="s">
        <v>674</v>
      </c>
      <c r="E329" s="178" t="str">
        <f>VLOOKUP(A329,CUSTOMER!$A$2:$H$1094,5,0)</f>
        <v>VAVANCY-VU MINH TUAN</v>
      </c>
      <c r="F329" s="178" t="str">
        <f>VLOOKUP(A329,CUSTOMER!$A$2:$I$1094,6,0)</f>
        <v>NO SALE</v>
      </c>
      <c r="G329" s="178" t="s">
        <v>676</v>
      </c>
      <c r="H329" s="179">
        <f t="shared" si="39"/>
        <v>1244767.1433199905</v>
      </c>
      <c r="I329" s="180">
        <f t="shared" si="40"/>
        <v>0</v>
      </c>
      <c r="J329" s="181">
        <f t="shared" si="41"/>
        <v>0</v>
      </c>
      <c r="K329" s="182">
        <v>0</v>
      </c>
      <c r="L329" s="180" t="str">
        <f t="shared" si="38"/>
        <v/>
      </c>
      <c r="M329" s="218">
        <f>SUMIFS(DATA!$L:$L,DATA!$O:$O,$B329,DATA!$N:$N,$A329,DATA!$M:$M,'SALES BY SYSTEM'!$O$1)</f>
        <v>0</v>
      </c>
      <c r="N329" s="182">
        <v>0</v>
      </c>
      <c r="O329" s="180" t="str">
        <f t="shared" si="42"/>
        <v/>
      </c>
      <c r="P329" s="218">
        <f>SUMIFS(DATA!$L:$L,DATA!$O:$O,$B329,DATA!$N:$N,$A329,DATA!$M:$M,'SALES BY SYSTEM'!$O$2)</f>
        <v>0</v>
      </c>
      <c r="Q329" s="182">
        <v>1244767.1433199905</v>
      </c>
      <c r="R329" s="180">
        <f t="shared" si="43"/>
        <v>0</v>
      </c>
      <c r="S329" s="218">
        <f>SUMIFS(DATA!$L:$L,DATA!$O:$O,$B329,DATA!$N:$N,$A329,DATA!$M:$M,'SALES BY SYSTEM'!$O$4)</f>
        <v>0</v>
      </c>
      <c r="T329" s="182">
        <v>0</v>
      </c>
      <c r="U329" s="180" t="str">
        <f t="shared" si="44"/>
        <v/>
      </c>
      <c r="V329" s="218">
        <f>SUMIFS(DATA!$L:$L,DATA!$O:$O,$B329,DATA!$N:$N,$A329,DATA!$M:$M,'SALES BY SYSTEM'!$O$3)</f>
        <v>0</v>
      </c>
      <c r="W329" s="168"/>
    </row>
    <row r="330" spans="1:23" ht="15.75" customHeight="1" x14ac:dyDescent="0.25">
      <c r="A330" s="178" t="s">
        <v>1135</v>
      </c>
      <c r="B330" s="178" t="s">
        <v>16</v>
      </c>
      <c r="C330" s="178" t="str">
        <f>VLOOKUP(A330,CUSTOMER!$A:$C,3,0)</f>
        <v>COOP_F_NSON</v>
      </c>
      <c r="D330" s="178" t="s">
        <v>674</v>
      </c>
      <c r="E330" s="178" t="str">
        <f>VLOOKUP(A330,CUSTOMER!$A$2:$H$1094,5,0)</f>
        <v>VAVANCY-VU MINH TUAN</v>
      </c>
      <c r="F330" s="178" t="str">
        <f>VLOOKUP(A330,CUSTOMER!$A$2:$I$1094,6,0)</f>
        <v>"NO SALE"</v>
      </c>
      <c r="G330" s="178" t="s">
        <v>676</v>
      </c>
      <c r="H330" s="179">
        <f t="shared" si="39"/>
        <v>1244767.1433199905</v>
      </c>
      <c r="I330" s="180">
        <f t="shared" si="40"/>
        <v>0</v>
      </c>
      <c r="J330" s="181">
        <f t="shared" si="41"/>
        <v>0</v>
      </c>
      <c r="K330" s="182">
        <v>0</v>
      </c>
      <c r="L330" s="180" t="str">
        <f t="shared" si="38"/>
        <v/>
      </c>
      <c r="M330" s="218">
        <f>SUMIFS(DATA!$L:$L,DATA!$O:$O,$B330,DATA!$N:$N,$A330,DATA!$M:$M,'SALES BY SYSTEM'!$O$1)</f>
        <v>0</v>
      </c>
      <c r="N330" s="182">
        <v>0</v>
      </c>
      <c r="O330" s="180" t="str">
        <f t="shared" si="42"/>
        <v/>
      </c>
      <c r="P330" s="218">
        <f>SUMIFS(DATA!$L:$L,DATA!$O:$O,$B330,DATA!$N:$N,$A330,DATA!$M:$M,'SALES BY SYSTEM'!$O$2)</f>
        <v>0</v>
      </c>
      <c r="Q330" s="182">
        <v>1244767.1433199905</v>
      </c>
      <c r="R330" s="180">
        <f t="shared" si="43"/>
        <v>0</v>
      </c>
      <c r="S330" s="218">
        <f>SUMIFS(DATA!$L:$L,DATA!$O:$O,$B330,DATA!$N:$N,$A330,DATA!$M:$M,'SALES BY SYSTEM'!$O$4)</f>
        <v>0</v>
      </c>
      <c r="T330" s="182">
        <v>0</v>
      </c>
      <c r="U330" s="180" t="str">
        <f t="shared" si="44"/>
        <v/>
      </c>
      <c r="V330" s="218">
        <f>SUMIFS(DATA!$L:$L,DATA!$O:$O,$B330,DATA!$N:$N,$A330,DATA!$M:$M,'SALES BY SYSTEM'!$O$3)</f>
        <v>0</v>
      </c>
      <c r="W330" s="168"/>
    </row>
    <row r="331" spans="1:23" ht="15.75" customHeight="1" x14ac:dyDescent="0.25">
      <c r="A331" s="178" t="s">
        <v>1151</v>
      </c>
      <c r="B331" s="178" t="s">
        <v>16</v>
      </c>
      <c r="C331" s="178" t="str">
        <f>VLOOKUP(A331,CUSTOMER!$A:$C,3,0)</f>
        <v>COOP_NTHONG1</v>
      </c>
      <c r="D331" s="178" t="s">
        <v>674</v>
      </c>
      <c r="E331" s="178" t="str">
        <f>VLOOKUP(A331,CUSTOMER!$A$2:$H$1094,5,0)</f>
        <v>VAVANCY-VU MINH TUAN</v>
      </c>
      <c r="F331" s="178" t="str">
        <f>VLOOKUP(A331,CUSTOMER!$A$2:$I$1094,6,0)</f>
        <v>TRAN THI THANH TRUC</v>
      </c>
      <c r="G331" s="178" t="s">
        <v>676</v>
      </c>
      <c r="H331" s="179">
        <f t="shared" si="39"/>
        <v>1244767.1433199905</v>
      </c>
      <c r="I331" s="180">
        <f t="shared" si="40"/>
        <v>0</v>
      </c>
      <c r="J331" s="181">
        <f t="shared" si="41"/>
        <v>0</v>
      </c>
      <c r="K331" s="182">
        <v>0</v>
      </c>
      <c r="L331" s="180" t="str">
        <f t="shared" si="38"/>
        <v/>
      </c>
      <c r="M331" s="218">
        <f>SUMIFS(DATA!$L:$L,DATA!$O:$O,$B331,DATA!$N:$N,$A331,DATA!$M:$M,'SALES BY SYSTEM'!$O$1)</f>
        <v>0</v>
      </c>
      <c r="N331" s="182">
        <v>0</v>
      </c>
      <c r="O331" s="180" t="str">
        <f t="shared" si="42"/>
        <v/>
      </c>
      <c r="P331" s="218">
        <f>SUMIFS(DATA!$L:$L,DATA!$O:$O,$B331,DATA!$N:$N,$A331,DATA!$M:$M,'SALES BY SYSTEM'!$O$2)</f>
        <v>0</v>
      </c>
      <c r="Q331" s="182">
        <v>1244767.1433199905</v>
      </c>
      <c r="R331" s="180">
        <f t="shared" si="43"/>
        <v>0</v>
      </c>
      <c r="S331" s="218">
        <f>SUMIFS(DATA!$L:$L,DATA!$O:$O,$B331,DATA!$N:$N,$A331,DATA!$M:$M,'SALES BY SYSTEM'!$O$4)</f>
        <v>0</v>
      </c>
      <c r="T331" s="182">
        <v>0</v>
      </c>
      <c r="U331" s="180" t="str">
        <f t="shared" si="44"/>
        <v/>
      </c>
      <c r="V331" s="218">
        <f>SUMIFS(DATA!$L:$L,DATA!$O:$O,$B331,DATA!$N:$N,$A331,DATA!$M:$M,'SALES BY SYSTEM'!$O$3)</f>
        <v>0</v>
      </c>
      <c r="W331" s="168"/>
    </row>
    <row r="332" spans="1:23" ht="15.75" customHeight="1" x14ac:dyDescent="0.25">
      <c r="A332" s="178" t="s">
        <v>1145</v>
      </c>
      <c r="B332" s="178" t="s">
        <v>16</v>
      </c>
      <c r="C332" s="178" t="str">
        <f>VLOOKUP(A332,CUSTOMER!$A:$C,3,0)</f>
        <v>COOP_F_NVDUNG</v>
      </c>
      <c r="D332" s="178" t="s">
        <v>674</v>
      </c>
      <c r="E332" s="178" t="str">
        <f>VLOOKUP(A332,CUSTOMER!$A$2:$H$1094,5,0)</f>
        <v>VAVANCY-VU MINH TUAN</v>
      </c>
      <c r="F332" s="178" t="str">
        <f>VLOOKUP(A332,CUSTOMER!$A$2:$I$1094,6,0)</f>
        <v>"NO SALE"</v>
      </c>
      <c r="G332" s="178" t="s">
        <v>676</v>
      </c>
      <c r="H332" s="179">
        <f t="shared" si="39"/>
        <v>1244767.1433199905</v>
      </c>
      <c r="I332" s="180">
        <f t="shared" si="40"/>
        <v>0</v>
      </c>
      <c r="J332" s="181">
        <f t="shared" si="41"/>
        <v>0</v>
      </c>
      <c r="K332" s="182">
        <v>0</v>
      </c>
      <c r="L332" s="180" t="str">
        <f t="shared" si="38"/>
        <v/>
      </c>
      <c r="M332" s="218">
        <f>SUMIFS(DATA!$L:$L,DATA!$O:$O,$B332,DATA!$N:$N,$A332,DATA!$M:$M,'SALES BY SYSTEM'!$O$1)</f>
        <v>0</v>
      </c>
      <c r="N332" s="182">
        <v>0</v>
      </c>
      <c r="O332" s="180" t="str">
        <f t="shared" si="42"/>
        <v/>
      </c>
      <c r="P332" s="218">
        <f>SUMIFS(DATA!$L:$L,DATA!$O:$O,$B332,DATA!$N:$N,$A332,DATA!$M:$M,'SALES BY SYSTEM'!$O$2)</f>
        <v>0</v>
      </c>
      <c r="Q332" s="182">
        <v>1244767.1433199905</v>
      </c>
      <c r="R332" s="180">
        <f t="shared" si="43"/>
        <v>0</v>
      </c>
      <c r="S332" s="218">
        <f>SUMIFS(DATA!$L:$L,DATA!$O:$O,$B332,DATA!$N:$N,$A332,DATA!$M:$M,'SALES BY SYSTEM'!$O$4)</f>
        <v>0</v>
      </c>
      <c r="T332" s="182">
        <v>0</v>
      </c>
      <c r="U332" s="180" t="str">
        <f t="shared" si="44"/>
        <v/>
      </c>
      <c r="V332" s="218">
        <f>SUMIFS(DATA!$L:$L,DATA!$O:$O,$B332,DATA!$N:$N,$A332,DATA!$M:$M,'SALES BY SYSTEM'!$O$3)</f>
        <v>0</v>
      </c>
      <c r="W332" s="168"/>
    </row>
    <row r="333" spans="1:23" ht="15.75" customHeight="1" x14ac:dyDescent="0.25">
      <c r="A333" s="178" t="s">
        <v>1202</v>
      </c>
      <c r="B333" s="178" t="s">
        <v>16</v>
      </c>
      <c r="C333" s="178" t="str">
        <f>VLOOKUP(A333,CUSTOMER!$A:$C,3,0)</f>
        <v>COOP_F_NXI</v>
      </c>
      <c r="D333" s="178" t="s">
        <v>674</v>
      </c>
      <c r="E333" s="178" t="str">
        <f>VLOOKUP(A333,CUSTOMER!$A$2:$H$1094,5,0)</f>
        <v>VAVANCY-VU MINH TUAN</v>
      </c>
      <c r="F333" s="178" t="str">
        <f>VLOOKUP(A333,CUSTOMER!$A$2:$I$1094,6,0)</f>
        <v>TRAN THI THANH TRUC</v>
      </c>
      <c r="G333" s="178" t="s">
        <v>676</v>
      </c>
      <c r="H333" s="179">
        <f t="shared" si="39"/>
        <v>1244767.1433199905</v>
      </c>
      <c r="I333" s="180">
        <f t="shared" si="40"/>
        <v>0</v>
      </c>
      <c r="J333" s="181">
        <f t="shared" si="41"/>
        <v>0</v>
      </c>
      <c r="K333" s="182">
        <v>0</v>
      </c>
      <c r="L333" s="180" t="str">
        <f t="shared" si="38"/>
        <v/>
      </c>
      <c r="M333" s="218">
        <f>SUMIFS(DATA!$L:$L,DATA!$O:$O,$B333,DATA!$N:$N,$A333,DATA!$M:$M,'SALES BY SYSTEM'!$O$1)</f>
        <v>0</v>
      </c>
      <c r="N333" s="182">
        <v>0</v>
      </c>
      <c r="O333" s="180" t="str">
        <f t="shared" si="42"/>
        <v/>
      </c>
      <c r="P333" s="218">
        <f>SUMIFS(DATA!$L:$L,DATA!$O:$O,$B333,DATA!$N:$N,$A333,DATA!$M:$M,'SALES BY SYSTEM'!$O$2)</f>
        <v>0</v>
      </c>
      <c r="Q333" s="182">
        <v>1244767.1433199905</v>
      </c>
      <c r="R333" s="180">
        <f t="shared" si="43"/>
        <v>0</v>
      </c>
      <c r="S333" s="218">
        <f>SUMIFS(DATA!$L:$L,DATA!$O:$O,$B333,DATA!$N:$N,$A333,DATA!$M:$M,'SALES BY SYSTEM'!$O$4)</f>
        <v>0</v>
      </c>
      <c r="T333" s="182">
        <v>0</v>
      </c>
      <c r="U333" s="180" t="str">
        <f t="shared" si="44"/>
        <v/>
      </c>
      <c r="V333" s="218">
        <f>SUMIFS(DATA!$L:$L,DATA!$O:$O,$B333,DATA!$N:$N,$A333,DATA!$M:$M,'SALES BY SYSTEM'!$O$3)</f>
        <v>0</v>
      </c>
      <c r="W333" s="168"/>
    </row>
    <row r="334" spans="1:23" ht="15.75" customHeight="1" x14ac:dyDescent="0.25">
      <c r="A334" s="178" t="s">
        <v>1089</v>
      </c>
      <c r="B334" s="178" t="s">
        <v>16</v>
      </c>
      <c r="C334" s="178" t="str">
        <f>VLOOKUP(A334,CUSTOMER!$A:$C,3,0)</f>
        <v>COOP_F_NBE</v>
      </c>
      <c r="D334" s="178" t="s">
        <v>674</v>
      </c>
      <c r="E334" s="178" t="str">
        <f>VLOOKUP(A335,CUSTOMER!$A$2:$H$1094,5,0)</f>
        <v>VAVANCY-VU MINH TUAN</v>
      </c>
      <c r="F334" s="178" t="str">
        <f>VLOOKUP(A335,CUSTOMER!$A$2:$I$1094,6,0)</f>
        <v>VACANCY</v>
      </c>
      <c r="G334" s="178" t="str">
        <f>VLOOKUP(A335,CUSTOMER!$A$1:$J$1160,7,0)</f>
        <v>"NO PG"</v>
      </c>
      <c r="H334" s="179">
        <f t="shared" si="39"/>
        <v>1244767.1433199905</v>
      </c>
      <c r="I334" s="180">
        <f t="shared" si="40"/>
        <v>0</v>
      </c>
      <c r="J334" s="181">
        <f t="shared" si="41"/>
        <v>0</v>
      </c>
      <c r="K334" s="182">
        <v>0</v>
      </c>
      <c r="L334" s="180" t="str">
        <f t="shared" ref="L334:L365" si="45">IFERROR(M335/K335,"")</f>
        <v/>
      </c>
      <c r="M334" s="218">
        <f>SUMIFS(DATA!$L:$L,DATA!$O:$O,$B335,DATA!$N:$N,$A335,DATA!$M:$M,'SALES BY SYSTEM'!$O$1)</f>
        <v>0</v>
      </c>
      <c r="N334" s="182">
        <v>0</v>
      </c>
      <c r="O334" s="180" t="str">
        <f t="shared" ref="O334:O365" si="46">IFERROR(P335/N335,"")</f>
        <v/>
      </c>
      <c r="P334" s="218">
        <f>SUMIFS(DATA!$L:$L,DATA!$O:$O,$B335,DATA!$N:$N,$A335,DATA!$M:$M,'SALES BY SYSTEM'!$O$2)</f>
        <v>0</v>
      </c>
      <c r="Q334" s="182">
        <v>1244767.1433199905</v>
      </c>
      <c r="R334" s="180">
        <f t="shared" ref="R334:R365" si="47">IFERROR(S335/Q335,"")</f>
        <v>0</v>
      </c>
      <c r="S334" s="218">
        <f>SUMIFS(DATA!$L:$L,DATA!$O:$O,$B335,DATA!$N:$N,$A335,DATA!$M:$M,'SALES BY SYSTEM'!$O$4)</f>
        <v>0</v>
      </c>
      <c r="T334" s="182">
        <v>0</v>
      </c>
      <c r="U334" s="180" t="str">
        <f t="shared" ref="U334:U365" si="48">IFERROR(V335/T335,"")</f>
        <v/>
      </c>
      <c r="V334" s="218">
        <f>SUMIFS(DATA!$L:$L,DATA!$O:$O,$B335,DATA!$N:$N,$A335,DATA!$M:$M,'SALES BY SYSTEM'!$O$3)</f>
        <v>0</v>
      </c>
      <c r="W334" s="168"/>
    </row>
    <row r="335" spans="1:23" ht="15.75" customHeight="1" x14ac:dyDescent="0.25">
      <c r="A335" s="178" t="s">
        <v>1091</v>
      </c>
      <c r="B335" s="178" t="s">
        <v>16</v>
      </c>
      <c r="C335" s="178" t="str">
        <f>VLOOKUP(A335,CUSTOMER!$A:$C,3,0)</f>
        <v>COOP_F_PTHIEN2</v>
      </c>
      <c r="D335" s="178" t="s">
        <v>674</v>
      </c>
      <c r="E335" s="178" t="str">
        <f>VLOOKUP(A336,CUSTOMER!$A$2:$H$1094,5,0)</f>
        <v>VAVANCY-VU MINH TUAN</v>
      </c>
      <c r="F335" s="178" t="str">
        <f>VLOOKUP(A336,CUSTOMER!$A$2:$I$1094,6,0)</f>
        <v>NO SALE</v>
      </c>
      <c r="G335" s="178" t="str">
        <f>VLOOKUP(A336,CUSTOMER!$A$1:$J$1160,7,0)</f>
        <v>"NO PG"</v>
      </c>
      <c r="H335" s="179">
        <f t="shared" si="39"/>
        <v>1244767.1433199905</v>
      </c>
      <c r="I335" s="180">
        <f t="shared" si="40"/>
        <v>0</v>
      </c>
      <c r="J335" s="181">
        <f t="shared" si="41"/>
        <v>0</v>
      </c>
      <c r="K335" s="182">
        <v>0</v>
      </c>
      <c r="L335" s="180" t="str">
        <f t="shared" si="45"/>
        <v/>
      </c>
      <c r="M335" s="218">
        <f>SUMIFS(DATA!$L:$L,DATA!$O:$O,$B336,DATA!$N:$N,$A336,DATA!$M:$M,'SALES BY SYSTEM'!$O$1)</f>
        <v>0</v>
      </c>
      <c r="N335" s="182">
        <v>0</v>
      </c>
      <c r="O335" s="180" t="str">
        <f t="shared" si="46"/>
        <v/>
      </c>
      <c r="P335" s="218">
        <f>SUMIFS(DATA!$L:$L,DATA!$O:$O,$B336,DATA!$N:$N,$A336,DATA!$M:$M,'SALES BY SYSTEM'!$O$2)</f>
        <v>0</v>
      </c>
      <c r="Q335" s="182">
        <v>1244767.1433199905</v>
      </c>
      <c r="R335" s="180">
        <f t="shared" si="47"/>
        <v>0</v>
      </c>
      <c r="S335" s="218">
        <f>SUMIFS(DATA!$L:$L,DATA!$O:$O,$B336,DATA!$N:$N,$A336,DATA!$M:$M,'SALES BY SYSTEM'!$O$4)</f>
        <v>0</v>
      </c>
      <c r="T335" s="182">
        <v>0</v>
      </c>
      <c r="U335" s="180" t="str">
        <f t="shared" si="48"/>
        <v/>
      </c>
      <c r="V335" s="218">
        <f>SUMIFS(DATA!$L:$L,DATA!$O:$O,$B336,DATA!$N:$N,$A336,DATA!$M:$M,'SALES BY SYSTEM'!$O$3)</f>
        <v>0</v>
      </c>
      <c r="W335" s="168"/>
    </row>
    <row r="336" spans="1:23" ht="15.75" customHeight="1" x14ac:dyDescent="0.25">
      <c r="A336" s="178" t="s">
        <v>331</v>
      </c>
      <c r="B336" s="178" t="s">
        <v>16</v>
      </c>
      <c r="C336" s="178" t="str">
        <f>VLOOKUP(A336,CUSTOMER!$A:$C,3,0)</f>
        <v>COOP_F_PVTRI</v>
      </c>
      <c r="D336" s="178" t="s">
        <v>674</v>
      </c>
      <c r="E336" s="178" t="str">
        <f>VLOOKUP(A337,CUSTOMER!$A$2:$H$1094,5,0)</f>
        <v>VAVANCY-VU MINH TUAN</v>
      </c>
      <c r="F336" s="178" t="str">
        <f>VLOOKUP(A337,CUSTOMER!$A$2:$I$1094,6,0)</f>
        <v>"NO SALE"</v>
      </c>
      <c r="G336" s="178" t="str">
        <f>VLOOKUP(A337,CUSTOMER!$A$1:$J$1160,7,0)</f>
        <v>"NO PG"</v>
      </c>
      <c r="H336" s="179">
        <f t="shared" si="39"/>
        <v>1244767.1433199905</v>
      </c>
      <c r="I336" s="180">
        <f t="shared" si="40"/>
        <v>0</v>
      </c>
      <c r="J336" s="181">
        <f t="shared" si="41"/>
        <v>0</v>
      </c>
      <c r="K336" s="182">
        <v>0</v>
      </c>
      <c r="L336" s="180" t="str">
        <f t="shared" si="45"/>
        <v/>
      </c>
      <c r="M336" s="218">
        <f>SUMIFS(DATA!$L:$L,DATA!$O:$O,$B337,DATA!$N:$N,$A337,DATA!$M:$M,'SALES BY SYSTEM'!$O$1)</f>
        <v>0</v>
      </c>
      <c r="N336" s="182">
        <v>0</v>
      </c>
      <c r="O336" s="180" t="str">
        <f t="shared" si="46"/>
        <v/>
      </c>
      <c r="P336" s="218">
        <f>SUMIFS(DATA!$L:$L,DATA!$O:$O,$B337,DATA!$N:$N,$A337,DATA!$M:$M,'SALES BY SYSTEM'!$O$2)</f>
        <v>0</v>
      </c>
      <c r="Q336" s="182">
        <v>1244767.1433199905</v>
      </c>
      <c r="R336" s="180">
        <f t="shared" si="47"/>
        <v>0</v>
      </c>
      <c r="S336" s="218">
        <f>SUMIFS(DATA!$L:$L,DATA!$O:$O,$B337,DATA!$N:$N,$A337,DATA!$M:$M,'SALES BY SYSTEM'!$O$4)</f>
        <v>0</v>
      </c>
      <c r="T336" s="182">
        <v>0</v>
      </c>
      <c r="U336" s="180" t="str">
        <f t="shared" si="48"/>
        <v/>
      </c>
      <c r="V336" s="218">
        <f>SUMIFS(DATA!$L:$L,DATA!$O:$O,$B337,DATA!$N:$N,$A337,DATA!$M:$M,'SALES BY SYSTEM'!$O$3)</f>
        <v>0</v>
      </c>
      <c r="W336" s="168"/>
    </row>
    <row r="337" spans="1:23" ht="15.75" customHeight="1" x14ac:dyDescent="0.25">
      <c r="A337" s="178" t="s">
        <v>1131</v>
      </c>
      <c r="B337" s="178" t="s">
        <v>16</v>
      </c>
      <c r="C337" s="178" t="str">
        <f>VLOOKUP(A337,CUSTOMER!$A:$C,3,0)</f>
        <v>COOP_F_PHANH</v>
      </c>
      <c r="D337" s="178" t="s">
        <v>674</v>
      </c>
      <c r="E337" s="178" t="str">
        <f>VLOOKUP(A338,CUSTOMER!$A$2:$H$1094,5,0)</f>
        <v>VAVANCY-VU MINH TUAN</v>
      </c>
      <c r="F337" s="178" t="str">
        <f>VLOOKUP(A338,CUSTOMER!$A$2:$I$1094,6,0)</f>
        <v>NO SALE</v>
      </c>
      <c r="G337" s="178" t="s">
        <v>676</v>
      </c>
      <c r="H337" s="179">
        <f t="shared" si="39"/>
        <v>1244767.1433199905</v>
      </c>
      <c r="I337" s="180">
        <f t="shared" si="40"/>
        <v>0</v>
      </c>
      <c r="J337" s="181">
        <f t="shared" si="41"/>
        <v>0</v>
      </c>
      <c r="K337" s="182">
        <v>0</v>
      </c>
      <c r="L337" s="180" t="str">
        <f t="shared" si="45"/>
        <v/>
      </c>
      <c r="M337" s="218">
        <f>SUMIFS(DATA!$L:$L,DATA!$O:$O,$B338,DATA!$N:$N,$A338,DATA!$M:$M,'SALES BY SYSTEM'!$O$1)</f>
        <v>0</v>
      </c>
      <c r="N337" s="182">
        <v>0</v>
      </c>
      <c r="O337" s="180" t="str">
        <f t="shared" si="46"/>
        <v/>
      </c>
      <c r="P337" s="218">
        <f>SUMIFS(DATA!$L:$L,DATA!$O:$O,$B338,DATA!$N:$N,$A338,DATA!$M:$M,'SALES BY SYSTEM'!$O$2)</f>
        <v>0</v>
      </c>
      <c r="Q337" s="182">
        <v>1244767.1433199905</v>
      </c>
      <c r="R337" s="180">
        <f t="shared" si="47"/>
        <v>0</v>
      </c>
      <c r="S337" s="218">
        <f>SUMIFS(DATA!$L:$L,DATA!$O:$O,$B338,DATA!$N:$N,$A338,DATA!$M:$M,'SALES BY SYSTEM'!$O$4)</f>
        <v>0</v>
      </c>
      <c r="T337" s="182">
        <v>0</v>
      </c>
      <c r="U337" s="180" t="str">
        <f t="shared" si="48"/>
        <v/>
      </c>
      <c r="V337" s="218">
        <f>SUMIFS(DATA!$L:$L,DATA!$O:$O,$B338,DATA!$N:$N,$A338,DATA!$M:$M,'SALES BY SYSTEM'!$O$3)</f>
        <v>0</v>
      </c>
      <c r="W337" s="168"/>
    </row>
    <row r="338" spans="1:23" ht="15.75" customHeight="1" x14ac:dyDescent="0.25">
      <c r="A338" s="13" t="s">
        <v>333</v>
      </c>
      <c r="B338" s="13" t="s">
        <v>16</v>
      </c>
      <c r="C338" s="13" t="str">
        <f>VLOOKUP(A338,CUSTOMER!$A:$C,3,0)</f>
        <v>COOP_F_QDBAO</v>
      </c>
      <c r="D338" s="178" t="s">
        <v>674</v>
      </c>
      <c r="E338" s="178" t="str">
        <f>VLOOKUP(A339,CUSTOMER!$A$2:$H$1094,5,0)</f>
        <v>VAVANCY-VU MINH TUAN</v>
      </c>
      <c r="F338" s="178" t="str">
        <f>VLOOKUP(A339,CUSTOMER!$A$2:$I$1094,6,0)</f>
        <v>NO SALE</v>
      </c>
      <c r="G338" s="178" t="str">
        <f>VLOOKUP(A339,CUSTOMER!$A$1:$J$1160,7,0)</f>
        <v>"NO PG"</v>
      </c>
      <c r="H338" s="179">
        <f t="shared" si="39"/>
        <v>1244767.1433199905</v>
      </c>
      <c r="I338" s="180">
        <f t="shared" si="40"/>
        <v>0</v>
      </c>
      <c r="J338" s="181">
        <f t="shared" si="41"/>
        <v>0</v>
      </c>
      <c r="K338" s="182">
        <v>0</v>
      </c>
      <c r="L338" s="180" t="str">
        <f t="shared" si="45"/>
        <v/>
      </c>
      <c r="M338" s="218">
        <f>SUMIFS(DATA!$L:$L,DATA!$O:$O,$B339,DATA!$N:$N,$A339,DATA!$M:$M,'SALES BY SYSTEM'!$O$1)</f>
        <v>0</v>
      </c>
      <c r="N338" s="182">
        <v>0</v>
      </c>
      <c r="O338" s="180" t="str">
        <f t="shared" si="46"/>
        <v/>
      </c>
      <c r="P338" s="218">
        <f>SUMIFS(DATA!$L:$L,DATA!$O:$O,$B339,DATA!$N:$N,$A339,DATA!$M:$M,'SALES BY SYSTEM'!$O$2)</f>
        <v>0</v>
      </c>
      <c r="Q338" s="182">
        <v>1244767.1433199905</v>
      </c>
      <c r="R338" s="180">
        <f t="shared" si="47"/>
        <v>0</v>
      </c>
      <c r="S338" s="218">
        <f>SUMIFS(DATA!$L:$L,DATA!$O:$O,$B339,DATA!$N:$N,$A339,DATA!$M:$M,'SALES BY SYSTEM'!$O$4)</f>
        <v>0</v>
      </c>
      <c r="T338" s="182">
        <v>0</v>
      </c>
      <c r="U338" s="180" t="str">
        <f t="shared" si="48"/>
        <v/>
      </c>
      <c r="V338" s="218">
        <f>SUMIFS(DATA!$L:$L,DATA!$O:$O,$B339,DATA!$N:$N,$A339,DATA!$M:$M,'SALES BY SYSTEM'!$O$3)</f>
        <v>0</v>
      </c>
      <c r="W338" s="168"/>
    </row>
    <row r="339" spans="1:23" x14ac:dyDescent="0.25">
      <c r="A339" s="178" t="s">
        <v>1093</v>
      </c>
      <c r="B339" s="178" t="s">
        <v>16</v>
      </c>
      <c r="C339" s="178" t="str">
        <f>VLOOKUP(A339,CUSTOMER!$A:$C,3,0)</f>
        <v>COOP_F_TBAC</v>
      </c>
      <c r="D339" s="178" t="s">
        <v>674</v>
      </c>
      <c r="E339" s="178" t="str">
        <f>VLOOKUP(A340,CUSTOMER!$A$2:$H$1094,5,0)</f>
        <v>VAVANCY-VU MINH TUAN</v>
      </c>
      <c r="F339" s="178" t="str">
        <f>VLOOKUP(A340,CUSTOMER!$A$2:$I$1094,6,0)</f>
        <v>NO SALE</v>
      </c>
      <c r="G339" s="178" t="str">
        <f>VLOOKUP(A340,CUSTOMER!$A$1:$J$1160,7,0)</f>
        <v>"NO PG"</v>
      </c>
      <c r="H339" s="179">
        <f t="shared" si="39"/>
        <v>1244767.1433199905</v>
      </c>
      <c r="I339" s="180">
        <f t="shared" si="40"/>
        <v>0</v>
      </c>
      <c r="J339" s="181">
        <f t="shared" si="41"/>
        <v>0</v>
      </c>
      <c r="K339" s="182">
        <v>0</v>
      </c>
      <c r="L339" s="180" t="str">
        <f t="shared" si="45"/>
        <v/>
      </c>
      <c r="M339" s="218">
        <f>SUMIFS(DATA!$L:$L,DATA!$O:$O,$B340,DATA!$N:$N,$A340,DATA!$M:$M,'SALES BY SYSTEM'!$O$1)</f>
        <v>0</v>
      </c>
      <c r="N339" s="182">
        <v>0</v>
      </c>
      <c r="O339" s="180" t="str">
        <f t="shared" si="46"/>
        <v/>
      </c>
      <c r="P339" s="218">
        <f>SUMIFS(DATA!$L:$L,DATA!$O:$O,$B340,DATA!$N:$N,$A340,DATA!$M:$M,'SALES BY SYSTEM'!$O$2)</f>
        <v>0</v>
      </c>
      <c r="Q339" s="182">
        <v>1244767.1433199905</v>
      </c>
      <c r="R339" s="180">
        <f t="shared" si="47"/>
        <v>0</v>
      </c>
      <c r="S339" s="218">
        <f>SUMIFS(DATA!$L:$L,DATA!$O:$O,$B340,DATA!$N:$N,$A340,DATA!$M:$M,'SALES BY SYSTEM'!$O$4)</f>
        <v>0</v>
      </c>
      <c r="T339" s="182">
        <v>0</v>
      </c>
      <c r="U339" s="180" t="str">
        <f t="shared" si="48"/>
        <v/>
      </c>
      <c r="V339" s="218">
        <f>SUMIFS(DATA!$L:$L,DATA!$O:$O,$B340,DATA!$N:$N,$A340,DATA!$M:$M,'SALES BY SYSTEM'!$O$3)</f>
        <v>0</v>
      </c>
      <c r="W339" s="168"/>
    </row>
    <row r="340" spans="1:23" ht="15.75" customHeight="1" x14ac:dyDescent="0.25">
      <c r="A340" s="178" t="s">
        <v>1101</v>
      </c>
      <c r="B340" s="178" t="s">
        <v>16</v>
      </c>
      <c r="C340" s="178" t="str">
        <f>VLOOKUP(A340,CUSTOMER!$A:$C,3,0)</f>
        <v>COOP_F_TVDANH</v>
      </c>
      <c r="D340" s="178" t="s">
        <v>674</v>
      </c>
      <c r="E340" s="178" t="str">
        <f>VLOOKUP(A341,CUSTOMER!$A$2:$H$1094,5,0)</f>
        <v>VAVANCY-VU MINH TUAN</v>
      </c>
      <c r="F340" s="178" t="str">
        <f>VLOOKUP(A341,CUSTOMER!$A$2:$I$1094,6,0)</f>
        <v>VACANCY</v>
      </c>
      <c r="G340" s="178" t="str">
        <f>VLOOKUP(A341,CUSTOMER!$A$1:$J$1160,7,0)</f>
        <v>"NO PG"</v>
      </c>
      <c r="H340" s="179">
        <f t="shared" si="39"/>
        <v>1244767.1433199905</v>
      </c>
      <c r="I340" s="180">
        <f t="shared" si="40"/>
        <v>0</v>
      </c>
      <c r="J340" s="181">
        <f t="shared" si="41"/>
        <v>0</v>
      </c>
      <c r="K340" s="182">
        <v>0</v>
      </c>
      <c r="L340" s="180" t="str">
        <f t="shared" si="45"/>
        <v/>
      </c>
      <c r="M340" s="218">
        <f>SUMIFS(DATA!$L:$L,DATA!$O:$O,$B341,DATA!$N:$N,$A341,DATA!$M:$M,'SALES BY SYSTEM'!$O$1)</f>
        <v>0</v>
      </c>
      <c r="N340" s="182">
        <v>0</v>
      </c>
      <c r="O340" s="180" t="str">
        <f t="shared" si="46"/>
        <v/>
      </c>
      <c r="P340" s="218">
        <f>SUMIFS(DATA!$L:$L,DATA!$O:$O,$B341,DATA!$N:$N,$A341,DATA!$M:$M,'SALES BY SYSTEM'!$O$2)</f>
        <v>0</v>
      </c>
      <c r="Q340" s="182">
        <v>1244767.1433199905</v>
      </c>
      <c r="R340" s="180">
        <f t="shared" si="47"/>
        <v>0</v>
      </c>
      <c r="S340" s="218">
        <f>SUMIFS(DATA!$L:$L,DATA!$O:$O,$B341,DATA!$N:$N,$A341,DATA!$M:$M,'SALES BY SYSTEM'!$O$4)</f>
        <v>0</v>
      </c>
      <c r="T340" s="182">
        <v>0</v>
      </c>
      <c r="U340" s="180" t="str">
        <f t="shared" si="48"/>
        <v/>
      </c>
      <c r="V340" s="218">
        <f>SUMIFS(DATA!$L:$L,DATA!$O:$O,$B341,DATA!$N:$N,$A341,DATA!$M:$M,'SALES BY SYSTEM'!$O$3)</f>
        <v>0</v>
      </c>
      <c r="W340" s="168"/>
    </row>
    <row r="341" spans="1:23" ht="15.75" customHeight="1" x14ac:dyDescent="0.25">
      <c r="A341" s="178" t="s">
        <v>347</v>
      </c>
      <c r="B341" s="178" t="s">
        <v>16</v>
      </c>
      <c r="C341" s="178" t="str">
        <f>VLOOKUP(A341,CUSTOMER!$A:$C,3,0)</f>
        <v>COOP_F_VPHU</v>
      </c>
      <c r="D341" s="178" t="s">
        <v>674</v>
      </c>
      <c r="E341" s="178" t="str">
        <f>VLOOKUP(A342,CUSTOMER!$A$2:$H$1094,5,0)</f>
        <v>TRAN THI THAO NGUYEN</v>
      </c>
      <c r="F341" s="178" t="str">
        <f>VLOOKUP(A342,CUSTOMER!$A$2:$I$1094,6,0)</f>
        <v>VACANCY</v>
      </c>
      <c r="G341" s="178" t="str">
        <f>VLOOKUP(A342,CUSTOMER!$A$1:$J$1160,7,0)</f>
        <v>"NO PG"</v>
      </c>
      <c r="H341" s="179">
        <f t="shared" si="39"/>
        <v>1244767.1433199905</v>
      </c>
      <c r="I341" s="180">
        <f t="shared" si="40"/>
        <v>0</v>
      </c>
      <c r="J341" s="181">
        <f t="shared" si="41"/>
        <v>0</v>
      </c>
      <c r="K341" s="182">
        <v>0</v>
      </c>
      <c r="L341" s="180" t="str">
        <f t="shared" si="45"/>
        <v/>
      </c>
      <c r="M341" s="218">
        <f>SUMIFS(DATA!$L:$L,DATA!$O:$O,$B342,DATA!$N:$N,$A342,DATA!$M:$M,'SALES BY SYSTEM'!$O$1)</f>
        <v>0</v>
      </c>
      <c r="N341" s="182">
        <v>0</v>
      </c>
      <c r="O341" s="180" t="str">
        <f t="shared" si="46"/>
        <v/>
      </c>
      <c r="P341" s="218">
        <f>SUMIFS(DATA!$L:$L,DATA!$O:$O,$B342,DATA!$N:$N,$A342,DATA!$M:$M,'SALES BY SYSTEM'!$O$2)</f>
        <v>0</v>
      </c>
      <c r="Q341" s="182">
        <v>1244767.1433199905</v>
      </c>
      <c r="R341" s="180">
        <f t="shared" si="47"/>
        <v>0</v>
      </c>
      <c r="S341" s="218">
        <f>SUMIFS(DATA!$L:$L,DATA!$O:$O,$B342,DATA!$N:$N,$A342,DATA!$M:$M,'SALES BY SYSTEM'!$O$4)</f>
        <v>0</v>
      </c>
      <c r="T341" s="182">
        <v>0</v>
      </c>
      <c r="U341" s="180" t="str">
        <f t="shared" si="48"/>
        <v/>
      </c>
      <c r="V341" s="218">
        <f>SUMIFS(DATA!$L:$L,DATA!$O:$O,$B342,DATA!$N:$N,$A342,DATA!$M:$M,'SALES BY SYSTEM'!$O$3)</f>
        <v>0</v>
      </c>
      <c r="W341" s="168"/>
    </row>
    <row r="342" spans="1:23" x14ac:dyDescent="0.25">
      <c r="A342" s="178" t="s">
        <v>1454</v>
      </c>
      <c r="B342" s="178" t="s">
        <v>96</v>
      </c>
      <c r="C342" s="178" t="str">
        <f>VLOOKUP(A342,CUSTOMER!$A:$C,3,0)</f>
        <v>6209_BQUOI</v>
      </c>
      <c r="D342" s="178" t="s">
        <v>674</v>
      </c>
      <c r="E342" s="178" t="str">
        <f>VLOOKUP(A343,CUSTOMER!$A$2:$H$1094,5,0)</f>
        <v>TRAN THI THAO NGUYEN</v>
      </c>
      <c r="F342" s="178" t="str">
        <f>VLOOKUP(A343,CUSTOMER!$A$2:$I$1094,6,0)</f>
        <v>NGUYEN THI MUON</v>
      </c>
      <c r="G342" s="178" t="str">
        <f>VLOOKUP(A343,CUSTOMER!$A$1:$J$1160,7,0)</f>
        <v>"NO PG"</v>
      </c>
      <c r="H342" s="179">
        <f t="shared" si="39"/>
        <v>1244767.1433199905</v>
      </c>
      <c r="I342" s="180">
        <f t="shared" si="40"/>
        <v>0</v>
      </c>
      <c r="J342" s="181">
        <f t="shared" si="41"/>
        <v>0</v>
      </c>
      <c r="K342" s="182">
        <v>0</v>
      </c>
      <c r="L342" s="180" t="str">
        <f t="shared" si="45"/>
        <v/>
      </c>
      <c r="M342" s="218">
        <f>SUMIFS(DATA!$L:$L,DATA!$O:$O,$B343,DATA!$N:$N,$A343,DATA!$M:$M,'SALES BY SYSTEM'!$O$1)</f>
        <v>0</v>
      </c>
      <c r="N342" s="182">
        <v>0</v>
      </c>
      <c r="O342" s="180" t="str">
        <f t="shared" si="46"/>
        <v/>
      </c>
      <c r="P342" s="218">
        <f>SUMIFS(DATA!$L:$L,DATA!$O:$O,$B343,DATA!$N:$N,$A343,DATA!$M:$M,'SALES BY SYSTEM'!$O$2)</f>
        <v>0</v>
      </c>
      <c r="Q342" s="182">
        <v>1244767.1433199905</v>
      </c>
      <c r="R342" s="180">
        <f t="shared" si="47"/>
        <v>0</v>
      </c>
      <c r="S342" s="218">
        <f>SUMIFS(DATA!$L:$L,DATA!$O:$O,$B343,DATA!$N:$N,$A343,DATA!$M:$M,'SALES BY SYSTEM'!$O$4)</f>
        <v>0</v>
      </c>
      <c r="T342" s="182">
        <v>0</v>
      </c>
      <c r="U342" s="180" t="str">
        <f t="shared" si="48"/>
        <v/>
      </c>
      <c r="V342" s="218">
        <f>SUMIFS(DATA!$L:$L,DATA!$O:$O,$B343,DATA!$N:$N,$A343,DATA!$M:$M,'SALES BY SYSTEM'!$O$3)</f>
        <v>0</v>
      </c>
      <c r="W342" s="168"/>
    </row>
    <row r="343" spans="1:23" x14ac:dyDescent="0.25">
      <c r="A343" s="178" t="s">
        <v>1466</v>
      </c>
      <c r="B343" s="178" t="s">
        <v>96</v>
      </c>
      <c r="C343" s="178" t="str">
        <f>VLOOKUP(A343,CUSTOMER!$A:$C,3,0)</f>
        <v>6209_CN1</v>
      </c>
      <c r="D343" s="178" t="s">
        <v>674</v>
      </c>
      <c r="E343" s="178" t="str">
        <f>VLOOKUP(A344,CUSTOMER!$A$2:$H$1094,5,0)</f>
        <v>TRAN THI THAO NGUYEN</v>
      </c>
      <c r="F343" s="178" t="str">
        <f>VLOOKUP(A344,CUSTOMER!$A$2:$I$1094,6,0)</f>
        <v>VACANCY</v>
      </c>
      <c r="G343" s="178" t="s">
        <v>676</v>
      </c>
      <c r="H343" s="179">
        <f t="shared" si="39"/>
        <v>1244767.1433199905</v>
      </c>
      <c r="I343" s="180">
        <f t="shared" si="40"/>
        <v>0</v>
      </c>
      <c r="J343" s="181">
        <f t="shared" si="41"/>
        <v>0</v>
      </c>
      <c r="K343" s="182">
        <v>0</v>
      </c>
      <c r="L343" s="180" t="str">
        <f t="shared" si="45"/>
        <v/>
      </c>
      <c r="M343" s="218">
        <f>SUMIFS(DATA!$L:$L,DATA!$O:$O,$B344,DATA!$N:$N,$A344,DATA!$M:$M,'SALES BY SYSTEM'!$O$1)</f>
        <v>0</v>
      </c>
      <c r="N343" s="182">
        <v>0</v>
      </c>
      <c r="O343" s="180" t="str">
        <f t="shared" si="46"/>
        <v/>
      </c>
      <c r="P343" s="218">
        <f>SUMIFS(DATA!$L:$L,DATA!$O:$O,$B344,DATA!$N:$N,$A344,DATA!$M:$M,'SALES BY SYSTEM'!$O$2)</f>
        <v>0</v>
      </c>
      <c r="Q343" s="182">
        <v>1244767.1433199905</v>
      </c>
      <c r="R343" s="180">
        <f t="shared" si="47"/>
        <v>0</v>
      </c>
      <c r="S343" s="218">
        <f>SUMIFS(DATA!$L:$L,DATA!$O:$O,$B344,DATA!$N:$N,$A344,DATA!$M:$M,'SALES BY SYSTEM'!$O$4)</f>
        <v>0</v>
      </c>
      <c r="T343" s="182">
        <v>0</v>
      </c>
      <c r="U343" s="180" t="str">
        <f t="shared" si="48"/>
        <v/>
      </c>
      <c r="V343" s="218">
        <f>SUMIFS(DATA!$L:$L,DATA!$O:$O,$B344,DATA!$N:$N,$A344,DATA!$M:$M,'SALES BY SYSTEM'!$O$3)</f>
        <v>0</v>
      </c>
      <c r="W343" s="168"/>
    </row>
    <row r="344" spans="1:23" x14ac:dyDescent="0.25">
      <c r="A344" s="178" t="s">
        <v>1452</v>
      </c>
      <c r="B344" s="178" t="s">
        <v>96</v>
      </c>
      <c r="C344" s="178" t="str">
        <f>VLOOKUP(A344,CUSTOMER!$A:$C,3,0)</f>
        <v>6209_DXHOP</v>
      </c>
      <c r="D344" s="178" t="s">
        <v>674</v>
      </c>
      <c r="E344" s="178" t="str">
        <f>VLOOKUP(A345,CUSTOMER!$A$2:$H$1094,5,0)</f>
        <v>TRAN THI THAO NGUYEN</v>
      </c>
      <c r="F344" s="178" t="str">
        <f>VLOOKUP(A345,CUSTOMER!$A$2:$I$1094,6,0)</f>
        <v>VACANCY</v>
      </c>
      <c r="G344" s="178" t="str">
        <f>VLOOKUP(A345,CUSTOMER!$A$1:$J$1160,7,0)</f>
        <v>"NO PG"</v>
      </c>
      <c r="H344" s="179">
        <f t="shared" si="39"/>
        <v>1244767.1433199905</v>
      </c>
      <c r="I344" s="180">
        <f t="shared" si="40"/>
        <v>0</v>
      </c>
      <c r="J344" s="181">
        <f t="shared" si="41"/>
        <v>0</v>
      </c>
      <c r="K344" s="182">
        <v>0</v>
      </c>
      <c r="L344" s="180" t="str">
        <f t="shared" si="45"/>
        <v/>
      </c>
      <c r="M344" s="218">
        <f>SUMIFS(DATA!$L:$L,DATA!$O:$O,$B345,DATA!$N:$N,$A345,DATA!$M:$M,'SALES BY SYSTEM'!$O$1)</f>
        <v>0</v>
      </c>
      <c r="N344" s="182">
        <v>0</v>
      </c>
      <c r="O344" s="180" t="str">
        <f t="shared" si="46"/>
        <v/>
      </c>
      <c r="P344" s="218">
        <f>SUMIFS(DATA!$L:$L,DATA!$O:$O,$B345,DATA!$N:$N,$A345,DATA!$M:$M,'SALES BY SYSTEM'!$O$2)</f>
        <v>0</v>
      </c>
      <c r="Q344" s="182">
        <v>1244767.1433199905</v>
      </c>
      <c r="R344" s="180">
        <f t="shared" si="47"/>
        <v>0</v>
      </c>
      <c r="S344" s="218">
        <f>SUMIFS(DATA!$L:$L,DATA!$O:$O,$B345,DATA!$N:$N,$A345,DATA!$M:$M,'SALES BY SYSTEM'!$O$4)</f>
        <v>0</v>
      </c>
      <c r="T344" s="182">
        <v>0</v>
      </c>
      <c r="U344" s="180" t="str">
        <f t="shared" si="48"/>
        <v/>
      </c>
      <c r="V344" s="218">
        <f>SUMIFS(DATA!$L:$L,DATA!$O:$O,$B345,DATA!$N:$N,$A345,DATA!$M:$M,'SALES BY SYSTEM'!$O$3)</f>
        <v>0</v>
      </c>
      <c r="W344" s="168"/>
    </row>
    <row r="345" spans="1:23" x14ac:dyDescent="0.25">
      <c r="A345" s="178" t="s">
        <v>1464</v>
      </c>
      <c r="B345" s="178" t="s">
        <v>96</v>
      </c>
      <c r="C345" s="178" t="str">
        <f>VLOOKUP(A345,CUSTOMER!$A:$C,3,0)</f>
        <v>6209_ECO</v>
      </c>
      <c r="D345" s="178" t="s">
        <v>674</v>
      </c>
      <c r="E345" s="178" t="str">
        <f>VLOOKUP(A346,CUSTOMER!$A$2:$H$1094,5,0)</f>
        <v>TRAN THI THAO NGUYEN</v>
      </c>
      <c r="F345" s="178" t="str">
        <f>VLOOKUP(A346,CUSTOMER!$A$2:$I$1094,6,0)</f>
        <v>NGUYEN THI MUON</v>
      </c>
      <c r="G345" s="178" t="s">
        <v>676</v>
      </c>
      <c r="H345" s="179">
        <f t="shared" si="39"/>
        <v>1244767.1433199905</v>
      </c>
      <c r="I345" s="180">
        <f t="shared" si="40"/>
        <v>0</v>
      </c>
      <c r="J345" s="181">
        <f t="shared" si="41"/>
        <v>0</v>
      </c>
      <c r="K345" s="182">
        <v>0</v>
      </c>
      <c r="L345" s="180" t="str">
        <f t="shared" si="45"/>
        <v/>
      </c>
      <c r="M345" s="218">
        <f>SUMIFS(DATA!$L:$L,DATA!$O:$O,$B346,DATA!$N:$N,$A346,DATA!$M:$M,'SALES BY SYSTEM'!$O$1)</f>
        <v>0</v>
      </c>
      <c r="N345" s="182">
        <v>0</v>
      </c>
      <c r="O345" s="180" t="str">
        <f t="shared" si="46"/>
        <v/>
      </c>
      <c r="P345" s="218">
        <f>SUMIFS(DATA!$L:$L,DATA!$O:$O,$B346,DATA!$N:$N,$A346,DATA!$M:$M,'SALES BY SYSTEM'!$O$2)</f>
        <v>0</v>
      </c>
      <c r="Q345" s="182">
        <v>1244767.1433199905</v>
      </c>
      <c r="R345" s="180">
        <f t="shared" si="47"/>
        <v>0</v>
      </c>
      <c r="S345" s="218">
        <f>SUMIFS(DATA!$L:$L,DATA!$O:$O,$B346,DATA!$N:$N,$A346,DATA!$M:$M,'SALES BY SYSTEM'!$O$4)</f>
        <v>0</v>
      </c>
      <c r="T345" s="182">
        <v>0</v>
      </c>
      <c r="U345" s="180" t="str">
        <f t="shared" si="48"/>
        <v/>
      </c>
      <c r="V345" s="218">
        <f>SUMIFS(DATA!$L:$L,DATA!$O:$O,$B346,DATA!$N:$N,$A346,DATA!$M:$M,'SALES BY SYSTEM'!$O$3)</f>
        <v>0</v>
      </c>
      <c r="W345" s="168"/>
    </row>
    <row r="346" spans="1:23" x14ac:dyDescent="0.25">
      <c r="A346" s="178" t="s">
        <v>1484</v>
      </c>
      <c r="B346" s="178" t="s">
        <v>96</v>
      </c>
      <c r="C346" s="178" t="str">
        <f>VLOOKUP(A346,CUSTOMER!$A:$C,3,0)</f>
        <v>6209_ERA</v>
      </c>
      <c r="D346" s="178" t="s">
        <v>674</v>
      </c>
      <c r="E346" s="178" t="str">
        <f>VLOOKUP(A347,CUSTOMER!$A$2:$H$1094,5,0)</f>
        <v>TRAN THI THAO NGUYEN</v>
      </c>
      <c r="F346" s="178" t="str">
        <f>VLOOKUP(A347,CUSTOMER!$A$2:$I$1094,6,0)</f>
        <v>VACANCY</v>
      </c>
      <c r="G346" s="178" t="s">
        <v>676</v>
      </c>
      <c r="H346" s="179">
        <f t="shared" si="39"/>
        <v>1244767.1433199905</v>
      </c>
      <c r="I346" s="180">
        <f t="shared" si="40"/>
        <v>0</v>
      </c>
      <c r="J346" s="181">
        <f t="shared" si="41"/>
        <v>0</v>
      </c>
      <c r="K346" s="182">
        <v>0</v>
      </c>
      <c r="L346" s="180" t="str">
        <f t="shared" si="45"/>
        <v/>
      </c>
      <c r="M346" s="218">
        <f>SUMIFS(DATA!$L:$L,DATA!$O:$O,$B347,DATA!$N:$N,$A347,DATA!$M:$M,'SALES BY SYSTEM'!$O$1)</f>
        <v>0</v>
      </c>
      <c r="N346" s="182">
        <v>0</v>
      </c>
      <c r="O346" s="180" t="str">
        <f t="shared" si="46"/>
        <v/>
      </c>
      <c r="P346" s="218">
        <f>SUMIFS(DATA!$L:$L,DATA!$O:$O,$B347,DATA!$N:$N,$A347,DATA!$M:$M,'SALES BY SYSTEM'!$O$2)</f>
        <v>0</v>
      </c>
      <c r="Q346" s="182">
        <v>1244767.1433199905</v>
      </c>
      <c r="R346" s="180">
        <f t="shared" si="47"/>
        <v>0</v>
      </c>
      <c r="S346" s="218">
        <f>SUMIFS(DATA!$L:$L,DATA!$O:$O,$B347,DATA!$N:$N,$A347,DATA!$M:$M,'SALES BY SYSTEM'!$O$4)</f>
        <v>0</v>
      </c>
      <c r="T346" s="182">
        <v>0</v>
      </c>
      <c r="U346" s="180" t="str">
        <f t="shared" si="48"/>
        <v/>
      </c>
      <c r="V346" s="218">
        <f>SUMIFS(DATA!$L:$L,DATA!$O:$O,$B347,DATA!$N:$N,$A347,DATA!$M:$M,'SALES BY SYSTEM'!$O$3)</f>
        <v>0</v>
      </c>
      <c r="W346" s="168"/>
    </row>
    <row r="347" spans="1:23" x14ac:dyDescent="0.25">
      <c r="A347" s="178" t="s">
        <v>1468</v>
      </c>
      <c r="B347" s="178" t="s">
        <v>96</v>
      </c>
      <c r="C347" s="178" t="str">
        <f>VLOOKUP(A347,CUSTOMER!$A:$C,3,0)</f>
        <v>6209_HTP</v>
      </c>
      <c r="D347" s="178" t="s">
        <v>674</v>
      </c>
      <c r="E347" s="178" t="str">
        <f>VLOOKUP(A348,CUSTOMER!$A$2:$H$1094,5,0)</f>
        <v>TRAN THI THAO NGUYEN</v>
      </c>
      <c r="F347" s="178" t="str">
        <f>VLOOKUP(A348,CUSTOMER!$A$2:$I$1094,6,0)</f>
        <v>NGUYEN THI MUON</v>
      </c>
      <c r="G347" s="178" t="s">
        <v>676</v>
      </c>
      <c r="H347" s="179">
        <f t="shared" si="39"/>
        <v>1244767.1433199905</v>
      </c>
      <c r="I347" s="180">
        <f t="shared" si="40"/>
        <v>0</v>
      </c>
      <c r="J347" s="181">
        <f t="shared" si="41"/>
        <v>0</v>
      </c>
      <c r="K347" s="182">
        <v>0</v>
      </c>
      <c r="L347" s="180" t="str">
        <f t="shared" si="45"/>
        <v/>
      </c>
      <c r="M347" s="218">
        <f>SUMIFS(DATA!$L:$L,DATA!$O:$O,$B348,DATA!$N:$N,$A348,DATA!$M:$M,'SALES BY SYSTEM'!$O$1)</f>
        <v>0</v>
      </c>
      <c r="N347" s="182">
        <v>0</v>
      </c>
      <c r="O347" s="180" t="str">
        <f t="shared" si="46"/>
        <v/>
      </c>
      <c r="P347" s="218">
        <f>SUMIFS(DATA!$L:$L,DATA!$O:$O,$B348,DATA!$N:$N,$A348,DATA!$M:$M,'SALES BY SYSTEM'!$O$2)</f>
        <v>0</v>
      </c>
      <c r="Q347" s="182">
        <v>1244767.1433199905</v>
      </c>
      <c r="R347" s="180">
        <f t="shared" si="47"/>
        <v>0</v>
      </c>
      <c r="S347" s="218">
        <f>SUMIFS(DATA!$L:$L,DATA!$O:$O,$B348,DATA!$N:$N,$A348,DATA!$M:$M,'SALES BY SYSTEM'!$O$4)</f>
        <v>0</v>
      </c>
      <c r="T347" s="182">
        <v>0</v>
      </c>
      <c r="U347" s="180" t="str">
        <f t="shared" si="48"/>
        <v/>
      </c>
      <c r="V347" s="218">
        <f>SUMIFS(DATA!$L:$L,DATA!$O:$O,$B348,DATA!$N:$N,$A348,DATA!$M:$M,'SALES BY SYSTEM'!$O$3)</f>
        <v>0</v>
      </c>
      <c r="W347" s="168"/>
    </row>
    <row r="348" spans="1:23" x14ac:dyDescent="0.25">
      <c r="A348" s="178" t="s">
        <v>1486</v>
      </c>
      <c r="B348" s="178" t="s">
        <v>96</v>
      </c>
      <c r="C348" s="178" t="str">
        <f>VLOOKUP(A348,CUSTOMER!$A:$C,3,0)</f>
        <v>6209_LVB</v>
      </c>
      <c r="D348" s="178" t="s">
        <v>674</v>
      </c>
      <c r="E348" s="178" t="str">
        <f>VLOOKUP(A349,CUSTOMER!$A$2:$H$1094,5,0)</f>
        <v>TRAN THI THAO NGUYEN</v>
      </c>
      <c r="F348" s="178" t="str">
        <f>VLOOKUP(A349,CUSTOMER!$A$2:$I$1094,6,0)</f>
        <v>VACANCY</v>
      </c>
      <c r="G348" s="178" t="s">
        <v>676</v>
      </c>
      <c r="H348" s="179">
        <f t="shared" si="39"/>
        <v>1244767.1433199905</v>
      </c>
      <c r="I348" s="180">
        <f t="shared" si="40"/>
        <v>0</v>
      </c>
      <c r="J348" s="181">
        <f t="shared" si="41"/>
        <v>0</v>
      </c>
      <c r="K348" s="182">
        <v>0</v>
      </c>
      <c r="L348" s="180" t="str">
        <f t="shared" si="45"/>
        <v/>
      </c>
      <c r="M348" s="218">
        <f>SUMIFS(DATA!$L:$L,DATA!$O:$O,$B349,DATA!$N:$N,$A349,DATA!$M:$M,'SALES BY SYSTEM'!$O$1)</f>
        <v>0</v>
      </c>
      <c r="N348" s="182">
        <v>0</v>
      </c>
      <c r="O348" s="180" t="str">
        <f t="shared" si="46"/>
        <v/>
      </c>
      <c r="P348" s="218">
        <f>SUMIFS(DATA!$L:$L,DATA!$O:$O,$B349,DATA!$N:$N,$A349,DATA!$M:$M,'SALES BY SYSTEM'!$O$2)</f>
        <v>0</v>
      </c>
      <c r="Q348" s="182">
        <v>1244767.1433199905</v>
      </c>
      <c r="R348" s="180">
        <f t="shared" si="47"/>
        <v>0</v>
      </c>
      <c r="S348" s="218">
        <f>SUMIFS(DATA!$L:$L,DATA!$O:$O,$B349,DATA!$N:$N,$A349,DATA!$M:$M,'SALES BY SYSTEM'!$O$4)</f>
        <v>0</v>
      </c>
      <c r="T348" s="182">
        <v>0</v>
      </c>
      <c r="U348" s="180" t="str">
        <f t="shared" si="48"/>
        <v/>
      </c>
      <c r="V348" s="218">
        <f>SUMIFS(DATA!$L:$L,DATA!$O:$O,$B349,DATA!$N:$N,$A349,DATA!$M:$M,'SALES BY SYSTEM'!$O$3)</f>
        <v>0</v>
      </c>
      <c r="W348" s="168"/>
    </row>
    <row r="349" spans="1:23" x14ac:dyDescent="0.25">
      <c r="A349" s="178" t="s">
        <v>1470</v>
      </c>
      <c r="B349" s="178" t="s">
        <v>96</v>
      </c>
      <c r="C349" s="178" t="str">
        <f>VLOOKUP(A349,CUSTOMER!$A:$C,3,0)</f>
        <v>6209_LVS</v>
      </c>
      <c r="D349" s="178" t="s">
        <v>674</v>
      </c>
      <c r="E349" s="178" t="str">
        <f>VLOOKUP(A350,CUSTOMER!$A$2:$H$1094,5,0)</f>
        <v>TRAN THI THAO NGUYEN</v>
      </c>
      <c r="F349" s="178" t="str">
        <f>VLOOKUP(A350,CUSTOMER!$A$2:$I$1094,6,0)</f>
        <v>NGUYEN THI MUON</v>
      </c>
      <c r="G349" s="178" t="s">
        <v>676</v>
      </c>
      <c r="H349" s="179">
        <f t="shared" si="39"/>
        <v>1244767.1433199905</v>
      </c>
      <c r="I349" s="180">
        <f t="shared" si="40"/>
        <v>0</v>
      </c>
      <c r="J349" s="181">
        <f t="shared" si="41"/>
        <v>0</v>
      </c>
      <c r="K349" s="182">
        <v>0</v>
      </c>
      <c r="L349" s="180" t="str">
        <f t="shared" si="45"/>
        <v/>
      </c>
      <c r="M349" s="218">
        <f>SUMIFS(DATA!$L:$L,DATA!$O:$O,$B350,DATA!$N:$N,$A350,DATA!$M:$M,'SALES BY SYSTEM'!$O$1)</f>
        <v>0</v>
      </c>
      <c r="N349" s="182">
        <v>0</v>
      </c>
      <c r="O349" s="180" t="str">
        <f t="shared" si="46"/>
        <v/>
      </c>
      <c r="P349" s="218">
        <f>SUMIFS(DATA!$L:$L,DATA!$O:$O,$B350,DATA!$N:$N,$A350,DATA!$M:$M,'SALES BY SYSTEM'!$O$2)</f>
        <v>0</v>
      </c>
      <c r="Q349" s="182">
        <v>1244767.1433199905</v>
      </c>
      <c r="R349" s="180">
        <f t="shared" si="47"/>
        <v>0</v>
      </c>
      <c r="S349" s="218">
        <f>SUMIFS(DATA!$L:$L,DATA!$O:$O,$B350,DATA!$N:$N,$A350,DATA!$M:$M,'SALES BY SYSTEM'!$O$4)</f>
        <v>0</v>
      </c>
      <c r="T349" s="182">
        <v>0</v>
      </c>
      <c r="U349" s="180" t="str">
        <f t="shared" si="48"/>
        <v/>
      </c>
      <c r="V349" s="218">
        <f>SUMIFS(DATA!$L:$L,DATA!$O:$O,$B350,DATA!$N:$N,$A350,DATA!$M:$M,'SALES BY SYSTEM'!$O$3)</f>
        <v>0</v>
      </c>
      <c r="W349" s="168"/>
    </row>
    <row r="350" spans="1:23" x14ac:dyDescent="0.25">
      <c r="A350" s="178" t="s">
        <v>1474</v>
      </c>
      <c r="B350" s="178" t="s">
        <v>96</v>
      </c>
      <c r="C350" s="178" t="str">
        <f>VLOOKUP(A350,CUSTOMER!$A:$C,3,0)</f>
        <v>6209_NAT</v>
      </c>
      <c r="D350" s="178" t="s">
        <v>674</v>
      </c>
      <c r="E350" s="178" t="str">
        <f>VLOOKUP(A351,CUSTOMER!$A$2:$H$1094,5,0)</f>
        <v>TRAN THI THAO NGUYEN</v>
      </c>
      <c r="F350" s="178" t="str">
        <f>VLOOKUP(A351,CUSTOMER!$A$2:$I$1094,6,0)</f>
        <v>NGUYEN THI MUON</v>
      </c>
      <c r="G350" s="178" t="s">
        <v>676</v>
      </c>
      <c r="H350" s="179">
        <f t="shared" si="39"/>
        <v>1244767.1433199905</v>
      </c>
      <c r="I350" s="180">
        <f t="shared" si="40"/>
        <v>0</v>
      </c>
      <c r="J350" s="181">
        <f t="shared" si="41"/>
        <v>0</v>
      </c>
      <c r="K350" s="182">
        <v>0</v>
      </c>
      <c r="L350" s="180" t="str">
        <f t="shared" si="45"/>
        <v/>
      </c>
      <c r="M350" s="218">
        <f>SUMIFS(DATA!$L:$L,DATA!$O:$O,$B351,DATA!$N:$N,$A351,DATA!$M:$M,'SALES BY SYSTEM'!$O$1)</f>
        <v>0</v>
      </c>
      <c r="N350" s="182">
        <v>0</v>
      </c>
      <c r="O350" s="180" t="str">
        <f t="shared" si="46"/>
        <v/>
      </c>
      <c r="P350" s="218">
        <f>SUMIFS(DATA!$L:$L,DATA!$O:$O,$B351,DATA!$N:$N,$A351,DATA!$M:$M,'SALES BY SYSTEM'!$O$2)</f>
        <v>0</v>
      </c>
      <c r="Q350" s="182">
        <v>1244767.1433199905</v>
      </c>
      <c r="R350" s="180">
        <f t="shared" si="47"/>
        <v>0</v>
      </c>
      <c r="S350" s="218">
        <f>SUMIFS(DATA!$L:$L,DATA!$O:$O,$B351,DATA!$N:$N,$A351,DATA!$M:$M,'SALES BY SYSTEM'!$O$4)</f>
        <v>0</v>
      </c>
      <c r="T350" s="182">
        <v>0</v>
      </c>
      <c r="U350" s="180" t="str">
        <f t="shared" si="48"/>
        <v/>
      </c>
      <c r="V350" s="218">
        <f>SUMIFS(DATA!$L:$L,DATA!$O:$O,$B351,DATA!$N:$N,$A351,DATA!$M:$M,'SALES BY SYSTEM'!$O$3)</f>
        <v>0</v>
      </c>
      <c r="W350" s="168"/>
    </row>
    <row r="351" spans="1:23" x14ac:dyDescent="0.25">
      <c r="A351" s="178" t="s">
        <v>1456</v>
      </c>
      <c r="B351" s="178" t="s">
        <v>96</v>
      </c>
      <c r="C351" s="178" t="str">
        <f>VLOOKUP(A351,CUSTOMER!$A:$C,3,0)</f>
        <v>6209_NTD</v>
      </c>
      <c r="D351" s="178" t="s">
        <v>674</v>
      </c>
      <c r="E351" s="178" t="str">
        <f>VLOOKUP(A352,CUSTOMER!$A$2:$H$1094,5,0)</f>
        <v>TRAN THI THAO NGUYEN</v>
      </c>
      <c r="F351" s="178" t="str">
        <f>VLOOKUP(A352,CUSTOMER!$A$2:$I$1094,6,0)</f>
        <v>NGUYEN THI MUON</v>
      </c>
      <c r="G351" s="178" t="str">
        <f>VLOOKUP(A352,CUSTOMER!$A$1:$J$1160,7,0)</f>
        <v>"NO PG"</v>
      </c>
      <c r="H351" s="179">
        <f t="shared" si="39"/>
        <v>1244767.1433199905</v>
      </c>
      <c r="I351" s="180">
        <f t="shared" si="40"/>
        <v>0</v>
      </c>
      <c r="J351" s="181">
        <f t="shared" si="41"/>
        <v>0</v>
      </c>
      <c r="K351" s="182">
        <v>0</v>
      </c>
      <c r="L351" s="180" t="str">
        <f t="shared" si="45"/>
        <v/>
      </c>
      <c r="M351" s="218">
        <f>SUMIFS(DATA!$L:$L,DATA!$O:$O,$B352,DATA!$N:$N,$A352,DATA!$M:$M,'SALES BY SYSTEM'!$O$1)</f>
        <v>0</v>
      </c>
      <c r="N351" s="182">
        <v>0</v>
      </c>
      <c r="O351" s="180" t="str">
        <f t="shared" si="46"/>
        <v/>
      </c>
      <c r="P351" s="218">
        <f>SUMIFS(DATA!$L:$L,DATA!$O:$O,$B352,DATA!$N:$N,$A352,DATA!$M:$M,'SALES BY SYSTEM'!$O$2)</f>
        <v>0</v>
      </c>
      <c r="Q351" s="182">
        <v>1244767.1433199905</v>
      </c>
      <c r="R351" s="180">
        <f t="shared" si="47"/>
        <v>0</v>
      </c>
      <c r="S351" s="218">
        <f>SUMIFS(DATA!$L:$L,DATA!$O:$O,$B352,DATA!$N:$N,$A352,DATA!$M:$M,'SALES BY SYSTEM'!$O$4)</f>
        <v>0</v>
      </c>
      <c r="T351" s="182">
        <v>0</v>
      </c>
      <c r="U351" s="180" t="str">
        <f t="shared" si="48"/>
        <v/>
      </c>
      <c r="V351" s="218">
        <f>SUMIFS(DATA!$L:$L,DATA!$O:$O,$B352,DATA!$N:$N,$A352,DATA!$M:$M,'SALES BY SYSTEM'!$O$3)</f>
        <v>0</v>
      </c>
      <c r="W351" s="168"/>
    </row>
    <row r="352" spans="1:23" x14ac:dyDescent="0.25">
      <c r="A352" s="178" t="s">
        <v>1472</v>
      </c>
      <c r="B352" s="178" t="s">
        <v>96</v>
      </c>
      <c r="C352" s="178" t="str">
        <f>VLOOKUP(A352,CUSTOMER!$A:$C,3,0)</f>
        <v>6209_NTTU</v>
      </c>
      <c r="D352" s="178" t="s">
        <v>674</v>
      </c>
      <c r="E352" s="178" t="str">
        <f>VLOOKUP(A353,CUSTOMER!$A$2:$H$1094,5,0)</f>
        <v>TRAN THI THAO NGUYEN</v>
      </c>
      <c r="F352" s="178" t="str">
        <f>VLOOKUP(A353,CUSTOMER!$A$2:$I$1094,6,0)</f>
        <v>NGUYEN THI MUON</v>
      </c>
      <c r="G352" s="178" t="s">
        <v>676</v>
      </c>
      <c r="H352" s="179">
        <f t="shared" si="39"/>
        <v>1244767.1433199905</v>
      </c>
      <c r="I352" s="180">
        <f t="shared" si="40"/>
        <v>0</v>
      </c>
      <c r="J352" s="181">
        <f t="shared" si="41"/>
        <v>0</v>
      </c>
      <c r="K352" s="182">
        <v>0</v>
      </c>
      <c r="L352" s="180" t="str">
        <f t="shared" si="45"/>
        <v/>
      </c>
      <c r="M352" s="218">
        <f>SUMIFS(DATA!$L:$L,DATA!$O:$O,$B353,DATA!$N:$N,$A353,DATA!$M:$M,'SALES BY SYSTEM'!$O$1)</f>
        <v>0</v>
      </c>
      <c r="N352" s="182">
        <v>0</v>
      </c>
      <c r="O352" s="180" t="str">
        <f t="shared" si="46"/>
        <v/>
      </c>
      <c r="P352" s="218">
        <f>SUMIFS(DATA!$L:$L,DATA!$O:$O,$B353,DATA!$N:$N,$A353,DATA!$M:$M,'SALES BY SYSTEM'!$O$2)</f>
        <v>0</v>
      </c>
      <c r="Q352" s="182">
        <v>1244767.1433199905</v>
      </c>
      <c r="R352" s="180">
        <f t="shared" si="47"/>
        <v>0</v>
      </c>
      <c r="S352" s="218">
        <f>SUMIFS(DATA!$L:$L,DATA!$O:$O,$B353,DATA!$N:$N,$A353,DATA!$M:$M,'SALES BY SYSTEM'!$O$4)</f>
        <v>0</v>
      </c>
      <c r="T352" s="182">
        <v>0</v>
      </c>
      <c r="U352" s="180" t="str">
        <f t="shared" si="48"/>
        <v/>
      </c>
      <c r="V352" s="218">
        <f>SUMIFS(DATA!$L:$L,DATA!$O:$O,$B353,DATA!$N:$N,$A353,DATA!$M:$M,'SALES BY SYSTEM'!$O$3)</f>
        <v>0</v>
      </c>
      <c r="W352" s="168"/>
    </row>
    <row r="353" spans="1:23" x14ac:dyDescent="0.25">
      <c r="A353" s="178" t="s">
        <v>1476</v>
      </c>
      <c r="B353" s="178" t="s">
        <v>96</v>
      </c>
      <c r="C353" s="178" t="str">
        <f>VLOOKUP(A353,CUSTOMER!$A:$C,3,0)</f>
        <v>6209_PH</v>
      </c>
      <c r="D353" s="178" t="s">
        <v>674</v>
      </c>
      <c r="E353" s="178" t="str">
        <f>VLOOKUP(A354,CUSTOMER!$A$2:$H$1094,5,0)</f>
        <v>TRAN THI THAO NGUYEN</v>
      </c>
      <c r="F353" s="178" t="str">
        <f>VLOOKUP(A354,CUSTOMER!$A$2:$I$1094,6,0)</f>
        <v>NGUYEN THI MUON</v>
      </c>
      <c r="G353" s="178" t="s">
        <v>676</v>
      </c>
      <c r="H353" s="179">
        <f t="shared" si="39"/>
        <v>1244767.1433199905</v>
      </c>
      <c r="I353" s="180">
        <f t="shared" si="40"/>
        <v>0</v>
      </c>
      <c r="J353" s="181">
        <f t="shared" si="41"/>
        <v>0</v>
      </c>
      <c r="K353" s="182">
        <v>0</v>
      </c>
      <c r="L353" s="180" t="str">
        <f t="shared" si="45"/>
        <v/>
      </c>
      <c r="M353" s="218">
        <f>SUMIFS(DATA!$L:$L,DATA!$O:$O,$B354,DATA!$N:$N,$A354,DATA!$M:$M,'SALES BY SYSTEM'!$O$1)</f>
        <v>0</v>
      </c>
      <c r="N353" s="182">
        <v>0</v>
      </c>
      <c r="O353" s="180" t="str">
        <f t="shared" si="46"/>
        <v/>
      </c>
      <c r="P353" s="218">
        <f>SUMIFS(DATA!$L:$L,DATA!$O:$O,$B354,DATA!$N:$N,$A354,DATA!$M:$M,'SALES BY SYSTEM'!$O$2)</f>
        <v>0</v>
      </c>
      <c r="Q353" s="182">
        <v>1244767.1433199905</v>
      </c>
      <c r="R353" s="180">
        <f t="shared" si="47"/>
        <v>0</v>
      </c>
      <c r="S353" s="218">
        <f>SUMIFS(DATA!$L:$L,DATA!$O:$O,$B354,DATA!$N:$N,$A354,DATA!$M:$M,'SALES BY SYSTEM'!$O$4)</f>
        <v>0</v>
      </c>
      <c r="T353" s="182">
        <v>0</v>
      </c>
      <c r="U353" s="180" t="str">
        <f t="shared" si="48"/>
        <v/>
      </c>
      <c r="V353" s="218">
        <f>SUMIFS(DATA!$L:$L,DATA!$O:$O,$B354,DATA!$N:$N,$A354,DATA!$M:$M,'SALES BY SYSTEM'!$O$3)</f>
        <v>0</v>
      </c>
      <c r="W353" s="168"/>
    </row>
    <row r="354" spans="1:23" x14ac:dyDescent="0.25">
      <c r="A354" s="178" t="s">
        <v>1478</v>
      </c>
      <c r="B354" s="178" t="s">
        <v>96</v>
      </c>
      <c r="C354" s="178" t="str">
        <f>VLOOKUP(A354,CUSTOMER!$A:$C,3,0)</f>
        <v>6209_PHL</v>
      </c>
      <c r="D354" s="178" t="s">
        <v>674</v>
      </c>
      <c r="E354" s="178" t="str">
        <f>VLOOKUP(A355,CUSTOMER!$A$2:$H$1094,5,0)</f>
        <v>TRAN THI THAO NGUYEN</v>
      </c>
      <c r="F354" s="178" t="str">
        <f>VLOOKUP(A355,CUSTOMER!$A$2:$I$1094,6,0)</f>
        <v>VACANCY</v>
      </c>
      <c r="G354" s="178" t="s">
        <v>676</v>
      </c>
      <c r="H354" s="179">
        <f t="shared" si="39"/>
        <v>1244767.1433199905</v>
      </c>
      <c r="I354" s="180">
        <f t="shared" si="40"/>
        <v>0</v>
      </c>
      <c r="J354" s="181">
        <f t="shared" si="41"/>
        <v>0</v>
      </c>
      <c r="K354" s="182">
        <v>0</v>
      </c>
      <c r="L354" s="180" t="str">
        <f t="shared" si="45"/>
        <v/>
      </c>
      <c r="M354" s="218">
        <f>SUMIFS(DATA!$L:$L,DATA!$O:$O,$B355,DATA!$N:$N,$A355,DATA!$M:$M,'SALES BY SYSTEM'!$O$1)</f>
        <v>0</v>
      </c>
      <c r="N354" s="182">
        <v>0</v>
      </c>
      <c r="O354" s="180" t="str">
        <f t="shared" si="46"/>
        <v/>
      </c>
      <c r="P354" s="218">
        <f>SUMIFS(DATA!$L:$L,DATA!$O:$O,$B355,DATA!$N:$N,$A355,DATA!$M:$M,'SALES BY SYSTEM'!$O$2)</f>
        <v>0</v>
      </c>
      <c r="Q354" s="182">
        <v>1244767.1433199905</v>
      </c>
      <c r="R354" s="180">
        <f t="shared" si="47"/>
        <v>0</v>
      </c>
      <c r="S354" s="218">
        <f>SUMIFS(DATA!$L:$L,DATA!$O:$O,$B355,DATA!$N:$N,$A355,DATA!$M:$M,'SALES BY SYSTEM'!$O$4)</f>
        <v>0</v>
      </c>
      <c r="T354" s="182">
        <v>0</v>
      </c>
      <c r="U354" s="180" t="str">
        <f t="shared" si="48"/>
        <v/>
      </c>
      <c r="V354" s="218">
        <f>SUMIFS(DATA!$L:$L,DATA!$O:$O,$B355,DATA!$N:$N,$A355,DATA!$M:$M,'SALES BY SYSTEM'!$O$3)</f>
        <v>0</v>
      </c>
      <c r="W354" s="168"/>
    </row>
    <row r="355" spans="1:23" x14ac:dyDescent="0.25">
      <c r="A355" s="178" t="s">
        <v>1450</v>
      </c>
      <c r="B355" s="178" t="s">
        <v>96</v>
      </c>
      <c r="C355" s="178" t="str">
        <f>VLOOKUP(A355,CUSTOMER!$A:$C,3,0)</f>
        <v>6209_QL50</v>
      </c>
      <c r="D355" s="178" t="s">
        <v>674</v>
      </c>
      <c r="E355" s="178" t="str">
        <f>VLOOKUP(A356,CUSTOMER!$A$2:$H$1094,5,0)</f>
        <v>TRAN THI THAO NGUYEN</v>
      </c>
      <c r="F355" s="178" t="str">
        <f>VLOOKUP(A356,CUSTOMER!$A$2:$I$1094,6,0)</f>
        <v>NGUYEN THI MUON</v>
      </c>
      <c r="G355" s="178" t="str">
        <f>VLOOKUP(A356,CUSTOMER!$A$1:$J$1160,7,0)</f>
        <v>"NO PG"</v>
      </c>
      <c r="H355" s="179">
        <f t="shared" si="39"/>
        <v>1244767.1433199905</v>
      </c>
      <c r="I355" s="180">
        <f t="shared" si="40"/>
        <v>0</v>
      </c>
      <c r="J355" s="181">
        <f t="shared" si="41"/>
        <v>0</v>
      </c>
      <c r="K355" s="182">
        <v>0</v>
      </c>
      <c r="L355" s="180" t="str">
        <f t="shared" si="45"/>
        <v/>
      </c>
      <c r="M355" s="218">
        <f>SUMIFS(DATA!$L:$L,DATA!$O:$O,$B356,DATA!$N:$N,$A356,DATA!$M:$M,'SALES BY SYSTEM'!$O$1)</f>
        <v>0</v>
      </c>
      <c r="N355" s="182">
        <v>0</v>
      </c>
      <c r="O355" s="180" t="str">
        <f t="shared" si="46"/>
        <v/>
      </c>
      <c r="P355" s="218">
        <f>SUMIFS(DATA!$L:$L,DATA!$O:$O,$B356,DATA!$N:$N,$A356,DATA!$M:$M,'SALES BY SYSTEM'!$O$2)</f>
        <v>0</v>
      </c>
      <c r="Q355" s="182">
        <v>1244767.1433199905</v>
      </c>
      <c r="R355" s="180">
        <f t="shared" si="47"/>
        <v>0</v>
      </c>
      <c r="S355" s="218">
        <f>SUMIFS(DATA!$L:$L,DATA!$O:$O,$B356,DATA!$N:$N,$A356,DATA!$M:$M,'SALES BY SYSTEM'!$O$4)</f>
        <v>0</v>
      </c>
      <c r="T355" s="182">
        <v>0</v>
      </c>
      <c r="U355" s="180" t="str">
        <f t="shared" si="48"/>
        <v/>
      </c>
      <c r="V355" s="218">
        <f>SUMIFS(DATA!$L:$L,DATA!$O:$O,$B356,DATA!$N:$N,$A356,DATA!$M:$M,'SALES BY SYSTEM'!$O$3)</f>
        <v>0</v>
      </c>
      <c r="W355" s="168"/>
    </row>
    <row r="356" spans="1:23" ht="15.75" customHeight="1" x14ac:dyDescent="0.25">
      <c r="A356" s="178" t="s">
        <v>1480</v>
      </c>
      <c r="B356" s="178" t="s">
        <v>96</v>
      </c>
      <c r="C356" s="178" t="str">
        <f>VLOOKUP(A356,CUSTOMER!$A:$C,3,0)</f>
        <v>6209_THD</v>
      </c>
      <c r="D356" s="178" t="s">
        <v>674</v>
      </c>
      <c r="E356" s="178" t="str">
        <f>VLOOKUP(A357,CUSTOMER!$A$2:$H$1094,5,0)</f>
        <v>TRAN THI THAO NGUYEN</v>
      </c>
      <c r="F356" s="178" t="str">
        <f>VLOOKUP(A357,CUSTOMER!$A$2:$I$1094,6,0)</f>
        <v>NGUYEN THI MUON</v>
      </c>
      <c r="G356" s="178" t="s">
        <v>676</v>
      </c>
      <c r="H356" s="179">
        <f t="shared" si="39"/>
        <v>1244767.1433199905</v>
      </c>
      <c r="I356" s="180">
        <f t="shared" si="40"/>
        <v>0</v>
      </c>
      <c r="J356" s="181">
        <f t="shared" si="41"/>
        <v>0</v>
      </c>
      <c r="K356" s="182">
        <v>0</v>
      </c>
      <c r="L356" s="180" t="str">
        <f t="shared" si="45"/>
        <v/>
      </c>
      <c r="M356" s="218">
        <f>SUMIFS(DATA!$L:$L,DATA!$O:$O,$B357,DATA!$N:$N,$A357,DATA!$M:$M,'SALES BY SYSTEM'!$O$1)</f>
        <v>0</v>
      </c>
      <c r="N356" s="182">
        <v>0</v>
      </c>
      <c r="O356" s="180" t="str">
        <f t="shared" si="46"/>
        <v/>
      </c>
      <c r="P356" s="218">
        <f>SUMIFS(DATA!$L:$L,DATA!$O:$O,$B357,DATA!$N:$N,$A357,DATA!$M:$M,'SALES BY SYSTEM'!$O$2)</f>
        <v>0</v>
      </c>
      <c r="Q356" s="182">
        <v>1244767.1433199905</v>
      </c>
      <c r="R356" s="180">
        <f t="shared" si="47"/>
        <v>0</v>
      </c>
      <c r="S356" s="218">
        <f>SUMIFS(DATA!$L:$L,DATA!$O:$O,$B357,DATA!$N:$N,$A357,DATA!$M:$M,'SALES BY SYSTEM'!$O$4)</f>
        <v>0</v>
      </c>
      <c r="T356" s="182">
        <v>0</v>
      </c>
      <c r="U356" s="180" t="str">
        <f t="shared" si="48"/>
        <v/>
      </c>
      <c r="V356" s="218">
        <f>SUMIFS(DATA!$L:$L,DATA!$O:$O,$B357,DATA!$N:$N,$A357,DATA!$M:$M,'SALES BY SYSTEM'!$O$3)</f>
        <v>0</v>
      </c>
      <c r="W356" s="168"/>
    </row>
    <row r="357" spans="1:23" ht="15.75" customHeight="1" x14ac:dyDescent="0.25">
      <c r="A357" s="178" t="s">
        <v>1458</v>
      </c>
      <c r="B357" s="178" t="s">
        <v>96</v>
      </c>
      <c r="C357" s="178" t="str">
        <f>VLOOKUP(A357,CUSTOMER!$A:$C,3,0)</f>
        <v>6209_TNHAT</v>
      </c>
      <c r="D357" s="178" t="s">
        <v>674</v>
      </c>
      <c r="E357" s="178" t="str">
        <f>VLOOKUP(A358,CUSTOMER!$A$2:$H$1094,5,0)</f>
        <v>TRAN THI THAO NGUYEN</v>
      </c>
      <c r="F357" s="178" t="str">
        <f>VLOOKUP(A358,CUSTOMER!$A$2:$I$1094,6,0)</f>
        <v>NGUYEN THI MUON</v>
      </c>
      <c r="G357" s="178" t="s">
        <v>676</v>
      </c>
      <c r="H357" s="179">
        <f t="shared" si="39"/>
        <v>1244767.1433199905</v>
      </c>
      <c r="I357" s="180">
        <f t="shared" si="40"/>
        <v>0</v>
      </c>
      <c r="J357" s="181">
        <f t="shared" si="41"/>
        <v>0</v>
      </c>
      <c r="K357" s="182">
        <v>0</v>
      </c>
      <c r="L357" s="180" t="str">
        <f t="shared" si="45"/>
        <v/>
      </c>
      <c r="M357" s="218">
        <f>SUMIFS(DATA!$L:$L,DATA!$O:$O,$B358,DATA!$N:$N,$A358,DATA!$M:$M,'SALES BY SYSTEM'!$O$1)</f>
        <v>0</v>
      </c>
      <c r="N357" s="182">
        <v>0</v>
      </c>
      <c r="O357" s="180" t="str">
        <f t="shared" si="46"/>
        <v/>
      </c>
      <c r="P357" s="218">
        <f>SUMIFS(DATA!$L:$L,DATA!$O:$O,$B358,DATA!$N:$N,$A358,DATA!$M:$M,'SALES BY SYSTEM'!$O$2)</f>
        <v>0</v>
      </c>
      <c r="Q357" s="182">
        <v>1244767.1433199905</v>
      </c>
      <c r="R357" s="180">
        <f t="shared" si="47"/>
        <v>0</v>
      </c>
      <c r="S357" s="218">
        <f>SUMIFS(DATA!$L:$L,DATA!$O:$O,$B358,DATA!$N:$N,$A358,DATA!$M:$M,'SALES BY SYSTEM'!$O$4)</f>
        <v>0</v>
      </c>
      <c r="T357" s="182">
        <v>0</v>
      </c>
      <c r="U357" s="180" t="str">
        <f t="shared" si="48"/>
        <v/>
      </c>
      <c r="V357" s="218">
        <f>SUMIFS(DATA!$L:$L,DATA!$O:$O,$B358,DATA!$N:$N,$A358,DATA!$M:$M,'SALES BY SYSTEM'!$O$3)</f>
        <v>0</v>
      </c>
      <c r="W357" s="168"/>
    </row>
    <row r="358" spans="1:23" ht="15.75" customHeight="1" x14ac:dyDescent="0.25">
      <c r="A358" s="178" t="s">
        <v>1482</v>
      </c>
      <c r="B358" s="178" t="s">
        <v>96</v>
      </c>
      <c r="C358" s="178" t="str">
        <f>VLOOKUP(A358,CUSTOMER!$A:$C,3,0)</f>
        <v>6209_TSON</v>
      </c>
      <c r="D358" s="178" t="s">
        <v>674</v>
      </c>
      <c r="E358" s="178" t="str">
        <f>VLOOKUP(A359,CUSTOMER!$A$2:$H$1094,5,0)</f>
        <v>TRAN THI THAO NGUYEN</v>
      </c>
      <c r="F358" s="178" t="str">
        <f>VLOOKUP(A359,CUSTOMER!$A$2:$I$1094,6,0)</f>
        <v>VACANCY</v>
      </c>
      <c r="G358" s="178" t="s">
        <v>676</v>
      </c>
      <c r="H358" s="179">
        <f t="shared" si="39"/>
        <v>1244767.1433199905</v>
      </c>
      <c r="I358" s="180">
        <f t="shared" si="40"/>
        <v>0</v>
      </c>
      <c r="J358" s="181">
        <f t="shared" si="41"/>
        <v>0</v>
      </c>
      <c r="K358" s="182">
        <v>0</v>
      </c>
      <c r="L358" s="180" t="str">
        <f t="shared" si="45"/>
        <v/>
      </c>
      <c r="M358" s="218">
        <f>SUMIFS(DATA!$L:$L,DATA!$O:$O,$B359,DATA!$N:$N,$A359,DATA!$M:$M,'SALES BY SYSTEM'!$O$1)</f>
        <v>0</v>
      </c>
      <c r="N358" s="182">
        <v>0</v>
      </c>
      <c r="O358" s="180" t="str">
        <f t="shared" si="46"/>
        <v/>
      </c>
      <c r="P358" s="218">
        <f>SUMIFS(DATA!$L:$L,DATA!$O:$O,$B359,DATA!$N:$N,$A359,DATA!$M:$M,'SALES BY SYSTEM'!$O$2)</f>
        <v>0</v>
      </c>
      <c r="Q358" s="182">
        <v>1244767.1433199905</v>
      </c>
      <c r="R358" s="180">
        <f t="shared" si="47"/>
        <v>0</v>
      </c>
      <c r="S358" s="218">
        <f>SUMIFS(DATA!$L:$L,DATA!$O:$O,$B359,DATA!$N:$N,$A359,DATA!$M:$M,'SALES BY SYSTEM'!$O$4)</f>
        <v>0</v>
      </c>
      <c r="T358" s="182">
        <v>0</v>
      </c>
      <c r="U358" s="180" t="str">
        <f t="shared" si="48"/>
        <v/>
      </c>
      <c r="V358" s="218">
        <f>SUMIFS(DATA!$L:$L,DATA!$O:$O,$B359,DATA!$N:$N,$A359,DATA!$M:$M,'SALES BY SYSTEM'!$O$3)</f>
        <v>0</v>
      </c>
      <c r="W358" s="168"/>
    </row>
    <row r="359" spans="1:23" ht="15.75" customHeight="1" x14ac:dyDescent="0.25">
      <c r="A359" s="178" t="s">
        <v>1460</v>
      </c>
      <c r="B359" s="178" t="s">
        <v>96</v>
      </c>
      <c r="C359" s="178" t="str">
        <f>VLOOKUP(A359,CUSTOMER!$A:$C,3,0)</f>
        <v>6209_VIN2</v>
      </c>
      <c r="D359" s="178" t="s">
        <v>674</v>
      </c>
      <c r="E359" s="178" t="str">
        <f>VLOOKUP(A360,CUSTOMER!$A$2:$H$1094,5,0)</f>
        <v>TRAN THI THAO NGUYEN</v>
      </c>
      <c r="F359" s="178" t="str">
        <f>VLOOKUP(A360,CUSTOMER!$A$2:$I$1094,6,0)</f>
        <v>VACANCY</v>
      </c>
      <c r="G359" s="178" t="s">
        <v>676</v>
      </c>
      <c r="H359" s="179">
        <f t="shared" si="39"/>
        <v>1244767.1433199905</v>
      </c>
      <c r="I359" s="180">
        <f t="shared" si="40"/>
        <v>0</v>
      </c>
      <c r="J359" s="181">
        <f t="shared" si="41"/>
        <v>0</v>
      </c>
      <c r="K359" s="182">
        <v>0</v>
      </c>
      <c r="L359" s="180" t="str">
        <f t="shared" si="45"/>
        <v/>
      </c>
      <c r="M359" s="218">
        <f>SUMIFS(DATA!$L:$L,DATA!$O:$O,$B360,DATA!$N:$N,$A360,DATA!$M:$M,'SALES BY SYSTEM'!$O$1)</f>
        <v>0</v>
      </c>
      <c r="N359" s="182">
        <v>0</v>
      </c>
      <c r="O359" s="180" t="str">
        <f t="shared" si="46"/>
        <v/>
      </c>
      <c r="P359" s="218">
        <f>SUMIFS(DATA!$L:$L,DATA!$O:$O,$B360,DATA!$N:$N,$A360,DATA!$M:$M,'SALES BY SYSTEM'!$O$2)</f>
        <v>0</v>
      </c>
      <c r="Q359" s="182">
        <v>1244767.1433199905</v>
      </c>
      <c r="R359" s="180">
        <f t="shared" si="47"/>
        <v>0</v>
      </c>
      <c r="S359" s="218">
        <f>SUMIFS(DATA!$L:$L,DATA!$O:$O,$B360,DATA!$N:$N,$A360,DATA!$M:$M,'SALES BY SYSTEM'!$O$4)</f>
        <v>0</v>
      </c>
      <c r="T359" s="182">
        <v>0</v>
      </c>
      <c r="U359" s="180" t="str">
        <f t="shared" si="48"/>
        <v/>
      </c>
      <c r="V359" s="218">
        <f>SUMIFS(DATA!$L:$L,DATA!$O:$O,$B360,DATA!$N:$N,$A360,DATA!$M:$M,'SALES BY SYSTEM'!$O$3)</f>
        <v>0</v>
      </c>
      <c r="W359" s="168"/>
    </row>
    <row r="360" spans="1:23" ht="15.75" customHeight="1" x14ac:dyDescent="0.25">
      <c r="A360" s="178" t="s">
        <v>1462</v>
      </c>
      <c r="B360" s="178" t="s">
        <v>96</v>
      </c>
      <c r="C360" s="178" t="str">
        <f>VLOOKUP(A360,CUSTOMER!$A:$C,3,0)</f>
        <v>6209_VINHOMES</v>
      </c>
      <c r="D360" s="178" t="s">
        <v>674</v>
      </c>
      <c r="E360" s="178" t="str">
        <f>VLOOKUP(A361,CUSTOMER!$A$2:$H$1094,5,0)</f>
        <v>TRAN THI THAO NGUYEN</v>
      </c>
      <c r="F360" s="178" t="str">
        <f>VLOOKUP(A361,CUSTOMER!$A$2:$I$1094,6,0)</f>
        <v>NO SALE</v>
      </c>
      <c r="G360" s="178" t="s">
        <v>676</v>
      </c>
      <c r="H360" s="179">
        <f t="shared" si="39"/>
        <v>1244767.1433199905</v>
      </c>
      <c r="I360" s="180">
        <f t="shared" si="40"/>
        <v>0</v>
      </c>
      <c r="J360" s="181">
        <f t="shared" si="41"/>
        <v>0</v>
      </c>
      <c r="K360" s="182">
        <v>0</v>
      </c>
      <c r="L360" s="180" t="str">
        <f t="shared" si="45"/>
        <v/>
      </c>
      <c r="M360" s="218">
        <f>SUMIFS(DATA!$L:$L,DATA!$O:$O,$B361,DATA!$N:$N,$A361,DATA!$M:$M,'SALES BY SYSTEM'!$O$1)</f>
        <v>0</v>
      </c>
      <c r="N360" s="182">
        <v>0</v>
      </c>
      <c r="O360" s="180" t="str">
        <f t="shared" si="46"/>
        <v/>
      </c>
      <c r="P360" s="218">
        <f>SUMIFS(DATA!$L:$L,DATA!$O:$O,$B361,DATA!$N:$N,$A361,DATA!$M:$M,'SALES BY SYSTEM'!$O$2)</f>
        <v>0</v>
      </c>
      <c r="Q360" s="182">
        <v>1244767.1433199905</v>
      </c>
      <c r="R360" s="180">
        <f t="shared" si="47"/>
        <v>0</v>
      </c>
      <c r="S360" s="218">
        <f>SUMIFS(DATA!$L:$L,DATA!$O:$O,$B361,DATA!$N:$N,$A361,DATA!$M:$M,'SALES BY SYSTEM'!$O$4)</f>
        <v>0</v>
      </c>
      <c r="T360" s="182">
        <v>0</v>
      </c>
      <c r="U360" s="180" t="str">
        <f t="shared" si="48"/>
        <v/>
      </c>
      <c r="V360" s="218">
        <f>SUMIFS(DATA!$L:$L,DATA!$O:$O,$B361,DATA!$N:$N,$A361,DATA!$M:$M,'SALES BY SYSTEM'!$O$3)</f>
        <v>0</v>
      </c>
      <c r="W360" s="168"/>
    </row>
    <row r="361" spans="1:23" ht="15.75" customHeight="1" x14ac:dyDescent="0.25">
      <c r="A361" s="178" t="s">
        <v>657</v>
      </c>
      <c r="B361" s="178" t="s">
        <v>657</v>
      </c>
      <c r="C361" s="178" t="str">
        <f>VLOOKUP(A361,CUSTOMER!$A:$C,3,0)</f>
        <v>6698</v>
      </c>
      <c r="D361" s="178" t="s">
        <v>674</v>
      </c>
      <c r="E361" s="178" t="str">
        <f>VLOOKUP(A362,CUSTOMER!$A$2:$H$1094,5,0)</f>
        <v>LE NAM PHUONG</v>
      </c>
      <c r="F361" s="178" t="str">
        <f>VLOOKUP(A362,CUSTOMER!$A$2:$I$1094,6,0)</f>
        <v>VACANCY</v>
      </c>
      <c r="G361" s="178" t="s">
        <v>676</v>
      </c>
      <c r="H361" s="179">
        <f t="shared" si="39"/>
        <v>1244767.1433199905</v>
      </c>
      <c r="I361" s="180">
        <f t="shared" si="40"/>
        <v>0</v>
      </c>
      <c r="J361" s="181">
        <f t="shared" si="41"/>
        <v>0</v>
      </c>
      <c r="K361" s="182">
        <v>0</v>
      </c>
      <c r="L361" s="180" t="str">
        <f t="shared" si="45"/>
        <v/>
      </c>
      <c r="M361" s="218">
        <f>SUMIFS(DATA!$L:$L,DATA!$O:$O,$B362,DATA!$N:$N,$A362,DATA!$M:$M,'SALES BY SYSTEM'!$O$1)</f>
        <v>0</v>
      </c>
      <c r="N361" s="182">
        <v>0</v>
      </c>
      <c r="O361" s="180" t="str">
        <f t="shared" si="46"/>
        <v/>
      </c>
      <c r="P361" s="218">
        <f>SUMIFS(DATA!$L:$L,DATA!$O:$O,$B362,DATA!$N:$N,$A362,DATA!$M:$M,'SALES BY SYSTEM'!$O$2)</f>
        <v>0</v>
      </c>
      <c r="Q361" s="182">
        <v>1244767.1433199905</v>
      </c>
      <c r="R361" s="180" t="str">
        <f t="shared" si="47"/>
        <v/>
      </c>
      <c r="S361" s="218">
        <f>SUMIFS(DATA!$L:$L,DATA!$O:$O,$B362,DATA!$N:$N,$A362,DATA!$M:$M,'SALES BY SYSTEM'!$O$4)</f>
        <v>0</v>
      </c>
      <c r="T361" s="182">
        <v>0</v>
      </c>
      <c r="U361" s="180">
        <f t="shared" si="48"/>
        <v>0</v>
      </c>
      <c r="V361" s="218">
        <f>SUMIFS(DATA!$L:$L,DATA!$O:$O,$B362,DATA!$N:$N,$A362,DATA!$M:$M,'SALES BY SYSTEM'!$O$3)</f>
        <v>0</v>
      </c>
      <c r="W361" s="168"/>
    </row>
    <row r="362" spans="1:23" ht="15.75" customHeight="1" x14ac:dyDescent="0.25">
      <c r="A362" s="178" t="s">
        <v>103</v>
      </c>
      <c r="B362" s="178" t="s">
        <v>104</v>
      </c>
      <c r="C362" s="178" t="str">
        <f>VLOOKUP(A362,CUSTOMER!$A:$C,3,0)</f>
        <v>LAC</v>
      </c>
      <c r="D362" s="178" t="s">
        <v>674</v>
      </c>
      <c r="E362" s="178" t="str">
        <f>VLOOKUP(A363,CUSTOMER!$A$2:$H$1094,5,0)</f>
        <v>LE NAM PHUONG</v>
      </c>
      <c r="F362" s="178" t="str">
        <f>VLOOKUP(A363,CUSTOMER!$A$2:$I$1094,6,0)</f>
        <v>VU THUY MINH THAO</v>
      </c>
      <c r="G362" s="178" t="s">
        <v>676</v>
      </c>
      <c r="H362" s="179">
        <f t="shared" si="39"/>
        <v>200889395.191275</v>
      </c>
      <c r="I362" s="180">
        <f t="shared" si="40"/>
        <v>0</v>
      </c>
      <c r="J362" s="181">
        <f t="shared" si="41"/>
        <v>0</v>
      </c>
      <c r="K362" s="182">
        <v>0</v>
      </c>
      <c r="L362" s="180" t="str">
        <f t="shared" si="45"/>
        <v/>
      </c>
      <c r="M362" s="218">
        <f>SUMIFS(DATA!$L:$L,DATA!$O:$O,$B363,DATA!$N:$N,$A363,DATA!$M:$M,'SALES BY SYSTEM'!$O$1)</f>
        <v>0</v>
      </c>
      <c r="N362" s="182">
        <v>0</v>
      </c>
      <c r="O362" s="180" t="str">
        <f t="shared" si="46"/>
        <v/>
      </c>
      <c r="P362" s="218">
        <f>SUMIFS(DATA!$L:$L,DATA!$O:$O,$B363,DATA!$N:$N,$A363,DATA!$M:$M,'SALES BY SYSTEM'!$O$2)</f>
        <v>0</v>
      </c>
      <c r="Q362" s="182">
        <v>0</v>
      </c>
      <c r="R362" s="180" t="str">
        <f t="shared" si="47"/>
        <v/>
      </c>
      <c r="S362" s="218">
        <f>SUMIFS(DATA!$L:$L,DATA!$O:$O,$B363,DATA!$N:$N,$A363,DATA!$M:$M,'SALES BY SYSTEM'!$O$4)</f>
        <v>0</v>
      </c>
      <c r="T362" s="182">
        <v>200889395.191275</v>
      </c>
      <c r="U362" s="180" t="str">
        <f t="shared" si="48"/>
        <v/>
      </c>
      <c r="V362" s="218">
        <f>SUMIFS(DATA!$L:$L,DATA!$O:$O,$B363,DATA!$N:$N,$A363,DATA!$M:$M,'SALES BY SYSTEM'!$O$3)</f>
        <v>0</v>
      </c>
      <c r="W362" s="168"/>
    </row>
    <row r="363" spans="1:23" ht="15.75" customHeight="1" x14ac:dyDescent="0.25">
      <c r="A363" s="139" t="s">
        <v>621</v>
      </c>
      <c r="B363" s="139" t="s">
        <v>617</v>
      </c>
      <c r="C363" s="178" t="str">
        <f>VLOOKUP(A363,CUSTOMER!$A:$C,3,0)</f>
        <v>ACE_VIVO</v>
      </c>
      <c r="D363" s="178" t="s">
        <v>674</v>
      </c>
      <c r="E363" s="178" t="str">
        <f>VLOOKUP(A364,CUSTOMER!$A$2:$H$1094,5,0)</f>
        <v>LE NAM PHUONG</v>
      </c>
      <c r="F363" s="178" t="str">
        <f>VLOOKUP(A364,CUSTOMER!$A$2:$I$1094,6,0)</f>
        <v>VU THUY MINH THAO</v>
      </c>
      <c r="G363" s="178" t="s">
        <v>676</v>
      </c>
      <c r="H363" s="179">
        <f t="shared" si="39"/>
        <v>0</v>
      </c>
      <c r="I363" s="180" t="str">
        <f t="shared" si="40"/>
        <v/>
      </c>
      <c r="J363" s="181">
        <f t="shared" si="41"/>
        <v>0</v>
      </c>
      <c r="K363" s="182">
        <v>0</v>
      </c>
      <c r="L363" s="180" t="str">
        <f t="shared" si="45"/>
        <v/>
      </c>
      <c r="M363" s="218">
        <f>SUMIFS(DATA!$L:$L,DATA!$O:$O,$B364,DATA!$N:$N,$A364,DATA!$M:$M,'SALES BY SYSTEM'!$O$1)</f>
        <v>0</v>
      </c>
      <c r="N363" s="182">
        <v>0</v>
      </c>
      <c r="O363" s="180" t="str">
        <f t="shared" si="46"/>
        <v/>
      </c>
      <c r="P363" s="218">
        <f>SUMIFS(DATA!$L:$L,DATA!$O:$O,$B364,DATA!$N:$N,$A364,DATA!$M:$M,'SALES BY SYSTEM'!$O$2)</f>
        <v>0</v>
      </c>
      <c r="Q363" s="182">
        <v>0</v>
      </c>
      <c r="R363" s="180" t="str">
        <f t="shared" si="47"/>
        <v/>
      </c>
      <c r="S363" s="218">
        <f>SUMIFS(DATA!$L:$L,DATA!$O:$O,$B364,DATA!$N:$N,$A364,DATA!$M:$M,'SALES BY SYSTEM'!$O$4)</f>
        <v>0</v>
      </c>
      <c r="T363" s="182">
        <v>0</v>
      </c>
      <c r="U363" s="180" t="str">
        <f t="shared" si="48"/>
        <v/>
      </c>
      <c r="V363" s="218">
        <f>SUMIFS(DATA!$L:$L,DATA!$O:$O,$B364,DATA!$N:$N,$A364,DATA!$M:$M,'SALES BY SYSTEM'!$O$3)</f>
        <v>0</v>
      </c>
      <c r="W363" s="168"/>
    </row>
    <row r="364" spans="1:23" ht="15.75" customHeight="1" x14ac:dyDescent="0.25">
      <c r="A364" s="139" t="s">
        <v>699</v>
      </c>
      <c r="B364" s="139" t="s">
        <v>617</v>
      </c>
      <c r="C364" s="178" t="str">
        <f>VLOOKUP(A364,CUSTOMER!$A:$C,3,0)</f>
        <v>ACE_CELADON</v>
      </c>
      <c r="D364" s="178" t="s">
        <v>674</v>
      </c>
      <c r="E364" s="178" t="str">
        <f>VLOOKUP(A365,CUSTOMER!$A$2:$H$1094,5,0)</f>
        <v>LE NAM PHUONG</v>
      </c>
      <c r="F364" s="178" t="str">
        <f>VLOOKUP(A365,CUSTOMER!$A$2:$I$1094,6,0)</f>
        <v>VACANCY</v>
      </c>
      <c r="G364" s="178" t="s">
        <v>676</v>
      </c>
      <c r="H364" s="179">
        <f t="shared" si="39"/>
        <v>0</v>
      </c>
      <c r="I364" s="180" t="str">
        <f t="shared" si="40"/>
        <v/>
      </c>
      <c r="J364" s="181">
        <f t="shared" si="41"/>
        <v>0</v>
      </c>
      <c r="K364" s="182">
        <v>0</v>
      </c>
      <c r="L364" s="180" t="str">
        <f t="shared" si="45"/>
        <v/>
      </c>
      <c r="M364" s="218">
        <f>SUMIFS(DATA!$L:$L,DATA!$O:$O,$B365,DATA!$N:$N,$A365,DATA!$M:$M,'SALES BY SYSTEM'!$O$1)</f>
        <v>0</v>
      </c>
      <c r="N364" s="182">
        <v>0</v>
      </c>
      <c r="O364" s="180" t="str">
        <f t="shared" si="46"/>
        <v/>
      </c>
      <c r="P364" s="218">
        <f>SUMIFS(DATA!$L:$L,DATA!$O:$O,$B365,DATA!$N:$N,$A365,DATA!$M:$M,'SALES BY SYSTEM'!$O$2)</f>
        <v>0</v>
      </c>
      <c r="Q364" s="182">
        <v>0</v>
      </c>
      <c r="R364" s="180" t="str">
        <f t="shared" si="47"/>
        <v/>
      </c>
      <c r="S364" s="218">
        <f>SUMIFS(DATA!$L:$L,DATA!$O:$O,$B365,DATA!$N:$N,$A365,DATA!$M:$M,'SALES BY SYSTEM'!$O$4)</f>
        <v>0</v>
      </c>
      <c r="T364" s="182">
        <v>0</v>
      </c>
      <c r="U364" s="180" t="str">
        <f t="shared" si="48"/>
        <v/>
      </c>
      <c r="V364" s="218">
        <f>SUMIFS(DATA!$L:$L,DATA!$O:$O,$B365,DATA!$N:$N,$A365,DATA!$M:$M,'SALES BY SYSTEM'!$O$3)</f>
        <v>0</v>
      </c>
      <c r="W364" s="168"/>
    </row>
    <row r="365" spans="1:23" ht="15.75" customHeight="1" x14ac:dyDescent="0.25">
      <c r="A365" s="139" t="s">
        <v>619</v>
      </c>
      <c r="B365" s="139" t="s">
        <v>617</v>
      </c>
      <c r="C365" s="178" t="str">
        <f>VLOOKUP(A365,CUSTOMER!$A:$C,3,0)</f>
        <v>ACE_HOME_CEL</v>
      </c>
      <c r="D365" s="178" t="s">
        <v>674</v>
      </c>
      <c r="E365" s="178" t="str">
        <f>VLOOKUP(A366,CUSTOMER!$A$2:$H$1094,5,0)</f>
        <v>LE NAM PHUONG</v>
      </c>
      <c r="F365" s="178" t="str">
        <f>VLOOKUP(A366,CUSTOMER!$A$2:$I$1094,6,0)</f>
        <v>VACANCY</v>
      </c>
      <c r="G365" s="178" t="s">
        <v>676</v>
      </c>
      <c r="H365" s="179">
        <f t="shared" si="39"/>
        <v>0</v>
      </c>
      <c r="I365" s="180" t="str">
        <f t="shared" si="40"/>
        <v/>
      </c>
      <c r="J365" s="181">
        <f t="shared" si="41"/>
        <v>0</v>
      </c>
      <c r="K365" s="182">
        <v>0</v>
      </c>
      <c r="L365" s="180" t="str">
        <f t="shared" si="45"/>
        <v/>
      </c>
      <c r="M365" s="218">
        <f>SUMIFS(DATA!$L:$L,DATA!$O:$O,$B366,DATA!$N:$N,$A366,DATA!$M:$M,'SALES BY SYSTEM'!$O$1)</f>
        <v>0</v>
      </c>
      <c r="N365" s="182">
        <v>0</v>
      </c>
      <c r="O365" s="180" t="str">
        <f t="shared" si="46"/>
        <v/>
      </c>
      <c r="P365" s="218">
        <f>SUMIFS(DATA!$L:$L,DATA!$O:$O,$B366,DATA!$N:$N,$A366,DATA!$M:$M,'SALES BY SYSTEM'!$O$2)</f>
        <v>0</v>
      </c>
      <c r="Q365" s="182">
        <v>0</v>
      </c>
      <c r="R365" s="180" t="str">
        <f t="shared" si="47"/>
        <v/>
      </c>
      <c r="S365" s="218">
        <f>SUMIFS(DATA!$L:$L,DATA!$O:$O,$B366,DATA!$N:$N,$A366,DATA!$M:$M,'SALES BY SYSTEM'!$O$4)</f>
        <v>0</v>
      </c>
      <c r="T365" s="182">
        <v>0</v>
      </c>
      <c r="U365" s="180" t="str">
        <f t="shared" si="48"/>
        <v/>
      </c>
      <c r="V365" s="218">
        <f>SUMIFS(DATA!$L:$L,DATA!$O:$O,$B366,DATA!$N:$N,$A366,DATA!$M:$M,'SALES BY SYSTEM'!$O$3)</f>
        <v>0</v>
      </c>
      <c r="W365" s="168"/>
    </row>
    <row r="366" spans="1:23" ht="15.75" customHeight="1" x14ac:dyDescent="0.25">
      <c r="A366" s="139" t="s">
        <v>627</v>
      </c>
      <c r="B366" s="139" t="s">
        <v>617</v>
      </c>
      <c r="C366" s="178" t="str">
        <f>VLOOKUP(A366,CUSTOMER!$A:$C,3,0)</f>
        <v>ACE_HOME_SVH</v>
      </c>
      <c r="D366" s="178" t="s">
        <v>674</v>
      </c>
      <c r="E366" s="178" t="e">
        <f>VLOOKUP(#REF!,CUSTOMER!$A$2:$H$1094,5,0)</f>
        <v>#REF!</v>
      </c>
      <c r="F366" s="178" t="e">
        <f>VLOOKUP(#REF!,CUSTOMER!$A$2:$I$1094,6,0)</f>
        <v>#REF!</v>
      </c>
      <c r="G366" s="178" t="s">
        <v>676</v>
      </c>
      <c r="H366" s="179">
        <f t="shared" si="39"/>
        <v>0</v>
      </c>
      <c r="I366" s="180" t="str">
        <f t="shared" si="40"/>
        <v/>
      </c>
      <c r="J366" s="181">
        <f t="shared" si="41"/>
        <v>0</v>
      </c>
      <c r="K366" s="182">
        <v>0</v>
      </c>
      <c r="L366" s="180" t="str">
        <f>IFERROR(#REF!/#REF!,"")</f>
        <v/>
      </c>
      <c r="M366" s="218">
        <f>SUMIFS(DATA!$L:$L,DATA!$O:$O,#REF!,DATA!$N:$N,#REF!,DATA!$M:$M,'SALES BY SYSTEM'!$O$1)</f>
        <v>0</v>
      </c>
      <c r="N366" s="182">
        <v>0</v>
      </c>
      <c r="O366" s="180" t="str">
        <f>IFERROR(#REF!/#REF!,"")</f>
        <v/>
      </c>
      <c r="P366" s="218">
        <f>SUMIFS(DATA!$L:$L,DATA!$O:$O,#REF!,DATA!$N:$N,#REF!,DATA!$M:$M,'SALES BY SYSTEM'!$O$2)</f>
        <v>0</v>
      </c>
      <c r="Q366" s="182">
        <v>0</v>
      </c>
      <c r="R366" s="180" t="str">
        <f>IFERROR(#REF!/#REF!,"")</f>
        <v/>
      </c>
      <c r="S366" s="218">
        <f>SUMIFS(DATA!$L:$L,DATA!$O:$O,#REF!,DATA!$N:$N,#REF!,DATA!$M:$M,'SALES BY SYSTEM'!$O$4)</f>
        <v>0</v>
      </c>
      <c r="T366" s="182">
        <v>0</v>
      </c>
      <c r="U366" s="180" t="str">
        <f>IFERROR(#REF!/#REF!,"")</f>
        <v/>
      </c>
      <c r="V366" s="218">
        <f>SUMIFS(DATA!$L:$L,DATA!$O:$O,#REF!,DATA!$N:$N,#REF!,DATA!$M:$M,'SALES BY SYSTEM'!$O$3)</f>
        <v>0</v>
      </c>
      <c r="W366" s="168"/>
    </row>
    <row r="367" spans="1:23" ht="15.75" customHeight="1" x14ac:dyDescent="0.25">
      <c r="A367" s="139" t="s">
        <v>803</v>
      </c>
      <c r="B367" s="139" t="s">
        <v>561</v>
      </c>
      <c r="C367" s="178" t="str">
        <f>VLOOKUP(A367,CUSTOMER!$A:$C,3,0)</f>
        <v>BHX_ANKHANG</v>
      </c>
      <c r="D367" s="178" t="s">
        <v>674</v>
      </c>
      <c r="E367" s="178" t="str">
        <f>VLOOKUP(A368,CUSTOMER!$A$2:$H$1094,5,0)</f>
        <v>LE NAM PHUONG</v>
      </c>
      <c r="F367" s="178" t="str">
        <f>VLOOKUP(A368,CUSTOMER!$A$2:$I$1094,6,0)</f>
        <v>VACANCY</v>
      </c>
      <c r="G367" s="178" t="s">
        <v>676</v>
      </c>
      <c r="H367" s="179">
        <f t="shared" ref="H367:H410" si="49">SUM(K367,N367,Q367,T367)</f>
        <v>0</v>
      </c>
      <c r="I367" s="180" t="str">
        <f t="shared" ref="I367:I410" si="50">IFERROR(J367/H367,"")</f>
        <v/>
      </c>
      <c r="J367" s="181">
        <f t="shared" ref="J367:J410" si="51">SUM(M367,P367,S367,V367)</f>
        <v>0</v>
      </c>
      <c r="K367" s="182">
        <v>0</v>
      </c>
      <c r="L367" s="180" t="str">
        <f t="shared" ref="L367:L392" si="52">IFERROR(M368/K368,"")</f>
        <v/>
      </c>
      <c r="M367" s="218">
        <f>SUMIFS(DATA!$L:$L,DATA!$O:$O,$B368,DATA!$N:$N,$A368,DATA!$M:$M,'SALES BY SYSTEM'!$O$1)</f>
        <v>0</v>
      </c>
      <c r="N367" s="182">
        <v>0</v>
      </c>
      <c r="O367" s="180" t="str">
        <f t="shared" ref="O367:O397" si="53">IFERROR(P368/N368,"")</f>
        <v/>
      </c>
      <c r="P367" s="218">
        <f>SUMIFS(DATA!$L:$L,DATA!$O:$O,$B368,DATA!$N:$N,$A368,DATA!$M:$M,'SALES BY SYSTEM'!$O$2)</f>
        <v>0</v>
      </c>
      <c r="Q367" s="182">
        <v>0</v>
      </c>
      <c r="R367" s="180" t="str">
        <f t="shared" ref="R367:R397" si="54">IFERROR(S368/Q368,"")</f>
        <v/>
      </c>
      <c r="S367" s="218">
        <f>SUMIFS(DATA!$L:$L,DATA!$O:$O,$B368,DATA!$N:$N,$A368,DATA!$M:$M,'SALES BY SYSTEM'!$O$4)</f>
        <v>0</v>
      </c>
      <c r="T367" s="182">
        <v>0</v>
      </c>
      <c r="U367" s="180" t="str">
        <f t="shared" ref="U367:U397" si="55">IFERROR(V368/T368,"")</f>
        <v/>
      </c>
      <c r="V367" s="218">
        <f>SUMIFS(DATA!$L:$L,DATA!$O:$O,$B368,DATA!$N:$N,$A368,DATA!$M:$M,'SALES BY SYSTEM'!$O$3)</f>
        <v>0</v>
      </c>
      <c r="W367" s="168"/>
    </row>
    <row r="368" spans="1:23" ht="15.75" customHeight="1" x14ac:dyDescent="0.25">
      <c r="A368" s="139" t="s">
        <v>805</v>
      </c>
      <c r="B368" s="139" t="s">
        <v>561</v>
      </c>
      <c r="C368" s="178" t="str">
        <f>VLOOKUP(A368,CUSTOMER!$A:$C,3,0)</f>
        <v>BHX_7085_BLI</v>
      </c>
      <c r="D368" s="178" t="s">
        <v>674</v>
      </c>
      <c r="E368" s="178" t="str">
        <f>VLOOKUP(A369,CUSTOMER!$A$2:$H$1094,5,0)</f>
        <v>LE NAM PHUONG</v>
      </c>
      <c r="F368" s="178" t="str">
        <f>VLOOKUP(A369,CUSTOMER!$A$2:$I$1094,6,0)</f>
        <v>VACANCY</v>
      </c>
      <c r="G368" s="178" t="s">
        <v>676</v>
      </c>
      <c r="H368" s="179">
        <f t="shared" si="49"/>
        <v>0</v>
      </c>
      <c r="I368" s="180" t="str">
        <f t="shared" si="50"/>
        <v/>
      </c>
      <c r="J368" s="181">
        <f t="shared" si="51"/>
        <v>0</v>
      </c>
      <c r="K368" s="182">
        <v>0</v>
      </c>
      <c r="L368" s="180" t="str">
        <f t="shared" si="52"/>
        <v/>
      </c>
      <c r="M368" s="218">
        <f>SUMIFS(DATA!$L:$L,DATA!$O:$O,$B369,DATA!$N:$N,$A369,DATA!$M:$M,'SALES BY SYSTEM'!$O$1)</f>
        <v>0</v>
      </c>
      <c r="N368" s="182">
        <v>0</v>
      </c>
      <c r="O368" s="180" t="str">
        <f t="shared" si="53"/>
        <v/>
      </c>
      <c r="P368" s="218">
        <f>SUMIFS(DATA!$L:$L,DATA!$O:$O,$B369,DATA!$N:$N,$A369,DATA!$M:$M,'SALES BY SYSTEM'!$O$2)</f>
        <v>0</v>
      </c>
      <c r="Q368" s="182">
        <v>0</v>
      </c>
      <c r="R368" s="180" t="str">
        <f t="shared" si="54"/>
        <v/>
      </c>
      <c r="S368" s="218">
        <f>SUMIFS(DATA!$L:$L,DATA!$O:$O,$B369,DATA!$N:$N,$A369,DATA!$M:$M,'SALES BY SYSTEM'!$O$4)</f>
        <v>0</v>
      </c>
      <c r="T368" s="182">
        <v>0</v>
      </c>
      <c r="U368" s="180" t="str">
        <f t="shared" si="55"/>
        <v/>
      </c>
      <c r="V368" s="218">
        <f>SUMIFS(DATA!$L:$L,DATA!$O:$O,$B369,DATA!$N:$N,$A369,DATA!$M:$M,'SALES BY SYSTEM'!$O$3)</f>
        <v>0</v>
      </c>
      <c r="W368" s="168"/>
    </row>
    <row r="369" spans="1:23" ht="15.75" customHeight="1" x14ac:dyDescent="0.25">
      <c r="A369" s="139" t="s">
        <v>815</v>
      </c>
      <c r="B369" s="139" t="s">
        <v>561</v>
      </c>
      <c r="C369" s="178" t="str">
        <f>VLOOKUP(A369,CUSTOMER!$A:$C,3,0)</f>
        <v>BHX_10864_ONLDHOA</v>
      </c>
      <c r="D369" s="178" t="s">
        <v>674</v>
      </c>
      <c r="E369" s="178" t="str">
        <f>VLOOKUP(A370,CUSTOMER!$A$2:$H$1094,5,0)</f>
        <v>LE NAM PHUONG</v>
      </c>
      <c r="F369" s="178" t="str">
        <f>VLOOKUP(A370,CUSTOMER!$A$2:$I$1094,6,0)</f>
        <v>VACANCY</v>
      </c>
      <c r="G369" s="178" t="s">
        <v>676</v>
      </c>
      <c r="H369" s="179">
        <f t="shared" si="49"/>
        <v>0</v>
      </c>
      <c r="I369" s="180" t="str">
        <f t="shared" si="50"/>
        <v/>
      </c>
      <c r="J369" s="181">
        <f t="shared" si="51"/>
        <v>0</v>
      </c>
      <c r="K369" s="182">
        <v>0</v>
      </c>
      <c r="L369" s="180" t="str">
        <f t="shared" si="52"/>
        <v/>
      </c>
      <c r="M369" s="218">
        <f>SUMIFS(DATA!$L:$L,DATA!$O:$O,$B370,DATA!$N:$N,$A370,DATA!$M:$M,'SALES BY SYSTEM'!$O$1)</f>
        <v>0</v>
      </c>
      <c r="N369" s="182">
        <v>0</v>
      </c>
      <c r="O369" s="180" t="str">
        <f t="shared" si="53"/>
        <v/>
      </c>
      <c r="P369" s="218">
        <f>SUMIFS(DATA!$L:$L,DATA!$O:$O,$B370,DATA!$N:$N,$A370,DATA!$M:$M,'SALES BY SYSTEM'!$O$2)</f>
        <v>0</v>
      </c>
      <c r="Q369" s="182">
        <v>0</v>
      </c>
      <c r="R369" s="180" t="str">
        <f t="shared" si="54"/>
        <v/>
      </c>
      <c r="S369" s="218">
        <f>SUMIFS(DATA!$L:$L,DATA!$O:$O,$B370,DATA!$N:$N,$A370,DATA!$M:$M,'SALES BY SYSTEM'!$O$4)</f>
        <v>0</v>
      </c>
      <c r="T369" s="182">
        <v>0</v>
      </c>
      <c r="U369" s="180" t="str">
        <f t="shared" si="55"/>
        <v/>
      </c>
      <c r="V369" s="218">
        <f>SUMIFS(DATA!$L:$L,DATA!$O:$O,$B370,DATA!$N:$N,$A370,DATA!$M:$M,'SALES BY SYSTEM'!$O$3)</f>
        <v>0</v>
      </c>
      <c r="W369" s="168"/>
    </row>
    <row r="370" spans="1:23" ht="15.75" customHeight="1" x14ac:dyDescent="0.25">
      <c r="A370" s="139" t="s">
        <v>820</v>
      </c>
      <c r="B370" s="139" t="s">
        <v>561</v>
      </c>
      <c r="C370" s="178" t="str">
        <f>VLOOKUP(A370,CUSTOMER!$A:$C,3,0)</f>
        <v>BHX_8681_GVAP</v>
      </c>
      <c r="D370" s="178" t="s">
        <v>674</v>
      </c>
      <c r="E370" s="178" t="str">
        <f>VLOOKUP(A371,CUSTOMER!$A$2:$H$1094,5,0)</f>
        <v>LE NAM PHUONG</v>
      </c>
      <c r="F370" s="178" t="str">
        <f>VLOOKUP(A371,CUSTOMER!$A$2:$I$1094,6,0)</f>
        <v>VACANCY</v>
      </c>
      <c r="G370" s="178" t="s">
        <v>676</v>
      </c>
      <c r="H370" s="179">
        <f t="shared" si="49"/>
        <v>0</v>
      </c>
      <c r="I370" s="180" t="str">
        <f t="shared" si="50"/>
        <v/>
      </c>
      <c r="J370" s="181">
        <f t="shared" si="51"/>
        <v>0</v>
      </c>
      <c r="K370" s="182">
        <v>0</v>
      </c>
      <c r="L370" s="180" t="str">
        <f t="shared" si="52"/>
        <v/>
      </c>
      <c r="M370" s="218">
        <f>SUMIFS(DATA!$L:$L,DATA!$O:$O,$B371,DATA!$N:$N,$A371,DATA!$M:$M,'SALES BY SYSTEM'!$O$1)</f>
        <v>0</v>
      </c>
      <c r="N370" s="182">
        <v>0</v>
      </c>
      <c r="O370" s="180" t="str">
        <f t="shared" si="53"/>
        <v/>
      </c>
      <c r="P370" s="218">
        <f>SUMIFS(DATA!$L:$L,DATA!$O:$O,$B371,DATA!$N:$N,$A371,DATA!$M:$M,'SALES BY SYSTEM'!$O$2)</f>
        <v>0</v>
      </c>
      <c r="Q370" s="182">
        <v>0</v>
      </c>
      <c r="R370" s="180" t="str">
        <f t="shared" si="54"/>
        <v/>
      </c>
      <c r="S370" s="218">
        <f>SUMIFS(DATA!$L:$L,DATA!$O:$O,$B371,DATA!$N:$N,$A371,DATA!$M:$M,'SALES BY SYSTEM'!$O$4)</f>
        <v>0</v>
      </c>
      <c r="T370" s="182">
        <v>0</v>
      </c>
      <c r="U370" s="180" t="str">
        <f t="shared" si="55"/>
        <v/>
      </c>
      <c r="V370" s="218">
        <f>SUMIFS(DATA!$L:$L,DATA!$O:$O,$B371,DATA!$N:$N,$A371,DATA!$M:$M,'SALES BY SYSTEM'!$O$3)</f>
        <v>0</v>
      </c>
      <c r="W370" s="168"/>
    </row>
    <row r="371" spans="1:23" ht="15.75" customHeight="1" x14ac:dyDescent="0.25">
      <c r="A371" s="139" t="s">
        <v>825</v>
      </c>
      <c r="B371" s="139" t="s">
        <v>561</v>
      </c>
      <c r="C371" s="178" t="str">
        <f>VLOOKUP(A371,CUSTOMER!$A:$C,3,0)</f>
        <v>BHX_6960_HTHANH</v>
      </c>
      <c r="D371" s="178" t="s">
        <v>674</v>
      </c>
      <c r="E371" s="178" t="str">
        <f>VLOOKUP(A372,CUSTOMER!$A$2:$H$1094,5,0)</f>
        <v>LE NAM PHUONG</v>
      </c>
      <c r="F371" s="178" t="str">
        <f>VLOOKUP(A372,CUSTOMER!$A$2:$I$1094,6,0)</f>
        <v>VACANCY</v>
      </c>
      <c r="G371" s="178" t="s">
        <v>676</v>
      </c>
      <c r="H371" s="179">
        <f t="shared" si="49"/>
        <v>0</v>
      </c>
      <c r="I371" s="180" t="str">
        <f t="shared" si="50"/>
        <v/>
      </c>
      <c r="J371" s="181">
        <f t="shared" si="51"/>
        <v>0</v>
      </c>
      <c r="K371" s="182">
        <v>0</v>
      </c>
      <c r="L371" s="180" t="str">
        <f t="shared" si="52"/>
        <v/>
      </c>
      <c r="M371" s="218">
        <f>SUMIFS(DATA!$L:$L,DATA!$O:$O,$B372,DATA!$N:$N,$A372,DATA!$M:$M,'SALES BY SYSTEM'!$O$1)</f>
        <v>0</v>
      </c>
      <c r="N371" s="182">
        <v>0</v>
      </c>
      <c r="O371" s="180" t="str">
        <f t="shared" si="53"/>
        <v/>
      </c>
      <c r="P371" s="218">
        <f>SUMIFS(DATA!$L:$L,DATA!$O:$O,$B372,DATA!$N:$N,$A372,DATA!$M:$M,'SALES BY SYSTEM'!$O$2)</f>
        <v>0</v>
      </c>
      <c r="Q371" s="182">
        <v>0</v>
      </c>
      <c r="R371" s="180" t="str">
        <f t="shared" si="54"/>
        <v/>
      </c>
      <c r="S371" s="218">
        <f>SUMIFS(DATA!$L:$L,DATA!$O:$O,$B372,DATA!$N:$N,$A372,DATA!$M:$M,'SALES BY SYSTEM'!$O$4)</f>
        <v>0</v>
      </c>
      <c r="T371" s="182">
        <v>0</v>
      </c>
      <c r="U371" s="180" t="str">
        <f t="shared" si="55"/>
        <v/>
      </c>
      <c r="V371" s="218">
        <f>SUMIFS(DATA!$L:$L,DATA!$O:$O,$B372,DATA!$N:$N,$A372,DATA!$M:$M,'SALES BY SYSTEM'!$O$3)</f>
        <v>0</v>
      </c>
      <c r="W371" s="168"/>
    </row>
    <row r="372" spans="1:23" ht="15.75" customHeight="1" x14ac:dyDescent="0.25">
      <c r="A372" s="139" t="s">
        <v>828</v>
      </c>
      <c r="B372" s="139" t="s">
        <v>561</v>
      </c>
      <c r="C372" s="178" t="str">
        <f>VLOOKUP(A372,CUSTOMER!$A:$C,3,0)</f>
        <v>BHX_27889_ONLTDN</v>
      </c>
      <c r="D372" s="178" t="s">
        <v>674</v>
      </c>
      <c r="E372" s="178" t="str">
        <f>VLOOKUP(A373,CUSTOMER!$A$2:$H$1094,5,0)</f>
        <v>LE NAM PHUONG</v>
      </c>
      <c r="F372" s="178" t="str">
        <f>VLOOKUP(A373,CUSTOMER!$A$2:$I$1094,6,0)</f>
        <v>VACANCY</v>
      </c>
      <c r="G372" s="178" t="s">
        <v>676</v>
      </c>
      <c r="H372" s="179">
        <f t="shared" si="49"/>
        <v>0</v>
      </c>
      <c r="I372" s="180" t="str">
        <f t="shared" si="50"/>
        <v/>
      </c>
      <c r="J372" s="181">
        <f t="shared" si="51"/>
        <v>0</v>
      </c>
      <c r="K372" s="182">
        <v>0</v>
      </c>
      <c r="L372" s="180" t="str">
        <f t="shared" si="52"/>
        <v/>
      </c>
      <c r="M372" s="218">
        <f>SUMIFS(DATA!$L:$L,DATA!$O:$O,$B373,DATA!$N:$N,$A373,DATA!$M:$M,'SALES BY SYSTEM'!$O$1)</f>
        <v>0</v>
      </c>
      <c r="N372" s="182">
        <v>0</v>
      </c>
      <c r="O372" s="180" t="str">
        <f t="shared" si="53"/>
        <v/>
      </c>
      <c r="P372" s="218">
        <f>SUMIFS(DATA!$L:$L,DATA!$O:$O,$B373,DATA!$N:$N,$A373,DATA!$M:$M,'SALES BY SYSTEM'!$O$2)</f>
        <v>0</v>
      </c>
      <c r="Q372" s="182">
        <v>0</v>
      </c>
      <c r="R372" s="180" t="str">
        <f t="shared" si="54"/>
        <v/>
      </c>
      <c r="S372" s="218">
        <f>SUMIFS(DATA!$L:$L,DATA!$O:$O,$B373,DATA!$N:$N,$A373,DATA!$M:$M,'SALES BY SYSTEM'!$O$4)</f>
        <v>0</v>
      </c>
      <c r="T372" s="182">
        <v>0</v>
      </c>
      <c r="U372" s="180" t="str">
        <f t="shared" si="55"/>
        <v/>
      </c>
      <c r="V372" s="218">
        <f>SUMIFS(DATA!$L:$L,DATA!$O:$O,$B373,DATA!$N:$N,$A373,DATA!$M:$M,'SALES BY SYSTEM'!$O$3)</f>
        <v>0</v>
      </c>
      <c r="W372" s="168"/>
    </row>
    <row r="373" spans="1:23" ht="15.75" customHeight="1" x14ac:dyDescent="0.25">
      <c r="A373" s="139" t="s">
        <v>830</v>
      </c>
      <c r="B373" s="139" t="s">
        <v>561</v>
      </c>
      <c r="C373" s="178" t="str">
        <f>VLOOKUP(A373,CUSTOMER!$A:$C,3,0)</f>
        <v>BHX_9899_TPHU</v>
      </c>
      <c r="D373" s="178" t="s">
        <v>674</v>
      </c>
      <c r="E373" s="178" t="str">
        <f>VLOOKUP(A374,CUSTOMER!$A$2:$H$1094,5,0)</f>
        <v>LE NAM PHUONG</v>
      </c>
      <c r="F373" s="178" t="str">
        <f>VLOOKUP(A374,CUSTOMER!$A$2:$I$1094,6,0)</f>
        <v>VACANCY</v>
      </c>
      <c r="G373" s="178" t="s">
        <v>676</v>
      </c>
      <c r="H373" s="179">
        <f t="shared" si="49"/>
        <v>0</v>
      </c>
      <c r="I373" s="180" t="str">
        <f t="shared" si="50"/>
        <v/>
      </c>
      <c r="J373" s="181">
        <f t="shared" si="51"/>
        <v>0</v>
      </c>
      <c r="K373" s="182">
        <v>0</v>
      </c>
      <c r="L373" s="180" t="str">
        <f t="shared" si="52"/>
        <v/>
      </c>
      <c r="M373" s="218">
        <f>SUMIFS(DATA!$L:$L,DATA!$O:$O,$B374,DATA!$N:$N,$A374,DATA!$M:$M,'SALES BY SYSTEM'!$O$1)</f>
        <v>0</v>
      </c>
      <c r="N373" s="182">
        <v>0</v>
      </c>
      <c r="O373" s="180" t="str">
        <f t="shared" si="53"/>
        <v/>
      </c>
      <c r="P373" s="218">
        <f>SUMIFS(DATA!$L:$L,DATA!$O:$O,$B374,DATA!$N:$N,$A374,DATA!$M:$M,'SALES BY SYSTEM'!$O$2)</f>
        <v>0</v>
      </c>
      <c r="Q373" s="182">
        <v>0</v>
      </c>
      <c r="R373" s="180" t="str">
        <f t="shared" si="54"/>
        <v/>
      </c>
      <c r="S373" s="218">
        <f>SUMIFS(DATA!$L:$L,DATA!$O:$O,$B374,DATA!$N:$N,$A374,DATA!$M:$M,'SALES BY SYSTEM'!$O$4)</f>
        <v>0</v>
      </c>
      <c r="T373" s="182">
        <v>0</v>
      </c>
      <c r="U373" s="180" t="str">
        <f t="shared" si="55"/>
        <v/>
      </c>
      <c r="V373" s="218">
        <f>SUMIFS(DATA!$L:$L,DATA!$O:$O,$B374,DATA!$N:$N,$A374,DATA!$M:$M,'SALES BY SYSTEM'!$O$3)</f>
        <v>0</v>
      </c>
      <c r="W373" s="168"/>
    </row>
    <row r="374" spans="1:23" ht="15.75" customHeight="1" x14ac:dyDescent="0.25">
      <c r="A374" s="139" t="s">
        <v>832</v>
      </c>
      <c r="B374" s="139" t="s">
        <v>561</v>
      </c>
      <c r="C374" s="178" t="str">
        <f>VLOOKUP(A374,CUSTOMER!$A:$C,3,0)</f>
        <v>BHX_5664_MDAM</v>
      </c>
      <c r="D374" s="178" t="s">
        <v>674</v>
      </c>
      <c r="E374" s="178" t="str">
        <f>VLOOKUP(A375,CUSTOMER!$A$2:$H$1094,5,0)</f>
        <v>LE NAM PHUONG</v>
      </c>
      <c r="F374" s="178" t="str">
        <f>VLOOKUP(A375,CUSTOMER!$A$2:$I$1094,6,0)</f>
        <v>VACANCY</v>
      </c>
      <c r="G374" s="178" t="s">
        <v>676</v>
      </c>
      <c r="H374" s="179">
        <f t="shared" si="49"/>
        <v>0</v>
      </c>
      <c r="I374" s="180" t="str">
        <f t="shared" si="50"/>
        <v/>
      </c>
      <c r="J374" s="181">
        <f t="shared" si="51"/>
        <v>0</v>
      </c>
      <c r="K374" s="182">
        <v>0</v>
      </c>
      <c r="L374" s="180" t="str">
        <f t="shared" si="52"/>
        <v/>
      </c>
      <c r="M374" s="218">
        <f>SUMIFS(DATA!$L:$L,DATA!$O:$O,$B375,DATA!$N:$N,$A375,DATA!$M:$M,'SALES BY SYSTEM'!$O$1)</f>
        <v>0</v>
      </c>
      <c r="N374" s="182">
        <v>0</v>
      </c>
      <c r="O374" s="180" t="str">
        <f t="shared" si="53"/>
        <v/>
      </c>
      <c r="P374" s="218">
        <f>SUMIFS(DATA!$L:$L,DATA!$O:$O,$B375,DATA!$N:$N,$A375,DATA!$M:$M,'SALES BY SYSTEM'!$O$2)</f>
        <v>0</v>
      </c>
      <c r="Q374" s="182">
        <v>0</v>
      </c>
      <c r="R374" s="180" t="str">
        <f t="shared" si="54"/>
        <v/>
      </c>
      <c r="S374" s="218">
        <f>SUMIFS(DATA!$L:$L,DATA!$O:$O,$B375,DATA!$N:$N,$A375,DATA!$M:$M,'SALES BY SYSTEM'!$O$4)</f>
        <v>0</v>
      </c>
      <c r="T374" s="182">
        <v>0</v>
      </c>
      <c r="U374" s="180" t="str">
        <f t="shared" si="55"/>
        <v/>
      </c>
      <c r="V374" s="218">
        <f>SUMIFS(DATA!$L:$L,DATA!$O:$O,$B375,DATA!$N:$N,$A375,DATA!$M:$M,'SALES BY SYSTEM'!$O$3)</f>
        <v>0</v>
      </c>
      <c r="W374" s="168"/>
    </row>
    <row r="375" spans="1:23" ht="15.75" customHeight="1" x14ac:dyDescent="0.25">
      <c r="A375" s="139" t="s">
        <v>834</v>
      </c>
      <c r="B375" s="139" t="s">
        <v>561</v>
      </c>
      <c r="C375" s="178" t="str">
        <f>VLOOKUP(A375,CUSTOMER!$A:$C,3,0)</f>
        <v>BHX_4014_MTHO</v>
      </c>
      <c r="D375" s="178" t="s">
        <v>674</v>
      </c>
      <c r="E375" s="178" t="str">
        <f>VLOOKUP(A376,CUSTOMER!$A$2:$H$1094,5,0)</f>
        <v>LE NAM PHUONG</v>
      </c>
      <c r="F375" s="178" t="str">
        <f>VLOOKUP(A376,CUSTOMER!$A$2:$I$1094,6,0)</f>
        <v>VACANCY</v>
      </c>
      <c r="G375" s="178" t="s">
        <v>676</v>
      </c>
      <c r="H375" s="179">
        <f t="shared" si="49"/>
        <v>0</v>
      </c>
      <c r="I375" s="180" t="str">
        <f t="shared" si="50"/>
        <v/>
      </c>
      <c r="J375" s="181">
        <f t="shared" si="51"/>
        <v>0</v>
      </c>
      <c r="K375" s="182">
        <v>0</v>
      </c>
      <c r="L375" s="180" t="str">
        <f t="shared" si="52"/>
        <v/>
      </c>
      <c r="M375" s="218">
        <f>SUMIFS(DATA!$L:$L,DATA!$O:$O,$B376,DATA!$N:$N,$A376,DATA!$M:$M,'SALES BY SYSTEM'!$O$1)</f>
        <v>0</v>
      </c>
      <c r="N375" s="182">
        <v>0</v>
      </c>
      <c r="O375" s="180" t="str">
        <f t="shared" si="53"/>
        <v/>
      </c>
      <c r="P375" s="218">
        <f>SUMIFS(DATA!$L:$L,DATA!$O:$O,$B376,DATA!$N:$N,$A376,DATA!$M:$M,'SALES BY SYSTEM'!$O$2)</f>
        <v>0</v>
      </c>
      <c r="Q375" s="182">
        <v>0</v>
      </c>
      <c r="R375" s="180" t="str">
        <f t="shared" si="54"/>
        <v/>
      </c>
      <c r="S375" s="218">
        <f>SUMIFS(DATA!$L:$L,DATA!$O:$O,$B376,DATA!$N:$N,$A376,DATA!$M:$M,'SALES BY SYSTEM'!$O$4)</f>
        <v>0</v>
      </c>
      <c r="T375" s="182">
        <v>0</v>
      </c>
      <c r="U375" s="180" t="str">
        <f t="shared" si="55"/>
        <v/>
      </c>
      <c r="V375" s="218">
        <f>SUMIFS(DATA!$L:$L,DATA!$O:$O,$B376,DATA!$N:$N,$A376,DATA!$M:$M,'SALES BY SYSTEM'!$O$3)</f>
        <v>0</v>
      </c>
      <c r="W375" s="168"/>
    </row>
    <row r="376" spans="1:23" ht="15.75" customHeight="1" x14ac:dyDescent="0.25">
      <c r="A376" s="139" t="s">
        <v>836</v>
      </c>
      <c r="B376" s="139" t="s">
        <v>561</v>
      </c>
      <c r="C376" s="178" t="str">
        <f>VLOOKUP(A376,CUSTOMER!$A:$C,3,0)</f>
        <v>BHX_13935_ONLVLOC</v>
      </c>
      <c r="D376" s="178" t="s">
        <v>674</v>
      </c>
      <c r="E376" s="178" t="str">
        <f>VLOOKUP(A377,CUSTOMER!$A$2:$H$1094,5,0)</f>
        <v>LE NAM PHUONG</v>
      </c>
      <c r="F376" s="178" t="str">
        <f>VLOOKUP(A377,CUSTOMER!$A$2:$I$1094,6,0)</f>
        <v>VACANCY</v>
      </c>
      <c r="G376" s="178" t="s">
        <v>676</v>
      </c>
      <c r="H376" s="179">
        <f t="shared" si="49"/>
        <v>0</v>
      </c>
      <c r="I376" s="180" t="str">
        <f t="shared" si="50"/>
        <v/>
      </c>
      <c r="J376" s="181">
        <f t="shared" si="51"/>
        <v>0</v>
      </c>
      <c r="K376" s="182">
        <v>0</v>
      </c>
      <c r="L376" s="180" t="str">
        <f t="shared" si="52"/>
        <v/>
      </c>
      <c r="M376" s="218">
        <f>SUMIFS(DATA!$L:$L,DATA!$O:$O,$B377,DATA!$N:$N,$A377,DATA!$M:$M,'SALES BY SYSTEM'!$O$1)</f>
        <v>0</v>
      </c>
      <c r="N376" s="182">
        <v>0</v>
      </c>
      <c r="O376" s="180" t="str">
        <f t="shared" si="53"/>
        <v/>
      </c>
      <c r="P376" s="218">
        <f>SUMIFS(DATA!$L:$L,DATA!$O:$O,$B377,DATA!$N:$N,$A377,DATA!$M:$M,'SALES BY SYSTEM'!$O$2)</f>
        <v>0</v>
      </c>
      <c r="Q376" s="182">
        <v>0</v>
      </c>
      <c r="R376" s="180" t="str">
        <f t="shared" si="54"/>
        <v/>
      </c>
      <c r="S376" s="218">
        <f>SUMIFS(DATA!$L:$L,DATA!$O:$O,$B377,DATA!$N:$N,$A377,DATA!$M:$M,'SALES BY SYSTEM'!$O$4)</f>
        <v>0</v>
      </c>
      <c r="T376" s="182">
        <v>0</v>
      </c>
      <c r="U376" s="180" t="str">
        <f t="shared" si="55"/>
        <v/>
      </c>
      <c r="V376" s="218">
        <f>SUMIFS(DATA!$L:$L,DATA!$O:$O,$B377,DATA!$N:$N,$A377,DATA!$M:$M,'SALES BY SYSTEM'!$O$3)</f>
        <v>0</v>
      </c>
      <c r="W376" s="168"/>
    </row>
    <row r="377" spans="1:23" ht="15.75" customHeight="1" x14ac:dyDescent="0.25">
      <c r="A377" s="139" t="s">
        <v>842</v>
      </c>
      <c r="B377" s="139" t="s">
        <v>561</v>
      </c>
      <c r="C377" s="178" t="str">
        <f>VLOOKUP(A377,CUSTOMER!$A:$C,3,0)</f>
        <v>BHX_9814_TDUC</v>
      </c>
      <c r="D377" s="178" t="s">
        <v>674</v>
      </c>
      <c r="E377" s="178" t="str">
        <f>VLOOKUP(A378,CUSTOMER!$A$2:$H$1094,5,0)</f>
        <v>LE NAM PHUONG</v>
      </c>
      <c r="F377" s="178" t="str">
        <f>VLOOKUP(A378,CUSTOMER!$A$2:$I$1094,6,0)</f>
        <v>VACANCY</v>
      </c>
      <c r="G377" s="178" t="s">
        <v>676</v>
      </c>
      <c r="H377" s="179">
        <f t="shared" si="49"/>
        <v>0</v>
      </c>
      <c r="I377" s="180" t="str">
        <f t="shared" si="50"/>
        <v/>
      </c>
      <c r="J377" s="181">
        <f t="shared" si="51"/>
        <v>0</v>
      </c>
      <c r="K377" s="182">
        <v>0</v>
      </c>
      <c r="L377" s="180" t="str">
        <f t="shared" si="52"/>
        <v/>
      </c>
      <c r="M377" s="218">
        <f>SUMIFS(DATA!$L:$L,DATA!$O:$O,$B378,DATA!$N:$N,$A378,DATA!$M:$M,'SALES BY SYSTEM'!$O$1)</f>
        <v>0</v>
      </c>
      <c r="N377" s="182">
        <v>0</v>
      </c>
      <c r="O377" s="180" t="str">
        <f t="shared" si="53"/>
        <v/>
      </c>
      <c r="P377" s="218">
        <f>SUMIFS(DATA!$L:$L,DATA!$O:$O,$B378,DATA!$N:$N,$A378,DATA!$M:$M,'SALES BY SYSTEM'!$O$2)</f>
        <v>0</v>
      </c>
      <c r="Q377" s="182">
        <v>0</v>
      </c>
      <c r="R377" s="180" t="str">
        <f t="shared" si="54"/>
        <v/>
      </c>
      <c r="S377" s="218">
        <f>SUMIFS(DATA!$L:$L,DATA!$O:$O,$B378,DATA!$N:$N,$A378,DATA!$M:$M,'SALES BY SYSTEM'!$O$4)</f>
        <v>0</v>
      </c>
      <c r="T377" s="182">
        <v>0</v>
      </c>
      <c r="U377" s="180" t="str">
        <f t="shared" si="55"/>
        <v/>
      </c>
      <c r="V377" s="218">
        <f>SUMIFS(DATA!$L:$L,DATA!$O:$O,$B378,DATA!$N:$N,$A378,DATA!$M:$M,'SALES BY SYSTEM'!$O$3)</f>
        <v>0</v>
      </c>
      <c r="W377" s="168"/>
    </row>
    <row r="378" spans="1:23" ht="15.75" customHeight="1" x14ac:dyDescent="0.25">
      <c r="A378" s="139" t="s">
        <v>583</v>
      </c>
      <c r="B378" s="139" t="s">
        <v>561</v>
      </c>
      <c r="C378" s="178" t="str">
        <f>VLOOKUP(A378,CUSTOMER!$A:$C,3,0)</f>
        <v>BHX_14675_VINH</v>
      </c>
      <c r="D378" s="178" t="s">
        <v>674</v>
      </c>
      <c r="E378" s="178" t="str">
        <f>VLOOKUP(A379,CUSTOMER!$A$2:$H$1094,5,0)</f>
        <v>LE NAM PHUONG</v>
      </c>
      <c r="F378" s="178" t="str">
        <f>VLOOKUP(A379,CUSTOMER!$A$2:$I$1094,6,0)</f>
        <v>VACANCY</v>
      </c>
      <c r="G378" s="178" t="s">
        <v>676</v>
      </c>
      <c r="H378" s="179">
        <f t="shared" si="49"/>
        <v>0</v>
      </c>
      <c r="I378" s="180" t="str">
        <f t="shared" si="50"/>
        <v/>
      </c>
      <c r="J378" s="181">
        <f t="shared" si="51"/>
        <v>0</v>
      </c>
      <c r="K378" s="182">
        <v>0</v>
      </c>
      <c r="L378" s="180" t="str">
        <f t="shared" si="52"/>
        <v/>
      </c>
      <c r="M378" s="218">
        <f>SUMIFS(DATA!$L:$L,DATA!$O:$O,$B379,DATA!$N:$N,$A379,DATA!$M:$M,'SALES BY SYSTEM'!$O$1)</f>
        <v>0</v>
      </c>
      <c r="N378" s="182">
        <v>0</v>
      </c>
      <c r="O378" s="180" t="str">
        <f t="shared" si="53"/>
        <v/>
      </c>
      <c r="P378" s="218">
        <f>SUMIFS(DATA!$L:$L,DATA!$O:$O,$B379,DATA!$N:$N,$A379,DATA!$M:$M,'SALES BY SYSTEM'!$O$2)</f>
        <v>0</v>
      </c>
      <c r="Q378" s="182">
        <v>0</v>
      </c>
      <c r="R378" s="180" t="str">
        <f t="shared" si="54"/>
        <v/>
      </c>
      <c r="S378" s="218">
        <f>SUMIFS(DATA!$L:$L,DATA!$O:$O,$B379,DATA!$N:$N,$A379,DATA!$M:$M,'SALES BY SYSTEM'!$O$4)</f>
        <v>0</v>
      </c>
      <c r="T378" s="182">
        <v>0</v>
      </c>
      <c r="U378" s="180" t="str">
        <f t="shared" si="55"/>
        <v/>
      </c>
      <c r="V378" s="218">
        <f>SUMIFS(DATA!$L:$L,DATA!$O:$O,$B379,DATA!$N:$N,$A379,DATA!$M:$M,'SALES BY SYSTEM'!$O$3)</f>
        <v>0</v>
      </c>
      <c r="W378" s="168"/>
    </row>
    <row r="379" spans="1:23" ht="15.75" customHeight="1" x14ac:dyDescent="0.25">
      <c r="A379" s="139" t="s">
        <v>588</v>
      </c>
      <c r="B379" s="139" t="s">
        <v>561</v>
      </c>
      <c r="C379" s="178" t="str">
        <f>VLOOKUP(A379,CUSTOMER!$A:$C,3,0)</f>
        <v>BHX_14960_QUANGTRI</v>
      </c>
      <c r="D379" s="178" t="s">
        <v>674</v>
      </c>
      <c r="E379" s="178" t="str">
        <f>VLOOKUP(A380,CUSTOMER!$A$2:$H$1094,5,0)</f>
        <v>LE NAM PHUONG</v>
      </c>
      <c r="F379" s="178" t="str">
        <f>VLOOKUP(A380,CUSTOMER!$A$2:$I$1094,6,0)</f>
        <v>VACANCY</v>
      </c>
      <c r="G379" s="178" t="s">
        <v>676</v>
      </c>
      <c r="H379" s="179">
        <f t="shared" si="49"/>
        <v>0</v>
      </c>
      <c r="I379" s="180" t="str">
        <f t="shared" si="50"/>
        <v/>
      </c>
      <c r="J379" s="181">
        <f t="shared" si="51"/>
        <v>0</v>
      </c>
      <c r="K379" s="182">
        <v>0</v>
      </c>
      <c r="L379" s="180" t="str">
        <f t="shared" si="52"/>
        <v/>
      </c>
      <c r="M379" s="218">
        <f>SUMIFS(DATA!$L:$L,DATA!$O:$O,$B380,DATA!$N:$N,$A380,DATA!$M:$M,'SALES BY SYSTEM'!$O$1)</f>
        <v>0</v>
      </c>
      <c r="N379" s="182">
        <v>0</v>
      </c>
      <c r="O379" s="180" t="str">
        <f t="shared" si="53"/>
        <v/>
      </c>
      <c r="P379" s="218">
        <f>SUMIFS(DATA!$L:$L,DATA!$O:$O,$B380,DATA!$N:$N,$A380,DATA!$M:$M,'SALES BY SYSTEM'!$O$2)</f>
        <v>0</v>
      </c>
      <c r="Q379" s="182">
        <v>0</v>
      </c>
      <c r="R379" s="180" t="str">
        <f t="shared" si="54"/>
        <v/>
      </c>
      <c r="S379" s="218">
        <f>SUMIFS(DATA!$L:$L,DATA!$O:$O,$B380,DATA!$N:$N,$A380,DATA!$M:$M,'SALES BY SYSTEM'!$O$4)</f>
        <v>0</v>
      </c>
      <c r="T379" s="182">
        <v>0</v>
      </c>
      <c r="U379" s="180" t="str">
        <f t="shared" si="55"/>
        <v/>
      </c>
      <c r="V379" s="218">
        <f>SUMIFS(DATA!$L:$L,DATA!$O:$O,$B380,DATA!$N:$N,$A380,DATA!$M:$M,'SALES BY SYSTEM'!$O$3)</f>
        <v>0</v>
      </c>
      <c r="W379" s="168"/>
    </row>
    <row r="380" spans="1:23" ht="15.75" customHeight="1" x14ac:dyDescent="0.25">
      <c r="A380" s="139" t="s">
        <v>585</v>
      </c>
      <c r="B380" s="139" t="s">
        <v>561</v>
      </c>
      <c r="C380" s="178" t="str">
        <f>VLOOKUP(A380,CUSTOMER!$A:$C,3,0)</f>
        <v>BHX_15065_THOA</v>
      </c>
      <c r="D380" s="178" t="s">
        <v>674</v>
      </c>
      <c r="E380" s="178" t="str">
        <f>VLOOKUP(A381,CUSTOMER!$A$2:$H$1094,5,0)</f>
        <v>LE NAM PHUONG</v>
      </c>
      <c r="F380" s="178" t="str">
        <f>VLOOKUP(A381,CUSTOMER!$A$2:$I$1094,6,0)</f>
        <v>VACANCY</v>
      </c>
      <c r="G380" s="178" t="s">
        <v>676</v>
      </c>
      <c r="H380" s="179">
        <f t="shared" si="49"/>
        <v>0</v>
      </c>
      <c r="I380" s="180" t="str">
        <f t="shared" si="50"/>
        <v/>
      </c>
      <c r="J380" s="181">
        <f t="shared" si="51"/>
        <v>0</v>
      </c>
      <c r="K380" s="182">
        <v>0</v>
      </c>
      <c r="L380" s="180" t="str">
        <f t="shared" si="52"/>
        <v/>
      </c>
      <c r="M380" s="218">
        <f>SUMIFS(DATA!$L:$L,DATA!$O:$O,$B381,DATA!$N:$N,$A381,DATA!$M:$M,'SALES BY SYSTEM'!$O$1)</f>
        <v>0</v>
      </c>
      <c r="N380" s="182">
        <v>0</v>
      </c>
      <c r="O380" s="180" t="str">
        <f t="shared" si="53"/>
        <v/>
      </c>
      <c r="P380" s="218">
        <f>SUMIFS(DATA!$L:$L,DATA!$O:$O,$B381,DATA!$N:$N,$A381,DATA!$M:$M,'SALES BY SYSTEM'!$O$2)</f>
        <v>0</v>
      </c>
      <c r="Q380" s="182">
        <v>0</v>
      </c>
      <c r="R380" s="180" t="str">
        <f t="shared" si="54"/>
        <v/>
      </c>
      <c r="S380" s="218">
        <f>SUMIFS(DATA!$L:$L,DATA!$O:$O,$B381,DATA!$N:$N,$A381,DATA!$M:$M,'SALES BY SYSTEM'!$O$4)</f>
        <v>0</v>
      </c>
      <c r="T380" s="182">
        <v>0</v>
      </c>
      <c r="U380" s="180" t="str">
        <f t="shared" si="55"/>
        <v/>
      </c>
      <c r="V380" s="218">
        <f>SUMIFS(DATA!$L:$L,DATA!$O:$O,$B381,DATA!$N:$N,$A381,DATA!$M:$M,'SALES BY SYSTEM'!$O$3)</f>
        <v>0</v>
      </c>
      <c r="W380" s="168"/>
    </row>
    <row r="381" spans="1:23" ht="15.75" customHeight="1" x14ac:dyDescent="0.25">
      <c r="A381" s="139" t="s">
        <v>482</v>
      </c>
      <c r="B381" s="139" t="s">
        <v>432</v>
      </c>
      <c r="C381" s="178" t="str">
        <f>VLOOKUP(A381,CUSTOMER!$A:$C,3,0)</f>
        <v>BIGC_ANNHON</v>
      </c>
      <c r="D381" s="178" t="s">
        <v>674</v>
      </c>
      <c r="E381" s="178" t="str">
        <f>VLOOKUP(A382,CUSTOMER!$A$2:$H$1094,5,0)</f>
        <v>LE NAM PHUONG</v>
      </c>
      <c r="F381" s="178" t="str">
        <f>VLOOKUP(A382,CUSTOMER!$A$2:$I$1094,6,0)</f>
        <v>VACANCY</v>
      </c>
      <c r="G381" s="178" t="s">
        <v>676</v>
      </c>
      <c r="H381" s="179">
        <f t="shared" si="49"/>
        <v>0</v>
      </c>
      <c r="I381" s="180" t="str">
        <f t="shared" si="50"/>
        <v/>
      </c>
      <c r="J381" s="181">
        <f t="shared" si="51"/>
        <v>0</v>
      </c>
      <c r="K381" s="182">
        <v>0</v>
      </c>
      <c r="L381" s="180" t="str">
        <f t="shared" si="52"/>
        <v/>
      </c>
      <c r="M381" s="218">
        <f>SUMIFS(DATA!$L:$L,DATA!$O:$O,$B382,DATA!$N:$N,$A382,DATA!$M:$M,'SALES BY SYSTEM'!$O$1)</f>
        <v>0</v>
      </c>
      <c r="N381" s="182">
        <v>0</v>
      </c>
      <c r="O381" s="180" t="str">
        <f t="shared" si="53"/>
        <v/>
      </c>
      <c r="P381" s="218">
        <f>SUMIFS(DATA!$L:$L,DATA!$O:$O,$B382,DATA!$N:$N,$A382,DATA!$M:$M,'SALES BY SYSTEM'!$O$2)</f>
        <v>0</v>
      </c>
      <c r="Q381" s="182">
        <v>0</v>
      </c>
      <c r="R381" s="180" t="str">
        <f t="shared" si="54"/>
        <v/>
      </c>
      <c r="S381" s="218">
        <f>SUMIFS(DATA!$L:$L,DATA!$O:$O,$B382,DATA!$N:$N,$A382,DATA!$M:$M,'SALES BY SYSTEM'!$O$4)</f>
        <v>0</v>
      </c>
      <c r="T381" s="182">
        <v>0</v>
      </c>
      <c r="U381" s="180" t="str">
        <f t="shared" si="55"/>
        <v/>
      </c>
      <c r="V381" s="218">
        <f>SUMIFS(DATA!$L:$L,DATA!$O:$O,$B382,DATA!$N:$N,$A382,DATA!$M:$M,'SALES BY SYSTEM'!$O$3)</f>
        <v>0</v>
      </c>
      <c r="W381" s="168"/>
    </row>
    <row r="382" spans="1:23" ht="15.75" customHeight="1" x14ac:dyDescent="0.25">
      <c r="A382" s="139" t="s">
        <v>504</v>
      </c>
      <c r="B382" s="139" t="s">
        <v>432</v>
      </c>
      <c r="C382" s="178" t="str">
        <f>VLOOKUP(A382,CUSTOMER!$A:$C,3,0)</f>
        <v>BIGC_BLIEU</v>
      </c>
      <c r="D382" s="178" t="s">
        <v>674</v>
      </c>
      <c r="E382" s="178" t="str">
        <f>VLOOKUP(A383,CUSTOMER!$A$2:$H$1094,5,0)</f>
        <v>LE NAM PHUONG</v>
      </c>
      <c r="F382" s="178" t="str">
        <f>VLOOKUP(A383,CUSTOMER!$A$2:$I$1094,6,0)</f>
        <v>VACANCY</v>
      </c>
      <c r="G382" s="178" t="s">
        <v>676</v>
      </c>
      <c r="H382" s="179">
        <f t="shared" si="49"/>
        <v>0</v>
      </c>
      <c r="I382" s="180" t="str">
        <f t="shared" si="50"/>
        <v/>
      </c>
      <c r="J382" s="181">
        <f t="shared" si="51"/>
        <v>0</v>
      </c>
      <c r="K382" s="182">
        <v>0</v>
      </c>
      <c r="L382" s="180" t="str">
        <f t="shared" si="52"/>
        <v/>
      </c>
      <c r="M382" s="218">
        <f>SUMIFS(DATA!$L:$L,DATA!$O:$O,$B383,DATA!$N:$N,$A383,DATA!$M:$M,'SALES BY SYSTEM'!$O$1)</f>
        <v>0</v>
      </c>
      <c r="N382" s="182">
        <v>0</v>
      </c>
      <c r="O382" s="180" t="str">
        <f t="shared" si="53"/>
        <v/>
      </c>
      <c r="P382" s="218">
        <f>SUMIFS(DATA!$L:$L,DATA!$O:$O,$B383,DATA!$N:$N,$A383,DATA!$M:$M,'SALES BY SYSTEM'!$O$2)</f>
        <v>0</v>
      </c>
      <c r="Q382" s="182">
        <v>0</v>
      </c>
      <c r="R382" s="180" t="str">
        <f t="shared" si="54"/>
        <v/>
      </c>
      <c r="S382" s="218">
        <f>SUMIFS(DATA!$L:$L,DATA!$O:$O,$B383,DATA!$N:$N,$A383,DATA!$M:$M,'SALES BY SYSTEM'!$O$4)</f>
        <v>0</v>
      </c>
      <c r="T382" s="182">
        <v>0</v>
      </c>
      <c r="U382" s="180" t="str">
        <f t="shared" si="55"/>
        <v/>
      </c>
      <c r="V382" s="218">
        <f>SUMIFS(DATA!$L:$L,DATA!$O:$O,$B383,DATA!$N:$N,$A383,DATA!$M:$M,'SALES BY SYSTEM'!$O$3)</f>
        <v>0</v>
      </c>
      <c r="W382" s="168"/>
    </row>
    <row r="383" spans="1:23" ht="15.75" customHeight="1" x14ac:dyDescent="0.25">
      <c r="A383" s="139" t="s">
        <v>452</v>
      </c>
      <c r="B383" s="139" t="s">
        <v>432</v>
      </c>
      <c r="C383" s="178" t="str">
        <f>VLOOKUP(A383,CUSTOMER!$A:$C,3,0)</f>
        <v>BIGC_HANAM</v>
      </c>
      <c r="D383" s="178" t="s">
        <v>674</v>
      </c>
      <c r="E383" s="178" t="str">
        <f>VLOOKUP(A384,CUSTOMER!$A$2:$H$1094,5,0)</f>
        <v>LE NAM PHUONG</v>
      </c>
      <c r="F383" s="178" t="str">
        <f>VLOOKUP(A384,CUSTOMER!$A$2:$I$1094,6,0)</f>
        <v>VACANCY</v>
      </c>
      <c r="G383" s="178" t="s">
        <v>676</v>
      </c>
      <c r="H383" s="179">
        <f t="shared" si="49"/>
        <v>0</v>
      </c>
      <c r="I383" s="180" t="str">
        <f t="shared" si="50"/>
        <v/>
      </c>
      <c r="J383" s="181">
        <f t="shared" si="51"/>
        <v>0</v>
      </c>
      <c r="K383" s="182">
        <v>0</v>
      </c>
      <c r="L383" s="180" t="str">
        <f t="shared" si="52"/>
        <v/>
      </c>
      <c r="M383" s="218">
        <f>SUMIFS(DATA!$L:$L,DATA!$O:$O,$B384,DATA!$N:$N,$A384,DATA!$M:$M,'SALES BY SYSTEM'!$O$1)</f>
        <v>0</v>
      </c>
      <c r="N383" s="182">
        <v>0</v>
      </c>
      <c r="O383" s="180" t="str">
        <f t="shared" si="53"/>
        <v/>
      </c>
      <c r="P383" s="218">
        <f>SUMIFS(DATA!$L:$L,DATA!$O:$O,$B384,DATA!$N:$N,$A384,DATA!$M:$M,'SALES BY SYSTEM'!$O$2)</f>
        <v>0</v>
      </c>
      <c r="Q383" s="182">
        <v>0</v>
      </c>
      <c r="R383" s="180" t="str">
        <f t="shared" si="54"/>
        <v/>
      </c>
      <c r="S383" s="218">
        <f>SUMIFS(DATA!$L:$L,DATA!$O:$O,$B384,DATA!$N:$N,$A384,DATA!$M:$M,'SALES BY SYSTEM'!$O$4)</f>
        <v>0</v>
      </c>
      <c r="T383" s="182">
        <v>0</v>
      </c>
      <c r="U383" s="180" t="str">
        <f t="shared" si="55"/>
        <v/>
      </c>
      <c r="V383" s="218">
        <f>SUMIFS(DATA!$L:$L,DATA!$O:$O,$B384,DATA!$N:$N,$A384,DATA!$M:$M,'SALES BY SYSTEM'!$O$3)</f>
        <v>0</v>
      </c>
      <c r="W383" s="168"/>
    </row>
    <row r="384" spans="1:23" ht="15.75" customHeight="1" x14ac:dyDescent="0.25">
      <c r="A384" s="139" t="s">
        <v>532</v>
      </c>
      <c r="B384" s="139" t="s">
        <v>432</v>
      </c>
      <c r="C384" s="178" t="str">
        <f>VLOOKUP(A384,CUSTOMER!$A:$C,3,0)</f>
        <v>BIGC_HYEN</v>
      </c>
      <c r="D384" s="178" t="s">
        <v>674</v>
      </c>
      <c r="E384" s="178" t="str">
        <f>VLOOKUP(A385,CUSTOMER!$A$2:$H$1094,5,0)</f>
        <v>LE NAM PHUONG</v>
      </c>
      <c r="F384" s="178" t="str">
        <f>VLOOKUP(A385,CUSTOMER!$A$2:$I$1094,6,0)</f>
        <v>"NO SALE"</v>
      </c>
      <c r="G384" s="178" t="s">
        <v>676</v>
      </c>
      <c r="H384" s="179">
        <f t="shared" si="49"/>
        <v>0</v>
      </c>
      <c r="I384" s="180" t="str">
        <f t="shared" si="50"/>
        <v/>
      </c>
      <c r="J384" s="181">
        <f t="shared" si="51"/>
        <v>0</v>
      </c>
      <c r="K384" s="182">
        <v>0</v>
      </c>
      <c r="L384" s="180" t="str">
        <f t="shared" si="52"/>
        <v/>
      </c>
      <c r="M384" s="218">
        <f>SUMIFS(DATA!$L:$L,DATA!$O:$O,$B385,DATA!$N:$N,$A385,DATA!$M:$M,'SALES BY SYSTEM'!$O$1)</f>
        <v>0</v>
      </c>
      <c r="N384" s="182">
        <v>0</v>
      </c>
      <c r="O384" s="180" t="str">
        <f t="shared" si="53"/>
        <v/>
      </c>
      <c r="P384" s="218">
        <f>SUMIFS(DATA!$L:$L,DATA!$O:$O,$B385,DATA!$N:$N,$A385,DATA!$M:$M,'SALES BY SYSTEM'!$O$2)</f>
        <v>0</v>
      </c>
      <c r="Q384" s="182">
        <v>0</v>
      </c>
      <c r="R384" s="180" t="str">
        <f t="shared" si="54"/>
        <v/>
      </c>
      <c r="S384" s="218">
        <f>SUMIFS(DATA!$L:$L,DATA!$O:$O,$B385,DATA!$N:$N,$A385,DATA!$M:$M,'SALES BY SYSTEM'!$O$4)</f>
        <v>0</v>
      </c>
      <c r="T384" s="182">
        <v>0</v>
      </c>
      <c r="U384" s="180" t="str">
        <f t="shared" si="55"/>
        <v/>
      </c>
      <c r="V384" s="218">
        <f>SUMIFS(DATA!$L:$L,DATA!$O:$O,$B385,DATA!$N:$N,$A385,DATA!$M:$M,'SALES BY SYSTEM'!$O$3)</f>
        <v>0</v>
      </c>
      <c r="W384" s="168"/>
    </row>
    <row r="385" spans="1:23" ht="15.75" customHeight="1" x14ac:dyDescent="0.25">
      <c r="A385" s="139" t="s">
        <v>868</v>
      </c>
      <c r="B385" s="139" t="s">
        <v>432</v>
      </c>
      <c r="C385" s="178" t="str">
        <f>VLOOKUP(A385,CUSTOMER!$A:$C,3,0)</f>
        <v>BIGC_KHO802</v>
      </c>
      <c r="D385" s="178" t="s">
        <v>674</v>
      </c>
      <c r="E385" s="178" t="str">
        <f>VLOOKUP(A386,CUSTOMER!$A$2:$H$1094,5,0)</f>
        <v>LE NAM PHUONG</v>
      </c>
      <c r="F385" s="178" t="str">
        <f>VLOOKUP(A386,CUSTOMER!$A$2:$I$1094,6,0)</f>
        <v>VACANCY</v>
      </c>
      <c r="G385" s="178" t="s">
        <v>676</v>
      </c>
      <c r="H385" s="179">
        <f t="shared" si="49"/>
        <v>0</v>
      </c>
      <c r="I385" s="180" t="str">
        <f t="shared" si="50"/>
        <v/>
      </c>
      <c r="J385" s="181">
        <f t="shared" si="51"/>
        <v>0</v>
      </c>
      <c r="K385" s="182">
        <v>0</v>
      </c>
      <c r="L385" s="180" t="str">
        <f t="shared" si="52"/>
        <v/>
      </c>
      <c r="M385" s="218">
        <f>SUMIFS(DATA!$L:$L,DATA!$O:$O,$B386,DATA!$N:$N,$A386,DATA!$M:$M,'SALES BY SYSTEM'!$O$1)</f>
        <v>0</v>
      </c>
      <c r="N385" s="182">
        <v>0</v>
      </c>
      <c r="O385" s="180" t="str">
        <f t="shared" si="53"/>
        <v/>
      </c>
      <c r="P385" s="218">
        <f>SUMIFS(DATA!$L:$L,DATA!$O:$O,$B386,DATA!$N:$N,$A386,DATA!$M:$M,'SALES BY SYSTEM'!$O$2)</f>
        <v>0</v>
      </c>
      <c r="Q385" s="182">
        <v>0</v>
      </c>
      <c r="R385" s="180" t="str">
        <f t="shared" si="54"/>
        <v/>
      </c>
      <c r="S385" s="218">
        <f>SUMIFS(DATA!$L:$L,DATA!$O:$O,$B386,DATA!$N:$N,$A386,DATA!$M:$M,'SALES BY SYSTEM'!$O$4)</f>
        <v>0</v>
      </c>
      <c r="T385" s="182">
        <v>0</v>
      </c>
      <c r="U385" s="180" t="str">
        <f t="shared" si="55"/>
        <v/>
      </c>
      <c r="V385" s="218">
        <f>SUMIFS(DATA!$L:$L,DATA!$O:$O,$B386,DATA!$N:$N,$A386,DATA!$M:$M,'SALES BY SYSTEM'!$O$3)</f>
        <v>0</v>
      </c>
      <c r="W385" s="168"/>
    </row>
    <row r="386" spans="1:23" ht="15.75" customHeight="1" x14ac:dyDescent="0.25">
      <c r="A386" s="139" t="s">
        <v>496</v>
      </c>
      <c r="B386" s="139" t="s">
        <v>432</v>
      </c>
      <c r="C386" s="178" t="str">
        <f>VLOOKUP(A386,CUSTOMER!$A:$C,3,0)</f>
        <v>BIGC_LNINH</v>
      </c>
      <c r="D386" s="178" t="s">
        <v>674</v>
      </c>
      <c r="E386" s="178" t="str">
        <f>VLOOKUP(A387,CUSTOMER!$A$2:$H$1094,5,0)</f>
        <v>LE NAM PHUONG</v>
      </c>
      <c r="F386" s="178" t="str">
        <f>VLOOKUP(A387,CUSTOMER!$A$2:$I$1094,6,0)</f>
        <v>VACANCY</v>
      </c>
      <c r="G386" s="178" t="s">
        <v>676</v>
      </c>
      <c r="H386" s="179">
        <f t="shared" si="49"/>
        <v>0</v>
      </c>
      <c r="I386" s="180" t="str">
        <f t="shared" si="50"/>
        <v/>
      </c>
      <c r="J386" s="181">
        <f t="shared" si="51"/>
        <v>0</v>
      </c>
      <c r="K386" s="182">
        <v>0</v>
      </c>
      <c r="L386" s="180" t="str">
        <f t="shared" si="52"/>
        <v/>
      </c>
      <c r="M386" s="218">
        <f>SUMIFS(DATA!$L:$L,DATA!$O:$O,$B387,DATA!$N:$N,$A387,DATA!$M:$M,'SALES BY SYSTEM'!$O$1)</f>
        <v>0</v>
      </c>
      <c r="N386" s="182">
        <v>0</v>
      </c>
      <c r="O386" s="180" t="str">
        <f t="shared" si="53"/>
        <v/>
      </c>
      <c r="P386" s="218">
        <f>SUMIFS(DATA!$L:$L,DATA!$O:$O,$B387,DATA!$N:$N,$A387,DATA!$M:$M,'SALES BY SYSTEM'!$O$2)</f>
        <v>0</v>
      </c>
      <c r="Q386" s="182">
        <v>0</v>
      </c>
      <c r="R386" s="180" t="str">
        <f t="shared" si="54"/>
        <v/>
      </c>
      <c r="S386" s="218">
        <f>SUMIFS(DATA!$L:$L,DATA!$O:$O,$B387,DATA!$N:$N,$A387,DATA!$M:$M,'SALES BY SYSTEM'!$O$4)</f>
        <v>0</v>
      </c>
      <c r="T386" s="182">
        <v>0</v>
      </c>
      <c r="U386" s="180" t="str">
        <f t="shared" si="55"/>
        <v/>
      </c>
      <c r="V386" s="218">
        <f>SUMIFS(DATA!$L:$L,DATA!$O:$O,$B387,DATA!$N:$N,$A387,DATA!$M:$M,'SALES BY SYSTEM'!$O$3)</f>
        <v>0</v>
      </c>
      <c r="W386" s="168"/>
    </row>
    <row r="387" spans="1:23" ht="15.75" customHeight="1" x14ac:dyDescent="0.25">
      <c r="A387" s="139" t="s">
        <v>875</v>
      </c>
      <c r="B387" s="139" t="s">
        <v>432</v>
      </c>
      <c r="C387" s="178" t="str">
        <f>VLOOKUP(A387,CUSTOMER!$A:$C,3,0)</f>
        <v>BIGC_PARKCITY</v>
      </c>
      <c r="D387" s="178" t="s">
        <v>674</v>
      </c>
      <c r="E387" s="178" t="str">
        <f>VLOOKUP(A388,CUSTOMER!$A$2:$H$1094,5,0)</f>
        <v>LE NAM PHUONG</v>
      </c>
      <c r="F387" s="178" t="str">
        <f>VLOOKUP(A388,CUSTOMER!$A$2:$I$1094,6,0)</f>
        <v>VACANCY</v>
      </c>
      <c r="G387" s="178" t="s">
        <v>676</v>
      </c>
      <c r="H387" s="179">
        <f t="shared" si="49"/>
        <v>0</v>
      </c>
      <c r="I387" s="180" t="str">
        <f t="shared" si="50"/>
        <v/>
      </c>
      <c r="J387" s="181">
        <f t="shared" si="51"/>
        <v>0</v>
      </c>
      <c r="K387" s="182">
        <v>0</v>
      </c>
      <c r="L387" s="180" t="str">
        <f t="shared" si="52"/>
        <v/>
      </c>
      <c r="M387" s="218">
        <f>SUMIFS(DATA!$L:$L,DATA!$O:$O,$B388,DATA!$N:$N,$A388,DATA!$M:$M,'SALES BY SYSTEM'!$O$1)</f>
        <v>0</v>
      </c>
      <c r="N387" s="182">
        <v>0</v>
      </c>
      <c r="O387" s="180" t="str">
        <f t="shared" si="53"/>
        <v/>
      </c>
      <c r="P387" s="218">
        <f>SUMIFS(DATA!$L:$L,DATA!$O:$O,$B388,DATA!$N:$N,$A388,DATA!$M:$M,'SALES BY SYSTEM'!$O$2)</f>
        <v>0</v>
      </c>
      <c r="Q387" s="182">
        <v>0</v>
      </c>
      <c r="R387" s="180" t="str">
        <f t="shared" si="54"/>
        <v/>
      </c>
      <c r="S387" s="218">
        <f>SUMIFS(DATA!$L:$L,DATA!$O:$O,$B388,DATA!$N:$N,$A388,DATA!$M:$M,'SALES BY SYSTEM'!$O$4)</f>
        <v>0</v>
      </c>
      <c r="T387" s="182">
        <v>0</v>
      </c>
      <c r="U387" s="180" t="str">
        <f t="shared" si="55"/>
        <v/>
      </c>
      <c r="V387" s="218">
        <f>SUMIFS(DATA!$L:$L,DATA!$O:$O,$B388,DATA!$N:$N,$A388,DATA!$M:$M,'SALES BY SYSTEM'!$O$3)</f>
        <v>0</v>
      </c>
      <c r="W387" s="168"/>
    </row>
    <row r="388" spans="1:23" ht="15.75" customHeight="1" x14ac:dyDescent="0.25">
      <c r="A388" s="139" t="s">
        <v>480</v>
      </c>
      <c r="B388" s="139" t="s">
        <v>432</v>
      </c>
      <c r="C388" s="178" t="str">
        <f>VLOOKUP(A388,CUSTOMER!$A:$C,3,0)</f>
        <v>BIGC_TBINH</v>
      </c>
      <c r="D388" s="178" t="s">
        <v>674</v>
      </c>
      <c r="E388" s="178" t="str">
        <f>VLOOKUP(A389,CUSTOMER!$A$2:$H$1094,5,0)</f>
        <v>LE NAM PHUONG</v>
      </c>
      <c r="F388" s="178" t="str">
        <f>VLOOKUP(A389,CUSTOMER!$A$2:$I$1094,6,0)</f>
        <v>NGUYEN THI OANH</v>
      </c>
      <c r="G388" s="178" t="s">
        <v>676</v>
      </c>
      <c r="H388" s="179">
        <f t="shared" si="49"/>
        <v>0</v>
      </c>
      <c r="I388" s="180" t="str">
        <f t="shared" si="50"/>
        <v/>
      </c>
      <c r="J388" s="181">
        <f t="shared" si="51"/>
        <v>0</v>
      </c>
      <c r="K388" s="182">
        <v>0</v>
      </c>
      <c r="L388" s="180" t="str">
        <f t="shared" si="52"/>
        <v/>
      </c>
      <c r="M388" s="218">
        <f>SUMIFS(DATA!$L:$L,DATA!$O:$O,$B389,DATA!$N:$N,$A389,DATA!$M:$M,'SALES BY SYSTEM'!$O$1)</f>
        <v>0</v>
      </c>
      <c r="N388" s="182">
        <v>0</v>
      </c>
      <c r="O388" s="180" t="str">
        <f t="shared" si="53"/>
        <v/>
      </c>
      <c r="P388" s="218">
        <f>SUMIFS(DATA!$L:$L,DATA!$O:$O,$B389,DATA!$N:$N,$A389,DATA!$M:$M,'SALES BY SYSTEM'!$O$2)</f>
        <v>0</v>
      </c>
      <c r="Q388" s="182">
        <v>0</v>
      </c>
      <c r="R388" s="180" t="str">
        <f t="shared" si="54"/>
        <v/>
      </c>
      <c r="S388" s="218">
        <f>SUMIFS(DATA!$L:$L,DATA!$O:$O,$B389,DATA!$N:$N,$A389,DATA!$M:$M,'SALES BY SYSTEM'!$O$4)</f>
        <v>0</v>
      </c>
      <c r="T388" s="182">
        <v>0</v>
      </c>
      <c r="U388" s="180" t="str">
        <f t="shared" si="55"/>
        <v/>
      </c>
      <c r="V388" s="218">
        <f>SUMIFS(DATA!$L:$L,DATA!$O:$O,$B389,DATA!$N:$N,$A389,DATA!$M:$M,'SALES BY SYSTEM'!$O$3)</f>
        <v>0</v>
      </c>
      <c r="W388" s="168"/>
    </row>
    <row r="389" spans="1:23" ht="15.75" customHeight="1" x14ac:dyDescent="0.25">
      <c r="A389" s="139" t="s">
        <v>524</v>
      </c>
      <c r="B389" s="139" t="s">
        <v>432</v>
      </c>
      <c r="C389" s="178" t="str">
        <f>VLOOKUP(A389,CUSTOMER!$A:$C,3,0)</f>
        <v>BIGC_TDUC</v>
      </c>
      <c r="D389" s="178" t="s">
        <v>674</v>
      </c>
      <c r="E389" s="178" t="str">
        <f>VLOOKUP(A390,CUSTOMER!$A$2:$H$1094,5,0)</f>
        <v>LE NAM PHUONG</v>
      </c>
      <c r="F389" s="178" t="str">
        <f>VLOOKUP(A390,CUSTOMER!$A$2:$I$1094,6,0)</f>
        <v>VACANCY</v>
      </c>
      <c r="G389" s="178" t="s">
        <v>676</v>
      </c>
      <c r="H389" s="179">
        <f t="shared" si="49"/>
        <v>0</v>
      </c>
      <c r="I389" s="180" t="str">
        <f t="shared" si="50"/>
        <v/>
      </c>
      <c r="J389" s="181">
        <f t="shared" si="51"/>
        <v>0</v>
      </c>
      <c r="K389" s="182">
        <v>0</v>
      </c>
      <c r="L389" s="180" t="str">
        <f t="shared" si="52"/>
        <v/>
      </c>
      <c r="M389" s="218">
        <f>SUMIFS(DATA!$L:$L,DATA!$O:$O,$B390,DATA!$N:$N,$A390,DATA!$M:$M,'SALES BY SYSTEM'!$O$1)</f>
        <v>0</v>
      </c>
      <c r="N389" s="182">
        <v>0</v>
      </c>
      <c r="O389" s="180" t="str">
        <f t="shared" si="53"/>
        <v/>
      </c>
      <c r="P389" s="218">
        <f>SUMIFS(DATA!$L:$L,DATA!$O:$O,$B390,DATA!$N:$N,$A390,DATA!$M:$M,'SALES BY SYSTEM'!$O$2)</f>
        <v>0</v>
      </c>
      <c r="Q389" s="182">
        <v>0</v>
      </c>
      <c r="R389" s="180" t="str">
        <f t="shared" si="54"/>
        <v/>
      </c>
      <c r="S389" s="218">
        <f>SUMIFS(DATA!$L:$L,DATA!$O:$O,$B390,DATA!$N:$N,$A390,DATA!$M:$M,'SALES BY SYSTEM'!$O$4)</f>
        <v>0</v>
      </c>
      <c r="T389" s="182">
        <v>0</v>
      </c>
      <c r="U389" s="180" t="str">
        <f t="shared" si="55"/>
        <v/>
      </c>
      <c r="V389" s="218">
        <f>SUMIFS(DATA!$L:$L,DATA!$O:$O,$B390,DATA!$N:$N,$A390,DATA!$M:$M,'SALES BY SYSTEM'!$O$3)</f>
        <v>0</v>
      </c>
      <c r="W389" s="168"/>
    </row>
    <row r="390" spans="1:23" ht="15.75" customHeight="1" x14ac:dyDescent="0.25">
      <c r="A390" s="139" t="s">
        <v>498</v>
      </c>
      <c r="B390" s="139" t="s">
        <v>432</v>
      </c>
      <c r="C390" s="178" t="str">
        <f>VLOOKUP(A390,CUSTOMER!$A:$C,3,0)</f>
        <v>BIGC_HTRA</v>
      </c>
      <c r="D390" s="178" t="s">
        <v>674</v>
      </c>
      <c r="E390" s="178" t="str">
        <f>VLOOKUP(A391,CUSTOMER!$A$2:$H$1094,5,0)</f>
        <v>LE NAM PHUONG</v>
      </c>
      <c r="F390" s="178" t="str">
        <f>VLOOKUP(A391,CUSTOMER!$A$2:$I$1094,6,0)</f>
        <v>VACANCY</v>
      </c>
      <c r="G390" s="178" t="s">
        <v>676</v>
      </c>
      <c r="H390" s="179">
        <f t="shared" si="49"/>
        <v>0</v>
      </c>
      <c r="I390" s="180" t="str">
        <f t="shared" si="50"/>
        <v/>
      </c>
      <c r="J390" s="181">
        <f t="shared" si="51"/>
        <v>0</v>
      </c>
      <c r="K390" s="182">
        <v>0</v>
      </c>
      <c r="L390" s="180" t="str">
        <f t="shared" si="52"/>
        <v/>
      </c>
      <c r="M390" s="218">
        <f>SUMIFS(DATA!$L:$L,DATA!$O:$O,$B391,DATA!$N:$N,$A391,DATA!$M:$M,'SALES BY SYSTEM'!$O$1)</f>
        <v>0</v>
      </c>
      <c r="N390" s="182">
        <v>0</v>
      </c>
      <c r="O390" s="180" t="str">
        <f t="shared" si="53"/>
        <v/>
      </c>
      <c r="P390" s="218">
        <f>SUMIFS(DATA!$L:$L,DATA!$O:$O,$B391,DATA!$N:$N,$A391,DATA!$M:$M,'SALES BY SYSTEM'!$O$2)</f>
        <v>0</v>
      </c>
      <c r="Q390" s="182">
        <v>0</v>
      </c>
      <c r="R390" s="180" t="str">
        <f t="shared" si="54"/>
        <v/>
      </c>
      <c r="S390" s="218">
        <f>SUMIFS(DATA!$L:$L,DATA!$O:$O,$B391,DATA!$N:$N,$A391,DATA!$M:$M,'SALES BY SYSTEM'!$O$4)</f>
        <v>0</v>
      </c>
      <c r="T390" s="182">
        <v>0</v>
      </c>
      <c r="U390" s="180" t="str">
        <f t="shared" si="55"/>
        <v/>
      </c>
      <c r="V390" s="218">
        <f>SUMIFS(DATA!$L:$L,DATA!$O:$O,$B391,DATA!$N:$N,$A391,DATA!$M:$M,'SALES BY SYSTEM'!$O$3)</f>
        <v>0</v>
      </c>
      <c r="W390" s="168"/>
    </row>
    <row r="391" spans="1:23" ht="15.75" customHeight="1" x14ac:dyDescent="0.25">
      <c r="A391" s="139" t="s">
        <v>450</v>
      </c>
      <c r="B391" s="139" t="s">
        <v>432</v>
      </c>
      <c r="C391" s="178" t="str">
        <f>VLOOKUP(A391,CUSTOMER!$A:$C,3,0)</f>
        <v>BIGC_NTHUAN</v>
      </c>
      <c r="D391" s="178" t="s">
        <v>674</v>
      </c>
      <c r="E391" s="178" t="str">
        <f>VLOOKUP(A392,CUSTOMER!$A$2:$H$1094,5,0)</f>
        <v>LE NAM PHUONG</v>
      </c>
      <c r="F391" s="178" t="str">
        <f>VLOOKUP(A392,CUSTOMER!$A$2:$I$1094,6,0)</f>
        <v>VACANCY</v>
      </c>
      <c r="G391" s="178" t="s">
        <v>676</v>
      </c>
      <c r="H391" s="179">
        <f t="shared" si="49"/>
        <v>0</v>
      </c>
      <c r="I391" s="180" t="str">
        <f t="shared" si="50"/>
        <v/>
      </c>
      <c r="J391" s="181">
        <f t="shared" si="51"/>
        <v>0</v>
      </c>
      <c r="K391" s="182">
        <v>0</v>
      </c>
      <c r="L391" s="180" t="str">
        <f t="shared" si="52"/>
        <v/>
      </c>
      <c r="M391" s="218">
        <f>SUMIFS(DATA!$L:$L,DATA!$O:$O,$B392,DATA!$N:$N,$A392,DATA!$M:$M,'SALES BY SYSTEM'!$O$1)</f>
        <v>0</v>
      </c>
      <c r="N391" s="182">
        <v>0</v>
      </c>
      <c r="O391" s="180" t="str">
        <f t="shared" si="53"/>
        <v/>
      </c>
      <c r="P391" s="218">
        <f>SUMIFS(DATA!$L:$L,DATA!$O:$O,$B392,DATA!$N:$N,$A392,DATA!$M:$M,'SALES BY SYSTEM'!$O$2)</f>
        <v>0</v>
      </c>
      <c r="Q391" s="182">
        <v>0</v>
      </c>
      <c r="R391" s="180" t="str">
        <f t="shared" si="54"/>
        <v/>
      </c>
      <c r="S391" s="218">
        <f>SUMIFS(DATA!$L:$L,DATA!$O:$O,$B392,DATA!$N:$N,$A392,DATA!$M:$M,'SALES BY SYSTEM'!$O$4)</f>
        <v>0</v>
      </c>
      <c r="T391" s="182">
        <v>0</v>
      </c>
      <c r="U391" s="180" t="str">
        <f t="shared" si="55"/>
        <v/>
      </c>
      <c r="V391" s="218">
        <f>SUMIFS(DATA!$L:$L,DATA!$O:$O,$B392,DATA!$N:$N,$A392,DATA!$M:$M,'SALES BY SYSTEM'!$O$3)</f>
        <v>0</v>
      </c>
      <c r="W391" s="168"/>
    </row>
    <row r="392" spans="1:23" ht="15.75" customHeight="1" x14ac:dyDescent="0.25">
      <c r="A392" s="139" t="s">
        <v>846</v>
      </c>
      <c r="B392" s="139" t="s">
        <v>432</v>
      </c>
      <c r="C392" s="178" t="str">
        <f>VLOOKUP(A392,CUSTOMER!$A:$C,3,0)</f>
        <v>BIGC_LVO</v>
      </c>
      <c r="D392" s="178" t="s">
        <v>674</v>
      </c>
      <c r="E392" s="178" t="str">
        <f>VLOOKUP(A393,CUSTOMER!$A$2:$H$1094,5,0)</f>
        <v>LE NAM PHUONG</v>
      </c>
      <c r="F392" s="178" t="str">
        <f>VLOOKUP(A393,CUSTOMER!$A$2:$I$1094,6,0)</f>
        <v>VU THUY MINH THAO</v>
      </c>
      <c r="G392" s="178" t="s">
        <v>676</v>
      </c>
      <c r="H392" s="179">
        <f t="shared" si="49"/>
        <v>0</v>
      </c>
      <c r="I392" s="180" t="str">
        <f t="shared" si="50"/>
        <v/>
      </c>
      <c r="J392" s="181">
        <f t="shared" si="51"/>
        <v>0</v>
      </c>
      <c r="K392" s="182">
        <v>0</v>
      </c>
      <c r="L392" s="180" t="str">
        <f t="shared" si="52"/>
        <v/>
      </c>
      <c r="M392" s="218">
        <f>SUMIFS(DATA!$L:$L,DATA!$O:$O,$B393,DATA!$N:$N,$A393,DATA!$M:$M,'SALES BY SYSTEM'!$O$1)</f>
        <v>0</v>
      </c>
      <c r="N392" s="182">
        <v>0</v>
      </c>
      <c r="O392" s="180" t="str">
        <f t="shared" si="53"/>
        <v/>
      </c>
      <c r="P392" s="218">
        <f>SUMIFS(DATA!$L:$L,DATA!$O:$O,$B393,DATA!$N:$N,$A393,DATA!$M:$M,'SALES BY SYSTEM'!$O$2)</f>
        <v>0</v>
      </c>
      <c r="Q392" s="182">
        <v>0</v>
      </c>
      <c r="R392" s="180" t="str">
        <f t="shared" si="54"/>
        <v/>
      </c>
      <c r="S392" s="218">
        <f>SUMIFS(DATA!$L:$L,DATA!$O:$O,$B393,DATA!$N:$N,$A393,DATA!$M:$M,'SALES BY SYSTEM'!$O$4)</f>
        <v>0</v>
      </c>
      <c r="T392" s="182">
        <v>0</v>
      </c>
      <c r="U392" s="180" t="str">
        <f t="shared" si="55"/>
        <v/>
      </c>
      <c r="V392" s="218">
        <f>SUMIFS(DATA!$L:$L,DATA!$O:$O,$B393,DATA!$N:$N,$A393,DATA!$M:$M,'SALES BY SYSTEM'!$O$3)</f>
        <v>0</v>
      </c>
      <c r="W392" s="168"/>
    </row>
    <row r="393" spans="1:23" ht="15.75" customHeight="1" x14ac:dyDescent="0.25">
      <c r="A393" s="139" t="s">
        <v>1379</v>
      </c>
      <c r="B393" s="139" t="s">
        <v>131</v>
      </c>
      <c r="C393" s="178" t="str">
        <f>VLOOKUP(A393,CUSTOMER!$A:$C,3,0)</f>
        <v>4812_SALA</v>
      </c>
      <c r="D393" s="178" t="s">
        <v>674</v>
      </c>
      <c r="E393" s="178" t="str">
        <f>VLOOKUP(A394,CUSTOMER!$A$2:$H$1094,5,0)</f>
        <v>LE NAM PHUONG</v>
      </c>
      <c r="F393" s="178" t="str">
        <f>VLOOKUP(A394,CUSTOMER!$A$2:$I$1094,6,0)</f>
        <v>VACANCY</v>
      </c>
      <c r="G393" s="178" t="s">
        <v>676</v>
      </c>
      <c r="H393" s="179">
        <f t="shared" si="49"/>
        <v>0</v>
      </c>
      <c r="I393" s="180" t="str">
        <f t="shared" si="50"/>
        <v/>
      </c>
      <c r="J393" s="181">
        <f t="shared" si="51"/>
        <v>0</v>
      </c>
      <c r="K393" s="182">
        <v>0</v>
      </c>
      <c r="L393" s="180" t="str">
        <f t="shared" ref="L393:L395" si="56">IFERROR(M394/K398,"")</f>
        <v/>
      </c>
      <c r="M393" s="218">
        <f>SUMIFS(DATA!$L:$L,DATA!$O:$O,$B394,DATA!$N:$N,$A394,DATA!$M:$M,'SALES BY SYSTEM'!$O$1)</f>
        <v>0</v>
      </c>
      <c r="N393" s="182">
        <v>0</v>
      </c>
      <c r="O393" s="180" t="str">
        <f t="shared" si="53"/>
        <v/>
      </c>
      <c r="P393" s="218">
        <f>SUMIFS(DATA!$L:$L,DATA!$O:$O,$B394,DATA!$N:$N,$A394,DATA!$M:$M,'SALES BY SYSTEM'!$O$2)</f>
        <v>0</v>
      </c>
      <c r="Q393" s="182">
        <v>0</v>
      </c>
      <c r="R393" s="180" t="str">
        <f t="shared" si="54"/>
        <v/>
      </c>
      <c r="S393" s="218">
        <f>SUMIFS(DATA!$L:$L,DATA!$O:$O,$B394,DATA!$N:$N,$A394,DATA!$M:$M,'SALES BY SYSTEM'!$O$4)</f>
        <v>0</v>
      </c>
      <c r="T393" s="182">
        <v>0</v>
      </c>
      <c r="U393" s="180" t="str">
        <f t="shared" si="55"/>
        <v/>
      </c>
      <c r="V393" s="218">
        <f>SUMIFS(DATA!$L:$L,DATA!$O:$O,$B394,DATA!$N:$N,$A394,DATA!$M:$M,'SALES BY SYSTEM'!$O$3)</f>
        <v>0</v>
      </c>
      <c r="W393" s="168"/>
    </row>
    <row r="394" spans="1:23" ht="15.75" customHeight="1" x14ac:dyDescent="0.25">
      <c r="A394" s="139" t="s">
        <v>1441</v>
      </c>
      <c r="B394" s="139" t="s">
        <v>640</v>
      </c>
      <c r="C394" s="178" t="str">
        <f>VLOOKUP(A394,CUSTOMER!$A:$C,3,0)</f>
        <v>BIGC_HOME_MYTHO</v>
      </c>
      <c r="D394" s="178" t="s">
        <v>674</v>
      </c>
      <c r="E394" s="178" t="str">
        <f>VLOOKUP(A395,CUSTOMER!$A$2:$H$1094,5,0)</f>
        <v>LE NAM PHUONG</v>
      </c>
      <c r="F394" s="178" t="str">
        <f>VLOOKUP(A395,CUSTOMER!$A$2:$I$1094,6,0)</f>
        <v>VACANCY</v>
      </c>
      <c r="G394" s="178" t="s">
        <v>676</v>
      </c>
      <c r="H394" s="179">
        <f t="shared" si="49"/>
        <v>0</v>
      </c>
      <c r="I394" s="180" t="str">
        <f t="shared" si="50"/>
        <v/>
      </c>
      <c r="J394" s="181">
        <f t="shared" si="51"/>
        <v>0</v>
      </c>
      <c r="K394" s="182">
        <v>0</v>
      </c>
      <c r="L394" s="180">
        <f t="shared" si="56"/>
        <v>0</v>
      </c>
      <c r="M394" s="218">
        <f>SUMIFS(DATA!$L:$L,DATA!$O:$O,$B395,DATA!$N:$N,$A395,DATA!$M:$M,'SALES BY SYSTEM'!$O$1)</f>
        <v>0</v>
      </c>
      <c r="N394" s="182">
        <v>0</v>
      </c>
      <c r="O394" s="180" t="str">
        <f t="shared" si="53"/>
        <v/>
      </c>
      <c r="P394" s="218">
        <f>SUMIFS(DATA!$L:$L,DATA!$O:$O,$B395,DATA!$N:$N,$A395,DATA!$M:$M,'SALES BY SYSTEM'!$O$2)</f>
        <v>0</v>
      </c>
      <c r="Q394" s="182">
        <v>0</v>
      </c>
      <c r="R394" s="180" t="str">
        <f t="shared" si="54"/>
        <v/>
      </c>
      <c r="S394" s="218">
        <f>SUMIFS(DATA!$L:$L,DATA!$O:$O,$B395,DATA!$N:$N,$A395,DATA!$M:$M,'SALES BY SYSTEM'!$O$4)</f>
        <v>0</v>
      </c>
      <c r="T394" s="182">
        <v>0</v>
      </c>
      <c r="U394" s="180" t="str">
        <f t="shared" si="55"/>
        <v/>
      </c>
      <c r="V394" s="218">
        <f>SUMIFS(DATA!$L:$L,DATA!$O:$O,$B395,DATA!$N:$N,$A395,DATA!$M:$M,'SALES BY SYSTEM'!$O$3)</f>
        <v>0</v>
      </c>
      <c r="W394" s="168"/>
    </row>
    <row r="395" spans="1:23" ht="15.75" customHeight="1" x14ac:dyDescent="0.25">
      <c r="A395" s="139" t="s">
        <v>1445</v>
      </c>
      <c r="B395" s="139" t="s">
        <v>640</v>
      </c>
      <c r="C395" s="178" t="str">
        <f>VLOOKUP(A395,CUSTOMER!$A:$C,3,0)</f>
        <v>BIGC_HOME_ECO</v>
      </c>
      <c r="D395" s="178" t="s">
        <v>674</v>
      </c>
      <c r="E395" s="178" t="str">
        <f>VLOOKUP(A396,CUSTOMER!$A$2:$H$1094,5,0)</f>
        <v>LE NAM PHUONG</v>
      </c>
      <c r="F395" s="178" t="str">
        <f>VLOOKUP(A396,CUSTOMER!$A$2:$I$1094,6,0)</f>
        <v>VACANCY</v>
      </c>
      <c r="G395" s="178" t="s">
        <v>676</v>
      </c>
      <c r="H395" s="179">
        <f t="shared" si="49"/>
        <v>0</v>
      </c>
      <c r="I395" s="180" t="str">
        <f t="shared" si="50"/>
        <v/>
      </c>
      <c r="J395" s="181">
        <f t="shared" si="51"/>
        <v>0</v>
      </c>
      <c r="K395" s="182">
        <v>0</v>
      </c>
      <c r="L395" s="180">
        <f t="shared" si="56"/>
        <v>0</v>
      </c>
      <c r="M395" s="218">
        <f>SUMIFS(DATA!$L:$L,DATA!$O:$O,$B396,DATA!$N:$N,$A396,DATA!$M:$M,'SALES BY SYSTEM'!$O$1)</f>
        <v>0</v>
      </c>
      <c r="N395" s="182">
        <v>0</v>
      </c>
      <c r="O395" s="180" t="str">
        <f t="shared" si="53"/>
        <v/>
      </c>
      <c r="P395" s="218">
        <f>SUMIFS(DATA!$L:$L,DATA!$O:$O,$B396,DATA!$N:$N,$A396,DATA!$M:$M,'SALES BY SYSTEM'!$O$2)</f>
        <v>0</v>
      </c>
      <c r="Q395" s="182">
        <v>0</v>
      </c>
      <c r="R395" s="180" t="str">
        <f t="shared" si="54"/>
        <v/>
      </c>
      <c r="S395" s="218">
        <f>SUMIFS(DATA!$L:$L,DATA!$O:$O,$B396,DATA!$N:$N,$A396,DATA!$M:$M,'SALES BY SYSTEM'!$O$4)</f>
        <v>0</v>
      </c>
      <c r="T395" s="182">
        <v>0</v>
      </c>
      <c r="U395" s="180" t="str">
        <f t="shared" si="55"/>
        <v/>
      </c>
      <c r="V395" s="218">
        <f>SUMIFS(DATA!$L:$L,DATA!$O:$O,$B396,DATA!$N:$N,$A396,DATA!$M:$M,'SALES BY SYSTEM'!$O$3)</f>
        <v>0</v>
      </c>
      <c r="W395" s="168"/>
    </row>
    <row r="396" spans="1:23" ht="15.75" customHeight="1" x14ac:dyDescent="0.25">
      <c r="A396" s="139" t="s">
        <v>1710</v>
      </c>
      <c r="B396" s="139" t="s">
        <v>43</v>
      </c>
      <c r="C396" s="178" t="str">
        <f>VLOOKUP(A396,CUSTOMER!$A:$C,3,0)</f>
        <v>MG_HBANG</v>
      </c>
      <c r="D396" s="178" t="s">
        <v>674</v>
      </c>
      <c r="E396" s="178" t="str">
        <f>VLOOKUP(A397,CUSTOMER!$A$2:$H$1094,5,0)</f>
        <v>LE NAM PHUONG</v>
      </c>
      <c r="F396" s="178" t="str">
        <f>VLOOKUP(A397,CUSTOMER!$A$2:$I$1094,6,0)</f>
        <v>VACANCY</v>
      </c>
      <c r="G396" s="178" t="s">
        <v>676</v>
      </c>
      <c r="H396" s="179">
        <f t="shared" si="49"/>
        <v>14169753.536867861</v>
      </c>
      <c r="I396" s="180">
        <f t="shared" si="50"/>
        <v>0</v>
      </c>
      <c r="J396" s="181">
        <f t="shared" si="51"/>
        <v>0</v>
      </c>
      <c r="K396" s="182">
        <v>14169753.536867861</v>
      </c>
      <c r="L396" s="180" t="str">
        <f>IFERROR(M397/#REF!,"")</f>
        <v/>
      </c>
      <c r="M396" s="218">
        <f>SUMIFS(DATA!$L:$L,DATA!$O:$O,$B397,DATA!$N:$N,$A397,DATA!$M:$M,'SALES BY SYSTEM'!$O$1)</f>
        <v>0</v>
      </c>
      <c r="N396" s="182">
        <v>0</v>
      </c>
      <c r="O396" s="180" t="str">
        <f t="shared" si="53"/>
        <v/>
      </c>
      <c r="P396" s="218">
        <f>SUMIFS(DATA!$L:$L,DATA!$O:$O,$B397,DATA!$N:$N,$A397,DATA!$M:$M,'SALES BY SYSTEM'!$O$2)</f>
        <v>0</v>
      </c>
      <c r="Q396" s="182">
        <v>0</v>
      </c>
      <c r="R396" s="180" t="str">
        <f t="shared" si="54"/>
        <v/>
      </c>
      <c r="S396" s="218">
        <f>SUMIFS(DATA!$L:$L,DATA!$O:$O,$B397,DATA!$N:$N,$A397,DATA!$M:$M,'SALES BY SYSTEM'!$O$4)</f>
        <v>0</v>
      </c>
      <c r="T396" s="182">
        <v>0</v>
      </c>
      <c r="U396" s="180" t="str">
        <f t="shared" si="55"/>
        <v/>
      </c>
      <c r="V396" s="218">
        <f>SUMIFS(DATA!$L:$L,DATA!$O:$O,$B397,DATA!$N:$N,$A397,DATA!$M:$M,'SALES BY SYSTEM'!$O$3)</f>
        <v>0</v>
      </c>
      <c r="W396" s="168"/>
    </row>
    <row r="397" spans="1:23" ht="15.75" customHeight="1" x14ac:dyDescent="0.25">
      <c r="A397" s="139" t="s">
        <v>49</v>
      </c>
      <c r="B397" s="139" t="s">
        <v>43</v>
      </c>
      <c r="C397" s="178" t="str">
        <f>VLOOKUP(A397,CUSTOMER!$A:$C,3,0)</f>
        <v>MG_26_71</v>
      </c>
      <c r="D397" s="178" t="s">
        <v>674</v>
      </c>
      <c r="E397" s="178" t="str">
        <f>VLOOKUP(A398,CUSTOMER!$A$2:$H$1094,5,0)</f>
        <v>LE NAM PHUONG</v>
      </c>
      <c r="F397" s="178" t="str">
        <f>VLOOKUP(A398,CUSTOMER!$A$2:$I$1094,6,0)</f>
        <v>VACANCY</v>
      </c>
      <c r="G397" s="178" t="s">
        <v>676</v>
      </c>
      <c r="H397" s="179">
        <f t="shared" si="49"/>
        <v>0</v>
      </c>
      <c r="I397" s="180" t="str">
        <f t="shared" si="50"/>
        <v/>
      </c>
      <c r="J397" s="181">
        <f t="shared" si="51"/>
        <v>0</v>
      </c>
      <c r="K397" s="182">
        <v>0</v>
      </c>
      <c r="L397" s="180" t="str">
        <f>IFERROR(M398/#REF!,"")</f>
        <v/>
      </c>
      <c r="M397" s="218">
        <f>SUMIFS(DATA!$L:$L,DATA!$O:$O,$B398,DATA!$N:$N,$A398,DATA!$M:$M,'SALES BY SYSTEM'!$O$1)</f>
        <v>0</v>
      </c>
      <c r="N397" s="182">
        <v>0</v>
      </c>
      <c r="O397" s="180" t="str">
        <f t="shared" si="53"/>
        <v/>
      </c>
      <c r="P397" s="218">
        <f>SUMIFS(DATA!$L:$L,DATA!$O:$O,$B398,DATA!$N:$N,$A398,DATA!$M:$M,'SALES BY SYSTEM'!$O$2)</f>
        <v>0</v>
      </c>
      <c r="Q397" s="182">
        <v>0</v>
      </c>
      <c r="R397" s="180" t="str">
        <f t="shared" si="54"/>
        <v/>
      </c>
      <c r="S397" s="218">
        <f>SUMIFS(DATA!$L:$L,DATA!$O:$O,$B398,DATA!$N:$N,$A398,DATA!$M:$M,'SALES BY SYSTEM'!$O$4)</f>
        <v>0</v>
      </c>
      <c r="T397" s="182">
        <v>0</v>
      </c>
      <c r="U397" s="180" t="str">
        <f t="shared" si="55"/>
        <v/>
      </c>
      <c r="V397" s="218">
        <f>SUMIFS(DATA!$L:$L,DATA!$O:$O,$B398,DATA!$N:$N,$A398,DATA!$M:$M,'SALES BY SYSTEM'!$O$3)</f>
        <v>0</v>
      </c>
      <c r="W397" s="168"/>
    </row>
    <row r="398" spans="1:23" ht="15.75" customHeight="1" x14ac:dyDescent="0.25">
      <c r="A398" s="139" t="s">
        <v>1712</v>
      </c>
      <c r="B398" s="139" t="s">
        <v>43</v>
      </c>
      <c r="C398" s="178" t="str">
        <f>VLOOKUP(A398,CUSTOMER!$A:$C,3,0)</f>
        <v>MG_31_71</v>
      </c>
      <c r="D398" s="178" t="s">
        <v>674</v>
      </c>
      <c r="E398" s="178" t="str">
        <f>VLOOKUP(A399,CUSTOMER!$A$2:$H$1094,5,0)</f>
        <v>LE NAM PHUONG</v>
      </c>
      <c r="F398" s="178" t="str">
        <f>VLOOKUP(A399,CUSTOMER!$A$2:$I$1094,6,0)</f>
        <v>LE THI HONG DIEP</v>
      </c>
      <c r="G398" s="178" t="s">
        <v>676</v>
      </c>
      <c r="H398" s="179">
        <f t="shared" si="49"/>
        <v>0</v>
      </c>
      <c r="I398" s="180" t="str">
        <f t="shared" si="50"/>
        <v/>
      </c>
      <c r="J398" s="181">
        <f t="shared" si="51"/>
        <v>0</v>
      </c>
      <c r="K398" s="182">
        <v>0</v>
      </c>
      <c r="L398" s="180" t="str">
        <f>IFERROR(M399/#REF!,"")</f>
        <v/>
      </c>
      <c r="M398" s="218">
        <f>SUMIFS(DATA!$L:$L,DATA!$O:$O,$B399,DATA!$N:$N,$A399,DATA!$M:$M,'SALES BY SYSTEM'!$O$1)</f>
        <v>0</v>
      </c>
      <c r="N398" s="182">
        <v>0</v>
      </c>
      <c r="O398" s="180" t="str">
        <f t="shared" ref="O398:O412" si="57">IFERROR(P399/N399,"")</f>
        <v/>
      </c>
      <c r="P398" s="218">
        <f>SUMIFS(DATA!$L:$L,DATA!$O:$O,$B399,DATA!$N:$N,$A399,DATA!$M:$M,'SALES BY SYSTEM'!$O$2)</f>
        <v>0</v>
      </c>
      <c r="Q398" s="182">
        <v>0</v>
      </c>
      <c r="R398" s="180" t="str">
        <f t="shared" ref="R398:R412" si="58">IFERROR(S399/Q399,"")</f>
        <v/>
      </c>
      <c r="S398" s="218">
        <f>SUMIFS(DATA!$L:$L,DATA!$O:$O,$B399,DATA!$N:$N,$A399,DATA!$M:$M,'SALES BY SYSTEM'!$O$4)</f>
        <v>0</v>
      </c>
      <c r="T398" s="182">
        <v>0</v>
      </c>
      <c r="U398" s="180" t="str">
        <f t="shared" ref="U398:U412" si="59">IFERROR(V399/T399,"")</f>
        <v/>
      </c>
      <c r="V398" s="218">
        <f>SUMIFS(DATA!$L:$L,DATA!$O:$O,$B399,DATA!$N:$N,$A399,DATA!$M:$M,'SALES BY SYSTEM'!$O$3)</f>
        <v>0</v>
      </c>
      <c r="W398" s="168"/>
    </row>
    <row r="399" spans="1:23" ht="15.75" customHeight="1" x14ac:dyDescent="0.25">
      <c r="A399" s="139" t="s">
        <v>1718</v>
      </c>
      <c r="B399" s="139" t="s">
        <v>43</v>
      </c>
      <c r="C399" s="178" t="str">
        <f>VLOOKUP(A399,CUSTOMER!$A:$C,3,0)</f>
        <v>MG_TXUAN</v>
      </c>
      <c r="D399" s="178" t="s">
        <v>674</v>
      </c>
      <c r="E399" s="178" t="str">
        <f>VLOOKUP(A400,CUSTOMER!$A$2:$H$1094,5,0)</f>
        <v>LE NAM PHUONG</v>
      </c>
      <c r="F399" s="178" t="str">
        <f>VLOOKUP(A400,CUSTOMER!$A$2:$I$1094,6,0)</f>
        <v>VACANCY</v>
      </c>
      <c r="G399" s="178" t="s">
        <v>676</v>
      </c>
      <c r="H399" s="179">
        <f t="shared" si="49"/>
        <v>14169753.536867861</v>
      </c>
      <c r="I399" s="180">
        <f t="shared" si="50"/>
        <v>0</v>
      </c>
      <c r="J399" s="181">
        <f t="shared" si="51"/>
        <v>0</v>
      </c>
      <c r="K399" s="182">
        <v>14169753.536867861</v>
      </c>
      <c r="L399" s="180" t="str">
        <f>IFERROR(M400/#REF!,"")</f>
        <v/>
      </c>
      <c r="M399" s="218">
        <f>SUMIFS(DATA!$L:$L,DATA!$O:$O,$B400,DATA!$N:$N,$A400,DATA!$M:$M,'SALES BY SYSTEM'!$O$1)</f>
        <v>0</v>
      </c>
      <c r="N399" s="182">
        <v>0</v>
      </c>
      <c r="O399" s="180" t="str">
        <f t="shared" si="57"/>
        <v/>
      </c>
      <c r="P399" s="218">
        <f>SUMIFS(DATA!$L:$L,DATA!$O:$O,$B400,DATA!$N:$N,$A400,DATA!$M:$M,'SALES BY SYSTEM'!$O$2)</f>
        <v>0</v>
      </c>
      <c r="Q399" s="182">
        <v>0</v>
      </c>
      <c r="R399" s="180" t="str">
        <f t="shared" si="58"/>
        <v/>
      </c>
      <c r="S399" s="218">
        <f>SUMIFS(DATA!$L:$L,DATA!$O:$O,$B400,DATA!$N:$N,$A400,DATA!$M:$M,'SALES BY SYSTEM'!$O$4)</f>
        <v>0</v>
      </c>
      <c r="T399" s="182">
        <v>0</v>
      </c>
      <c r="U399" s="180" t="str">
        <f t="shared" si="59"/>
        <v/>
      </c>
      <c r="V399" s="218">
        <f>SUMIFS(DATA!$L:$L,DATA!$O:$O,$B400,DATA!$N:$N,$A400,DATA!$M:$M,'SALES BY SYSTEM'!$O$3)</f>
        <v>0</v>
      </c>
      <c r="W399" s="168"/>
    </row>
    <row r="400" spans="1:23" ht="15.75" customHeight="1" x14ac:dyDescent="0.25">
      <c r="A400" s="139" t="s">
        <v>1720</v>
      </c>
      <c r="B400" s="139" t="s">
        <v>43</v>
      </c>
      <c r="C400" s="178" t="str">
        <f>VLOOKUP(A400,CUSTOMER!$A:$C,3,0)</f>
        <v>MG_VINH</v>
      </c>
      <c r="D400" s="178" t="s">
        <v>674</v>
      </c>
      <c r="E400" s="178" t="e">
        <f>VLOOKUP(#REF!,CUSTOMER!$A$2:$H$1094,5,0)</f>
        <v>#REF!</v>
      </c>
      <c r="F400" s="178" t="e">
        <f>VLOOKUP(#REF!,CUSTOMER!$A$2:$I$1094,6,0)</f>
        <v>#REF!</v>
      </c>
      <c r="G400" s="178" t="s">
        <v>676</v>
      </c>
      <c r="H400" s="179">
        <f t="shared" si="49"/>
        <v>14169753.536867861</v>
      </c>
      <c r="I400" s="180">
        <f t="shared" si="50"/>
        <v>0</v>
      </c>
      <c r="J400" s="181">
        <f t="shared" si="51"/>
        <v>0</v>
      </c>
      <c r="K400" s="182">
        <v>14169753.536867861</v>
      </c>
      <c r="L400" s="180" t="str">
        <f>IFERROR(#REF!/#REF!,"")</f>
        <v/>
      </c>
      <c r="M400" s="218">
        <f>SUMIFS(DATA!$L:$L,DATA!$O:$O,#REF!,DATA!$N:$N,#REF!,DATA!$M:$M,'SALES BY SYSTEM'!$O$1)</f>
        <v>0</v>
      </c>
      <c r="N400" s="182">
        <v>0</v>
      </c>
      <c r="O400" s="180" t="str">
        <f>IFERROR(#REF!/#REF!,"")</f>
        <v/>
      </c>
      <c r="P400" s="218">
        <f>SUMIFS(DATA!$L:$L,DATA!$O:$O,#REF!,DATA!$N:$N,#REF!,DATA!$M:$M,'SALES BY SYSTEM'!$O$2)</f>
        <v>0</v>
      </c>
      <c r="Q400" s="182">
        <v>0</v>
      </c>
      <c r="R400" s="180" t="str">
        <f>IFERROR(#REF!/#REF!,"")</f>
        <v/>
      </c>
      <c r="S400" s="218">
        <f>SUMIFS(DATA!$L:$L,DATA!$O:$O,#REF!,DATA!$N:$N,#REF!,DATA!$M:$M,'SALES BY SYSTEM'!$O$4)</f>
        <v>0</v>
      </c>
      <c r="T400" s="182">
        <v>0</v>
      </c>
      <c r="U400" s="180" t="str">
        <f>IFERROR(#REF!/#REF!,"")</f>
        <v/>
      </c>
      <c r="V400" s="218">
        <f>SUMIFS(DATA!$L:$L,DATA!$O:$O,#REF!,DATA!$N:$N,#REF!,DATA!$M:$M,'SALES BY SYSTEM'!$O$3)</f>
        <v>0</v>
      </c>
      <c r="W400" s="168"/>
    </row>
    <row r="401" spans="1:23" ht="15.75" customHeight="1" x14ac:dyDescent="0.25">
      <c r="A401" s="178" t="s">
        <v>1239</v>
      </c>
      <c r="B401" s="178" t="s">
        <v>138</v>
      </c>
      <c r="C401" s="178" t="str">
        <f>VLOOKUP(A401,CUSTOMER!$A:$C,3,0)</f>
        <v>COOP_576_HGIANG2</v>
      </c>
      <c r="D401" s="178" t="s">
        <v>674</v>
      </c>
      <c r="E401" s="178" t="str">
        <f>VLOOKUP(A402,CUSTOMER!$A$2:$H$1094,5,0)</f>
        <v>VAVANCY-VU MINH TUAN</v>
      </c>
      <c r="F401" s="178" t="str">
        <f>VLOOKUP(A402,CUSTOMER!$A$2:$I$1094,6,0)</f>
        <v>"NO SALE"</v>
      </c>
      <c r="G401" s="178" t="s">
        <v>676</v>
      </c>
      <c r="H401" s="179">
        <f t="shared" si="49"/>
        <v>0</v>
      </c>
      <c r="I401" s="180" t="str">
        <f t="shared" si="50"/>
        <v/>
      </c>
      <c r="J401" s="181">
        <f t="shared" si="51"/>
        <v>0</v>
      </c>
      <c r="K401" s="182">
        <v>0</v>
      </c>
      <c r="L401" s="180" t="str">
        <f t="shared" ref="L401:L412" si="60">IFERROR(M402/K402,"")</f>
        <v/>
      </c>
      <c r="M401" s="218">
        <f>SUMIFS(DATA!$L:$L,DATA!$O:$O,$B402,DATA!$N:$N,$A402,DATA!$M:$M,'SALES BY SYSTEM'!$O$1)</f>
        <v>0</v>
      </c>
      <c r="N401" s="182">
        <v>0</v>
      </c>
      <c r="O401" s="180" t="str">
        <f t="shared" si="57"/>
        <v/>
      </c>
      <c r="P401" s="218">
        <f>SUMIFS(DATA!$L:$L,DATA!$O:$O,$B402,DATA!$N:$N,$A402,DATA!$M:$M,'SALES BY SYSTEM'!$O$2)</f>
        <v>0</v>
      </c>
      <c r="Q401" s="182">
        <v>0</v>
      </c>
      <c r="R401" s="180" t="str">
        <f t="shared" si="58"/>
        <v/>
      </c>
      <c r="S401" s="218">
        <f>SUMIFS(DATA!$L:$L,DATA!$O:$O,$B402,DATA!$N:$N,$A402,DATA!$M:$M,'SALES BY SYSTEM'!$O$4)</f>
        <v>0</v>
      </c>
      <c r="T401" s="182">
        <v>0</v>
      </c>
      <c r="U401" s="180" t="str">
        <f t="shared" si="59"/>
        <v/>
      </c>
      <c r="V401" s="218">
        <f>SUMIFS(DATA!$L:$L,DATA!$O:$O,$B402,DATA!$N:$N,$A402,DATA!$M:$M,'SALES BY SYSTEM'!$O$3)</f>
        <v>0</v>
      </c>
      <c r="W401" s="168"/>
    </row>
    <row r="402" spans="1:23" ht="15.75" customHeight="1" x14ac:dyDescent="0.25">
      <c r="A402" s="178" t="s">
        <v>180</v>
      </c>
      <c r="B402" s="178" t="s">
        <v>138</v>
      </c>
      <c r="C402" s="178" t="str">
        <f>VLOOKUP(A402,CUSTOMER!$A:$C,3,0)</f>
        <v>COOP_LBINH</v>
      </c>
      <c r="D402" s="178" t="s">
        <v>674</v>
      </c>
      <c r="E402" s="178" t="str">
        <f>VLOOKUP(A403,CUSTOMER!$A$2:$H$1094,5,0)</f>
        <v>VAVANCY-VU MINH TUAN</v>
      </c>
      <c r="F402" s="178" t="str">
        <f>VLOOKUP(A403,CUSTOMER!$A$2:$I$1094,6,0)</f>
        <v>TRAN THI THANH TRUC</v>
      </c>
      <c r="G402" s="178" t="s">
        <v>676</v>
      </c>
      <c r="H402" s="179">
        <f t="shared" si="49"/>
        <v>0</v>
      </c>
      <c r="I402" s="180" t="str">
        <f t="shared" si="50"/>
        <v/>
      </c>
      <c r="J402" s="181">
        <f t="shared" si="51"/>
        <v>0</v>
      </c>
      <c r="K402" s="182">
        <v>0</v>
      </c>
      <c r="L402" s="180" t="str">
        <f t="shared" si="60"/>
        <v/>
      </c>
      <c r="M402" s="218">
        <f>SUMIFS(DATA!$L:$L,DATA!$O:$O,$B403,DATA!$N:$N,$A403,DATA!$M:$M,'SALES BY SYSTEM'!$O$1)</f>
        <v>0</v>
      </c>
      <c r="N402" s="182">
        <v>0</v>
      </c>
      <c r="O402" s="180" t="str">
        <f t="shared" si="57"/>
        <v/>
      </c>
      <c r="P402" s="218">
        <f>SUMIFS(DATA!$L:$L,DATA!$O:$O,$B403,DATA!$N:$N,$A403,DATA!$M:$M,'SALES BY SYSTEM'!$O$2)</f>
        <v>0</v>
      </c>
      <c r="Q402" s="182">
        <v>0</v>
      </c>
      <c r="R402" s="180" t="str">
        <f t="shared" si="58"/>
        <v/>
      </c>
      <c r="S402" s="218">
        <f>SUMIFS(DATA!$L:$L,DATA!$O:$O,$B403,DATA!$N:$N,$A403,DATA!$M:$M,'SALES BY SYSTEM'!$O$4)</f>
        <v>0</v>
      </c>
      <c r="T402" s="182">
        <v>0</v>
      </c>
      <c r="U402" s="180" t="str">
        <f t="shared" si="59"/>
        <v/>
      </c>
      <c r="V402" s="218">
        <f>SUMIFS(DATA!$L:$L,DATA!$O:$O,$B403,DATA!$N:$N,$A403,DATA!$M:$M,'SALES BY SYSTEM'!$O$3)</f>
        <v>0</v>
      </c>
      <c r="W402" s="168"/>
    </row>
    <row r="403" spans="1:23" ht="15.75" customHeight="1" x14ac:dyDescent="0.25">
      <c r="A403" s="178" t="s">
        <v>1019</v>
      </c>
      <c r="B403" s="178" t="s">
        <v>16</v>
      </c>
      <c r="C403" s="178" t="str">
        <f>VLOOKUP(A403,CUSTOMER!$A:$C,3,0)</f>
        <v>COOP_F_NVDAU</v>
      </c>
      <c r="D403" s="178" t="s">
        <v>674</v>
      </c>
      <c r="E403" s="178" t="str">
        <f>VLOOKUP(A404,CUSTOMER!$A$2:$H$1094,5,0)</f>
        <v>VAVANCY-VU MINH TUAN</v>
      </c>
      <c r="F403" s="178" t="str">
        <f>VLOOKUP(A404,CUSTOMER!$A$2:$I$1094,6,0)</f>
        <v>TRAN THI THANH TRUC</v>
      </c>
      <c r="G403" s="178" t="str">
        <f>VLOOKUP(A404,CUSTOMER!$A$1:$J$1160,7,0)</f>
        <v>"NO PG"</v>
      </c>
      <c r="H403" s="179">
        <f t="shared" si="49"/>
        <v>0</v>
      </c>
      <c r="I403" s="180" t="str">
        <f t="shared" si="50"/>
        <v/>
      </c>
      <c r="J403" s="181">
        <f t="shared" si="51"/>
        <v>0</v>
      </c>
      <c r="K403" s="182">
        <v>0</v>
      </c>
      <c r="L403" s="180" t="str">
        <f t="shared" si="60"/>
        <v/>
      </c>
      <c r="M403" s="218">
        <f>SUMIFS(DATA!$L:$L,DATA!$O:$O,$B404,DATA!$N:$N,$A404,DATA!$M:$M,'SALES BY SYSTEM'!$O$1)</f>
        <v>0</v>
      </c>
      <c r="N403" s="182">
        <v>0</v>
      </c>
      <c r="O403" s="180" t="str">
        <f t="shared" si="57"/>
        <v/>
      </c>
      <c r="P403" s="218">
        <f>SUMIFS(DATA!$L:$L,DATA!$O:$O,$B404,DATA!$N:$N,$A404,DATA!$M:$M,'SALES BY SYSTEM'!$O$2)</f>
        <v>0</v>
      </c>
      <c r="Q403" s="182">
        <v>0</v>
      </c>
      <c r="R403" s="180" t="str">
        <f t="shared" si="58"/>
        <v/>
      </c>
      <c r="S403" s="218">
        <f>SUMIFS(DATA!$L:$L,DATA!$O:$O,$B404,DATA!$N:$N,$A404,DATA!$M:$M,'SALES BY SYSTEM'!$O$4)</f>
        <v>0</v>
      </c>
      <c r="T403" s="182">
        <v>0</v>
      </c>
      <c r="U403" s="180" t="str">
        <f t="shared" si="59"/>
        <v/>
      </c>
      <c r="V403" s="218">
        <f>SUMIFS(DATA!$L:$L,DATA!$O:$O,$B404,DATA!$N:$N,$A404,DATA!$M:$M,'SALES BY SYSTEM'!$O$3)</f>
        <v>0</v>
      </c>
      <c r="W403" s="168"/>
    </row>
    <row r="404" spans="1:23" ht="15.75" customHeight="1" x14ac:dyDescent="0.25">
      <c r="A404" s="178" t="s">
        <v>137</v>
      </c>
      <c r="B404" s="178" t="s">
        <v>138</v>
      </c>
      <c r="C404" s="178" t="str">
        <f>VLOOKUP(A404,CUSTOMER!$A:$C,3,0)</f>
        <v>COOP_PTHIEN</v>
      </c>
      <c r="D404" s="178" t="s">
        <v>674</v>
      </c>
      <c r="E404" s="178" t="str">
        <f>VLOOKUP(A405,CUSTOMER!$A$2:$H$1094,5,0)</f>
        <v>VAVANCY-VU MINH TUAN</v>
      </c>
      <c r="F404" s="178" t="str">
        <f>VLOOKUP(A405,CUSTOMER!$A$2:$I$1094,6,0)</f>
        <v>TRAN THI THANH TRUC</v>
      </c>
      <c r="G404" s="178" t="str">
        <f>VLOOKUP(A405,CUSTOMER!$A$1:$J$1160,7,0)</f>
        <v>"NO PG"</v>
      </c>
      <c r="H404" s="179">
        <f t="shared" si="49"/>
        <v>0</v>
      </c>
      <c r="I404" s="180" t="str">
        <f t="shared" si="50"/>
        <v/>
      </c>
      <c r="J404" s="181">
        <f t="shared" si="51"/>
        <v>0</v>
      </c>
      <c r="K404" s="182">
        <v>0</v>
      </c>
      <c r="L404" s="180" t="str">
        <f t="shared" si="60"/>
        <v/>
      </c>
      <c r="M404" s="218">
        <f>SUMIFS(DATA!$L:$L,DATA!$O:$O,$B405,DATA!$N:$N,$A405,DATA!$M:$M,'SALES BY SYSTEM'!$O$1)</f>
        <v>0</v>
      </c>
      <c r="N404" s="182">
        <v>0</v>
      </c>
      <c r="O404" s="180" t="str">
        <f t="shared" si="57"/>
        <v/>
      </c>
      <c r="P404" s="218">
        <f>SUMIFS(DATA!$L:$L,DATA!$O:$O,$B405,DATA!$N:$N,$A405,DATA!$M:$M,'SALES BY SYSTEM'!$O$2)</f>
        <v>0</v>
      </c>
      <c r="Q404" s="182">
        <v>0</v>
      </c>
      <c r="R404" s="180" t="str">
        <f t="shared" si="58"/>
        <v/>
      </c>
      <c r="S404" s="218">
        <f>SUMIFS(DATA!$L:$L,DATA!$O:$O,$B405,DATA!$N:$N,$A405,DATA!$M:$M,'SALES BY SYSTEM'!$O$4)</f>
        <v>0</v>
      </c>
      <c r="T404" s="182">
        <v>0</v>
      </c>
      <c r="U404" s="180" t="str">
        <f t="shared" si="59"/>
        <v/>
      </c>
      <c r="V404" s="218">
        <f>SUMIFS(DATA!$L:$L,DATA!$O:$O,$B405,DATA!$N:$N,$A405,DATA!$M:$M,'SALES BY SYSTEM'!$O$3)</f>
        <v>0</v>
      </c>
      <c r="W404" s="168"/>
    </row>
    <row r="405" spans="1:23" ht="15.75" customHeight="1" x14ac:dyDescent="0.25">
      <c r="A405" s="139" t="s">
        <v>902</v>
      </c>
      <c r="B405" s="178" t="s">
        <v>138</v>
      </c>
      <c r="C405" s="208" t="str">
        <f>VLOOKUP(A405,CUSTOMER!$A:$C,3,0)</f>
        <v>COOP_NQ_PQ</v>
      </c>
      <c r="D405" s="178" t="s">
        <v>674</v>
      </c>
      <c r="E405" s="178" t="str">
        <f>VLOOKUP(A406,CUSTOMER!$A$2:$H$1094,5,0)</f>
        <v>VAVANCY-VU MINH TUAN</v>
      </c>
      <c r="F405" s="178" t="str">
        <f>VLOOKUP(A406,CUSTOMER!$A$2:$I$1094,6,0)</f>
        <v>TRAN THI THANH TRUC</v>
      </c>
      <c r="G405" s="178" t="s">
        <v>676</v>
      </c>
      <c r="H405" s="179">
        <f t="shared" si="49"/>
        <v>0</v>
      </c>
      <c r="I405" s="180" t="str">
        <f t="shared" si="50"/>
        <v/>
      </c>
      <c r="J405" s="181">
        <f t="shared" si="51"/>
        <v>0</v>
      </c>
      <c r="K405" s="182">
        <v>0</v>
      </c>
      <c r="L405" s="180" t="str">
        <f t="shared" si="60"/>
        <v/>
      </c>
      <c r="M405" s="218">
        <f>SUMIFS(DATA!$L:$L,DATA!$O:$O,$B406,DATA!$N:$N,$A406,DATA!$M:$M,'SALES BY SYSTEM'!$O$1)</f>
        <v>0</v>
      </c>
      <c r="N405" s="182">
        <v>0</v>
      </c>
      <c r="O405" s="180" t="str">
        <f t="shared" si="57"/>
        <v/>
      </c>
      <c r="P405" s="218">
        <f>SUMIFS(DATA!$L:$L,DATA!$O:$O,$B406,DATA!$N:$N,$A406,DATA!$M:$M,'SALES BY SYSTEM'!$O$2)</f>
        <v>0</v>
      </c>
      <c r="Q405" s="182">
        <v>0</v>
      </c>
      <c r="R405" s="180" t="str">
        <f t="shared" si="58"/>
        <v/>
      </c>
      <c r="S405" s="218">
        <f>SUMIFS(DATA!$L:$L,DATA!$O:$O,$B406,DATA!$N:$N,$A406,DATA!$M:$M,'SALES BY SYSTEM'!$O$4)</f>
        <v>0</v>
      </c>
      <c r="T405" s="182">
        <v>0</v>
      </c>
      <c r="U405" s="180" t="str">
        <f t="shared" si="59"/>
        <v/>
      </c>
      <c r="V405" s="218">
        <f>SUMIFS(DATA!$L:$L,DATA!$O:$O,$B406,DATA!$N:$N,$A406,DATA!$M:$M,'SALES BY SYSTEM'!$O$3)</f>
        <v>0</v>
      </c>
      <c r="W405" s="168"/>
    </row>
    <row r="406" spans="1:23" ht="15.75" customHeight="1" x14ac:dyDescent="0.25">
      <c r="A406" s="178" t="s">
        <v>1338</v>
      </c>
      <c r="B406" s="178" t="s">
        <v>16</v>
      </c>
      <c r="C406" s="178" t="str">
        <f>VLOOKUP(A406,CUSTOMER!$A:$C,3,0)</f>
        <v>COOP_QLO50</v>
      </c>
      <c r="D406" s="178" t="s">
        <v>674</v>
      </c>
      <c r="E406" s="178" t="str">
        <f>VLOOKUP(A407,CUSTOMER!$A$2:$H$1094,5,0)</f>
        <v>VAVANCY-VU MINH TUAN</v>
      </c>
      <c r="F406" s="178" t="str">
        <f>VLOOKUP(A407,CUSTOMER!$A$2:$I$1094,6,0)</f>
        <v>TRAN THI THANH TRUC</v>
      </c>
      <c r="G406" s="178" t="s">
        <v>676</v>
      </c>
      <c r="H406" s="179">
        <f t="shared" si="49"/>
        <v>0</v>
      </c>
      <c r="I406" s="180" t="str">
        <f t="shared" si="50"/>
        <v/>
      </c>
      <c r="J406" s="181">
        <f t="shared" si="51"/>
        <v>0</v>
      </c>
      <c r="K406" s="182">
        <v>0</v>
      </c>
      <c r="L406" s="180" t="str">
        <f t="shared" si="60"/>
        <v/>
      </c>
      <c r="M406" s="218">
        <f>SUMIFS(DATA!$L:$L,DATA!$O:$O,$B407,DATA!$N:$N,$A407,DATA!$M:$M,'SALES BY SYSTEM'!$O$1)</f>
        <v>0</v>
      </c>
      <c r="N406" s="182">
        <v>0</v>
      </c>
      <c r="O406" s="180" t="str">
        <f t="shared" si="57"/>
        <v/>
      </c>
      <c r="P406" s="218">
        <f>SUMIFS(DATA!$L:$L,DATA!$O:$O,$B407,DATA!$N:$N,$A407,DATA!$M:$M,'SALES BY SYSTEM'!$O$2)</f>
        <v>0</v>
      </c>
      <c r="Q406" s="182">
        <v>0</v>
      </c>
      <c r="R406" s="180" t="str">
        <f t="shared" si="58"/>
        <v/>
      </c>
      <c r="S406" s="218">
        <f>SUMIFS(DATA!$L:$L,DATA!$O:$O,$B407,DATA!$N:$N,$A407,DATA!$M:$M,'SALES BY SYSTEM'!$O$4)</f>
        <v>0</v>
      </c>
      <c r="T406" s="182">
        <v>0</v>
      </c>
      <c r="U406" s="180" t="str">
        <f t="shared" si="59"/>
        <v/>
      </c>
      <c r="V406" s="218">
        <f>SUMIFS(DATA!$L:$L,DATA!$O:$O,$B407,DATA!$N:$N,$A407,DATA!$M:$M,'SALES BY SYSTEM'!$O$3)</f>
        <v>0</v>
      </c>
      <c r="W406" s="168"/>
    </row>
    <row r="407" spans="1:23" ht="15.75" customHeight="1" x14ac:dyDescent="0.25">
      <c r="A407" s="178" t="s">
        <v>248</v>
      </c>
      <c r="B407" s="178" t="s">
        <v>138</v>
      </c>
      <c r="C407" s="178" t="str">
        <f>VLOOKUP(A407,CUSTOMER!$A:$C,3,0)</f>
        <v>COOP_TQBUU</v>
      </c>
      <c r="D407" s="178" t="s">
        <v>674</v>
      </c>
      <c r="E407" s="178" t="str">
        <f>VLOOKUP(A408,CUSTOMER!$A$2:$H$1094,5,0)</f>
        <v>VAVANCY-VU MINH TUAN</v>
      </c>
      <c r="F407" s="178" t="str">
        <f>VLOOKUP(A408,CUSTOMER!$A$2:$I$1094,6,0)</f>
        <v>"NO SALE"</v>
      </c>
      <c r="G407" s="178" t="s">
        <v>676</v>
      </c>
      <c r="H407" s="179">
        <f t="shared" si="49"/>
        <v>0</v>
      </c>
      <c r="I407" s="180" t="str">
        <f t="shared" si="50"/>
        <v/>
      </c>
      <c r="J407" s="181">
        <f t="shared" si="51"/>
        <v>0</v>
      </c>
      <c r="K407" s="182">
        <v>0</v>
      </c>
      <c r="L407" s="180" t="str">
        <f t="shared" si="60"/>
        <v/>
      </c>
      <c r="M407" s="218">
        <f>SUMIFS(DATA!$L:$L,DATA!$O:$O,$B408,DATA!$N:$N,$A408,DATA!$M:$M,'SALES BY SYSTEM'!$O$1)</f>
        <v>0</v>
      </c>
      <c r="N407" s="182">
        <v>0</v>
      </c>
      <c r="O407" s="180" t="str">
        <f t="shared" si="57"/>
        <v/>
      </c>
      <c r="P407" s="218">
        <f>SUMIFS(DATA!$L:$L,DATA!$O:$O,$B408,DATA!$N:$N,$A408,DATA!$M:$M,'SALES BY SYSTEM'!$O$2)</f>
        <v>0</v>
      </c>
      <c r="Q407" s="182">
        <v>0</v>
      </c>
      <c r="R407" s="180" t="str">
        <f t="shared" si="58"/>
        <v/>
      </c>
      <c r="S407" s="218">
        <f>SUMIFS(DATA!$L:$L,DATA!$O:$O,$B408,DATA!$N:$N,$A408,DATA!$M:$M,'SALES BY SYSTEM'!$O$4)</f>
        <v>0</v>
      </c>
      <c r="T407" s="182">
        <v>0</v>
      </c>
      <c r="U407" s="180" t="str">
        <f t="shared" si="59"/>
        <v/>
      </c>
      <c r="V407" s="218">
        <f>SUMIFS(DATA!$L:$L,DATA!$O:$O,$B408,DATA!$N:$N,$A408,DATA!$M:$M,'SALES BY SYSTEM'!$O$3)</f>
        <v>0</v>
      </c>
      <c r="W407" s="168"/>
    </row>
    <row r="408" spans="1:23" ht="15.75" customHeight="1" x14ac:dyDescent="0.25">
      <c r="A408" s="178" t="s">
        <v>1363</v>
      </c>
      <c r="B408" s="178" t="s">
        <v>16</v>
      </c>
      <c r="C408" s="178" t="str">
        <f>VLOOKUP(A408,CUSTOMER!$A:$C,3,0)</f>
        <v>COOP_TQT</v>
      </c>
      <c r="D408" s="178" t="s">
        <v>674</v>
      </c>
      <c r="E408" s="178" t="e">
        <f>VLOOKUP(A409,CUSTOMER!$A$2:$H$1094,5,0)</f>
        <v>#N/A</v>
      </c>
      <c r="F408" s="178" t="e">
        <f>VLOOKUP(A409,CUSTOMER!$A$2:$I$1094,6,0)</f>
        <v>#N/A</v>
      </c>
      <c r="G408" s="178" t="s">
        <v>676</v>
      </c>
      <c r="H408" s="179">
        <f t="shared" si="49"/>
        <v>0</v>
      </c>
      <c r="I408" s="180" t="str">
        <f t="shared" si="50"/>
        <v/>
      </c>
      <c r="J408" s="181">
        <f t="shared" si="51"/>
        <v>0</v>
      </c>
      <c r="K408" s="182">
        <v>0</v>
      </c>
      <c r="L408" s="180" t="str">
        <f t="shared" si="60"/>
        <v/>
      </c>
      <c r="M408" s="218">
        <f>SUMIFS(DATA!$L:$L,DATA!$O:$O,$B409,DATA!$N:$N,$A409,DATA!$M:$M,'SALES BY SYSTEM'!$O$1)</f>
        <v>0</v>
      </c>
      <c r="N408" s="182">
        <v>0</v>
      </c>
      <c r="O408" s="180" t="str">
        <f t="shared" si="57"/>
        <v/>
      </c>
      <c r="P408" s="218">
        <f>SUMIFS(DATA!$L:$L,DATA!$O:$O,$B409,DATA!$N:$N,$A409,DATA!$M:$M,'SALES BY SYSTEM'!$O$2)</f>
        <v>0</v>
      </c>
      <c r="Q408" s="182">
        <v>0</v>
      </c>
      <c r="R408" s="180" t="str">
        <f t="shared" si="58"/>
        <v/>
      </c>
      <c r="S408" s="218">
        <f>SUMIFS(DATA!$L:$L,DATA!$O:$O,$B409,DATA!$N:$N,$A409,DATA!$M:$M,'SALES BY SYSTEM'!$O$4)</f>
        <v>0</v>
      </c>
      <c r="T408" s="182">
        <v>0</v>
      </c>
      <c r="U408" s="180" t="str">
        <f t="shared" si="59"/>
        <v/>
      </c>
      <c r="V408" s="218">
        <f>SUMIFS(DATA!$L:$L,DATA!$O:$O,$B409,DATA!$N:$N,$A409,DATA!$M:$M,'SALES BY SYSTEM'!$O$3)</f>
        <v>0</v>
      </c>
      <c r="W408" s="168"/>
    </row>
    <row r="409" spans="1:23" ht="15.75" customHeight="1" x14ac:dyDescent="0.25">
      <c r="A409" s="178" t="s">
        <v>2538</v>
      </c>
      <c r="B409" s="178" t="s">
        <v>16</v>
      </c>
      <c r="C409" s="178" t="e">
        <f>VLOOKUP(A409,CUSTOMER!$A:$C,3,0)</f>
        <v>#N/A</v>
      </c>
      <c r="D409" s="178" t="s">
        <v>674</v>
      </c>
      <c r="E409" s="178" t="s">
        <v>637</v>
      </c>
      <c r="F409" s="178" t="str">
        <f>VLOOKUP(A410,CUSTOMER!$A$2:$I$1094,6,0)</f>
        <v>TRAN THI THANH TRUC</v>
      </c>
      <c r="G409" s="178" t="str">
        <f>VLOOKUP(A410,CUSTOMER!$A$1:$J$1160,7,0)</f>
        <v>"NO PG"</v>
      </c>
      <c r="H409" s="179">
        <f t="shared" si="49"/>
        <v>0</v>
      </c>
      <c r="I409" s="180" t="str">
        <f t="shared" si="50"/>
        <v/>
      </c>
      <c r="J409" s="181">
        <f t="shared" si="51"/>
        <v>0</v>
      </c>
      <c r="K409" s="182">
        <v>0</v>
      </c>
      <c r="L409" s="180" t="str">
        <f t="shared" si="60"/>
        <v/>
      </c>
      <c r="M409" s="218">
        <f>SUMIFS(DATA!$L:$L,DATA!$O:$O,$B410,DATA!$N:$N,$A410,DATA!$M:$M,'SALES BY SYSTEM'!$O$1)</f>
        <v>0</v>
      </c>
      <c r="N409" s="182">
        <v>0</v>
      </c>
      <c r="O409" s="180" t="str">
        <f t="shared" si="57"/>
        <v/>
      </c>
      <c r="P409" s="218">
        <f>SUMIFS(DATA!$L:$L,DATA!$O:$O,$B410,DATA!$N:$N,$A410,DATA!$M:$M,'SALES BY SYSTEM'!$O$2)</f>
        <v>0</v>
      </c>
      <c r="Q409" s="182">
        <v>0</v>
      </c>
      <c r="R409" s="180" t="str">
        <f t="shared" si="58"/>
        <v/>
      </c>
      <c r="S409" s="218">
        <f>SUMIFS(DATA!$L:$L,DATA!$O:$O,$B410,DATA!$N:$N,$A410,DATA!$M:$M,'SALES BY SYSTEM'!$O$4)</f>
        <v>0</v>
      </c>
      <c r="T409" s="182">
        <v>0</v>
      </c>
      <c r="U409" s="180" t="str">
        <f t="shared" si="59"/>
        <v/>
      </c>
      <c r="V409" s="218">
        <f>SUMIFS(DATA!$L:$L,DATA!$O:$O,$B410,DATA!$N:$N,$A410,DATA!$M:$M,'SALES BY SYSTEM'!$O$3)</f>
        <v>0</v>
      </c>
      <c r="W409" s="168"/>
    </row>
    <row r="410" spans="1:23" ht="15.75" customHeight="1" x14ac:dyDescent="0.25">
      <c r="A410" s="178" t="s">
        <v>1055</v>
      </c>
      <c r="B410" s="178" t="s">
        <v>16</v>
      </c>
      <c r="C410" s="178" t="str">
        <f>VLOOKUP(A410,CUSTOMER!$A:$C,3,0)</f>
        <v>COOP_F_AKARI</v>
      </c>
      <c r="D410" s="178" t="s">
        <v>674</v>
      </c>
      <c r="E410" s="178" t="str">
        <f>VLOOKUP(A411,CUSTOMER!$A$2:$H$1094,5,0)</f>
        <v>VAVANCY-VU MINH TUAN</v>
      </c>
      <c r="F410" s="178" t="str">
        <f>VLOOKUP(A411,CUSTOMER!$A$2:$I$1094,6,0)</f>
        <v>TRAN THI THANH TRUC</v>
      </c>
      <c r="G410" s="178" t="s">
        <v>676</v>
      </c>
      <c r="H410" s="179">
        <f t="shared" si="49"/>
        <v>0</v>
      </c>
      <c r="I410" s="180" t="str">
        <f t="shared" si="50"/>
        <v/>
      </c>
      <c r="J410" s="181">
        <f t="shared" si="51"/>
        <v>0</v>
      </c>
      <c r="K410" s="182">
        <v>0</v>
      </c>
      <c r="L410" s="180" t="str">
        <f t="shared" si="60"/>
        <v/>
      </c>
      <c r="M410" s="218">
        <f>SUMIFS(DATA!$L:$L,DATA!$O:$O,$B411,DATA!$N:$N,$A411,DATA!$M:$M,'SALES BY SYSTEM'!$O$1)</f>
        <v>0</v>
      </c>
      <c r="N410" s="182">
        <v>0</v>
      </c>
      <c r="O410" s="180" t="str">
        <f t="shared" si="57"/>
        <v/>
      </c>
      <c r="P410" s="218">
        <f>SUMIFS(DATA!$L:$L,DATA!$O:$O,$B411,DATA!$N:$N,$A411,DATA!$M:$M,'SALES BY SYSTEM'!$O$2)</f>
        <v>0</v>
      </c>
      <c r="Q410" s="182">
        <v>0</v>
      </c>
      <c r="R410" s="180" t="str">
        <f t="shared" si="58"/>
        <v/>
      </c>
      <c r="S410" s="218">
        <f>SUMIFS(DATA!$L:$L,DATA!$O:$O,$B411,DATA!$N:$N,$A411,DATA!$M:$M,'SALES BY SYSTEM'!$O$4)</f>
        <v>0</v>
      </c>
      <c r="T410" s="182">
        <v>0</v>
      </c>
      <c r="U410" s="180" t="str">
        <f t="shared" si="59"/>
        <v/>
      </c>
      <c r="V410" s="218">
        <f>SUMIFS(DATA!$L:$L,DATA!$O:$O,$B411,DATA!$N:$N,$A411,DATA!$M:$M,'SALES BY SYSTEM'!$O$3)</f>
        <v>0</v>
      </c>
      <c r="W410" s="168"/>
    </row>
    <row r="411" spans="1:23" ht="15.75" customHeight="1" x14ac:dyDescent="0.25">
      <c r="A411" s="178" t="s">
        <v>983</v>
      </c>
      <c r="B411" s="178" t="s">
        <v>16</v>
      </c>
      <c r="C411" s="178" t="str">
        <f>VLOOKUP(A411,CUSTOMER!$A:$C,3,0)</f>
        <v>COOP_F_AKHANG</v>
      </c>
      <c r="D411" s="178" t="s">
        <v>674</v>
      </c>
      <c r="E411" s="178" t="str">
        <f>VLOOKUP(A412,CUSTOMER!$A$2:$H$1094,5,0)</f>
        <v>VAVANCY-VU MINH TUAN</v>
      </c>
      <c r="F411" s="178" t="str">
        <f>VLOOKUP(A412,CUSTOMER!$A$2:$I$1094,6,0)</f>
        <v>NO SALE</v>
      </c>
      <c r="G411" s="178" t="s">
        <v>676</v>
      </c>
      <c r="H411" s="179">
        <f t="shared" ref="H411:H474" si="61">SUM(K411,N411,Q411,T411)</f>
        <v>0</v>
      </c>
      <c r="I411" s="180" t="str">
        <f t="shared" ref="I411:I474" si="62">IFERROR(J411/H411,"")</f>
        <v/>
      </c>
      <c r="J411" s="181">
        <f t="shared" ref="J411:J474" si="63">SUM(M411,P411,S411,V411)</f>
        <v>0</v>
      </c>
      <c r="K411" s="182">
        <v>0</v>
      </c>
      <c r="L411" s="180" t="str">
        <f t="shared" si="60"/>
        <v/>
      </c>
      <c r="M411" s="218">
        <f>SUMIFS(DATA!$L:$L,DATA!$O:$O,$B412,DATA!$N:$N,$A412,DATA!$M:$M,'SALES BY SYSTEM'!$O$1)</f>
        <v>0</v>
      </c>
      <c r="N411" s="182">
        <v>0</v>
      </c>
      <c r="O411" s="180" t="str">
        <f t="shared" si="57"/>
        <v/>
      </c>
      <c r="P411" s="218">
        <f>SUMIFS(DATA!$L:$L,DATA!$O:$O,$B412,DATA!$N:$N,$A412,DATA!$M:$M,'SALES BY SYSTEM'!$O$2)</f>
        <v>0</v>
      </c>
      <c r="Q411" s="182">
        <v>0</v>
      </c>
      <c r="R411" s="180" t="str">
        <f t="shared" si="58"/>
        <v/>
      </c>
      <c r="S411" s="218">
        <f>SUMIFS(DATA!$L:$L,DATA!$O:$O,$B412,DATA!$N:$N,$A412,DATA!$M:$M,'SALES BY SYSTEM'!$O$4)</f>
        <v>0</v>
      </c>
      <c r="T411" s="182">
        <v>0</v>
      </c>
      <c r="U411" s="180" t="str">
        <f t="shared" si="59"/>
        <v/>
      </c>
      <c r="V411" s="218">
        <f>SUMIFS(DATA!$L:$L,DATA!$O:$O,$B412,DATA!$N:$N,$A412,DATA!$M:$M,'SALES BY SYSTEM'!$O$3)</f>
        <v>0</v>
      </c>
      <c r="W411" s="168"/>
    </row>
    <row r="412" spans="1:23" ht="15.75" customHeight="1" x14ac:dyDescent="0.25">
      <c r="A412" s="178" t="s">
        <v>1119</v>
      </c>
      <c r="B412" s="178" t="s">
        <v>16</v>
      </c>
      <c r="C412" s="178" t="str">
        <f>VLOOKUP(A412,CUSTOMER!$A:$C,3,0)</f>
        <v>COOP_F_BACHA</v>
      </c>
      <c r="D412" s="178" t="s">
        <v>674</v>
      </c>
      <c r="E412" s="178" t="str">
        <f>VLOOKUP(A413,CUSTOMER!$A$2:$H$1094,5,0)</f>
        <v>VAVANCY-VU MINH TUAN</v>
      </c>
      <c r="F412" s="178" t="str">
        <f>VLOOKUP(A413,CUSTOMER!$A$2:$I$1094,6,0)</f>
        <v>TRAN THI THANH TRUC</v>
      </c>
      <c r="G412" s="178" t="s">
        <v>676</v>
      </c>
      <c r="H412" s="179">
        <f t="shared" si="61"/>
        <v>0</v>
      </c>
      <c r="I412" s="180" t="str">
        <f t="shared" si="62"/>
        <v/>
      </c>
      <c r="J412" s="181">
        <f t="shared" si="63"/>
        <v>0</v>
      </c>
      <c r="K412" s="182">
        <v>0</v>
      </c>
      <c r="L412" s="180" t="str">
        <f t="shared" si="60"/>
        <v/>
      </c>
      <c r="M412" s="218">
        <f>SUMIFS(DATA!$L:$L,DATA!$O:$O,$B413,DATA!$N:$N,$A413,DATA!$M:$M,'SALES BY SYSTEM'!$O$1)</f>
        <v>0</v>
      </c>
      <c r="N412" s="182">
        <v>0</v>
      </c>
      <c r="O412" s="180" t="str">
        <f t="shared" si="57"/>
        <v/>
      </c>
      <c r="P412" s="218">
        <f>SUMIFS(DATA!$L:$L,DATA!$O:$O,$B413,DATA!$N:$N,$A413,DATA!$M:$M,'SALES BY SYSTEM'!$O$2)</f>
        <v>0</v>
      </c>
      <c r="Q412" s="182">
        <v>0</v>
      </c>
      <c r="R412" s="180" t="str">
        <f t="shared" si="58"/>
        <v/>
      </c>
      <c r="S412" s="218">
        <f>SUMIFS(DATA!$L:$L,DATA!$O:$O,$B413,DATA!$N:$N,$A413,DATA!$M:$M,'SALES BY SYSTEM'!$O$4)</f>
        <v>0</v>
      </c>
      <c r="T412" s="182">
        <v>0</v>
      </c>
      <c r="U412" s="180" t="str">
        <f t="shared" si="59"/>
        <v/>
      </c>
      <c r="V412" s="218">
        <f>SUMIFS(DATA!$L:$L,DATA!$O:$O,$B413,DATA!$N:$N,$A413,DATA!$M:$M,'SALES BY SYSTEM'!$O$3)</f>
        <v>0</v>
      </c>
      <c r="W412" s="168"/>
    </row>
    <row r="413" spans="1:23" ht="15.75" customHeight="1" x14ac:dyDescent="0.25">
      <c r="A413" s="178" t="s">
        <v>1035</v>
      </c>
      <c r="B413" s="178" t="s">
        <v>16</v>
      </c>
      <c r="C413" s="178" t="str">
        <f>VLOOKUP(A413,CUSTOMER!$A:$C,3,0)</f>
        <v>COOP_F_BMA</v>
      </c>
      <c r="D413" s="178" t="s">
        <v>674</v>
      </c>
      <c r="E413" s="178" t="str">
        <f>VLOOKUP(A415,CUSTOMER!$A$2:$H$1094,5,0)</f>
        <v>VAVANCY-VU MINH TUAN</v>
      </c>
      <c r="F413" s="178" t="str">
        <f>VLOOKUP(A415,CUSTOMER!$A$2:$I$1094,6,0)</f>
        <v>NO SALE</v>
      </c>
      <c r="G413" s="178" t="str">
        <f>VLOOKUP(A415,CUSTOMER!$A$1:$J$1160,7,0)</f>
        <v>"NO PG"</v>
      </c>
      <c r="H413" s="179">
        <f t="shared" si="61"/>
        <v>0</v>
      </c>
      <c r="I413" s="180" t="str">
        <f t="shared" si="62"/>
        <v/>
      </c>
      <c r="J413" s="181">
        <f t="shared" si="63"/>
        <v>0</v>
      </c>
      <c r="K413" s="182">
        <v>0</v>
      </c>
      <c r="L413" s="180" t="str">
        <f>IFERROR(M415/K415,"")</f>
        <v/>
      </c>
      <c r="M413" s="218">
        <f>SUMIFS(DATA!$L:$L,DATA!$O:$O,$B415,DATA!$N:$N,$A415,DATA!$M:$M,'SALES BY SYSTEM'!$O$1)</f>
        <v>0</v>
      </c>
      <c r="N413" s="182">
        <v>0</v>
      </c>
      <c r="O413" s="180" t="str">
        <f t="shared" ref="O413:O436" si="64">IFERROR(P415/N415,"")</f>
        <v/>
      </c>
      <c r="P413" s="218">
        <f>SUMIFS(DATA!$L:$L,DATA!$O:$O,$B415,DATA!$N:$N,$A415,DATA!$M:$M,'SALES BY SYSTEM'!$O$2)</f>
        <v>0</v>
      </c>
      <c r="Q413" s="182">
        <v>0</v>
      </c>
      <c r="R413" s="180" t="str">
        <f t="shared" ref="R413:R436" si="65">IFERROR(S415/Q415,"")</f>
        <v/>
      </c>
      <c r="S413" s="218">
        <f>SUMIFS(DATA!$L:$L,DATA!$O:$O,$B415,DATA!$N:$N,$A415,DATA!$M:$M,'SALES BY SYSTEM'!$O$4)</f>
        <v>0</v>
      </c>
      <c r="T413" s="182">
        <v>0</v>
      </c>
      <c r="U413" s="180" t="str">
        <f t="shared" ref="U413:U436" si="66">IFERROR(V415/T415,"")</f>
        <v/>
      </c>
      <c r="V413" s="218">
        <f>SUMIFS(DATA!$L:$L,DATA!$O:$O,$B415,DATA!$N:$N,$A415,DATA!$M:$M,'SALES BY SYSTEM'!$O$3)</f>
        <v>0</v>
      </c>
      <c r="W413" s="168"/>
    </row>
    <row r="414" spans="1:23" ht="15.75" customHeight="1" x14ac:dyDescent="0.25">
      <c r="A414" s="178" t="s">
        <v>920</v>
      </c>
      <c r="B414" s="178" t="s">
        <v>16</v>
      </c>
      <c r="C414" s="178" t="str">
        <f>VLOOKUP(A414,CUSTOMER!$A:$C,3,0)</f>
        <v>COOP_F_BCONS_GD</v>
      </c>
      <c r="D414" s="178" t="s">
        <v>674</v>
      </c>
      <c r="E414" s="178" t="str">
        <f>VLOOKUP(A416,CUSTOMER!$A$2:$H$1094,5,0)</f>
        <v>VAVANCY-VU MINH TUAN</v>
      </c>
      <c r="F414" s="178" t="str">
        <f>VLOOKUP(A416,CUSTOMER!$A$2:$I$1094,6,0)</f>
        <v>TRAN THI THANH TRUC</v>
      </c>
      <c r="G414" s="178" t="s">
        <v>676</v>
      </c>
      <c r="H414" s="179">
        <f t="shared" si="61"/>
        <v>0</v>
      </c>
      <c r="I414" s="180" t="str">
        <f t="shared" si="62"/>
        <v/>
      </c>
      <c r="J414" s="181">
        <f t="shared" si="63"/>
        <v>0</v>
      </c>
      <c r="K414" s="182">
        <v>0</v>
      </c>
      <c r="L414" s="180"/>
      <c r="M414" s="218">
        <f>SUMIFS(DATA!$L:$L,DATA!$O:$O,$B416,DATA!$N:$N,$A416,DATA!$M:$M,'SALES BY SYSTEM'!$O$1)</f>
        <v>0</v>
      </c>
      <c r="N414" s="182">
        <v>0</v>
      </c>
      <c r="O414" s="180" t="str">
        <f t="shared" si="64"/>
        <v/>
      </c>
      <c r="P414" s="218">
        <f>SUMIFS(DATA!$L:$L,DATA!$O:$O,$B416,DATA!$N:$N,$A416,DATA!$M:$M,'SALES BY SYSTEM'!$O$2)</f>
        <v>0</v>
      </c>
      <c r="Q414" s="182">
        <v>0</v>
      </c>
      <c r="R414" s="180" t="str">
        <f t="shared" si="65"/>
        <v/>
      </c>
      <c r="S414" s="218">
        <f>SUMIFS(DATA!$L:$L,DATA!$O:$O,$B416,DATA!$N:$N,$A416,DATA!$M:$M,'SALES BY SYSTEM'!$O$4)</f>
        <v>0</v>
      </c>
      <c r="T414" s="182">
        <v>0</v>
      </c>
      <c r="U414" s="180" t="str">
        <f t="shared" si="66"/>
        <v/>
      </c>
      <c r="V414" s="218">
        <f>SUMIFS(DATA!$L:$L,DATA!$O:$O,$B416,DATA!$N:$N,$A416,DATA!$M:$M,'SALES BY SYSTEM'!$O$3)</f>
        <v>0</v>
      </c>
      <c r="W414" s="168"/>
    </row>
    <row r="415" spans="1:23" ht="15.75" customHeight="1" x14ac:dyDescent="0.25">
      <c r="A415" s="178" t="s">
        <v>1125</v>
      </c>
      <c r="B415" s="178" t="s">
        <v>16</v>
      </c>
      <c r="C415" s="178" t="str">
        <f>VLOOKUP(A415,CUSTOMER!$A:$C,3,0)</f>
        <v>COOP_F_BINHAN</v>
      </c>
      <c r="D415" s="178" t="s">
        <v>674</v>
      </c>
      <c r="E415" s="178" t="str">
        <f>VLOOKUP(A417,CUSTOMER!$A$2:$H$1094,5,0)</f>
        <v>VAVANCY-VU MINH TUAN</v>
      </c>
      <c r="F415" s="178" t="str">
        <f>VLOOKUP(A417,CUSTOMER!$A$2:$I$1094,6,0)</f>
        <v>VACANCY</v>
      </c>
      <c r="G415" s="178" t="s">
        <v>676</v>
      </c>
      <c r="H415" s="179">
        <f t="shared" si="61"/>
        <v>0</v>
      </c>
      <c r="I415" s="180" t="str">
        <f t="shared" si="62"/>
        <v/>
      </c>
      <c r="J415" s="181">
        <f t="shared" si="63"/>
        <v>0</v>
      </c>
      <c r="K415" s="182">
        <v>0</v>
      </c>
      <c r="L415" s="180" t="str">
        <f>IFERROR(M417/K417,"")</f>
        <v/>
      </c>
      <c r="M415" s="218">
        <f>SUMIFS(DATA!$L:$L,DATA!$O:$O,$B417,DATA!$N:$N,$A417,DATA!$M:$M,'SALES BY SYSTEM'!$O$1)</f>
        <v>0</v>
      </c>
      <c r="N415" s="182">
        <v>0</v>
      </c>
      <c r="O415" s="180" t="str">
        <f t="shared" si="64"/>
        <v/>
      </c>
      <c r="P415" s="218">
        <f>SUMIFS(DATA!$L:$L,DATA!$O:$O,$B417,DATA!$N:$N,$A417,DATA!$M:$M,'SALES BY SYSTEM'!$O$2)</f>
        <v>0</v>
      </c>
      <c r="Q415" s="182">
        <v>0</v>
      </c>
      <c r="R415" s="180" t="str">
        <f t="shared" si="65"/>
        <v/>
      </c>
      <c r="S415" s="218">
        <f>SUMIFS(DATA!$L:$L,DATA!$O:$O,$B417,DATA!$N:$N,$A417,DATA!$M:$M,'SALES BY SYSTEM'!$O$4)</f>
        <v>0</v>
      </c>
      <c r="T415" s="182">
        <v>0</v>
      </c>
      <c r="U415" s="180" t="str">
        <f t="shared" si="66"/>
        <v/>
      </c>
      <c r="V415" s="218">
        <f>SUMIFS(DATA!$L:$L,DATA!$O:$O,$B417,DATA!$N:$N,$A417,DATA!$M:$M,'SALES BY SYSTEM'!$O$3)</f>
        <v>0</v>
      </c>
      <c r="W415" s="168"/>
    </row>
    <row r="416" spans="1:23" ht="15.75" customHeight="1" x14ac:dyDescent="0.25">
      <c r="A416" s="178" t="s">
        <v>1079</v>
      </c>
      <c r="B416" s="178" t="s">
        <v>16</v>
      </c>
      <c r="C416" s="178" t="str">
        <f>VLOOKUP(A416,CUSTOMER!$A:$C,3,0)</f>
        <v>COOP_F_BGIA</v>
      </c>
      <c r="D416" s="178" t="s">
        <v>674</v>
      </c>
      <c r="E416" s="178" t="str">
        <f>VLOOKUP(A418,CUSTOMER!$A$2:$H$1094,5,0)</f>
        <v>VAVANCY-VU MINH TUAN</v>
      </c>
      <c r="F416" s="178" t="str">
        <f>VLOOKUP(A418,CUSTOMER!$A$2:$I$1094,6,0)</f>
        <v>NO SALE</v>
      </c>
      <c r="G416" s="178" t="s">
        <v>676</v>
      </c>
      <c r="H416" s="179">
        <f t="shared" si="61"/>
        <v>0</v>
      </c>
      <c r="I416" s="180" t="str">
        <f t="shared" si="62"/>
        <v/>
      </c>
      <c r="J416" s="181">
        <f t="shared" si="63"/>
        <v>0</v>
      </c>
      <c r="K416" s="182">
        <v>0</v>
      </c>
      <c r="L416" s="180" t="str">
        <f>IFERROR(M418/K418,"")</f>
        <v/>
      </c>
      <c r="M416" s="218">
        <f>SUMIFS(DATA!$L:$L,DATA!$O:$O,$B418,DATA!$N:$N,$A418,DATA!$M:$M,'SALES BY SYSTEM'!$O$1)</f>
        <v>0</v>
      </c>
      <c r="N416" s="182">
        <v>0</v>
      </c>
      <c r="O416" s="180" t="str">
        <f t="shared" si="64"/>
        <v/>
      </c>
      <c r="P416" s="218">
        <f>SUMIFS(DATA!$L:$L,DATA!$O:$O,$B418,DATA!$N:$N,$A418,DATA!$M:$M,'SALES BY SYSTEM'!$O$2)</f>
        <v>0</v>
      </c>
      <c r="Q416" s="182">
        <v>0</v>
      </c>
      <c r="R416" s="180" t="str">
        <f t="shared" si="65"/>
        <v/>
      </c>
      <c r="S416" s="218">
        <f>SUMIFS(DATA!$L:$L,DATA!$O:$O,$B418,DATA!$N:$N,$A418,DATA!$M:$M,'SALES BY SYSTEM'!$O$4)</f>
        <v>0</v>
      </c>
      <c r="T416" s="182">
        <v>0</v>
      </c>
      <c r="U416" s="180" t="str">
        <f t="shared" si="66"/>
        <v/>
      </c>
      <c r="V416" s="218">
        <f>SUMIFS(DATA!$L:$L,DATA!$O:$O,$B418,DATA!$N:$N,$A418,DATA!$M:$M,'SALES BY SYSTEM'!$O$3)</f>
        <v>0</v>
      </c>
      <c r="W416" s="168"/>
    </row>
    <row r="417" spans="1:23" ht="15.75" customHeight="1" x14ac:dyDescent="0.25">
      <c r="A417" s="178" t="s">
        <v>1073</v>
      </c>
      <c r="B417" s="178" t="s">
        <v>16</v>
      </c>
      <c r="C417" s="178" t="str">
        <f>VLOOKUP(A417,CUSTOMER!$A:$C,3,0)</f>
        <v>COOP_F_BINHKHANH</v>
      </c>
      <c r="D417" s="178" t="s">
        <v>674</v>
      </c>
      <c r="E417" s="178" t="str">
        <f>VLOOKUP(A419,CUSTOMER!$A$2:$H$1094,5,0)</f>
        <v>VAVANCY-VU MINH TUAN</v>
      </c>
      <c r="F417" s="178" t="str">
        <f>VLOOKUP(A419,CUSTOMER!$A$2:$I$1094,6,0)</f>
        <v>TRAN THI THANH TRUC</v>
      </c>
      <c r="G417" s="178" t="s">
        <v>676</v>
      </c>
      <c r="H417" s="179">
        <f t="shared" si="61"/>
        <v>0</v>
      </c>
      <c r="I417" s="180" t="str">
        <f t="shared" si="62"/>
        <v/>
      </c>
      <c r="J417" s="181">
        <f t="shared" si="63"/>
        <v>0</v>
      </c>
      <c r="K417" s="182">
        <v>0</v>
      </c>
      <c r="L417" s="180"/>
      <c r="M417" s="218">
        <f>SUMIFS(DATA!$L:$L,DATA!$O:$O,$B419,DATA!$N:$N,$A419,DATA!$M:$M,'SALES BY SYSTEM'!$O$1)</f>
        <v>0</v>
      </c>
      <c r="N417" s="182">
        <v>0</v>
      </c>
      <c r="O417" s="180" t="str">
        <f t="shared" si="64"/>
        <v/>
      </c>
      <c r="P417" s="218">
        <f>SUMIFS(DATA!$L:$L,DATA!$O:$O,$B419,DATA!$N:$N,$A419,DATA!$M:$M,'SALES BY SYSTEM'!$O$2)</f>
        <v>0</v>
      </c>
      <c r="Q417" s="182">
        <v>0</v>
      </c>
      <c r="R417" s="180" t="str">
        <f t="shared" si="65"/>
        <v/>
      </c>
      <c r="S417" s="218">
        <f>SUMIFS(DATA!$L:$L,DATA!$O:$O,$B419,DATA!$N:$N,$A419,DATA!$M:$M,'SALES BY SYSTEM'!$O$4)</f>
        <v>0</v>
      </c>
      <c r="T417" s="182">
        <v>0</v>
      </c>
      <c r="U417" s="180" t="str">
        <f t="shared" si="66"/>
        <v/>
      </c>
      <c r="V417" s="218">
        <f>SUMIFS(DATA!$L:$L,DATA!$O:$O,$B419,DATA!$N:$N,$A419,DATA!$M:$M,'SALES BY SYSTEM'!$O$3)</f>
        <v>0</v>
      </c>
      <c r="W417" s="168"/>
    </row>
    <row r="418" spans="1:23" ht="15.75" customHeight="1" x14ac:dyDescent="0.25">
      <c r="A418" s="198" t="s">
        <v>1169</v>
      </c>
      <c r="B418" s="178" t="s">
        <v>16</v>
      </c>
      <c r="C418" s="198" t="str">
        <f>VLOOKUP(A418,CUSTOMER!$A:$C,3,0)</f>
        <v>COOP_F_BPHU</v>
      </c>
      <c r="D418" s="178" t="s">
        <v>674</v>
      </c>
      <c r="E418" s="178" t="str">
        <f>VLOOKUP(A420,CUSTOMER!$A$2:$H$1094,5,0)</f>
        <v>VAVANCY-VU MINH TUAN</v>
      </c>
      <c r="F418" s="178" t="str">
        <f>VLOOKUP(A420,CUSTOMER!$A$2:$I$1094,6,0)</f>
        <v>VU THUY MINH THAO</v>
      </c>
      <c r="G418" s="178"/>
      <c r="H418" s="179">
        <f t="shared" si="61"/>
        <v>0</v>
      </c>
      <c r="I418" s="180" t="str">
        <f t="shared" si="62"/>
        <v/>
      </c>
      <c r="J418" s="181">
        <f t="shared" si="63"/>
        <v>0</v>
      </c>
      <c r="K418" s="182">
        <v>0</v>
      </c>
      <c r="L418" s="180" t="str">
        <f t="shared" ref="L418:L436" si="67">IFERROR(M420/K420,"")</f>
        <v/>
      </c>
      <c r="M418" s="218">
        <f>SUMIFS(DATA!$L:$L,DATA!$O:$O,$B420,DATA!$N:$N,$A420,DATA!$M:$M,'SALES BY SYSTEM'!$O$1)</f>
        <v>0</v>
      </c>
      <c r="N418" s="182">
        <v>0</v>
      </c>
      <c r="O418" s="180" t="str">
        <f t="shared" si="64"/>
        <v/>
      </c>
      <c r="P418" s="218">
        <f>SUMIFS(DATA!$L:$L,DATA!$O:$O,$B420,DATA!$N:$N,$A420,DATA!$M:$M,'SALES BY SYSTEM'!$O$2)</f>
        <v>0</v>
      </c>
      <c r="Q418" s="182">
        <v>0</v>
      </c>
      <c r="R418" s="180" t="str">
        <f t="shared" si="65"/>
        <v/>
      </c>
      <c r="S418" s="218">
        <f>SUMIFS(DATA!$L:$L,DATA!$O:$O,$B420,DATA!$N:$N,$A420,DATA!$M:$M,'SALES BY SYSTEM'!$O$4)</f>
        <v>0</v>
      </c>
      <c r="T418" s="182">
        <v>0</v>
      </c>
      <c r="U418" s="180" t="str">
        <f t="shared" si="66"/>
        <v/>
      </c>
      <c r="V418" s="218">
        <f>SUMIFS(DATA!$L:$L,DATA!$O:$O,$B420,DATA!$N:$N,$A420,DATA!$M:$M,'SALES BY SYSTEM'!$O$3)</f>
        <v>0</v>
      </c>
      <c r="W418" s="168"/>
    </row>
    <row r="419" spans="1:23" ht="15.75" customHeight="1" x14ac:dyDescent="0.25">
      <c r="A419" s="178" t="s">
        <v>402</v>
      </c>
      <c r="B419" s="178" t="s">
        <v>16</v>
      </c>
      <c r="C419" s="178" t="str">
        <f>VLOOKUP(A419,CUSTOMER!$A:$C,3,0)</f>
        <v>COOP_F_RBOWN</v>
      </c>
      <c r="D419" s="178" t="s">
        <v>674</v>
      </c>
      <c r="E419" s="178" t="str">
        <f>VLOOKUP(A421,CUSTOMER!$A$2:$H$1094,5,0)</f>
        <v>VAVANCY-VU MINH TUAN</v>
      </c>
      <c r="F419" s="178" t="str">
        <f>VLOOKUP(A421,CUSTOMER!$A$2:$I$1094,6,0)</f>
        <v>TRAN THI THANH TRUC</v>
      </c>
      <c r="G419" s="178" t="s">
        <v>676</v>
      </c>
      <c r="H419" s="179">
        <f t="shared" si="61"/>
        <v>0</v>
      </c>
      <c r="I419" s="180" t="str">
        <f t="shared" si="62"/>
        <v/>
      </c>
      <c r="J419" s="181">
        <f t="shared" si="63"/>
        <v>0</v>
      </c>
      <c r="K419" s="182">
        <v>0</v>
      </c>
      <c r="L419" s="180" t="str">
        <f t="shared" si="67"/>
        <v/>
      </c>
      <c r="M419" s="218">
        <f>SUMIFS(DATA!$L:$L,DATA!$O:$O,$B421,DATA!$N:$N,$A421,DATA!$M:$M,'SALES BY SYSTEM'!$O$1)</f>
        <v>0</v>
      </c>
      <c r="N419" s="182">
        <v>0</v>
      </c>
      <c r="O419" s="180" t="str">
        <f t="shared" si="64"/>
        <v/>
      </c>
      <c r="P419" s="218">
        <f>SUMIFS(DATA!$L:$L,DATA!$O:$O,$B421,DATA!$N:$N,$A421,DATA!$M:$M,'SALES BY SYSTEM'!$O$2)</f>
        <v>0</v>
      </c>
      <c r="Q419" s="182">
        <v>0</v>
      </c>
      <c r="R419" s="180" t="str">
        <f t="shared" si="65"/>
        <v/>
      </c>
      <c r="S419" s="218">
        <f>SUMIFS(DATA!$L:$L,DATA!$O:$O,$B421,DATA!$N:$N,$A421,DATA!$M:$M,'SALES BY SYSTEM'!$O$4)</f>
        <v>0</v>
      </c>
      <c r="T419" s="182">
        <v>0</v>
      </c>
      <c r="U419" s="180" t="str">
        <f t="shared" si="66"/>
        <v/>
      </c>
      <c r="V419" s="218">
        <f>SUMIFS(DATA!$L:$L,DATA!$O:$O,$B421,DATA!$N:$N,$A421,DATA!$M:$M,'SALES BY SYSTEM'!$O$3)</f>
        <v>0</v>
      </c>
      <c r="W419" s="168"/>
    </row>
    <row r="420" spans="1:23" ht="15.75" customHeight="1" x14ac:dyDescent="0.25">
      <c r="A420" s="178" t="s">
        <v>1067</v>
      </c>
      <c r="B420" s="178" t="s">
        <v>16</v>
      </c>
      <c r="C420" s="178" t="str">
        <f>VLOOKUP(A420,CUSTOMER!$A:$C,3,0)</f>
        <v>COOP_F_CTRAM</v>
      </c>
      <c r="D420" s="178" t="s">
        <v>674</v>
      </c>
      <c r="E420" s="178" t="str">
        <f>VLOOKUP(A422,CUSTOMER!$A$2:$H$1094,5,0)</f>
        <v>VAVANCY-VU MINH TUAN</v>
      </c>
      <c r="F420" s="178" t="str">
        <f>VLOOKUP(A422,CUSTOMER!$A$2:$I$1094,6,0)</f>
        <v>TRAN THI THANH TRUC</v>
      </c>
      <c r="G420" s="178" t="str">
        <f>VLOOKUP(A422,CUSTOMER!$A$1:$J$1160,7,0)</f>
        <v>"NO PG"</v>
      </c>
      <c r="H420" s="179">
        <f t="shared" si="61"/>
        <v>0</v>
      </c>
      <c r="I420" s="180" t="str">
        <f t="shared" si="62"/>
        <v/>
      </c>
      <c r="J420" s="181">
        <f t="shared" si="63"/>
        <v>0</v>
      </c>
      <c r="K420" s="182">
        <v>0</v>
      </c>
      <c r="L420" s="180" t="str">
        <f t="shared" si="67"/>
        <v/>
      </c>
      <c r="M420" s="218">
        <f>SUMIFS(DATA!$L:$L,DATA!$O:$O,$B422,DATA!$N:$N,$A422,DATA!$M:$M,'SALES BY SYSTEM'!$O$1)</f>
        <v>0</v>
      </c>
      <c r="N420" s="182">
        <v>0</v>
      </c>
      <c r="O420" s="180" t="str">
        <f t="shared" si="64"/>
        <v/>
      </c>
      <c r="P420" s="218">
        <f>SUMIFS(DATA!$L:$L,DATA!$O:$O,$B422,DATA!$N:$N,$A422,DATA!$M:$M,'SALES BY SYSTEM'!$O$2)</f>
        <v>0</v>
      </c>
      <c r="Q420" s="182">
        <v>0</v>
      </c>
      <c r="R420" s="180" t="str">
        <f t="shared" si="65"/>
        <v/>
      </c>
      <c r="S420" s="218">
        <f>SUMIFS(DATA!$L:$L,DATA!$O:$O,$B422,DATA!$N:$N,$A422,DATA!$M:$M,'SALES BY SYSTEM'!$O$4)</f>
        <v>0</v>
      </c>
      <c r="T420" s="182">
        <v>0</v>
      </c>
      <c r="U420" s="180" t="str">
        <f t="shared" si="66"/>
        <v/>
      </c>
      <c r="V420" s="218">
        <f>SUMIFS(DATA!$L:$L,DATA!$O:$O,$B422,DATA!$N:$N,$A422,DATA!$M:$M,'SALES BY SYSTEM'!$O$3)</f>
        <v>0</v>
      </c>
      <c r="W420" s="168"/>
    </row>
    <row r="421" spans="1:23" ht="15.75" customHeight="1" x14ac:dyDescent="0.25">
      <c r="A421" s="178" t="s">
        <v>1051</v>
      </c>
      <c r="B421" s="178" t="s">
        <v>16</v>
      </c>
      <c r="C421" s="178" t="str">
        <f>VLOOKUP(A421,CUSTOMER!$A:$C,3,0)</f>
        <v>COOP_F_CHOCAU</v>
      </c>
      <c r="D421" s="178" t="s">
        <v>674</v>
      </c>
      <c r="E421" s="178" t="str">
        <f>VLOOKUP(A423,CUSTOMER!$A$2:$H$1094,5,0)</f>
        <v>VAVANCY-VU MINH TUAN</v>
      </c>
      <c r="F421" s="178" t="str">
        <f>VLOOKUP(A423,CUSTOMER!$A$2:$I$1094,6,0)</f>
        <v>TRAN THI THANH TRUC</v>
      </c>
      <c r="G421" s="178" t="str">
        <f>VLOOKUP(A423,CUSTOMER!$A$1:$J$1160,7,0)</f>
        <v>"NO PG"</v>
      </c>
      <c r="H421" s="179">
        <f t="shared" si="61"/>
        <v>0</v>
      </c>
      <c r="I421" s="180" t="str">
        <f t="shared" si="62"/>
        <v/>
      </c>
      <c r="J421" s="181">
        <f t="shared" si="63"/>
        <v>0</v>
      </c>
      <c r="K421" s="182">
        <v>0</v>
      </c>
      <c r="L421" s="180" t="str">
        <f t="shared" si="67"/>
        <v/>
      </c>
      <c r="M421" s="218">
        <f>SUMIFS(DATA!$L:$L,DATA!$O:$O,$B423,DATA!$N:$N,$A423,DATA!$M:$M,'SALES BY SYSTEM'!$O$1)</f>
        <v>0</v>
      </c>
      <c r="N421" s="182">
        <v>0</v>
      </c>
      <c r="O421" s="180" t="str">
        <f t="shared" si="64"/>
        <v/>
      </c>
      <c r="P421" s="218">
        <f>SUMIFS(DATA!$L:$L,DATA!$O:$O,$B423,DATA!$N:$N,$A423,DATA!$M:$M,'SALES BY SYSTEM'!$O$2)</f>
        <v>0</v>
      </c>
      <c r="Q421" s="182">
        <v>0</v>
      </c>
      <c r="R421" s="180" t="str">
        <f t="shared" si="65"/>
        <v/>
      </c>
      <c r="S421" s="218">
        <f>SUMIFS(DATA!$L:$L,DATA!$O:$O,$B423,DATA!$N:$N,$A423,DATA!$M:$M,'SALES BY SYSTEM'!$O$4)</f>
        <v>0</v>
      </c>
      <c r="T421" s="182">
        <v>0</v>
      </c>
      <c r="U421" s="180" t="str">
        <f t="shared" si="66"/>
        <v/>
      </c>
      <c r="V421" s="218">
        <f>SUMIFS(DATA!$L:$L,DATA!$O:$O,$B423,DATA!$N:$N,$A423,DATA!$M:$M,'SALES BY SYSTEM'!$O$3)</f>
        <v>0</v>
      </c>
      <c r="W421" s="168"/>
    </row>
    <row r="422" spans="1:23" ht="15.75" customHeight="1" x14ac:dyDescent="0.25">
      <c r="A422" s="178" t="s">
        <v>362</v>
      </c>
      <c r="B422" s="178" t="s">
        <v>16</v>
      </c>
      <c r="C422" s="178" t="str">
        <f>VLOOKUP(A422,CUSTOMER!$A:$C,3,0)</f>
        <v>COOP_F_CVAN</v>
      </c>
      <c r="D422" s="178" t="s">
        <v>674</v>
      </c>
      <c r="E422" s="178" t="str">
        <f>VLOOKUP(A424,CUSTOMER!$A$2:$H$1094,5,0)</f>
        <v>VAVANCY-VU MINH TUAN</v>
      </c>
      <c r="F422" s="178" t="str">
        <f>VLOOKUP(A424,CUSTOMER!$A$2:$I$1094,6,0)</f>
        <v>TRAN THI THANH TRUC</v>
      </c>
      <c r="G422" s="178" t="s">
        <v>676</v>
      </c>
      <c r="H422" s="179">
        <f t="shared" si="61"/>
        <v>0</v>
      </c>
      <c r="I422" s="180" t="str">
        <f t="shared" si="62"/>
        <v/>
      </c>
      <c r="J422" s="181">
        <f t="shared" si="63"/>
        <v>0</v>
      </c>
      <c r="K422" s="182">
        <v>0</v>
      </c>
      <c r="L422" s="180" t="str">
        <f t="shared" si="67"/>
        <v/>
      </c>
      <c r="M422" s="218">
        <f>SUMIFS(DATA!$L:$L,DATA!$O:$O,$B424,DATA!$N:$N,$A424,DATA!$M:$M,'SALES BY SYSTEM'!$O$1)</f>
        <v>0</v>
      </c>
      <c r="N422" s="182">
        <v>0</v>
      </c>
      <c r="O422" s="180" t="str">
        <f t="shared" si="64"/>
        <v/>
      </c>
      <c r="P422" s="218">
        <f>SUMIFS(DATA!$L:$L,DATA!$O:$O,$B424,DATA!$N:$N,$A424,DATA!$M:$M,'SALES BY SYSTEM'!$O$2)</f>
        <v>0</v>
      </c>
      <c r="Q422" s="182">
        <v>0</v>
      </c>
      <c r="R422" s="180" t="str">
        <f t="shared" si="65"/>
        <v/>
      </c>
      <c r="S422" s="218">
        <f>SUMIFS(DATA!$L:$L,DATA!$O:$O,$B424,DATA!$N:$N,$A424,DATA!$M:$M,'SALES BY SYSTEM'!$O$4)</f>
        <v>0</v>
      </c>
      <c r="T422" s="182">
        <v>0</v>
      </c>
      <c r="U422" s="180" t="str">
        <f t="shared" si="66"/>
        <v/>
      </c>
      <c r="V422" s="218">
        <f>SUMIFS(DATA!$L:$L,DATA!$O:$O,$B424,DATA!$N:$N,$A424,DATA!$M:$M,'SALES BY SYSTEM'!$O$3)</f>
        <v>0</v>
      </c>
      <c r="W422" s="168"/>
    </row>
    <row r="423" spans="1:23" ht="15.75" customHeight="1" x14ac:dyDescent="0.25">
      <c r="A423" s="178" t="s">
        <v>386</v>
      </c>
      <c r="B423" s="178" t="s">
        <v>16</v>
      </c>
      <c r="C423" s="178" t="str">
        <f>VLOOKUP(A423,CUSTOMER!$A:$C,3,0)</f>
        <v>COOP_F_DCHAU</v>
      </c>
      <c r="D423" s="178" t="s">
        <v>674</v>
      </c>
      <c r="E423" s="178" t="str">
        <f>VLOOKUP(A425,CUSTOMER!$A$2:$H$1094,5,0)</f>
        <v>VAVANCY-VU MINH TUAN</v>
      </c>
      <c r="F423" s="178" t="str">
        <f>VLOOKUP(A425,CUSTOMER!$A$2:$I$1094,6,0)</f>
        <v>TRAN THI THANH TRUC</v>
      </c>
      <c r="G423" s="178" t="str">
        <f>VLOOKUP(A425,CUSTOMER!$A$1:$J$1160,7,0)</f>
        <v>"NO PG"</v>
      </c>
      <c r="H423" s="179">
        <f t="shared" si="61"/>
        <v>0</v>
      </c>
      <c r="I423" s="180" t="str">
        <f t="shared" si="62"/>
        <v/>
      </c>
      <c r="J423" s="181">
        <f t="shared" si="63"/>
        <v>0</v>
      </c>
      <c r="K423" s="182">
        <v>0</v>
      </c>
      <c r="L423" s="180" t="str">
        <f t="shared" si="67"/>
        <v/>
      </c>
      <c r="M423" s="218">
        <f>SUMIFS(DATA!$L:$L,DATA!$O:$O,$B425,DATA!$N:$N,$A425,DATA!$M:$M,'SALES BY SYSTEM'!$O$1)</f>
        <v>0</v>
      </c>
      <c r="N423" s="182">
        <v>0</v>
      </c>
      <c r="O423" s="180" t="str">
        <f t="shared" si="64"/>
        <v/>
      </c>
      <c r="P423" s="218">
        <f>SUMIFS(DATA!$L:$L,DATA!$O:$O,$B425,DATA!$N:$N,$A425,DATA!$M:$M,'SALES BY SYSTEM'!$O$2)</f>
        <v>0</v>
      </c>
      <c r="Q423" s="182">
        <v>0</v>
      </c>
      <c r="R423" s="180" t="str">
        <f t="shared" si="65"/>
        <v/>
      </c>
      <c r="S423" s="218">
        <f>SUMIFS(DATA!$L:$L,DATA!$O:$O,$B425,DATA!$N:$N,$A425,DATA!$M:$M,'SALES BY SYSTEM'!$O$4)</f>
        <v>0</v>
      </c>
      <c r="T423" s="182">
        <v>0</v>
      </c>
      <c r="U423" s="180" t="str">
        <f t="shared" si="66"/>
        <v/>
      </c>
      <c r="V423" s="218">
        <f>SUMIFS(DATA!$L:$L,DATA!$O:$O,$B425,DATA!$N:$N,$A425,DATA!$M:$M,'SALES BY SYSTEM'!$O$3)</f>
        <v>0</v>
      </c>
      <c r="W423" s="168"/>
    </row>
    <row r="424" spans="1:23" ht="15.75" customHeight="1" x14ac:dyDescent="0.25">
      <c r="A424" s="178" t="s">
        <v>327</v>
      </c>
      <c r="B424" s="178" t="s">
        <v>16</v>
      </c>
      <c r="C424" s="178" t="str">
        <f>VLOOKUP(A424,CUSTOMER!$A:$C,3,0)</f>
        <v>COOP_F_DOTHANH</v>
      </c>
      <c r="D424" s="178" t="s">
        <v>674</v>
      </c>
      <c r="E424" s="178" t="str">
        <f>VLOOKUP(A426,CUSTOMER!$A$2:$H$1094,5,0)</f>
        <v>VAVANCY-VU MINH TUAN</v>
      </c>
      <c r="F424" s="178" t="str">
        <f>VLOOKUP(A426,CUSTOMER!$A$2:$I$1094,6,0)</f>
        <v>TRAN THI THANH TRUC</v>
      </c>
      <c r="G424" s="178" t="str">
        <f>VLOOKUP(A426,CUSTOMER!$A$1:$J$1160,7,0)</f>
        <v>"NO PG"</v>
      </c>
      <c r="H424" s="179">
        <f t="shared" si="61"/>
        <v>0</v>
      </c>
      <c r="I424" s="180" t="str">
        <f t="shared" si="62"/>
        <v/>
      </c>
      <c r="J424" s="181">
        <f t="shared" si="63"/>
        <v>0</v>
      </c>
      <c r="K424" s="182">
        <v>0</v>
      </c>
      <c r="L424" s="180" t="str">
        <f t="shared" si="67"/>
        <v/>
      </c>
      <c r="M424" s="218">
        <f>SUMIFS(DATA!$L:$L,DATA!$O:$O,$B426,DATA!$N:$N,$A426,DATA!$M:$M,'SALES BY SYSTEM'!$O$1)</f>
        <v>0</v>
      </c>
      <c r="N424" s="182">
        <v>0</v>
      </c>
      <c r="O424" s="180" t="str">
        <f t="shared" si="64"/>
        <v/>
      </c>
      <c r="P424" s="218">
        <f>SUMIFS(DATA!$L:$L,DATA!$O:$O,$B426,DATA!$N:$N,$A426,DATA!$M:$M,'SALES BY SYSTEM'!$O$2)</f>
        <v>0</v>
      </c>
      <c r="Q424" s="182">
        <v>0</v>
      </c>
      <c r="R424" s="180" t="str">
        <f t="shared" si="65"/>
        <v/>
      </c>
      <c r="S424" s="218">
        <f>SUMIFS(DATA!$L:$L,DATA!$O:$O,$B426,DATA!$N:$N,$A426,DATA!$M:$M,'SALES BY SYSTEM'!$O$4)</f>
        <v>0</v>
      </c>
      <c r="T424" s="182">
        <v>0</v>
      </c>
      <c r="U424" s="180" t="str">
        <f t="shared" si="66"/>
        <v/>
      </c>
      <c r="V424" s="218">
        <f>SUMIFS(DATA!$L:$L,DATA!$O:$O,$B426,DATA!$N:$N,$A426,DATA!$M:$M,'SALES BY SYSTEM'!$O$3)</f>
        <v>0</v>
      </c>
      <c r="W424" s="168"/>
    </row>
    <row r="425" spans="1:23" ht="15.75" customHeight="1" x14ac:dyDescent="0.25">
      <c r="A425" s="178" t="s">
        <v>959</v>
      </c>
      <c r="B425" s="178" t="s">
        <v>16</v>
      </c>
      <c r="C425" s="178" t="str">
        <f>VLOOKUP(A425,CUSTOMER!$A:$C,3,0)</f>
        <v>COOP_F_ECO</v>
      </c>
      <c r="D425" s="178" t="s">
        <v>674</v>
      </c>
      <c r="E425" s="178" t="str">
        <f>VLOOKUP(A427,CUSTOMER!$A$2:$H$1094,5,0)</f>
        <v>VAVANCY-VU MINH TUAN</v>
      </c>
      <c r="F425" s="178" t="str">
        <f>VLOOKUP(A427,CUSTOMER!$A$2:$I$1094,6,0)</f>
        <v>TRAN THI THANH TRUC</v>
      </c>
      <c r="G425" s="178" t="s">
        <v>676</v>
      </c>
      <c r="H425" s="179">
        <f t="shared" si="61"/>
        <v>0</v>
      </c>
      <c r="I425" s="180" t="str">
        <f t="shared" si="62"/>
        <v/>
      </c>
      <c r="J425" s="181">
        <f t="shared" si="63"/>
        <v>0</v>
      </c>
      <c r="K425" s="182">
        <v>0</v>
      </c>
      <c r="L425" s="180" t="str">
        <f t="shared" si="67"/>
        <v/>
      </c>
      <c r="M425" s="218">
        <f>SUMIFS(DATA!$L:$L,DATA!$O:$O,$B427,DATA!$N:$N,$A427,DATA!$M:$M,'SALES BY SYSTEM'!$O$1)</f>
        <v>0</v>
      </c>
      <c r="N425" s="182">
        <v>0</v>
      </c>
      <c r="O425" s="180" t="str">
        <f t="shared" si="64"/>
        <v/>
      </c>
      <c r="P425" s="218">
        <f>SUMIFS(DATA!$L:$L,DATA!$O:$O,$B427,DATA!$N:$N,$A427,DATA!$M:$M,'SALES BY SYSTEM'!$O$2)</f>
        <v>0</v>
      </c>
      <c r="Q425" s="182">
        <v>0</v>
      </c>
      <c r="R425" s="180" t="str">
        <f t="shared" si="65"/>
        <v/>
      </c>
      <c r="S425" s="218">
        <f>SUMIFS(DATA!$L:$L,DATA!$O:$O,$B427,DATA!$N:$N,$A427,DATA!$M:$M,'SALES BY SYSTEM'!$O$4)</f>
        <v>0</v>
      </c>
      <c r="T425" s="182">
        <v>0</v>
      </c>
      <c r="U425" s="180" t="str">
        <f t="shared" si="66"/>
        <v/>
      </c>
      <c r="V425" s="218">
        <f>SUMIFS(DATA!$L:$L,DATA!$O:$O,$B427,DATA!$N:$N,$A427,DATA!$M:$M,'SALES BY SYSTEM'!$O$3)</f>
        <v>0</v>
      </c>
      <c r="W425" s="168"/>
    </row>
    <row r="426" spans="1:23" ht="15.75" customHeight="1" x14ac:dyDescent="0.25">
      <c r="A426" s="178" t="s">
        <v>1023</v>
      </c>
      <c r="B426" s="178" t="s">
        <v>16</v>
      </c>
      <c r="C426" s="178" t="str">
        <f>VLOOKUP(A426,CUSTOMER!$A:$C,3,0)</f>
        <v>COOP_F_EURO</v>
      </c>
      <c r="D426" s="178" t="s">
        <v>674</v>
      </c>
      <c r="E426" s="178" t="str">
        <f>VLOOKUP(A428,CUSTOMER!$A$2:$H$1094,5,0)</f>
        <v>VAVANCY-VU MINH TUAN</v>
      </c>
      <c r="F426" s="178" t="str">
        <f>VLOOKUP(A428,CUSTOMER!$A$2:$I$1094,6,0)</f>
        <v>TRAN THI THANH TRUC</v>
      </c>
      <c r="G426" s="178" t="str">
        <f>VLOOKUP(A428,CUSTOMER!$A$1:$J$1160,7,0)</f>
        <v>"NO PG"</v>
      </c>
      <c r="H426" s="179">
        <f t="shared" si="61"/>
        <v>0</v>
      </c>
      <c r="I426" s="180" t="str">
        <f t="shared" si="62"/>
        <v/>
      </c>
      <c r="J426" s="181">
        <f t="shared" si="63"/>
        <v>0</v>
      </c>
      <c r="K426" s="182">
        <v>0</v>
      </c>
      <c r="L426" s="180" t="str">
        <f t="shared" si="67"/>
        <v/>
      </c>
      <c r="M426" s="218">
        <f>SUMIFS(DATA!$L:$L,DATA!$O:$O,$B428,DATA!$N:$N,$A428,DATA!$M:$M,'SALES BY SYSTEM'!$O$1)</f>
        <v>0</v>
      </c>
      <c r="N426" s="182">
        <v>0</v>
      </c>
      <c r="O426" s="180" t="str">
        <f t="shared" si="64"/>
        <v/>
      </c>
      <c r="P426" s="218">
        <f>SUMIFS(DATA!$L:$L,DATA!$O:$O,$B428,DATA!$N:$N,$A428,DATA!$M:$M,'SALES BY SYSTEM'!$O$2)</f>
        <v>0</v>
      </c>
      <c r="Q426" s="182">
        <v>0</v>
      </c>
      <c r="R426" s="180" t="str">
        <f t="shared" si="65"/>
        <v/>
      </c>
      <c r="S426" s="218">
        <f>SUMIFS(DATA!$L:$L,DATA!$O:$O,$B428,DATA!$N:$N,$A428,DATA!$M:$M,'SALES BY SYSTEM'!$O$4)</f>
        <v>0</v>
      </c>
      <c r="T426" s="182">
        <v>0</v>
      </c>
      <c r="U426" s="180" t="str">
        <f t="shared" si="66"/>
        <v/>
      </c>
      <c r="V426" s="218">
        <f>SUMIFS(DATA!$L:$L,DATA!$O:$O,$B428,DATA!$N:$N,$A428,DATA!$M:$M,'SALES BY SYSTEM'!$O$3)</f>
        <v>0</v>
      </c>
      <c r="W426" s="168"/>
    </row>
    <row r="427" spans="1:23" ht="15.75" customHeight="1" x14ac:dyDescent="0.25">
      <c r="A427" s="178" t="s">
        <v>1009</v>
      </c>
      <c r="B427" s="178" t="s">
        <v>16</v>
      </c>
      <c r="C427" s="178" t="str">
        <f>VLOOKUP(A427,CUSTOMER!$A:$C,3,0)</f>
        <v>COOP_F_GARDEN</v>
      </c>
      <c r="D427" s="178" t="s">
        <v>674</v>
      </c>
      <c r="E427" s="178" t="str">
        <f>VLOOKUP(A429,CUSTOMER!$A$2:$H$1094,5,0)</f>
        <v>VAVANCY-VU MINH TUAN</v>
      </c>
      <c r="F427" s="178" t="str">
        <f>VLOOKUP(A429,CUSTOMER!$A$2:$I$1094,6,0)</f>
        <v>TRAN THI THANH TRUC</v>
      </c>
      <c r="G427" s="178" t="str">
        <f>VLOOKUP(A429,CUSTOMER!$A$1:$J$1160,7,0)</f>
        <v>"NO PG"</v>
      </c>
      <c r="H427" s="179">
        <f t="shared" si="61"/>
        <v>0</v>
      </c>
      <c r="I427" s="180" t="str">
        <f t="shared" si="62"/>
        <v/>
      </c>
      <c r="J427" s="181">
        <f t="shared" si="63"/>
        <v>0</v>
      </c>
      <c r="K427" s="182">
        <v>0</v>
      </c>
      <c r="L427" s="180" t="str">
        <f t="shared" si="67"/>
        <v/>
      </c>
      <c r="M427" s="218">
        <f>SUMIFS(DATA!$L:$L,DATA!$O:$O,$B429,DATA!$N:$N,$A429,DATA!$M:$M,'SALES BY SYSTEM'!$O$1)</f>
        <v>0</v>
      </c>
      <c r="N427" s="182">
        <v>0</v>
      </c>
      <c r="O427" s="180" t="str">
        <f t="shared" si="64"/>
        <v/>
      </c>
      <c r="P427" s="218">
        <f>SUMIFS(DATA!$L:$L,DATA!$O:$O,$B429,DATA!$N:$N,$A429,DATA!$M:$M,'SALES BY SYSTEM'!$O$2)</f>
        <v>0</v>
      </c>
      <c r="Q427" s="182">
        <v>0</v>
      </c>
      <c r="R427" s="180" t="str">
        <f t="shared" si="65"/>
        <v/>
      </c>
      <c r="S427" s="218">
        <f>SUMIFS(DATA!$L:$L,DATA!$O:$O,$B429,DATA!$N:$N,$A429,DATA!$M:$M,'SALES BY SYSTEM'!$O$4)</f>
        <v>0</v>
      </c>
      <c r="T427" s="182">
        <v>0</v>
      </c>
      <c r="U427" s="180" t="str">
        <f t="shared" si="66"/>
        <v/>
      </c>
      <c r="V427" s="218">
        <f>SUMIFS(DATA!$L:$L,DATA!$O:$O,$B429,DATA!$N:$N,$A429,DATA!$M:$M,'SALES BY SYSTEM'!$O$3)</f>
        <v>0</v>
      </c>
      <c r="W427" s="168"/>
    </row>
    <row r="428" spans="1:23" ht="15.75" customHeight="1" x14ac:dyDescent="0.25">
      <c r="A428" s="178" t="s">
        <v>1015</v>
      </c>
      <c r="B428" s="178" t="s">
        <v>16</v>
      </c>
      <c r="C428" s="178" t="str">
        <f>VLOOKUP(A428,CUSTOMER!$A:$C,3,0)</f>
        <v>COOP_F_GIAPHU</v>
      </c>
      <c r="D428" s="178" t="s">
        <v>674</v>
      </c>
      <c r="E428" s="178" t="str">
        <f>VLOOKUP(A430,CUSTOMER!$A$2:$H$1094,5,0)</f>
        <v>VAVANCY-VU MINH TUAN</v>
      </c>
      <c r="F428" s="178" t="str">
        <f>VLOOKUP(A430,CUSTOMER!$A$2:$I$1094,6,0)</f>
        <v>TRAN THI THANH TRUC</v>
      </c>
      <c r="G428" s="178" t="str">
        <f>VLOOKUP(A430,CUSTOMER!$A$1:$J$1160,7,0)</f>
        <v>"NO PG"</v>
      </c>
      <c r="H428" s="179">
        <f t="shared" si="61"/>
        <v>0</v>
      </c>
      <c r="I428" s="180" t="str">
        <f t="shared" si="62"/>
        <v/>
      </c>
      <c r="J428" s="181">
        <f t="shared" si="63"/>
        <v>0</v>
      </c>
      <c r="K428" s="182">
        <v>0</v>
      </c>
      <c r="L428" s="180" t="str">
        <f t="shared" si="67"/>
        <v/>
      </c>
      <c r="M428" s="218">
        <f>SUMIFS(DATA!$L:$L,DATA!$O:$O,$B430,DATA!$N:$N,$A430,DATA!$M:$M,'SALES BY SYSTEM'!$O$1)</f>
        <v>0</v>
      </c>
      <c r="N428" s="182">
        <v>0</v>
      </c>
      <c r="O428" s="180" t="str">
        <f t="shared" si="64"/>
        <v/>
      </c>
      <c r="P428" s="218">
        <f>SUMIFS(DATA!$L:$L,DATA!$O:$O,$B430,DATA!$N:$N,$A430,DATA!$M:$M,'SALES BY SYSTEM'!$O$2)</f>
        <v>0</v>
      </c>
      <c r="Q428" s="182">
        <v>0</v>
      </c>
      <c r="R428" s="180" t="str">
        <f t="shared" si="65"/>
        <v/>
      </c>
      <c r="S428" s="218">
        <f>SUMIFS(DATA!$L:$L,DATA!$O:$O,$B430,DATA!$N:$N,$A430,DATA!$M:$M,'SALES BY SYSTEM'!$O$4)</f>
        <v>0</v>
      </c>
      <c r="T428" s="182">
        <v>0</v>
      </c>
      <c r="U428" s="180" t="str">
        <f t="shared" si="66"/>
        <v/>
      </c>
      <c r="V428" s="218">
        <f>SUMIFS(DATA!$L:$L,DATA!$O:$O,$B430,DATA!$N:$N,$A430,DATA!$M:$M,'SALES BY SYSTEM'!$O$3)</f>
        <v>0</v>
      </c>
      <c r="W428" s="168"/>
    </row>
    <row r="429" spans="1:23" ht="15.75" customHeight="1" x14ac:dyDescent="0.25">
      <c r="A429" s="178" t="s">
        <v>999</v>
      </c>
      <c r="B429" s="178" t="s">
        <v>16</v>
      </c>
      <c r="C429" s="178" t="str">
        <f>VLOOKUP(A429,CUSTOMER!$A:$C,3,0)</f>
        <v>COOP_F_GHILLS</v>
      </c>
      <c r="D429" s="178" t="s">
        <v>674</v>
      </c>
      <c r="E429" s="178" t="str">
        <f>VLOOKUP(A431,CUSTOMER!$A$2:$H$1094,5,0)</f>
        <v>VAVANCY-VU MINH TUAN</v>
      </c>
      <c r="F429" s="178" t="str">
        <f>VLOOKUP(A431,CUSTOMER!$A$2:$I$1094,6,0)</f>
        <v>TRAN THI THANH TRUC</v>
      </c>
      <c r="G429" s="178" t="s">
        <v>676</v>
      </c>
      <c r="H429" s="179">
        <f t="shared" si="61"/>
        <v>0</v>
      </c>
      <c r="I429" s="180" t="str">
        <f t="shared" si="62"/>
        <v/>
      </c>
      <c r="J429" s="181">
        <f t="shared" si="63"/>
        <v>0</v>
      </c>
      <c r="K429" s="182">
        <v>0</v>
      </c>
      <c r="L429" s="180" t="str">
        <f t="shared" si="67"/>
        <v/>
      </c>
      <c r="M429" s="218">
        <f>SUMIFS(DATA!$L:$L,DATA!$O:$O,$B431,DATA!$N:$N,$A431,DATA!$M:$M,'SALES BY SYSTEM'!$O$1)</f>
        <v>0</v>
      </c>
      <c r="N429" s="182">
        <v>0</v>
      </c>
      <c r="O429" s="180" t="str">
        <f t="shared" si="64"/>
        <v/>
      </c>
      <c r="P429" s="218">
        <f>SUMIFS(DATA!$L:$L,DATA!$O:$O,$B431,DATA!$N:$N,$A431,DATA!$M:$M,'SALES BY SYSTEM'!$O$2)</f>
        <v>0</v>
      </c>
      <c r="Q429" s="182">
        <v>0</v>
      </c>
      <c r="R429" s="180" t="str">
        <f t="shared" si="65"/>
        <v/>
      </c>
      <c r="S429" s="218">
        <f>SUMIFS(DATA!$L:$L,DATA!$O:$O,$B431,DATA!$N:$N,$A431,DATA!$M:$M,'SALES BY SYSTEM'!$O$4)</f>
        <v>0</v>
      </c>
      <c r="T429" s="182">
        <v>0</v>
      </c>
      <c r="U429" s="180" t="str">
        <f t="shared" si="66"/>
        <v/>
      </c>
      <c r="V429" s="218">
        <f>SUMIFS(DATA!$L:$L,DATA!$O:$O,$B431,DATA!$N:$N,$A431,DATA!$M:$M,'SALES BY SYSTEM'!$O$3)</f>
        <v>0</v>
      </c>
      <c r="W429" s="168"/>
    </row>
    <row r="430" spans="1:23" ht="15.75" customHeight="1" x14ac:dyDescent="0.25">
      <c r="A430" s="178" t="s">
        <v>975</v>
      </c>
      <c r="B430" s="178" t="s">
        <v>16</v>
      </c>
      <c r="C430" s="178" t="str">
        <f>VLOOKUP(A430,CUSTOMER!$A:$C,3,0)</f>
        <v>COOP_F_HADO</v>
      </c>
      <c r="D430" s="178" t="s">
        <v>674</v>
      </c>
      <c r="E430" s="178" t="str">
        <f>VLOOKUP(A432,CUSTOMER!$A$2:$H$1094,5,0)</f>
        <v>VAVANCY-VU MINH TUAN</v>
      </c>
      <c r="F430" s="178" t="str">
        <f>VLOOKUP(A432,CUSTOMER!$A$2:$I$1094,6,0)</f>
        <v>TRAN THI THANH TRUC</v>
      </c>
      <c r="G430" s="178" t="s">
        <v>676</v>
      </c>
      <c r="H430" s="179">
        <f t="shared" si="61"/>
        <v>0</v>
      </c>
      <c r="I430" s="180" t="str">
        <f t="shared" si="62"/>
        <v/>
      </c>
      <c r="J430" s="181">
        <f t="shared" si="63"/>
        <v>0</v>
      </c>
      <c r="K430" s="182">
        <v>0</v>
      </c>
      <c r="L430" s="180" t="str">
        <f t="shared" si="67"/>
        <v/>
      </c>
      <c r="M430" s="218">
        <f>SUMIFS(DATA!$L:$L,DATA!$O:$O,$B432,DATA!$N:$N,$A432,DATA!$M:$M,'SALES BY SYSTEM'!$O$1)</f>
        <v>0</v>
      </c>
      <c r="N430" s="182">
        <v>0</v>
      </c>
      <c r="O430" s="180" t="str">
        <f t="shared" si="64"/>
        <v/>
      </c>
      <c r="P430" s="218">
        <f>SUMIFS(DATA!$L:$L,DATA!$O:$O,$B432,DATA!$N:$N,$A432,DATA!$M:$M,'SALES BY SYSTEM'!$O$2)</f>
        <v>0</v>
      </c>
      <c r="Q430" s="182">
        <v>0</v>
      </c>
      <c r="R430" s="180" t="str">
        <f t="shared" si="65"/>
        <v/>
      </c>
      <c r="S430" s="218">
        <f>SUMIFS(DATA!$L:$L,DATA!$O:$O,$B432,DATA!$N:$N,$A432,DATA!$M:$M,'SALES BY SYSTEM'!$O$4)</f>
        <v>0</v>
      </c>
      <c r="T430" s="182">
        <v>0</v>
      </c>
      <c r="U430" s="180" t="str">
        <f t="shared" si="66"/>
        <v/>
      </c>
      <c r="V430" s="218">
        <f>SUMIFS(DATA!$L:$L,DATA!$O:$O,$B432,DATA!$N:$N,$A432,DATA!$M:$M,'SALES BY SYSTEM'!$O$3)</f>
        <v>0</v>
      </c>
      <c r="W430" s="168"/>
    </row>
    <row r="431" spans="1:23" ht="15.75" customHeight="1" x14ac:dyDescent="0.25">
      <c r="A431" s="178" t="s">
        <v>1025</v>
      </c>
      <c r="B431" s="178" t="s">
        <v>16</v>
      </c>
      <c r="C431" s="178" t="str">
        <f>VLOOKUP(A431,CUSTOMER!$A:$C,3,0)</f>
        <v>COOP_F_HAPPY</v>
      </c>
      <c r="D431" s="178" t="s">
        <v>674</v>
      </c>
      <c r="E431" s="178" t="str">
        <f>VLOOKUP(A433,CUSTOMER!$A$2:$H$1094,5,0)</f>
        <v>VAVANCY-VU MINH TUAN</v>
      </c>
      <c r="F431" s="178" t="str">
        <f>VLOOKUP(A433,CUSTOMER!$A$2:$I$1094,6,0)</f>
        <v>TRAN THI THANH TRUC</v>
      </c>
      <c r="G431" s="178" t="str">
        <f>VLOOKUP(A433,CUSTOMER!$A$1:$J$1160,7,0)</f>
        <v>"NO PG"</v>
      </c>
      <c r="H431" s="179">
        <f t="shared" si="61"/>
        <v>0</v>
      </c>
      <c r="I431" s="180" t="str">
        <f t="shared" si="62"/>
        <v/>
      </c>
      <c r="J431" s="181">
        <f t="shared" si="63"/>
        <v>0</v>
      </c>
      <c r="K431" s="182">
        <v>0</v>
      </c>
      <c r="L431" s="180" t="str">
        <f t="shared" si="67"/>
        <v/>
      </c>
      <c r="M431" s="218">
        <f>SUMIFS(DATA!$L:$L,DATA!$O:$O,$B433,DATA!$N:$N,$A433,DATA!$M:$M,'SALES BY SYSTEM'!$O$1)</f>
        <v>0</v>
      </c>
      <c r="N431" s="182">
        <v>0</v>
      </c>
      <c r="O431" s="180" t="str">
        <f t="shared" si="64"/>
        <v/>
      </c>
      <c r="P431" s="218">
        <f>SUMIFS(DATA!$L:$L,DATA!$O:$O,$B433,DATA!$N:$N,$A433,DATA!$M:$M,'SALES BY SYSTEM'!$O$2)</f>
        <v>0</v>
      </c>
      <c r="Q431" s="182">
        <v>0</v>
      </c>
      <c r="R431" s="180" t="str">
        <f t="shared" si="65"/>
        <v/>
      </c>
      <c r="S431" s="218">
        <f>SUMIFS(DATA!$L:$L,DATA!$O:$O,$B433,DATA!$N:$N,$A433,DATA!$M:$M,'SALES BY SYSTEM'!$O$4)</f>
        <v>0</v>
      </c>
      <c r="T431" s="182">
        <v>0</v>
      </c>
      <c r="U431" s="180" t="str">
        <f t="shared" si="66"/>
        <v/>
      </c>
      <c r="V431" s="218">
        <f>SUMIFS(DATA!$L:$L,DATA!$O:$O,$B433,DATA!$N:$N,$A433,DATA!$M:$M,'SALES BY SYSTEM'!$O$3)</f>
        <v>0</v>
      </c>
      <c r="W431" s="168"/>
    </row>
    <row r="432" spans="1:23" ht="15.75" customHeight="1" x14ac:dyDescent="0.25">
      <c r="A432" s="178" t="s">
        <v>932</v>
      </c>
      <c r="B432" s="178" t="s">
        <v>16</v>
      </c>
      <c r="C432" s="178" t="str">
        <f>VLOOKUP(A432,CUSTOMER!$A:$C,3,0)</f>
        <v>COOP_F_HATECO</v>
      </c>
      <c r="D432" s="178" t="s">
        <v>674</v>
      </c>
      <c r="E432" s="178" t="str">
        <f>VLOOKUP(A434,CUSTOMER!$A$2:$H$1094,5,0)</f>
        <v>VAVANCY-VU MINH TUAN</v>
      </c>
      <c r="F432" s="178" t="str">
        <f>VLOOKUP(A434,CUSTOMER!$A$2:$I$1094,6,0)</f>
        <v>TRAN THI THANH TRUC</v>
      </c>
      <c r="G432" s="178" t="s">
        <v>676</v>
      </c>
      <c r="H432" s="179">
        <f t="shared" si="61"/>
        <v>0</v>
      </c>
      <c r="I432" s="180" t="str">
        <f t="shared" si="62"/>
        <v/>
      </c>
      <c r="J432" s="181">
        <f t="shared" si="63"/>
        <v>0</v>
      </c>
      <c r="K432" s="182">
        <v>0</v>
      </c>
      <c r="L432" s="180" t="str">
        <f t="shared" si="67"/>
        <v/>
      </c>
      <c r="M432" s="218">
        <f>SUMIFS(DATA!$L:$L,DATA!$O:$O,$B434,DATA!$N:$N,$A434,DATA!$M:$M,'SALES BY SYSTEM'!$O$1)</f>
        <v>0</v>
      </c>
      <c r="N432" s="182">
        <v>0</v>
      </c>
      <c r="O432" s="180" t="str">
        <f t="shared" si="64"/>
        <v/>
      </c>
      <c r="P432" s="218">
        <f>SUMIFS(DATA!$L:$L,DATA!$O:$O,$B434,DATA!$N:$N,$A434,DATA!$M:$M,'SALES BY SYSTEM'!$O$2)</f>
        <v>0</v>
      </c>
      <c r="Q432" s="182">
        <v>0</v>
      </c>
      <c r="R432" s="180" t="str">
        <f t="shared" si="65"/>
        <v/>
      </c>
      <c r="S432" s="218">
        <f>SUMIFS(DATA!$L:$L,DATA!$O:$O,$B434,DATA!$N:$N,$A434,DATA!$M:$M,'SALES BY SYSTEM'!$O$4)</f>
        <v>0</v>
      </c>
      <c r="T432" s="182">
        <v>0</v>
      </c>
      <c r="U432" s="180" t="str">
        <f t="shared" si="66"/>
        <v/>
      </c>
      <c r="V432" s="218">
        <f>SUMIFS(DATA!$L:$L,DATA!$O:$O,$B434,DATA!$N:$N,$A434,DATA!$M:$M,'SALES BY SYSTEM'!$O$3)</f>
        <v>0</v>
      </c>
      <c r="W432" s="168"/>
    </row>
    <row r="433" spans="1:23" ht="15.75" customHeight="1" x14ac:dyDescent="0.25">
      <c r="A433" s="178" t="s">
        <v>967</v>
      </c>
      <c r="B433" s="178" t="s">
        <v>16</v>
      </c>
      <c r="C433" s="178" t="str">
        <f>VLOOKUP(A433,CUSTOMER!$A:$C,3,0)</f>
        <v>COOP_F_HAULAN</v>
      </c>
      <c r="D433" s="178" t="s">
        <v>674</v>
      </c>
      <c r="E433" s="178" t="str">
        <f>VLOOKUP(A435,CUSTOMER!$A$2:$H$1094,5,0)</f>
        <v>VAVANCY-VU MINH TUAN</v>
      </c>
      <c r="F433" s="178" t="str">
        <f>VLOOKUP(A435,CUSTOMER!$A$2:$I$1094,6,0)</f>
        <v>TRAN THI THANH TRUC</v>
      </c>
      <c r="G433" s="178" t="str">
        <f>VLOOKUP(A435,CUSTOMER!$A$1:$J$1160,7,0)</f>
        <v>"NO PG"</v>
      </c>
      <c r="H433" s="179">
        <f t="shared" si="61"/>
        <v>0</v>
      </c>
      <c r="I433" s="180" t="str">
        <f t="shared" si="62"/>
        <v/>
      </c>
      <c r="J433" s="181">
        <f t="shared" si="63"/>
        <v>0</v>
      </c>
      <c r="K433" s="182">
        <v>0</v>
      </c>
      <c r="L433" s="180" t="str">
        <f t="shared" si="67"/>
        <v/>
      </c>
      <c r="M433" s="218">
        <f>SUMIFS(DATA!$L:$L,DATA!$O:$O,$B435,DATA!$N:$N,$A435,DATA!$M:$M,'SALES BY SYSTEM'!$O$1)</f>
        <v>0</v>
      </c>
      <c r="N433" s="182">
        <v>0</v>
      </c>
      <c r="O433" s="180" t="str">
        <f t="shared" si="64"/>
        <v/>
      </c>
      <c r="P433" s="218">
        <f>SUMIFS(DATA!$L:$L,DATA!$O:$O,$B435,DATA!$N:$N,$A435,DATA!$M:$M,'SALES BY SYSTEM'!$O$2)</f>
        <v>0</v>
      </c>
      <c r="Q433" s="182">
        <v>0</v>
      </c>
      <c r="R433" s="180" t="str">
        <f t="shared" si="65"/>
        <v/>
      </c>
      <c r="S433" s="218">
        <f>SUMIFS(DATA!$L:$L,DATA!$O:$O,$B435,DATA!$N:$N,$A435,DATA!$M:$M,'SALES BY SYSTEM'!$O$4)</f>
        <v>0</v>
      </c>
      <c r="T433" s="182">
        <v>0</v>
      </c>
      <c r="U433" s="180" t="str">
        <f t="shared" si="66"/>
        <v/>
      </c>
      <c r="V433" s="218">
        <f>SUMIFS(DATA!$L:$L,DATA!$O:$O,$B435,DATA!$N:$N,$A435,DATA!$M:$M,'SALES BY SYSTEM'!$O$3)</f>
        <v>0</v>
      </c>
      <c r="W433" s="168"/>
    </row>
    <row r="434" spans="1:23" ht="15.75" customHeight="1" x14ac:dyDescent="0.25">
      <c r="A434" s="178" t="s">
        <v>1041</v>
      </c>
      <c r="B434" s="178" t="s">
        <v>16</v>
      </c>
      <c r="C434" s="178" t="str">
        <f>VLOOKUP(A434,CUSTOMER!$A:$C,3,0)</f>
        <v>COOP_F_HAUSNEO</v>
      </c>
      <c r="D434" s="178" t="s">
        <v>674</v>
      </c>
      <c r="E434" s="178" t="str">
        <f>VLOOKUP(A436,CUSTOMER!$A$2:$H$1094,5,0)</f>
        <v>VAVANCY-VU MINH TUAN</v>
      </c>
      <c r="F434" s="178" t="str">
        <f>VLOOKUP(A436,CUSTOMER!$A$2:$I$1094,6,0)</f>
        <v>TRAN THI THANH TRUC</v>
      </c>
      <c r="G434" s="178" t="s">
        <v>676</v>
      </c>
      <c r="H434" s="179">
        <f t="shared" si="61"/>
        <v>0</v>
      </c>
      <c r="I434" s="180" t="str">
        <f t="shared" si="62"/>
        <v/>
      </c>
      <c r="J434" s="181">
        <f t="shared" si="63"/>
        <v>0</v>
      </c>
      <c r="K434" s="182">
        <v>0</v>
      </c>
      <c r="L434" s="180" t="str">
        <f t="shared" si="67"/>
        <v/>
      </c>
      <c r="M434" s="218">
        <f>SUMIFS(DATA!$L:$L,DATA!$O:$O,$B436,DATA!$N:$N,$A436,DATA!$M:$M,'SALES BY SYSTEM'!$O$1)</f>
        <v>0</v>
      </c>
      <c r="N434" s="182">
        <v>0</v>
      </c>
      <c r="O434" s="180" t="str">
        <f t="shared" si="64"/>
        <v/>
      </c>
      <c r="P434" s="218">
        <f>SUMIFS(DATA!$L:$L,DATA!$O:$O,$B436,DATA!$N:$N,$A436,DATA!$M:$M,'SALES BY SYSTEM'!$O$2)</f>
        <v>0</v>
      </c>
      <c r="Q434" s="182">
        <v>0</v>
      </c>
      <c r="R434" s="180" t="str">
        <f t="shared" si="65"/>
        <v/>
      </c>
      <c r="S434" s="218">
        <f>SUMIFS(DATA!$L:$L,DATA!$O:$O,$B436,DATA!$N:$N,$A436,DATA!$M:$M,'SALES BY SYSTEM'!$O$4)</f>
        <v>0</v>
      </c>
      <c r="T434" s="182">
        <v>0</v>
      </c>
      <c r="U434" s="180" t="str">
        <f t="shared" si="66"/>
        <v/>
      </c>
      <c r="V434" s="218">
        <f>SUMIFS(DATA!$L:$L,DATA!$O:$O,$B436,DATA!$N:$N,$A436,DATA!$M:$M,'SALES BY SYSTEM'!$O$3)</f>
        <v>0</v>
      </c>
      <c r="W434" s="168"/>
    </row>
    <row r="435" spans="1:23" ht="15.75" customHeight="1" x14ac:dyDescent="0.25">
      <c r="A435" s="178" t="s">
        <v>924</v>
      </c>
      <c r="B435" s="178" t="s">
        <v>16</v>
      </c>
      <c r="C435" s="178" t="str">
        <f>VLOOKUP(A435,CUSTOMER!$A:$C,3,0)</f>
        <v>COOP_F_HBINH</v>
      </c>
      <c r="D435" s="178" t="s">
        <v>674</v>
      </c>
      <c r="E435" s="178" t="str">
        <f>VLOOKUP(A437,CUSTOMER!$A$2:$H$1094,5,0)</f>
        <v>VAVANCY-VU MINH TUAN</v>
      </c>
      <c r="F435" s="178" t="str">
        <f>VLOOKUP(A437,CUSTOMER!$A$2:$I$1094,6,0)</f>
        <v>VACANCY</v>
      </c>
      <c r="G435" s="178" t="s">
        <v>676</v>
      </c>
      <c r="H435" s="179">
        <f t="shared" si="61"/>
        <v>0</v>
      </c>
      <c r="I435" s="180" t="str">
        <f t="shared" si="62"/>
        <v/>
      </c>
      <c r="J435" s="181">
        <f t="shared" si="63"/>
        <v>0</v>
      </c>
      <c r="K435" s="182">
        <v>0</v>
      </c>
      <c r="L435" s="180" t="str">
        <f t="shared" si="67"/>
        <v/>
      </c>
      <c r="M435" s="218">
        <f>SUMIFS(DATA!$L:$L,DATA!$O:$O,$B437,DATA!$N:$N,$A437,DATA!$M:$M,'SALES BY SYSTEM'!$O$1)</f>
        <v>0</v>
      </c>
      <c r="N435" s="182">
        <v>0</v>
      </c>
      <c r="O435" s="180" t="str">
        <f t="shared" si="64"/>
        <v/>
      </c>
      <c r="P435" s="218">
        <f>SUMIFS(DATA!$L:$L,DATA!$O:$O,$B437,DATA!$N:$N,$A437,DATA!$M:$M,'SALES BY SYSTEM'!$O$2)</f>
        <v>0</v>
      </c>
      <c r="Q435" s="182">
        <v>0</v>
      </c>
      <c r="R435" s="180" t="str">
        <f t="shared" si="65"/>
        <v/>
      </c>
      <c r="S435" s="218">
        <f>SUMIFS(DATA!$L:$L,DATA!$O:$O,$B437,DATA!$N:$N,$A437,DATA!$M:$M,'SALES BY SYSTEM'!$O$4)</f>
        <v>0</v>
      </c>
      <c r="T435" s="182">
        <v>0</v>
      </c>
      <c r="U435" s="180" t="str">
        <f t="shared" si="66"/>
        <v/>
      </c>
      <c r="V435" s="218">
        <f>SUMIFS(DATA!$L:$L,DATA!$O:$O,$B437,DATA!$N:$N,$A437,DATA!$M:$M,'SALES BY SYSTEM'!$O$3)</f>
        <v>0</v>
      </c>
      <c r="W435" s="168"/>
    </row>
    <row r="436" spans="1:23" ht="15.75" customHeight="1" x14ac:dyDescent="0.25">
      <c r="A436" s="178" t="s">
        <v>364</v>
      </c>
      <c r="B436" s="178" t="s">
        <v>16</v>
      </c>
      <c r="C436" s="178" t="str">
        <f>VLOOKUP(A436,CUSTOMER!$A:$C,3,0)</f>
        <v>COOP_F_DS3_HBP</v>
      </c>
      <c r="D436" s="178" t="s">
        <v>674</v>
      </c>
      <c r="E436" s="178" t="str">
        <f>VLOOKUP(A438,CUSTOMER!$A$2:$H$1094,5,0)</f>
        <v>VAVANCY-VU MINH TUAN</v>
      </c>
      <c r="F436" s="178" t="str">
        <f>VLOOKUP(A438,CUSTOMER!$A$2:$I$1094,6,0)</f>
        <v>NO SALE</v>
      </c>
      <c r="G436" s="178" t="str">
        <f>VLOOKUP(A438,CUSTOMER!$A$1:$J$1160,7,0)</f>
        <v>"NO PG"</v>
      </c>
      <c r="H436" s="179">
        <f t="shared" si="61"/>
        <v>0</v>
      </c>
      <c r="I436" s="180" t="str">
        <f t="shared" si="62"/>
        <v/>
      </c>
      <c r="J436" s="181">
        <f t="shared" si="63"/>
        <v>0</v>
      </c>
      <c r="K436" s="182">
        <v>0</v>
      </c>
      <c r="L436" s="180" t="str">
        <f t="shared" si="67"/>
        <v/>
      </c>
      <c r="M436" s="218">
        <f>SUMIFS(DATA!$L:$L,DATA!$O:$O,$B438,DATA!$N:$N,$A438,DATA!$M:$M,'SALES BY SYSTEM'!$O$1)</f>
        <v>0</v>
      </c>
      <c r="N436" s="182">
        <v>0</v>
      </c>
      <c r="O436" s="180" t="str">
        <f t="shared" si="64"/>
        <v/>
      </c>
      <c r="P436" s="218">
        <f>SUMIFS(DATA!$L:$L,DATA!$O:$O,$B438,DATA!$N:$N,$A438,DATA!$M:$M,'SALES BY SYSTEM'!$O$2)</f>
        <v>0</v>
      </c>
      <c r="Q436" s="182">
        <v>0</v>
      </c>
      <c r="R436" s="180" t="str">
        <f t="shared" si="65"/>
        <v/>
      </c>
      <c r="S436" s="218">
        <f>SUMIFS(DATA!$L:$L,DATA!$O:$O,$B438,DATA!$N:$N,$A438,DATA!$M:$M,'SALES BY SYSTEM'!$O$4)</f>
        <v>0</v>
      </c>
      <c r="T436" s="182">
        <v>0</v>
      </c>
      <c r="U436" s="180" t="str">
        <f t="shared" si="66"/>
        <v/>
      </c>
      <c r="V436" s="218">
        <f>SUMIFS(DATA!$L:$L,DATA!$O:$O,$B438,DATA!$N:$N,$A438,DATA!$M:$M,'SALES BY SYSTEM'!$O$3)</f>
        <v>0</v>
      </c>
      <c r="W436" s="168"/>
    </row>
    <row r="437" spans="1:23" ht="15.75" customHeight="1" x14ac:dyDescent="0.25">
      <c r="A437" s="178" t="s">
        <v>1061</v>
      </c>
      <c r="B437" s="178" t="s">
        <v>16</v>
      </c>
      <c r="C437" s="178" t="str">
        <f>VLOOKUP(A437,CUSTOMER!$A:$C,3,0)</f>
        <v>COOP_F_HPHU</v>
      </c>
      <c r="D437" s="178" t="s">
        <v>674</v>
      </c>
      <c r="E437" s="178" t="str">
        <f>VLOOKUP(A440,CUSTOMER!$A$2:$H$1094,5,0)</f>
        <v>VAVANCY-VU MINH TUAN</v>
      </c>
      <c r="F437" s="178" t="str">
        <f>VLOOKUP(A440,CUSTOMER!$A$2:$I$1094,6,0)</f>
        <v>TRAN THI THANH TRUC</v>
      </c>
      <c r="G437" s="178" t="str">
        <f>VLOOKUP(A440,CUSTOMER!$A$1:$J$1160,7,0)</f>
        <v>"NO PG"</v>
      </c>
      <c r="H437" s="179">
        <f t="shared" si="61"/>
        <v>0</v>
      </c>
      <c r="I437" s="180" t="str">
        <f t="shared" si="62"/>
        <v/>
      </c>
      <c r="J437" s="181">
        <f t="shared" si="63"/>
        <v>0</v>
      </c>
      <c r="K437" s="182">
        <v>0</v>
      </c>
      <c r="L437" s="180" t="str">
        <f t="shared" ref="L437:L454" si="68">IFERROR(M440/K440,"")</f>
        <v/>
      </c>
      <c r="M437" s="218">
        <f>SUMIFS(DATA!$L:$L,DATA!$O:$O,$B440,DATA!$N:$N,$A440,DATA!$M:$M,'SALES BY SYSTEM'!$O$1)</f>
        <v>0</v>
      </c>
      <c r="N437" s="182">
        <v>0</v>
      </c>
      <c r="O437" s="180" t="str">
        <f t="shared" ref="O437:O458" si="69">IFERROR(P440/N440,"")</f>
        <v/>
      </c>
      <c r="P437" s="218">
        <f>SUMIFS(DATA!$L:$L,DATA!$O:$O,$B440,DATA!$N:$N,$A440,DATA!$M:$M,'SALES BY SYSTEM'!$O$2)</f>
        <v>0</v>
      </c>
      <c r="Q437" s="182">
        <v>0</v>
      </c>
      <c r="R437" s="180" t="str">
        <f t="shared" ref="R437:R458" si="70">IFERROR(S440/Q440,"")</f>
        <v/>
      </c>
      <c r="S437" s="218">
        <f>SUMIFS(DATA!$L:$L,DATA!$O:$O,$B440,DATA!$N:$N,$A440,DATA!$M:$M,'SALES BY SYSTEM'!$O$4)</f>
        <v>0</v>
      </c>
      <c r="T437" s="182">
        <v>0</v>
      </c>
      <c r="U437" s="180" t="str">
        <f t="shared" ref="U437:U458" si="71">IFERROR(V440/T440,"")</f>
        <v/>
      </c>
      <c r="V437" s="218">
        <f>SUMIFS(DATA!$L:$L,DATA!$O:$O,$B440,DATA!$N:$N,$A440,DATA!$M:$M,'SALES BY SYSTEM'!$O$3)</f>
        <v>0</v>
      </c>
      <c r="W437" s="168"/>
    </row>
    <row r="438" spans="1:23" ht="15.75" customHeight="1" x14ac:dyDescent="0.25">
      <c r="A438" s="178" t="s">
        <v>1175</v>
      </c>
      <c r="B438" s="178" t="s">
        <v>16</v>
      </c>
      <c r="C438" s="178" t="str">
        <f>VLOOKUP(A438,CUSTOMER!$A:$C,3,0)</f>
        <v>COOP_F_HLCLON</v>
      </c>
      <c r="D438" s="178" t="s">
        <v>674</v>
      </c>
      <c r="E438" s="178" t="str">
        <f>VLOOKUP(A441,CUSTOMER!$A$2:$H$1094,5,0)</f>
        <v>VAVANCY-VU MINH TUAN</v>
      </c>
      <c r="F438" s="178" t="str">
        <f>VLOOKUP(A441,CUSTOMER!$A$2:$I$1094,6,0)</f>
        <v>TRAN THI THANH TRUC</v>
      </c>
      <c r="G438" s="178" t="s">
        <v>676</v>
      </c>
      <c r="H438" s="179">
        <f t="shared" si="61"/>
        <v>0</v>
      </c>
      <c r="I438" s="180" t="str">
        <f t="shared" si="62"/>
        <v/>
      </c>
      <c r="J438" s="181">
        <f t="shared" si="63"/>
        <v>0</v>
      </c>
      <c r="K438" s="182">
        <v>0</v>
      </c>
      <c r="L438" s="180" t="str">
        <f t="shared" si="68"/>
        <v/>
      </c>
      <c r="M438" s="218">
        <f>SUMIFS(DATA!$L:$L,DATA!$O:$O,$B441,DATA!$N:$N,$A441,DATA!$M:$M,'SALES BY SYSTEM'!$O$1)</f>
        <v>0</v>
      </c>
      <c r="N438" s="182">
        <v>0</v>
      </c>
      <c r="O438" s="180" t="str">
        <f t="shared" si="69"/>
        <v/>
      </c>
      <c r="P438" s="218">
        <f>SUMIFS(DATA!$L:$L,DATA!$O:$O,$B441,DATA!$N:$N,$A441,DATA!$M:$M,'SALES BY SYSTEM'!$O$2)</f>
        <v>0</v>
      </c>
      <c r="Q438" s="182">
        <v>0</v>
      </c>
      <c r="R438" s="180" t="str">
        <f t="shared" si="70"/>
        <v/>
      </c>
      <c r="S438" s="218">
        <f>SUMIFS(DATA!$L:$L,DATA!$O:$O,$B441,DATA!$N:$N,$A441,DATA!$M:$M,'SALES BY SYSTEM'!$O$4)</f>
        <v>0</v>
      </c>
      <c r="T438" s="182">
        <v>0</v>
      </c>
      <c r="U438" s="180" t="str">
        <f t="shared" si="71"/>
        <v/>
      </c>
      <c r="V438" s="218">
        <f>SUMIFS(DATA!$L:$L,DATA!$O:$O,$B441,DATA!$N:$N,$A441,DATA!$M:$M,'SALES BY SYSTEM'!$O$3)</f>
        <v>0</v>
      </c>
      <c r="W438" s="168"/>
    </row>
    <row r="439" spans="1:23" ht="15.75" customHeight="1" x14ac:dyDescent="0.25">
      <c r="A439" s="178" t="s">
        <v>995</v>
      </c>
      <c r="B439" s="178" t="s">
        <v>16</v>
      </c>
      <c r="C439" s="178" t="str">
        <f>VLOOKUP(A439,CUSTOMER!$A:$C,3,0)</f>
        <v>COOP_F_HVLONG</v>
      </c>
      <c r="D439" s="178" t="s">
        <v>674</v>
      </c>
      <c r="E439" s="178" t="str">
        <f>VLOOKUP(A442,CUSTOMER!$A$2:$H$1094,5,0)</f>
        <v>VAVANCY-VU MINH TUAN</v>
      </c>
      <c r="F439" s="178" t="str">
        <f>VLOOKUP(A442,CUSTOMER!$A$2:$I$1094,6,0)</f>
        <v>NO SALE</v>
      </c>
      <c r="G439" s="178" t="s">
        <v>676</v>
      </c>
      <c r="H439" s="179">
        <f t="shared" si="61"/>
        <v>0</v>
      </c>
      <c r="I439" s="180" t="str">
        <f t="shared" si="62"/>
        <v/>
      </c>
      <c r="J439" s="181">
        <f t="shared" si="63"/>
        <v>0</v>
      </c>
      <c r="K439" s="182">
        <v>0</v>
      </c>
      <c r="L439" s="180" t="str">
        <f t="shared" si="68"/>
        <v/>
      </c>
      <c r="M439" s="218">
        <f>SUMIFS(DATA!$L:$L,DATA!$O:$O,$B442,DATA!$N:$N,$A442,DATA!$M:$M,'SALES BY SYSTEM'!$O$1)</f>
        <v>0</v>
      </c>
      <c r="N439" s="182">
        <v>0</v>
      </c>
      <c r="O439" s="180" t="str">
        <f t="shared" si="69"/>
        <v/>
      </c>
      <c r="P439" s="218">
        <f>SUMIFS(DATA!$L:$L,DATA!$O:$O,$B442,DATA!$N:$N,$A442,DATA!$M:$M,'SALES BY SYSTEM'!$O$2)</f>
        <v>0</v>
      </c>
      <c r="Q439" s="182">
        <v>0</v>
      </c>
      <c r="R439" s="180" t="str">
        <f t="shared" si="70"/>
        <v/>
      </c>
      <c r="S439" s="218">
        <f>SUMIFS(DATA!$L:$L,DATA!$O:$O,$B442,DATA!$N:$N,$A442,DATA!$M:$M,'SALES BY SYSTEM'!$O$4)</f>
        <v>0</v>
      </c>
      <c r="T439" s="182">
        <v>0</v>
      </c>
      <c r="U439" s="180" t="str">
        <f t="shared" si="71"/>
        <v/>
      </c>
      <c r="V439" s="218">
        <f>SUMIFS(DATA!$L:$L,DATA!$O:$O,$B442,DATA!$N:$N,$A442,DATA!$M:$M,'SALES BY SYSTEM'!$O$3)</f>
        <v>0</v>
      </c>
      <c r="W439" s="168"/>
    </row>
    <row r="440" spans="1:23" ht="15.75" customHeight="1" x14ac:dyDescent="0.25">
      <c r="A440" s="178" t="s">
        <v>1057</v>
      </c>
      <c r="B440" s="178" t="s">
        <v>16</v>
      </c>
      <c r="C440" s="178" t="str">
        <f>VLOOKUP(A440,CUSTOMER!$A:$C,3,0)</f>
        <v>COOP_F_HVTU</v>
      </c>
      <c r="D440" s="178" t="s">
        <v>674</v>
      </c>
      <c r="E440" s="178" t="str">
        <f>VLOOKUP(A443,CUSTOMER!$A$2:$H$1094,5,0)</f>
        <v>VAVANCY-VU MINH TUAN</v>
      </c>
      <c r="F440" s="178" t="str">
        <f>VLOOKUP(A443,CUSTOMER!$A$2:$I$1094,6,0)</f>
        <v>TRAN THI THANH TRUC</v>
      </c>
      <c r="G440" s="178" t="str">
        <f>VLOOKUP(A443,CUSTOMER!$A$1:$J$1160,7,0)</f>
        <v>"NO PG"</v>
      </c>
      <c r="H440" s="179">
        <f t="shared" si="61"/>
        <v>0</v>
      </c>
      <c r="I440" s="180" t="str">
        <f t="shared" si="62"/>
        <v/>
      </c>
      <c r="J440" s="181">
        <f t="shared" si="63"/>
        <v>0</v>
      </c>
      <c r="K440" s="182">
        <v>0</v>
      </c>
      <c r="L440" s="180" t="str">
        <f t="shared" si="68"/>
        <v/>
      </c>
      <c r="M440" s="218">
        <f>SUMIFS(DATA!$L:$L,DATA!$O:$O,$B443,DATA!$N:$N,$A443,DATA!$M:$M,'SALES BY SYSTEM'!$O$1)</f>
        <v>0</v>
      </c>
      <c r="N440" s="182">
        <v>0</v>
      </c>
      <c r="O440" s="180" t="str">
        <f t="shared" si="69"/>
        <v/>
      </c>
      <c r="P440" s="218">
        <f>SUMIFS(DATA!$L:$L,DATA!$O:$O,$B443,DATA!$N:$N,$A443,DATA!$M:$M,'SALES BY SYSTEM'!$O$2)</f>
        <v>0</v>
      </c>
      <c r="Q440" s="182">
        <v>0</v>
      </c>
      <c r="R440" s="180" t="str">
        <f t="shared" si="70"/>
        <v/>
      </c>
      <c r="S440" s="218">
        <f>SUMIFS(DATA!$L:$L,DATA!$O:$O,$B443,DATA!$N:$N,$A443,DATA!$M:$M,'SALES BY SYSTEM'!$O$4)</f>
        <v>0</v>
      </c>
      <c r="T440" s="182">
        <v>0</v>
      </c>
      <c r="U440" s="180" t="str">
        <f t="shared" si="71"/>
        <v/>
      </c>
      <c r="V440" s="218">
        <f>SUMIFS(DATA!$L:$L,DATA!$O:$O,$B443,DATA!$N:$N,$A443,DATA!$M:$M,'SALES BY SYSTEM'!$O$3)</f>
        <v>0</v>
      </c>
      <c r="W440" s="168"/>
    </row>
    <row r="441" spans="1:23" ht="15.75" customHeight="1" x14ac:dyDescent="0.25">
      <c r="A441" s="178" t="s">
        <v>1005</v>
      </c>
      <c r="B441" s="178" t="s">
        <v>16</v>
      </c>
      <c r="C441" s="178" t="str">
        <f>VLOOKUP(A441,CUSTOMER!$A:$C,3,0)</f>
        <v>COOP_F_HOANGANH</v>
      </c>
      <c r="D441" s="178" t="s">
        <v>674</v>
      </c>
      <c r="E441" s="178" t="str">
        <f>VLOOKUP(A444,CUSTOMER!$A$2:$H$1094,5,0)</f>
        <v>VAVANCY-VU MINH TUAN</v>
      </c>
      <c r="F441" s="178" t="str">
        <f>VLOOKUP(A444,CUSTOMER!$A$2:$I$1094,6,0)</f>
        <v>TRAN THI THANH TRUC</v>
      </c>
      <c r="G441" s="178" t="s">
        <v>676</v>
      </c>
      <c r="H441" s="179">
        <f t="shared" si="61"/>
        <v>0</v>
      </c>
      <c r="I441" s="180" t="str">
        <f t="shared" si="62"/>
        <v/>
      </c>
      <c r="J441" s="181">
        <f t="shared" si="63"/>
        <v>0</v>
      </c>
      <c r="K441" s="182">
        <v>0</v>
      </c>
      <c r="L441" s="180" t="str">
        <f t="shared" si="68"/>
        <v/>
      </c>
      <c r="M441" s="218">
        <f>SUMIFS(DATA!$L:$L,DATA!$O:$O,$B444,DATA!$N:$N,$A444,DATA!$M:$M,'SALES BY SYSTEM'!$O$1)</f>
        <v>0</v>
      </c>
      <c r="N441" s="182">
        <v>0</v>
      </c>
      <c r="O441" s="180" t="str">
        <f t="shared" si="69"/>
        <v/>
      </c>
      <c r="P441" s="218">
        <f>SUMIFS(DATA!$L:$L,DATA!$O:$O,$B444,DATA!$N:$N,$A444,DATA!$M:$M,'SALES BY SYSTEM'!$O$2)</f>
        <v>0</v>
      </c>
      <c r="Q441" s="182">
        <v>0</v>
      </c>
      <c r="R441" s="180" t="str">
        <f t="shared" si="70"/>
        <v/>
      </c>
      <c r="S441" s="218">
        <f>SUMIFS(DATA!$L:$L,DATA!$O:$O,$B444,DATA!$N:$N,$A444,DATA!$M:$M,'SALES BY SYSTEM'!$O$4)</f>
        <v>0</v>
      </c>
      <c r="T441" s="182">
        <v>0</v>
      </c>
      <c r="U441" s="180" t="str">
        <f t="shared" si="71"/>
        <v/>
      </c>
      <c r="V441" s="218">
        <f>SUMIFS(DATA!$L:$L,DATA!$O:$O,$B444,DATA!$N:$N,$A444,DATA!$M:$M,'SALES BY SYSTEM'!$O$3)</f>
        <v>0</v>
      </c>
      <c r="W441" s="168"/>
    </row>
    <row r="442" spans="1:23" ht="15.75" customHeight="1" x14ac:dyDescent="0.25">
      <c r="A442" s="198" t="s">
        <v>400</v>
      </c>
      <c r="B442" s="178" t="s">
        <v>16</v>
      </c>
      <c r="C442" s="198" t="str">
        <f>VLOOKUP(A442,CUSTOMER!$A:$C,3,0)</f>
        <v>COOP_F_HAGOLD</v>
      </c>
      <c r="D442" s="178" t="s">
        <v>674</v>
      </c>
      <c r="E442" s="178" t="str">
        <f>VLOOKUP(A445,CUSTOMER!$A$2:$H$1094,5,0)</f>
        <v>VAVANCY-VU MINH TUAN</v>
      </c>
      <c r="F442" s="178" t="str">
        <f>VLOOKUP(A445,CUSTOMER!$A$2:$I$1094,6,0)</f>
        <v>TRAN THI THANH TRUC</v>
      </c>
      <c r="G442" s="178"/>
      <c r="H442" s="179">
        <f t="shared" si="61"/>
        <v>0</v>
      </c>
      <c r="I442" s="180" t="str">
        <f t="shared" si="62"/>
        <v/>
      </c>
      <c r="J442" s="181">
        <f t="shared" si="63"/>
        <v>0</v>
      </c>
      <c r="K442" s="182">
        <v>0</v>
      </c>
      <c r="L442" s="180" t="str">
        <f t="shared" si="68"/>
        <v/>
      </c>
      <c r="M442" s="218">
        <f>SUMIFS(DATA!$L:$L,DATA!$O:$O,$B445,DATA!$N:$N,$A445,DATA!$M:$M,'SALES BY SYSTEM'!$O$1)</f>
        <v>0</v>
      </c>
      <c r="N442" s="182">
        <v>0</v>
      </c>
      <c r="O442" s="180" t="str">
        <f t="shared" si="69"/>
        <v/>
      </c>
      <c r="P442" s="218">
        <f>SUMIFS(DATA!$L:$L,DATA!$O:$O,$B445,DATA!$N:$N,$A445,DATA!$M:$M,'SALES BY SYSTEM'!$O$2)</f>
        <v>0</v>
      </c>
      <c r="Q442" s="182">
        <v>0</v>
      </c>
      <c r="R442" s="180" t="str">
        <f t="shared" si="70"/>
        <v/>
      </c>
      <c r="S442" s="218">
        <f>SUMIFS(DATA!$L:$L,DATA!$O:$O,$B445,DATA!$N:$N,$A445,DATA!$M:$M,'SALES BY SYSTEM'!$O$4)</f>
        <v>0</v>
      </c>
      <c r="T442" s="182">
        <v>0</v>
      </c>
      <c r="U442" s="180" t="str">
        <f t="shared" si="71"/>
        <v/>
      </c>
      <c r="V442" s="218">
        <f>SUMIFS(DATA!$L:$L,DATA!$O:$O,$B445,DATA!$N:$N,$A445,DATA!$M:$M,'SALES BY SYSTEM'!$O$3)</f>
        <v>0</v>
      </c>
      <c r="W442" s="168"/>
    </row>
    <row r="443" spans="1:23" ht="15.75" customHeight="1" x14ac:dyDescent="0.25">
      <c r="A443" s="178" t="s">
        <v>349</v>
      </c>
      <c r="B443" s="178" t="s">
        <v>16</v>
      </c>
      <c r="C443" s="178" t="str">
        <f>VLOOKUP(A443,CUSTOMER!$A:$C,3,0)</f>
        <v>COOP_F_TBINH</v>
      </c>
      <c r="D443" s="178" t="s">
        <v>674</v>
      </c>
      <c r="E443" s="178" t="str">
        <f>VLOOKUP(A446,CUSTOMER!$A$2:$H$1094,5,0)</f>
        <v>VAVANCY-VU MINH TUAN</v>
      </c>
      <c r="F443" s="178" t="str">
        <f>VLOOKUP(A446,CUSTOMER!$A$2:$I$1094,6,0)</f>
        <v>NO SALE</v>
      </c>
      <c r="G443" s="178" t="s">
        <v>676</v>
      </c>
      <c r="H443" s="179">
        <f t="shared" si="61"/>
        <v>0</v>
      </c>
      <c r="I443" s="180" t="str">
        <f t="shared" si="62"/>
        <v/>
      </c>
      <c r="J443" s="181">
        <f t="shared" si="63"/>
        <v>0</v>
      </c>
      <c r="K443" s="182">
        <v>0</v>
      </c>
      <c r="L443" s="180" t="str">
        <f t="shared" si="68"/>
        <v/>
      </c>
      <c r="M443" s="218">
        <f>SUMIFS(DATA!$L:$L,DATA!$O:$O,$B446,DATA!$N:$N,$A446,DATA!$M:$M,'SALES BY SYSTEM'!$O$1)</f>
        <v>0</v>
      </c>
      <c r="N443" s="182">
        <v>0</v>
      </c>
      <c r="O443" s="180" t="str">
        <f t="shared" si="69"/>
        <v/>
      </c>
      <c r="P443" s="218">
        <f>SUMIFS(DATA!$L:$L,DATA!$O:$O,$B446,DATA!$N:$N,$A446,DATA!$M:$M,'SALES BY SYSTEM'!$O$2)</f>
        <v>0</v>
      </c>
      <c r="Q443" s="182">
        <v>0</v>
      </c>
      <c r="R443" s="180" t="str">
        <f t="shared" si="70"/>
        <v/>
      </c>
      <c r="S443" s="218">
        <f>SUMIFS(DATA!$L:$L,DATA!$O:$O,$B446,DATA!$N:$N,$A446,DATA!$M:$M,'SALES BY SYSTEM'!$O$4)</f>
        <v>0</v>
      </c>
      <c r="T443" s="182">
        <v>0</v>
      </c>
      <c r="U443" s="180" t="str">
        <f t="shared" si="71"/>
        <v/>
      </c>
      <c r="V443" s="218">
        <f>SUMIFS(DATA!$L:$L,DATA!$O:$O,$B446,DATA!$N:$N,$A446,DATA!$M:$M,'SALES BY SYSTEM'!$O$3)</f>
        <v>0</v>
      </c>
      <c r="W443" s="168"/>
    </row>
    <row r="444" spans="1:23" ht="15.75" customHeight="1" x14ac:dyDescent="0.25">
      <c r="A444" s="178" t="s">
        <v>942</v>
      </c>
      <c r="B444" s="178" t="s">
        <v>16</v>
      </c>
      <c r="C444" s="178" t="str">
        <f>VLOOKUP(A444,CUSTOMER!$A:$C,3,0)</f>
        <v>COOP_F_HHNAM</v>
      </c>
      <c r="D444" s="178" t="s">
        <v>674</v>
      </c>
      <c r="E444" s="178" t="str">
        <f>VLOOKUP(A447,CUSTOMER!$A$2:$H$1094,5,0)</f>
        <v>VAVANCY-VU MINH TUAN</v>
      </c>
      <c r="F444" s="178" t="str">
        <f>VLOOKUP(A447,CUSTOMER!$A$2:$I$1094,6,0)</f>
        <v>TRAN THI THANH TRUC</v>
      </c>
      <c r="G444" s="178" t="s">
        <v>676</v>
      </c>
      <c r="H444" s="179">
        <f t="shared" si="61"/>
        <v>0</v>
      </c>
      <c r="I444" s="180" t="str">
        <f t="shared" si="62"/>
        <v/>
      </c>
      <c r="J444" s="181">
        <f t="shared" si="63"/>
        <v>0</v>
      </c>
      <c r="K444" s="182">
        <v>0</v>
      </c>
      <c r="L444" s="180" t="str">
        <f t="shared" si="68"/>
        <v/>
      </c>
      <c r="M444" s="218">
        <f>SUMIFS(DATA!$L:$L,DATA!$O:$O,$B447,DATA!$N:$N,$A447,DATA!$M:$M,'SALES BY SYSTEM'!$O$1)</f>
        <v>0</v>
      </c>
      <c r="N444" s="182">
        <v>0</v>
      </c>
      <c r="O444" s="180" t="str">
        <f t="shared" si="69"/>
        <v/>
      </c>
      <c r="P444" s="218">
        <f>SUMIFS(DATA!$L:$L,DATA!$O:$O,$B447,DATA!$N:$N,$A447,DATA!$M:$M,'SALES BY SYSTEM'!$O$2)</f>
        <v>0</v>
      </c>
      <c r="Q444" s="182">
        <v>0</v>
      </c>
      <c r="R444" s="180" t="str">
        <f t="shared" si="70"/>
        <v/>
      </c>
      <c r="S444" s="218">
        <f>SUMIFS(DATA!$L:$L,DATA!$O:$O,$B447,DATA!$N:$N,$A447,DATA!$M:$M,'SALES BY SYSTEM'!$O$4)</f>
        <v>0</v>
      </c>
      <c r="T444" s="182">
        <v>0</v>
      </c>
      <c r="U444" s="180" t="str">
        <f t="shared" si="71"/>
        <v/>
      </c>
      <c r="V444" s="218">
        <f>SUMIFS(DATA!$L:$L,DATA!$O:$O,$B447,DATA!$N:$N,$A447,DATA!$M:$M,'SALES BY SYSTEM'!$O$3)</f>
        <v>0</v>
      </c>
      <c r="W444" s="168"/>
    </row>
    <row r="445" spans="1:23" ht="15.75" customHeight="1" x14ac:dyDescent="0.25">
      <c r="A445" s="178" t="s">
        <v>355</v>
      </c>
      <c r="B445" s="178" t="s">
        <v>16</v>
      </c>
      <c r="C445" s="178" t="str">
        <f>VLOOKUP(A445,CUSTOMER!$A:$C,3,0)</f>
        <v>COOP_F_HQUAN2</v>
      </c>
      <c r="D445" s="178" t="s">
        <v>674</v>
      </c>
      <c r="E445" s="178" t="str">
        <f>VLOOKUP(A448,CUSTOMER!$A$2:$H$1094,5,0)</f>
        <v>VAVANCY-VU MINH TUAN</v>
      </c>
      <c r="F445" s="178" t="str">
        <f>VLOOKUP(A448,CUSTOMER!$A$2:$I$1094,6,0)</f>
        <v>TRAN THI THANH TRUC</v>
      </c>
      <c r="G445" s="178" t="str">
        <f>VLOOKUP(A448,CUSTOMER!$A$1:$J$1160,7,0)</f>
        <v>"NO PG"</v>
      </c>
      <c r="H445" s="179">
        <f t="shared" si="61"/>
        <v>0</v>
      </c>
      <c r="I445" s="180" t="str">
        <f t="shared" si="62"/>
        <v/>
      </c>
      <c r="J445" s="181">
        <f t="shared" si="63"/>
        <v>0</v>
      </c>
      <c r="K445" s="182">
        <v>0</v>
      </c>
      <c r="L445" s="180" t="str">
        <f t="shared" si="68"/>
        <v/>
      </c>
      <c r="M445" s="218">
        <f>SUMIFS(DATA!$L:$L,DATA!$O:$O,$B448,DATA!$N:$N,$A448,DATA!$M:$M,'SALES BY SYSTEM'!$O$1)</f>
        <v>0</v>
      </c>
      <c r="N445" s="182">
        <v>0</v>
      </c>
      <c r="O445" s="180" t="str">
        <f t="shared" si="69"/>
        <v/>
      </c>
      <c r="P445" s="218">
        <f>SUMIFS(DATA!$L:$L,DATA!$O:$O,$B448,DATA!$N:$N,$A448,DATA!$M:$M,'SALES BY SYSTEM'!$O$2)</f>
        <v>0</v>
      </c>
      <c r="Q445" s="182">
        <v>0</v>
      </c>
      <c r="R445" s="180" t="str">
        <f t="shared" si="70"/>
        <v/>
      </c>
      <c r="S445" s="218">
        <f>SUMIFS(DATA!$L:$L,DATA!$O:$O,$B448,DATA!$N:$N,$A448,DATA!$M:$M,'SALES BY SYSTEM'!$O$4)</f>
        <v>0</v>
      </c>
      <c r="T445" s="182">
        <v>0</v>
      </c>
      <c r="U445" s="180" t="str">
        <f t="shared" si="71"/>
        <v/>
      </c>
      <c r="V445" s="218">
        <f>SUMIFS(DATA!$L:$L,DATA!$O:$O,$B448,DATA!$N:$N,$A448,DATA!$M:$M,'SALES BY SYSTEM'!$O$3)</f>
        <v>0</v>
      </c>
      <c r="W445" s="168"/>
    </row>
    <row r="446" spans="1:23" ht="15.75" customHeight="1" x14ac:dyDescent="0.25">
      <c r="A446" s="178" t="s">
        <v>325</v>
      </c>
      <c r="B446" s="178" t="s">
        <v>16</v>
      </c>
      <c r="C446" s="178" t="str">
        <f>VLOOKUP(A446,CUSTOMER!$A:$C,3,0)</f>
        <v>COOP_HTPHAT</v>
      </c>
      <c r="D446" s="178" t="s">
        <v>674</v>
      </c>
      <c r="E446" s="178" t="str">
        <f>VLOOKUP(A449,CUSTOMER!$A$2:$H$1094,5,0)</f>
        <v>VAVANCY-VU MINH TUAN</v>
      </c>
      <c r="F446" s="178" t="str">
        <f>VLOOKUP(A449,CUSTOMER!$A$2:$I$1094,6,0)</f>
        <v>TRAN THI THANH TRUC</v>
      </c>
      <c r="G446" s="178" t="s">
        <v>676</v>
      </c>
      <c r="H446" s="179">
        <f t="shared" si="61"/>
        <v>0</v>
      </c>
      <c r="I446" s="180" t="str">
        <f t="shared" si="62"/>
        <v/>
      </c>
      <c r="J446" s="181">
        <f t="shared" si="63"/>
        <v>0</v>
      </c>
      <c r="K446" s="182">
        <v>0</v>
      </c>
      <c r="L446" s="180" t="str">
        <f t="shared" si="68"/>
        <v/>
      </c>
      <c r="M446" s="218">
        <f>SUMIFS(DATA!$L:$L,DATA!$O:$O,$B449,DATA!$N:$N,$A449,DATA!$M:$M,'SALES BY SYSTEM'!$O$1)</f>
        <v>0</v>
      </c>
      <c r="N446" s="182">
        <v>0</v>
      </c>
      <c r="O446" s="180" t="str">
        <f t="shared" si="69"/>
        <v/>
      </c>
      <c r="P446" s="218">
        <f>SUMIFS(DATA!$L:$L,DATA!$O:$O,$B449,DATA!$N:$N,$A449,DATA!$M:$M,'SALES BY SYSTEM'!$O$2)</f>
        <v>0</v>
      </c>
      <c r="Q446" s="182">
        <v>0</v>
      </c>
      <c r="R446" s="180" t="str">
        <f t="shared" si="70"/>
        <v/>
      </c>
      <c r="S446" s="218">
        <f>SUMIFS(DATA!$L:$L,DATA!$O:$O,$B449,DATA!$N:$N,$A449,DATA!$M:$M,'SALES BY SYSTEM'!$O$4)</f>
        <v>0</v>
      </c>
      <c r="T446" s="182">
        <v>0</v>
      </c>
      <c r="U446" s="180" t="str">
        <f t="shared" si="71"/>
        <v/>
      </c>
      <c r="V446" s="218">
        <f>SUMIFS(DATA!$L:$L,DATA!$O:$O,$B449,DATA!$N:$N,$A449,DATA!$M:$M,'SALES BY SYSTEM'!$O$3)</f>
        <v>0</v>
      </c>
      <c r="W446" s="168"/>
    </row>
    <row r="447" spans="1:23" ht="15.75" customHeight="1" x14ac:dyDescent="0.25">
      <c r="A447" s="178" t="s">
        <v>1027</v>
      </c>
      <c r="B447" s="178" t="s">
        <v>16</v>
      </c>
      <c r="C447" s="178" t="str">
        <f>VLOOKUP(A447,CUSTOMER!$A:$C,3,0)</f>
        <v>COOP_F_HVNGHE</v>
      </c>
      <c r="D447" s="178" t="s">
        <v>674</v>
      </c>
      <c r="E447" s="178" t="str">
        <f>VLOOKUP(A450,CUSTOMER!$A$2:$H$1094,5,0)</f>
        <v>VAVANCY-VU MINH TUAN</v>
      </c>
      <c r="F447" s="178" t="str">
        <f>VLOOKUP(A450,CUSTOMER!$A$2:$I$1094,6,0)</f>
        <v>NO SALE</v>
      </c>
      <c r="G447" s="178" t="str">
        <f>VLOOKUP(A450,CUSTOMER!$A$1:$J$1160,7,0)</f>
        <v>"NO PG"</v>
      </c>
      <c r="H447" s="179">
        <f t="shared" si="61"/>
        <v>0</v>
      </c>
      <c r="I447" s="180" t="str">
        <f t="shared" si="62"/>
        <v/>
      </c>
      <c r="J447" s="181">
        <f t="shared" si="63"/>
        <v>0</v>
      </c>
      <c r="K447" s="182">
        <v>0</v>
      </c>
      <c r="L447" s="180" t="str">
        <f t="shared" si="68"/>
        <v/>
      </c>
      <c r="M447" s="218">
        <f>SUMIFS(DATA!$L:$L,DATA!$O:$O,$B450,DATA!$N:$N,$A450,DATA!$M:$M,'SALES BY SYSTEM'!$O$1)</f>
        <v>0</v>
      </c>
      <c r="N447" s="182">
        <v>0</v>
      </c>
      <c r="O447" s="180" t="str">
        <f t="shared" si="69"/>
        <v/>
      </c>
      <c r="P447" s="218">
        <f>SUMIFS(DATA!$L:$L,DATA!$O:$O,$B450,DATA!$N:$N,$A450,DATA!$M:$M,'SALES BY SYSTEM'!$O$2)</f>
        <v>0</v>
      </c>
      <c r="Q447" s="182">
        <v>0</v>
      </c>
      <c r="R447" s="180" t="str">
        <f t="shared" si="70"/>
        <v/>
      </c>
      <c r="S447" s="218">
        <f>SUMIFS(DATA!$L:$L,DATA!$O:$O,$B450,DATA!$N:$N,$A450,DATA!$M:$M,'SALES BY SYSTEM'!$O$4)</f>
        <v>0</v>
      </c>
      <c r="T447" s="182">
        <v>0</v>
      </c>
      <c r="U447" s="180" t="str">
        <f t="shared" si="71"/>
        <v/>
      </c>
      <c r="V447" s="218">
        <f>SUMIFS(DATA!$L:$L,DATA!$O:$O,$B450,DATA!$N:$N,$A450,DATA!$M:$M,'SALES BY SYSTEM'!$O$3)</f>
        <v>0</v>
      </c>
      <c r="W447" s="168"/>
    </row>
    <row r="448" spans="1:23" ht="15.75" customHeight="1" x14ac:dyDescent="0.25">
      <c r="A448" s="178" t="s">
        <v>1043</v>
      </c>
      <c r="B448" s="178" t="s">
        <v>16</v>
      </c>
      <c r="C448" s="178" t="str">
        <f>VLOOKUP(A448,CUSTOMER!$A:$C,3,0)</f>
        <v>COOP_F_IDICO</v>
      </c>
      <c r="D448" s="178" t="s">
        <v>674</v>
      </c>
      <c r="E448" s="178" t="str">
        <f>VLOOKUP(A451,CUSTOMER!$A$2:$H$1094,5,0)</f>
        <v>VAVANCY-VU MINH TUAN</v>
      </c>
      <c r="F448" s="178" t="str">
        <f>VLOOKUP(A451,CUSTOMER!$A$2:$I$1094,6,0)</f>
        <v>TRAN THI THANH TRUC</v>
      </c>
      <c r="G448" s="178" t="s">
        <v>676</v>
      </c>
      <c r="H448" s="179">
        <f t="shared" si="61"/>
        <v>0</v>
      </c>
      <c r="I448" s="180" t="str">
        <f t="shared" si="62"/>
        <v/>
      </c>
      <c r="J448" s="181">
        <f t="shared" si="63"/>
        <v>0</v>
      </c>
      <c r="K448" s="182">
        <v>0</v>
      </c>
      <c r="L448" s="180" t="str">
        <f t="shared" si="68"/>
        <v/>
      </c>
      <c r="M448" s="218">
        <f>SUMIFS(DATA!$L:$L,DATA!$O:$O,$B451,DATA!$N:$N,$A451,DATA!$M:$M,'SALES BY SYSTEM'!$O$1)</f>
        <v>0</v>
      </c>
      <c r="N448" s="182">
        <v>0</v>
      </c>
      <c r="O448" s="180" t="str">
        <f t="shared" si="69"/>
        <v/>
      </c>
      <c r="P448" s="218">
        <f>SUMIFS(DATA!$L:$L,DATA!$O:$O,$B451,DATA!$N:$N,$A451,DATA!$M:$M,'SALES BY SYSTEM'!$O$2)</f>
        <v>0</v>
      </c>
      <c r="Q448" s="182">
        <v>0</v>
      </c>
      <c r="R448" s="180" t="str">
        <f t="shared" si="70"/>
        <v/>
      </c>
      <c r="S448" s="218">
        <f>SUMIFS(DATA!$L:$L,DATA!$O:$O,$B451,DATA!$N:$N,$A451,DATA!$M:$M,'SALES BY SYSTEM'!$O$4)</f>
        <v>0</v>
      </c>
      <c r="T448" s="182">
        <v>0</v>
      </c>
      <c r="U448" s="180" t="str">
        <f t="shared" si="71"/>
        <v/>
      </c>
      <c r="V448" s="218">
        <f>SUMIFS(DATA!$L:$L,DATA!$O:$O,$B451,DATA!$N:$N,$A451,DATA!$M:$M,'SALES BY SYSTEM'!$O$3)</f>
        <v>0</v>
      </c>
      <c r="W448" s="168"/>
    </row>
    <row r="449" spans="1:23" ht="15.75" customHeight="1" x14ac:dyDescent="0.25">
      <c r="A449" s="178" t="s">
        <v>991</v>
      </c>
      <c r="B449" s="178" t="s">
        <v>16</v>
      </c>
      <c r="C449" s="178" t="str">
        <f>VLOOKUP(A449,CUSTOMER!$A:$C,3,0)</f>
        <v>COOP_F_LXOAI</v>
      </c>
      <c r="D449" s="178" t="s">
        <v>674</v>
      </c>
      <c r="E449" s="178" t="str">
        <f>VLOOKUP(A452,CUSTOMER!$A$2:$H$1094,5,0)</f>
        <v>VAVANCY-VU MINH TUAN</v>
      </c>
      <c r="F449" s="178" t="str">
        <f>VLOOKUP(A452,CUSTOMER!$A$2:$I$1094,6,0)</f>
        <v>TRAN THI THANH TRUC</v>
      </c>
      <c r="G449" s="178" t="str">
        <f>VLOOKUP(A452,CUSTOMER!$A$1:$J$1160,7,0)</f>
        <v>"NO PG"</v>
      </c>
      <c r="H449" s="179">
        <f t="shared" si="61"/>
        <v>0</v>
      </c>
      <c r="I449" s="180" t="str">
        <f t="shared" si="62"/>
        <v/>
      </c>
      <c r="J449" s="181">
        <f t="shared" si="63"/>
        <v>0</v>
      </c>
      <c r="K449" s="182">
        <v>0</v>
      </c>
      <c r="L449" s="180" t="str">
        <f t="shared" si="68"/>
        <v/>
      </c>
      <c r="M449" s="218">
        <f>SUMIFS(DATA!$L:$L,DATA!$O:$O,$B452,DATA!$N:$N,$A452,DATA!$M:$M,'SALES BY SYSTEM'!$O$1)</f>
        <v>0</v>
      </c>
      <c r="N449" s="182">
        <v>0</v>
      </c>
      <c r="O449" s="180" t="str">
        <f t="shared" si="69"/>
        <v/>
      </c>
      <c r="P449" s="218">
        <f>SUMIFS(DATA!$L:$L,DATA!$O:$O,$B452,DATA!$N:$N,$A452,DATA!$M:$M,'SALES BY SYSTEM'!$O$2)</f>
        <v>0</v>
      </c>
      <c r="Q449" s="182">
        <v>0</v>
      </c>
      <c r="R449" s="180" t="str">
        <f t="shared" si="70"/>
        <v/>
      </c>
      <c r="S449" s="218">
        <f>SUMIFS(DATA!$L:$L,DATA!$O:$O,$B452,DATA!$N:$N,$A452,DATA!$M:$M,'SALES BY SYSTEM'!$O$4)</f>
        <v>0</v>
      </c>
      <c r="T449" s="182">
        <v>0</v>
      </c>
      <c r="U449" s="180" t="str">
        <f t="shared" si="71"/>
        <v/>
      </c>
      <c r="V449" s="218">
        <f>SUMIFS(DATA!$L:$L,DATA!$O:$O,$B452,DATA!$N:$N,$A452,DATA!$M:$M,'SALES BY SYSTEM'!$O$3)</f>
        <v>0</v>
      </c>
      <c r="W449" s="168"/>
    </row>
    <row r="450" spans="1:23" ht="15.75" customHeight="1" x14ac:dyDescent="0.25">
      <c r="A450" s="178" t="s">
        <v>1123</v>
      </c>
      <c r="B450" s="178" t="s">
        <v>16</v>
      </c>
      <c r="C450" s="178" t="str">
        <f>VLOOKUP(A450,CUSTOMER!$A:$C,3,0)</f>
        <v>COOP_F_LLQ542</v>
      </c>
      <c r="D450" s="178" t="s">
        <v>674</v>
      </c>
      <c r="E450" s="178" t="str">
        <f>VLOOKUP(A453,CUSTOMER!$A$2:$H$1094,5,0)</f>
        <v>VAVANCY-VU MINH TUAN</v>
      </c>
      <c r="F450" s="178" t="str">
        <f>VLOOKUP(A453,CUSTOMER!$A$2:$I$1094,6,0)</f>
        <v>TRAN THI THANH TRUC</v>
      </c>
      <c r="G450" s="178" t="str">
        <f>VLOOKUP(A453,CUSTOMER!$A$1:$J$1160,7,0)</f>
        <v>"NO PG"</v>
      </c>
      <c r="H450" s="179">
        <f t="shared" si="61"/>
        <v>0</v>
      </c>
      <c r="I450" s="180" t="str">
        <f t="shared" si="62"/>
        <v/>
      </c>
      <c r="J450" s="181">
        <f t="shared" si="63"/>
        <v>0</v>
      </c>
      <c r="K450" s="182">
        <v>0</v>
      </c>
      <c r="L450" s="180" t="str">
        <f t="shared" si="68"/>
        <v/>
      </c>
      <c r="M450" s="218">
        <f>SUMIFS(DATA!$L:$L,DATA!$O:$O,$B453,DATA!$N:$N,$A453,DATA!$M:$M,'SALES BY SYSTEM'!$O$1)</f>
        <v>0</v>
      </c>
      <c r="N450" s="182">
        <v>0</v>
      </c>
      <c r="O450" s="180" t="str">
        <f t="shared" si="69"/>
        <v/>
      </c>
      <c r="P450" s="218">
        <f>SUMIFS(DATA!$L:$L,DATA!$O:$O,$B453,DATA!$N:$N,$A453,DATA!$M:$M,'SALES BY SYSTEM'!$O$2)</f>
        <v>0</v>
      </c>
      <c r="Q450" s="182">
        <v>0</v>
      </c>
      <c r="R450" s="180" t="str">
        <f t="shared" si="70"/>
        <v/>
      </c>
      <c r="S450" s="218">
        <f>SUMIFS(DATA!$L:$L,DATA!$O:$O,$B453,DATA!$N:$N,$A453,DATA!$M:$M,'SALES BY SYSTEM'!$O$4)</f>
        <v>0</v>
      </c>
      <c r="T450" s="182">
        <v>0</v>
      </c>
      <c r="U450" s="180" t="str">
        <f t="shared" si="71"/>
        <v/>
      </c>
      <c r="V450" s="218">
        <f>SUMIFS(DATA!$L:$L,DATA!$O:$O,$B453,DATA!$N:$N,$A453,DATA!$M:$M,'SALES BY SYSTEM'!$O$3)</f>
        <v>0</v>
      </c>
      <c r="W450" s="168"/>
    </row>
    <row r="451" spans="1:23" ht="15.75" customHeight="1" x14ac:dyDescent="0.25">
      <c r="A451" s="178" t="s">
        <v>993</v>
      </c>
      <c r="B451" s="178" t="s">
        <v>16</v>
      </c>
      <c r="C451" s="178" t="str">
        <f>VLOOKUP(A451,CUSTOMER!$A:$C,3,0)</f>
        <v>COOP_F_LVB</v>
      </c>
      <c r="D451" s="178" t="s">
        <v>674</v>
      </c>
      <c r="E451" s="178" t="str">
        <f>VLOOKUP(A454,CUSTOMER!$A$2:$H$1094,5,0)</f>
        <v>VAVANCY-VU MINH TUAN</v>
      </c>
      <c r="F451" s="178" t="str">
        <f>VLOOKUP(A454,CUSTOMER!$A$2:$I$1094,6,0)</f>
        <v>TRAN THI THANH TRUC</v>
      </c>
      <c r="G451" s="178" t="s">
        <v>676</v>
      </c>
      <c r="H451" s="179">
        <f t="shared" si="61"/>
        <v>0</v>
      </c>
      <c r="I451" s="180" t="str">
        <f t="shared" si="62"/>
        <v/>
      </c>
      <c r="J451" s="181">
        <f t="shared" si="63"/>
        <v>0</v>
      </c>
      <c r="K451" s="182">
        <v>0</v>
      </c>
      <c r="L451" s="180" t="str">
        <f t="shared" si="68"/>
        <v/>
      </c>
      <c r="M451" s="218">
        <f>SUMIFS(DATA!$L:$L,DATA!$O:$O,$B454,DATA!$N:$N,$A454,DATA!$M:$M,'SALES BY SYSTEM'!$O$1)</f>
        <v>0</v>
      </c>
      <c r="N451" s="182">
        <v>0</v>
      </c>
      <c r="O451" s="180" t="str">
        <f t="shared" si="69"/>
        <v/>
      </c>
      <c r="P451" s="218">
        <f>SUMIFS(DATA!$L:$L,DATA!$O:$O,$B454,DATA!$N:$N,$A454,DATA!$M:$M,'SALES BY SYSTEM'!$O$2)</f>
        <v>0</v>
      </c>
      <c r="Q451" s="182">
        <v>0</v>
      </c>
      <c r="R451" s="180" t="str">
        <f t="shared" si="70"/>
        <v/>
      </c>
      <c r="S451" s="218">
        <f>SUMIFS(DATA!$L:$L,DATA!$O:$O,$B454,DATA!$N:$N,$A454,DATA!$M:$M,'SALES BY SYSTEM'!$O$4)</f>
        <v>0</v>
      </c>
      <c r="T451" s="182">
        <v>0</v>
      </c>
      <c r="U451" s="180" t="str">
        <f t="shared" si="71"/>
        <v/>
      </c>
      <c r="V451" s="218">
        <f>SUMIFS(DATA!$L:$L,DATA!$O:$O,$B454,DATA!$N:$N,$A454,DATA!$M:$M,'SALES BY SYSTEM'!$O$3)</f>
        <v>0</v>
      </c>
      <c r="W451" s="168"/>
    </row>
    <row r="452" spans="1:23" ht="15.75" customHeight="1" x14ac:dyDescent="0.25">
      <c r="A452" s="178" t="s">
        <v>963</v>
      </c>
      <c r="B452" s="178" t="s">
        <v>16</v>
      </c>
      <c r="C452" s="178" t="str">
        <f>VLOOKUP(A452,CUSTOMER!$A:$C,3,0)</f>
        <v>COOP_F_LTPHU</v>
      </c>
      <c r="D452" s="178" t="s">
        <v>674</v>
      </c>
      <c r="E452" s="178" t="str">
        <f>VLOOKUP(A455,CUSTOMER!$A$2:$H$1094,5,0)</f>
        <v>VAVANCY-VU MINH TUAN</v>
      </c>
      <c r="F452" s="178" t="str">
        <f>VLOOKUP(A455,CUSTOMER!$A$2:$I$1094,6,0)</f>
        <v>TRAN THI THANH TRUC</v>
      </c>
      <c r="G452" s="178" t="str">
        <f>VLOOKUP(A455,CUSTOMER!$A$1:$J$1160,7,0)</f>
        <v>"NO PG"</v>
      </c>
      <c r="H452" s="179">
        <f t="shared" si="61"/>
        <v>0</v>
      </c>
      <c r="I452" s="180" t="str">
        <f t="shared" si="62"/>
        <v/>
      </c>
      <c r="J452" s="181">
        <f t="shared" si="63"/>
        <v>0</v>
      </c>
      <c r="K452" s="182">
        <v>0</v>
      </c>
      <c r="L452" s="180" t="str">
        <f t="shared" si="68"/>
        <v/>
      </c>
      <c r="M452" s="218">
        <f>SUMIFS(DATA!$L:$L,DATA!$O:$O,$B455,DATA!$N:$N,$A455,DATA!$M:$M,'SALES BY SYSTEM'!$O$1)</f>
        <v>0</v>
      </c>
      <c r="N452" s="182">
        <v>0</v>
      </c>
      <c r="O452" s="180" t="str">
        <f t="shared" si="69"/>
        <v/>
      </c>
      <c r="P452" s="218">
        <f>SUMIFS(DATA!$L:$L,DATA!$O:$O,$B455,DATA!$N:$N,$A455,DATA!$M:$M,'SALES BY SYSTEM'!$O$2)</f>
        <v>0</v>
      </c>
      <c r="Q452" s="182">
        <v>0</v>
      </c>
      <c r="R452" s="180" t="str">
        <f t="shared" si="70"/>
        <v/>
      </c>
      <c r="S452" s="218">
        <f>SUMIFS(DATA!$L:$L,DATA!$O:$O,$B455,DATA!$N:$N,$A455,DATA!$M:$M,'SALES BY SYSTEM'!$O$4)</f>
        <v>0</v>
      </c>
      <c r="T452" s="182">
        <v>0</v>
      </c>
      <c r="U452" s="180" t="str">
        <f t="shared" si="71"/>
        <v/>
      </c>
      <c r="V452" s="218">
        <f>SUMIFS(DATA!$L:$L,DATA!$O:$O,$B455,DATA!$N:$N,$A455,DATA!$M:$M,'SALES BY SYSTEM'!$O$3)</f>
        <v>0</v>
      </c>
      <c r="W452" s="168"/>
    </row>
    <row r="453" spans="1:23" ht="15.75" customHeight="1" x14ac:dyDescent="0.25">
      <c r="A453" s="178" t="s">
        <v>987</v>
      </c>
      <c r="B453" s="178" t="s">
        <v>16</v>
      </c>
      <c r="C453" s="178" t="str">
        <f>VLOOKUP(A453,CUSTOMER!$A:$C,3,0)</f>
        <v>COOP_F_LAVITA</v>
      </c>
      <c r="D453" s="178" t="s">
        <v>674</v>
      </c>
      <c r="E453" s="178" t="str">
        <f>VLOOKUP(A456,CUSTOMER!$A$2:$H$1094,5,0)</f>
        <v>VAVANCY-VU MINH TUAN</v>
      </c>
      <c r="F453" s="178" t="str">
        <f>VLOOKUP(A456,CUSTOMER!$A$2:$I$1094,6,0)</f>
        <v>TRAN THI THANH TRUC</v>
      </c>
      <c r="G453" s="178" t="str">
        <f>VLOOKUP(A456,CUSTOMER!$A$1:$J$1160,7,0)</f>
        <v>"NO PG"</v>
      </c>
      <c r="H453" s="179">
        <f t="shared" si="61"/>
        <v>0</v>
      </c>
      <c r="I453" s="180" t="str">
        <f t="shared" si="62"/>
        <v/>
      </c>
      <c r="J453" s="181">
        <f t="shared" si="63"/>
        <v>0</v>
      </c>
      <c r="K453" s="182">
        <v>0</v>
      </c>
      <c r="L453" s="180" t="str">
        <f t="shared" si="68"/>
        <v/>
      </c>
      <c r="M453" s="218">
        <f>SUMIFS(DATA!$L:$L,DATA!$O:$O,$B456,DATA!$N:$N,$A456,DATA!$M:$M,'SALES BY SYSTEM'!$O$1)</f>
        <v>0</v>
      </c>
      <c r="N453" s="182">
        <v>0</v>
      </c>
      <c r="O453" s="180" t="str">
        <f t="shared" si="69"/>
        <v/>
      </c>
      <c r="P453" s="218">
        <f>SUMIFS(DATA!$L:$L,DATA!$O:$O,$B456,DATA!$N:$N,$A456,DATA!$M:$M,'SALES BY SYSTEM'!$O$2)</f>
        <v>0</v>
      </c>
      <c r="Q453" s="182">
        <v>0</v>
      </c>
      <c r="R453" s="180" t="str">
        <f t="shared" si="70"/>
        <v/>
      </c>
      <c r="S453" s="218">
        <f>SUMIFS(DATA!$L:$L,DATA!$O:$O,$B456,DATA!$N:$N,$A456,DATA!$M:$M,'SALES BY SYSTEM'!$O$4)</f>
        <v>0</v>
      </c>
      <c r="T453" s="182">
        <v>0</v>
      </c>
      <c r="U453" s="180" t="str">
        <f t="shared" si="71"/>
        <v/>
      </c>
      <c r="V453" s="218">
        <f>SUMIFS(DATA!$L:$L,DATA!$O:$O,$B456,DATA!$N:$N,$A456,DATA!$M:$M,'SALES BY SYSTEM'!$O$3)</f>
        <v>0</v>
      </c>
      <c r="W453" s="168"/>
    </row>
    <row r="454" spans="1:23" ht="15.75" customHeight="1" x14ac:dyDescent="0.25">
      <c r="A454" s="178" t="s">
        <v>378</v>
      </c>
      <c r="B454" s="178" t="s">
        <v>16</v>
      </c>
      <c r="C454" s="178" t="str">
        <f>VLOOKUP(A454,CUSTOMER!$A:$C,3,0)</f>
        <v>COOP_F_DS9LTAY</v>
      </c>
      <c r="D454" s="178" t="s">
        <v>674</v>
      </c>
      <c r="E454" s="178" t="s">
        <v>637</v>
      </c>
      <c r="F454" s="178" t="s">
        <v>901</v>
      </c>
      <c r="G454" s="178" t="str">
        <f>VLOOKUP(A457,CUSTOMER!$A$1:$J$1160,7,0)</f>
        <v>"NO PG"</v>
      </c>
      <c r="H454" s="179">
        <f t="shared" si="61"/>
        <v>0</v>
      </c>
      <c r="I454" s="180" t="str">
        <f t="shared" si="62"/>
        <v/>
      </c>
      <c r="J454" s="181">
        <f t="shared" si="63"/>
        <v>0</v>
      </c>
      <c r="K454" s="182">
        <v>0</v>
      </c>
      <c r="L454" s="180" t="str">
        <f t="shared" si="68"/>
        <v/>
      </c>
      <c r="M454" s="218">
        <f>SUMIFS(DATA!$L:$L,DATA!$O:$O,$B457,DATA!$N:$N,$A457,DATA!$M:$M,'SALES BY SYSTEM'!$O$1)</f>
        <v>0</v>
      </c>
      <c r="N454" s="182">
        <v>0</v>
      </c>
      <c r="O454" s="180" t="str">
        <f t="shared" si="69"/>
        <v/>
      </c>
      <c r="P454" s="218">
        <f>SUMIFS(DATA!$L:$L,DATA!$O:$O,$B457,DATA!$N:$N,$A457,DATA!$M:$M,'SALES BY SYSTEM'!$O$2)</f>
        <v>0</v>
      </c>
      <c r="Q454" s="182">
        <v>0</v>
      </c>
      <c r="R454" s="180" t="str">
        <f t="shared" si="70"/>
        <v/>
      </c>
      <c r="S454" s="218">
        <f>SUMIFS(DATA!$L:$L,DATA!$O:$O,$B457,DATA!$N:$N,$A457,DATA!$M:$M,'SALES BY SYSTEM'!$O$4)</f>
        <v>0</v>
      </c>
      <c r="T454" s="182">
        <v>0</v>
      </c>
      <c r="U454" s="180" t="str">
        <f t="shared" si="71"/>
        <v/>
      </c>
      <c r="V454" s="218">
        <f>SUMIFS(DATA!$L:$L,DATA!$O:$O,$B457,DATA!$N:$N,$A457,DATA!$M:$M,'SALES BY SYSTEM'!$O$3)</f>
        <v>0</v>
      </c>
      <c r="W454" s="168"/>
    </row>
    <row r="455" spans="1:23" ht="15.75" customHeight="1" x14ac:dyDescent="0.25">
      <c r="A455" s="178" t="s">
        <v>926</v>
      </c>
      <c r="B455" s="178" t="s">
        <v>16</v>
      </c>
      <c r="C455" s="178" t="str">
        <f>VLOOKUP(A455,CUSTOMER!$A:$C,3,0)</f>
        <v>COOP_F_LLOI60</v>
      </c>
      <c r="D455" s="178" t="s">
        <v>674</v>
      </c>
      <c r="E455" s="178" t="str">
        <f>VLOOKUP(A458,CUSTOMER!$A$2:$H$1094,5,0)</f>
        <v>VAVANCY-VU MINH TUAN</v>
      </c>
      <c r="F455" s="178" t="str">
        <f>VLOOKUP(A458,CUSTOMER!$A$2:$I$1094,6,0)</f>
        <v>TRAN THI THANH TRUC</v>
      </c>
      <c r="G455" s="178" t="s">
        <v>676</v>
      </c>
      <c r="H455" s="179">
        <f t="shared" si="61"/>
        <v>0</v>
      </c>
      <c r="I455" s="180" t="str">
        <f t="shared" si="62"/>
        <v/>
      </c>
      <c r="J455" s="181">
        <f t="shared" si="63"/>
        <v>0</v>
      </c>
      <c r="K455" s="182">
        <v>0</v>
      </c>
      <c r="L455" s="180"/>
      <c r="M455" s="218">
        <f>SUMIFS(DATA!$L:$L,DATA!$O:$O,$B458,DATA!$N:$N,$A458,DATA!$M:$M,'SALES BY SYSTEM'!$O$1)</f>
        <v>0</v>
      </c>
      <c r="N455" s="182">
        <v>0</v>
      </c>
      <c r="O455" s="180" t="str">
        <f t="shared" si="69"/>
        <v/>
      </c>
      <c r="P455" s="218">
        <f>SUMIFS(DATA!$L:$L,DATA!$O:$O,$B458,DATA!$N:$N,$A458,DATA!$M:$M,'SALES BY SYSTEM'!$O$2)</f>
        <v>0</v>
      </c>
      <c r="Q455" s="182">
        <v>0</v>
      </c>
      <c r="R455" s="180" t="str">
        <f t="shared" si="70"/>
        <v/>
      </c>
      <c r="S455" s="218">
        <f>SUMIFS(DATA!$L:$L,DATA!$O:$O,$B458,DATA!$N:$N,$A458,DATA!$M:$M,'SALES BY SYSTEM'!$O$4)</f>
        <v>0</v>
      </c>
      <c r="T455" s="182">
        <v>0</v>
      </c>
      <c r="U455" s="180" t="str">
        <f t="shared" si="71"/>
        <v/>
      </c>
      <c r="V455" s="218">
        <f>SUMIFS(DATA!$L:$L,DATA!$O:$O,$B458,DATA!$N:$N,$A458,DATA!$M:$M,'SALES BY SYSTEM'!$O$3)</f>
        <v>0</v>
      </c>
      <c r="W455" s="168"/>
    </row>
    <row r="456" spans="1:23" ht="15.75" customHeight="1" x14ac:dyDescent="0.25">
      <c r="A456" s="178" t="s">
        <v>973</v>
      </c>
      <c r="B456" s="178" t="s">
        <v>16</v>
      </c>
      <c r="C456" s="178" t="str">
        <f>VLOOKUP(A456,CUSTOMER!$A:$C,3,0)</f>
        <v>COOP_F_LQDINH</v>
      </c>
      <c r="D456" s="178" t="s">
        <v>674</v>
      </c>
      <c r="E456" s="178" t="str">
        <f>VLOOKUP(A459,CUSTOMER!$A$2:$H$1094,5,0)</f>
        <v>VAVANCY-VU MINH TUAN</v>
      </c>
      <c r="F456" s="178" t="str">
        <f>VLOOKUP(A459,CUSTOMER!$A$2:$I$1094,6,0)</f>
        <v>TRAN THI THANH TRUC</v>
      </c>
      <c r="G456" s="178" t="s">
        <v>676</v>
      </c>
      <c r="H456" s="179">
        <f t="shared" si="61"/>
        <v>0</v>
      </c>
      <c r="I456" s="180" t="str">
        <f t="shared" si="62"/>
        <v/>
      </c>
      <c r="J456" s="181">
        <f t="shared" si="63"/>
        <v>0</v>
      </c>
      <c r="K456" s="182">
        <v>0</v>
      </c>
      <c r="L456" s="180" t="str">
        <f>IFERROR(M459/K459,"")</f>
        <v/>
      </c>
      <c r="M456" s="218">
        <f>SUMIFS(DATA!$L:$L,DATA!$O:$O,$B459,DATA!$N:$N,$A459,DATA!$M:$M,'SALES BY SYSTEM'!$O$1)</f>
        <v>0</v>
      </c>
      <c r="N456" s="182">
        <v>0</v>
      </c>
      <c r="O456" s="180" t="str">
        <f t="shared" si="69"/>
        <v/>
      </c>
      <c r="P456" s="218">
        <f>SUMIFS(DATA!$L:$L,DATA!$O:$O,$B459,DATA!$N:$N,$A459,DATA!$M:$M,'SALES BY SYSTEM'!$O$2)</f>
        <v>0</v>
      </c>
      <c r="Q456" s="182">
        <v>0</v>
      </c>
      <c r="R456" s="180" t="str">
        <f t="shared" si="70"/>
        <v/>
      </c>
      <c r="S456" s="218">
        <f>SUMIFS(DATA!$L:$L,DATA!$O:$O,$B459,DATA!$N:$N,$A459,DATA!$M:$M,'SALES BY SYSTEM'!$O$4)</f>
        <v>0</v>
      </c>
      <c r="T456" s="182">
        <v>0</v>
      </c>
      <c r="U456" s="180" t="str">
        <f t="shared" si="71"/>
        <v/>
      </c>
      <c r="V456" s="218">
        <f>SUMIFS(DATA!$L:$L,DATA!$O:$O,$B459,DATA!$N:$N,$A459,DATA!$M:$M,'SALES BY SYSTEM'!$O$3)</f>
        <v>0</v>
      </c>
      <c r="W456" s="168"/>
    </row>
    <row r="457" spans="1:23" ht="15.75" customHeight="1" x14ac:dyDescent="0.25">
      <c r="A457" s="178" t="s">
        <v>981</v>
      </c>
      <c r="B457" s="178" t="s">
        <v>16</v>
      </c>
      <c r="C457" s="178" t="str">
        <f>VLOOKUP(A457,CUSTOMER!$A:$C,3,0)</f>
        <v>COOP_F_LVLUONG1187</v>
      </c>
      <c r="D457" s="178" t="s">
        <v>674</v>
      </c>
      <c r="E457" s="178" t="str">
        <f>VLOOKUP(A460,CUSTOMER!$A$2:$H$1094,5,0)</f>
        <v>VAVANCY-VU MINH TUAN</v>
      </c>
      <c r="F457" s="178" t="str">
        <f>VLOOKUP(A460,CUSTOMER!$A$2:$I$1094,6,0)</f>
        <v>TRAN THI THANH TRUC</v>
      </c>
      <c r="G457" s="178" t="s">
        <v>676</v>
      </c>
      <c r="H457" s="179">
        <f t="shared" si="61"/>
        <v>0</v>
      </c>
      <c r="I457" s="180" t="str">
        <f t="shared" si="62"/>
        <v/>
      </c>
      <c r="J457" s="181">
        <f t="shared" si="63"/>
        <v>0</v>
      </c>
      <c r="K457" s="182">
        <v>0</v>
      </c>
      <c r="L457" s="180" t="str">
        <f>IFERROR(M460/K460,"")</f>
        <v/>
      </c>
      <c r="M457" s="218">
        <f>SUMIFS(DATA!$L:$L,DATA!$O:$O,$B460,DATA!$N:$N,$A460,DATA!$M:$M,'SALES BY SYSTEM'!$O$1)</f>
        <v>0</v>
      </c>
      <c r="N457" s="182">
        <v>0</v>
      </c>
      <c r="O457" s="180" t="str">
        <f t="shared" si="69"/>
        <v/>
      </c>
      <c r="P457" s="218">
        <f>SUMIFS(DATA!$L:$L,DATA!$O:$O,$B460,DATA!$N:$N,$A460,DATA!$M:$M,'SALES BY SYSTEM'!$O$2)</f>
        <v>0</v>
      </c>
      <c r="Q457" s="182">
        <v>0</v>
      </c>
      <c r="R457" s="180" t="str">
        <f t="shared" si="70"/>
        <v/>
      </c>
      <c r="S457" s="218">
        <f>SUMIFS(DATA!$L:$L,DATA!$O:$O,$B460,DATA!$N:$N,$A460,DATA!$M:$M,'SALES BY SYSTEM'!$O$4)</f>
        <v>0</v>
      </c>
      <c r="T457" s="182">
        <v>0</v>
      </c>
      <c r="U457" s="180" t="str">
        <f t="shared" si="71"/>
        <v/>
      </c>
      <c r="V457" s="218">
        <f>SUMIFS(DATA!$L:$L,DATA!$O:$O,$B460,DATA!$N:$N,$A460,DATA!$M:$M,'SALES BY SYSTEM'!$O$3)</f>
        <v>0</v>
      </c>
      <c r="W457" s="168"/>
    </row>
    <row r="458" spans="1:23" ht="15.75" customHeight="1" x14ac:dyDescent="0.25">
      <c r="A458" s="178" t="s">
        <v>930</v>
      </c>
      <c r="B458" s="178" t="s">
        <v>16</v>
      </c>
      <c r="C458" s="178" t="str">
        <f>VLOOKUP(A458,CUSTOMER!$A:$C,3,0)</f>
        <v>COOP_F_LVL302</v>
      </c>
      <c r="D458" s="178" t="s">
        <v>674</v>
      </c>
      <c r="E458" s="178" t="str">
        <f>VLOOKUP(A461,CUSTOMER!$A$2:$H$1094,5,0)</f>
        <v>VAVANCY-VU MINH TUAN</v>
      </c>
      <c r="F458" s="178" t="str">
        <f>VLOOKUP(A461,CUSTOMER!$A$2:$I$1094,6,0)</f>
        <v>TRAN THI THANH TRUC</v>
      </c>
      <c r="G458" s="178" t="s">
        <v>676</v>
      </c>
      <c r="H458" s="179">
        <f t="shared" si="61"/>
        <v>0</v>
      </c>
      <c r="I458" s="180" t="str">
        <f t="shared" si="62"/>
        <v/>
      </c>
      <c r="J458" s="181">
        <f t="shared" si="63"/>
        <v>0</v>
      </c>
      <c r="K458" s="182">
        <v>0</v>
      </c>
      <c r="L458" s="180"/>
      <c r="M458" s="218">
        <f>SUMIFS(DATA!$L:$L,DATA!$O:$O,$B461,DATA!$N:$N,$A461,DATA!$M:$M,'SALES BY SYSTEM'!$O$1)</f>
        <v>0</v>
      </c>
      <c r="N458" s="182">
        <v>0</v>
      </c>
      <c r="O458" s="180" t="str">
        <f t="shared" si="69"/>
        <v/>
      </c>
      <c r="P458" s="218">
        <f>SUMIFS(DATA!$L:$L,DATA!$O:$O,$B461,DATA!$N:$N,$A461,DATA!$M:$M,'SALES BY SYSTEM'!$O$2)</f>
        <v>0</v>
      </c>
      <c r="Q458" s="182">
        <v>0</v>
      </c>
      <c r="R458" s="180" t="str">
        <f t="shared" si="70"/>
        <v/>
      </c>
      <c r="S458" s="218">
        <f>SUMIFS(DATA!$L:$L,DATA!$O:$O,$B461,DATA!$N:$N,$A461,DATA!$M:$M,'SALES BY SYSTEM'!$O$4)</f>
        <v>0</v>
      </c>
      <c r="T458" s="182">
        <v>0</v>
      </c>
      <c r="U458" s="180" t="str">
        <f t="shared" si="71"/>
        <v/>
      </c>
      <c r="V458" s="218">
        <f>SUMIFS(DATA!$L:$L,DATA!$O:$O,$B461,DATA!$N:$N,$A461,DATA!$M:$M,'SALES BY SYSTEM'!$O$3)</f>
        <v>0</v>
      </c>
      <c r="W458" s="168"/>
    </row>
    <row r="459" spans="1:23" ht="15.75" customHeight="1" x14ac:dyDescent="0.25">
      <c r="A459" s="139" t="s">
        <v>904</v>
      </c>
      <c r="B459" s="4" t="s">
        <v>16</v>
      </c>
      <c r="C459" s="261" t="str">
        <f>VLOOKUP(A459,CUSTOMER!$A:$C,3,0)</f>
        <v>COOP_F_LVQ</v>
      </c>
      <c r="D459" s="178" t="s">
        <v>674</v>
      </c>
      <c r="E459" s="178" t="str">
        <f>VLOOKUP(A462,CUSTOMER!$A$2:$H$1094,5,0)</f>
        <v>VAVANCY-VU MINH TUAN</v>
      </c>
      <c r="F459" s="178" t="str">
        <f>VLOOKUP(A462,CUSTOMER!$A$2:$I$1094,6,0)</f>
        <v>NO SALE</v>
      </c>
      <c r="G459" s="4" t="s">
        <v>676</v>
      </c>
      <c r="H459" s="179">
        <f t="shared" si="61"/>
        <v>0</v>
      </c>
      <c r="I459" s="180" t="str">
        <f t="shared" si="62"/>
        <v/>
      </c>
      <c r="J459" s="181">
        <f t="shared" si="63"/>
        <v>0</v>
      </c>
      <c r="K459" s="182">
        <v>0</v>
      </c>
      <c r="L459" s="180"/>
      <c r="M459" s="218">
        <f>SUMIFS(DATA!$L:$L,DATA!$O:$O,$B462,DATA!$N:$N,$A462,DATA!$M:$M,'SALES BY SYSTEM'!$O$1)</f>
        <v>0</v>
      </c>
      <c r="N459" s="182">
        <v>0</v>
      </c>
      <c r="O459" s="180"/>
      <c r="P459" s="218">
        <f>SUMIFS(DATA!$L:$L,DATA!$O:$O,$B462,DATA!$N:$N,$A462,DATA!$M:$M,'SALES BY SYSTEM'!$O$2)</f>
        <v>0</v>
      </c>
      <c r="Q459" s="182">
        <v>0</v>
      </c>
      <c r="R459" s="180"/>
      <c r="S459" s="218">
        <f>SUMIFS(DATA!$L:$L,DATA!$O:$O,$B462,DATA!$N:$N,$A462,DATA!$M:$M,'SALES BY SYSTEM'!$O$4)</f>
        <v>0</v>
      </c>
      <c r="T459" s="182">
        <v>0</v>
      </c>
      <c r="U459" s="180"/>
      <c r="V459" s="218">
        <f>SUMIFS(DATA!$L:$L,DATA!$O:$O,$B462,DATA!$N:$N,$A462,DATA!$M:$M,'SALES BY SYSTEM'!$O$3)</f>
        <v>0</v>
      </c>
      <c r="W459" s="168"/>
    </row>
    <row r="460" spans="1:23" ht="15.75" customHeight="1" x14ac:dyDescent="0.25">
      <c r="A460" s="178" t="s">
        <v>936</v>
      </c>
      <c r="B460" s="178" t="s">
        <v>16</v>
      </c>
      <c r="C460" s="178" t="str">
        <f>VLOOKUP(A460,CUSTOMER!$A:$C,3,0)</f>
        <v>COOP_F_LVSY</v>
      </c>
      <c r="D460" s="178" t="s">
        <v>674</v>
      </c>
      <c r="E460" s="178" t="str">
        <f>VLOOKUP(A463,CUSTOMER!$A$2:$H$1094,5,0)</f>
        <v>VAVANCY-VU MINH TUAN</v>
      </c>
      <c r="F460" s="178" t="str">
        <f>VLOOKUP(A463,CUSTOMER!$A$2:$I$1094,6,0)</f>
        <v>TRAN THI THANH TRUC</v>
      </c>
      <c r="G460" s="178" t="s">
        <v>676</v>
      </c>
      <c r="H460" s="179">
        <f t="shared" si="61"/>
        <v>0</v>
      </c>
      <c r="I460" s="180" t="str">
        <f t="shared" si="62"/>
        <v/>
      </c>
      <c r="J460" s="181">
        <f t="shared" si="63"/>
        <v>0</v>
      </c>
      <c r="K460" s="182">
        <v>0</v>
      </c>
      <c r="L460" s="180" t="str">
        <f>IFERROR(M463/K463,"")</f>
        <v/>
      </c>
      <c r="M460" s="218">
        <f>SUMIFS(DATA!$L:$L,DATA!$O:$O,$B463,DATA!$N:$N,$A463,DATA!$M:$M,'SALES BY SYSTEM'!$O$1)</f>
        <v>0</v>
      </c>
      <c r="N460" s="182">
        <v>0</v>
      </c>
      <c r="O460" s="180" t="str">
        <f>IFERROR(P463/N463,"")</f>
        <v/>
      </c>
      <c r="P460" s="218">
        <f>SUMIFS(DATA!$L:$L,DATA!$O:$O,$B463,DATA!$N:$N,$A463,DATA!$M:$M,'SALES BY SYSTEM'!$O$2)</f>
        <v>0</v>
      </c>
      <c r="Q460" s="182">
        <v>0</v>
      </c>
      <c r="R460" s="180" t="str">
        <f>IFERROR(S463/Q463,"")</f>
        <v/>
      </c>
      <c r="S460" s="218">
        <f>SUMIFS(DATA!$L:$L,DATA!$O:$O,$B463,DATA!$N:$N,$A463,DATA!$M:$M,'SALES BY SYSTEM'!$O$4)</f>
        <v>0</v>
      </c>
      <c r="T460" s="182">
        <v>0</v>
      </c>
      <c r="U460" s="180" t="str">
        <f>IFERROR(V463/T463,"")</f>
        <v/>
      </c>
      <c r="V460" s="218">
        <f>SUMIFS(DATA!$L:$L,DATA!$O:$O,$B463,DATA!$N:$N,$A463,DATA!$M:$M,'SALES BY SYSTEM'!$O$3)</f>
        <v>0</v>
      </c>
      <c r="W460" s="168"/>
    </row>
    <row r="461" spans="1:23" ht="15.75" customHeight="1" x14ac:dyDescent="0.25">
      <c r="A461" s="178" t="s">
        <v>339</v>
      </c>
      <c r="B461" s="178" t="s">
        <v>16</v>
      </c>
      <c r="C461" s="178" t="str">
        <f>VLOOKUP(A461,CUSTOMER!$A:$C,3,0)</f>
        <v>COOP_F_LVTHINH</v>
      </c>
      <c r="D461" s="178" t="s">
        <v>674</v>
      </c>
      <c r="E461" s="178" t="str">
        <f>VLOOKUP(A464,CUSTOMER!$A$2:$H$1094,5,0)</f>
        <v>VAVANCY-VU MINH TUAN</v>
      </c>
      <c r="F461" s="178" t="str">
        <f>VLOOKUP(A464,CUSTOMER!$A$2:$I$1094,6,0)</f>
        <v>TRAN THI THANH TRUC</v>
      </c>
      <c r="G461" s="178" t="str">
        <f>VLOOKUP(A464,CUSTOMER!$A$1:$J$1160,7,0)</f>
        <v>"NO PG"</v>
      </c>
      <c r="H461" s="179">
        <f t="shared" si="61"/>
        <v>0</v>
      </c>
      <c r="I461" s="180" t="str">
        <f t="shared" si="62"/>
        <v/>
      </c>
      <c r="J461" s="181">
        <f t="shared" si="63"/>
        <v>0</v>
      </c>
      <c r="K461" s="182">
        <v>0</v>
      </c>
      <c r="L461" s="180" t="str">
        <f>IFERROR(M464/K464,"")</f>
        <v/>
      </c>
      <c r="M461" s="218">
        <f>SUMIFS(DATA!$L:$L,DATA!$O:$O,$B464,DATA!$N:$N,$A464,DATA!$M:$M,'SALES BY SYSTEM'!$O$1)</f>
        <v>0</v>
      </c>
      <c r="N461" s="182">
        <v>0</v>
      </c>
      <c r="O461" s="180" t="str">
        <f>IFERROR(P464/N464,"")</f>
        <v/>
      </c>
      <c r="P461" s="218">
        <f>SUMIFS(DATA!$L:$L,DATA!$O:$O,$B464,DATA!$N:$N,$A464,DATA!$M:$M,'SALES BY SYSTEM'!$O$2)</f>
        <v>0</v>
      </c>
      <c r="Q461" s="182">
        <v>0</v>
      </c>
      <c r="R461" s="180" t="str">
        <f>IFERROR(S464/Q464,"")</f>
        <v/>
      </c>
      <c r="S461" s="218">
        <f>SUMIFS(DATA!$L:$L,DATA!$O:$O,$B464,DATA!$N:$N,$A464,DATA!$M:$M,'SALES BY SYSTEM'!$O$4)</f>
        <v>0</v>
      </c>
      <c r="T461" s="182">
        <v>0</v>
      </c>
      <c r="U461" s="180" t="str">
        <f>IFERROR(V464/T464,"")</f>
        <v/>
      </c>
      <c r="V461" s="218">
        <f>SUMIFS(DATA!$L:$L,DATA!$O:$O,$B464,DATA!$N:$N,$A464,DATA!$M:$M,'SALES BY SYSTEM'!$O$3)</f>
        <v>0</v>
      </c>
      <c r="W461" s="168"/>
    </row>
    <row r="462" spans="1:23" ht="15.75" customHeight="1" x14ac:dyDescent="0.25">
      <c r="A462" s="178" t="s">
        <v>404</v>
      </c>
      <c r="B462" s="178" t="s">
        <v>16</v>
      </c>
      <c r="C462" s="178" t="str">
        <f>VLOOKUP(A462,CUSTOMER!$A:$C,3,0)</f>
        <v>COOP_F_LVTHO</v>
      </c>
      <c r="D462" s="178" t="s">
        <v>674</v>
      </c>
      <c r="E462" s="178" t="str">
        <f>VLOOKUP(A465,CUSTOMER!$A$2:$H$1094,5,0)</f>
        <v>VAVANCY-VU MINH TUAN</v>
      </c>
      <c r="F462" s="178" t="str">
        <f>VLOOKUP(A465,CUSTOMER!$A$2:$I$1094,6,0)</f>
        <v>TRAN THI THANH TRUC</v>
      </c>
      <c r="G462" s="178" t="str">
        <f>VLOOKUP(A465,CUSTOMER!$A$1:$J$1160,7,0)</f>
        <v>"NO PG"</v>
      </c>
      <c r="H462" s="179">
        <f t="shared" si="61"/>
        <v>0</v>
      </c>
      <c r="I462" s="180" t="str">
        <f t="shared" si="62"/>
        <v/>
      </c>
      <c r="J462" s="181">
        <f t="shared" si="63"/>
        <v>0</v>
      </c>
      <c r="K462" s="182">
        <v>0</v>
      </c>
      <c r="L462" s="180" t="str">
        <f>IFERROR(M465/K465,"")</f>
        <v/>
      </c>
      <c r="M462" s="218">
        <f>SUMIFS(DATA!$L:$L,DATA!$O:$O,$B465,DATA!$N:$N,$A465,DATA!$M:$M,'SALES BY SYSTEM'!$O$1)</f>
        <v>0</v>
      </c>
      <c r="N462" s="182">
        <v>0</v>
      </c>
      <c r="O462" s="180" t="str">
        <f>IFERROR(P465/N465,"")</f>
        <v/>
      </c>
      <c r="P462" s="218">
        <f>SUMIFS(DATA!$L:$L,DATA!$O:$O,$B465,DATA!$N:$N,$A465,DATA!$M:$M,'SALES BY SYSTEM'!$O$2)</f>
        <v>0</v>
      </c>
      <c r="Q462" s="182">
        <v>0</v>
      </c>
      <c r="R462" s="180" t="str">
        <f>IFERROR(S465/Q465,"")</f>
        <v/>
      </c>
      <c r="S462" s="218">
        <f>SUMIFS(DATA!$L:$L,DATA!$O:$O,$B465,DATA!$N:$N,$A465,DATA!$M:$M,'SALES BY SYSTEM'!$O$4)</f>
        <v>0</v>
      </c>
      <c r="T462" s="182">
        <v>0</v>
      </c>
      <c r="U462" s="180" t="str">
        <f>IFERROR(V465/T465,"")</f>
        <v/>
      </c>
      <c r="V462" s="218">
        <f>SUMIFS(DATA!$L:$L,DATA!$O:$O,$B465,DATA!$N:$N,$A465,DATA!$M:$M,'SALES BY SYSTEM'!$O$3)</f>
        <v>0</v>
      </c>
      <c r="W462" s="168"/>
    </row>
    <row r="463" spans="1:23" ht="15.75" customHeight="1" x14ac:dyDescent="0.25">
      <c r="A463" s="139" t="s">
        <v>954</v>
      </c>
      <c r="B463" s="4" t="s">
        <v>16</v>
      </c>
      <c r="C463" s="261" t="str">
        <f>VLOOKUP(A463,CUSTOMER!$A:$C,3,0)</f>
        <v>COOP_F_DS8LTRUNG</v>
      </c>
      <c r="D463" s="178" t="s">
        <v>674</v>
      </c>
      <c r="E463" s="178" t="str">
        <f>VLOOKUP(A466,CUSTOMER!$A$2:$H$1094,5,0)</f>
        <v>VAVANCY-VU MINH TUAN</v>
      </c>
      <c r="F463" s="178" t="str">
        <f>VLOOKUP(A466,CUSTOMER!$A$2:$I$1094,6,0)</f>
        <v>TRAN THI THANH TRUC</v>
      </c>
      <c r="G463" s="4" t="s">
        <v>676</v>
      </c>
      <c r="H463" s="179">
        <f t="shared" si="61"/>
        <v>0</v>
      </c>
      <c r="I463" s="180" t="str">
        <f t="shared" si="62"/>
        <v/>
      </c>
      <c r="J463" s="181">
        <f t="shared" si="63"/>
        <v>0</v>
      </c>
      <c r="K463" s="182">
        <v>0</v>
      </c>
      <c r="L463" s="180"/>
      <c r="M463" s="218">
        <f>SUMIFS(DATA!$L:$L,DATA!$O:$O,$B466,DATA!$N:$N,$A466,DATA!$M:$M,'SALES BY SYSTEM'!$O$1)</f>
        <v>0</v>
      </c>
      <c r="N463" s="182">
        <v>0</v>
      </c>
      <c r="O463" s="180"/>
      <c r="P463" s="218">
        <f>SUMIFS(DATA!$L:$L,DATA!$O:$O,$B466,DATA!$N:$N,$A466,DATA!$M:$M,'SALES BY SYSTEM'!$O$2)</f>
        <v>0</v>
      </c>
      <c r="Q463" s="182">
        <v>0</v>
      </c>
      <c r="R463" s="180"/>
      <c r="S463" s="218">
        <f>SUMIFS(DATA!$L:$L,DATA!$O:$O,$B466,DATA!$N:$N,$A466,DATA!$M:$M,'SALES BY SYSTEM'!$O$4)</f>
        <v>0</v>
      </c>
      <c r="T463" s="182">
        <v>0</v>
      </c>
      <c r="U463" s="180"/>
      <c r="V463" s="218">
        <f>SUMIFS(DATA!$L:$L,DATA!$O:$O,$B466,DATA!$N:$N,$A466,DATA!$M:$M,'SALES BY SYSTEM'!$O$3)</f>
        <v>0</v>
      </c>
      <c r="W463" s="168"/>
    </row>
    <row r="464" spans="1:23" ht="15.75" customHeight="1" x14ac:dyDescent="0.25">
      <c r="A464" s="178" t="s">
        <v>922</v>
      </c>
      <c r="B464" s="178" t="s">
        <v>16</v>
      </c>
      <c r="C464" s="178" t="str">
        <f>VLOOKUP(A464,CUSTOMER!$A:$C,3,0)</f>
        <v>COOP_F_LXUAN</v>
      </c>
      <c r="D464" s="178" t="s">
        <v>674</v>
      </c>
      <c r="E464" s="178" t="str">
        <f>VLOOKUP(A467,CUSTOMER!$A$2:$H$1094,5,0)</f>
        <v>VAVANCY-VU MINH TUAN</v>
      </c>
      <c r="F464" s="178" t="str">
        <f>VLOOKUP(A467,CUSTOMER!$A$2:$I$1094,6,0)</f>
        <v>VACANCY</v>
      </c>
      <c r="G464" s="178" t="s">
        <v>676</v>
      </c>
      <c r="H464" s="179">
        <f t="shared" si="61"/>
        <v>0</v>
      </c>
      <c r="I464" s="180" t="str">
        <f t="shared" si="62"/>
        <v/>
      </c>
      <c r="J464" s="181">
        <f t="shared" si="63"/>
        <v>0</v>
      </c>
      <c r="K464" s="182">
        <v>0</v>
      </c>
      <c r="L464" s="180" t="str">
        <f t="shared" ref="L464:L472" si="72">IFERROR(M467/K467,"")</f>
        <v/>
      </c>
      <c r="M464" s="218">
        <f>SUMIFS(DATA!$L:$L,DATA!$O:$O,$B467,DATA!$N:$N,$A467,DATA!$M:$M,'SALES BY SYSTEM'!$O$1)</f>
        <v>0</v>
      </c>
      <c r="N464" s="182">
        <v>0</v>
      </c>
      <c r="O464" s="180" t="str">
        <f t="shared" ref="O464:O472" si="73">IFERROR(P467/N467,"")</f>
        <v/>
      </c>
      <c r="P464" s="218">
        <f>SUMIFS(DATA!$L:$L,DATA!$O:$O,$B467,DATA!$N:$N,$A467,DATA!$M:$M,'SALES BY SYSTEM'!$O$2)</f>
        <v>0</v>
      </c>
      <c r="Q464" s="182">
        <v>0</v>
      </c>
      <c r="R464" s="180" t="str">
        <f t="shared" ref="R464:R472" si="74">IFERROR(S467/Q467,"")</f>
        <v/>
      </c>
      <c r="S464" s="218">
        <f>SUMIFS(DATA!$L:$L,DATA!$O:$O,$B467,DATA!$N:$N,$A467,DATA!$M:$M,'SALES BY SYSTEM'!$O$4)</f>
        <v>0</v>
      </c>
      <c r="T464" s="182">
        <v>0</v>
      </c>
      <c r="U464" s="180" t="str">
        <f t="shared" ref="U464:U472" si="75">IFERROR(V467/T467,"")</f>
        <v/>
      </c>
      <c r="V464" s="218">
        <f>SUMIFS(DATA!$L:$L,DATA!$O:$O,$B467,DATA!$N:$N,$A467,DATA!$M:$M,'SALES BY SYSTEM'!$O$3)</f>
        <v>0</v>
      </c>
      <c r="W464" s="168"/>
    </row>
    <row r="465" spans="1:23" ht="15.75" customHeight="1" x14ac:dyDescent="0.25">
      <c r="A465" s="178" t="s">
        <v>971</v>
      </c>
      <c r="B465" s="178" t="s">
        <v>16</v>
      </c>
      <c r="C465" s="178" t="str">
        <f>VLOOKUP(A465,CUSTOMER!$A:$C,3,0)</f>
        <v>COOP_FL_LUMIERE</v>
      </c>
      <c r="D465" s="178" t="s">
        <v>674</v>
      </c>
      <c r="E465" s="178" t="str">
        <f>VLOOKUP(A468,CUSTOMER!$A$2:$H$1094,5,0)</f>
        <v>VAVANCY-VU MINH TUAN</v>
      </c>
      <c r="F465" s="178" t="str">
        <f>VLOOKUP(A468,CUSTOMER!$A$2:$I$1094,6,0)</f>
        <v>TRAN THI THANH TRUC</v>
      </c>
      <c r="G465" s="178" t="s">
        <v>676</v>
      </c>
      <c r="H465" s="179">
        <f t="shared" si="61"/>
        <v>0</v>
      </c>
      <c r="I465" s="180" t="str">
        <f t="shared" si="62"/>
        <v/>
      </c>
      <c r="J465" s="181">
        <f t="shared" si="63"/>
        <v>0</v>
      </c>
      <c r="K465" s="182">
        <v>0</v>
      </c>
      <c r="L465" s="180" t="str">
        <f t="shared" si="72"/>
        <v/>
      </c>
      <c r="M465" s="218">
        <f>SUMIFS(DATA!$L:$L,DATA!$O:$O,$B468,DATA!$N:$N,$A468,DATA!$M:$M,'SALES BY SYSTEM'!$O$1)</f>
        <v>0</v>
      </c>
      <c r="N465" s="182">
        <v>0</v>
      </c>
      <c r="O465" s="180" t="str">
        <f t="shared" si="73"/>
        <v/>
      </c>
      <c r="P465" s="218">
        <f>SUMIFS(DATA!$L:$L,DATA!$O:$O,$B468,DATA!$N:$N,$A468,DATA!$M:$M,'SALES BY SYSTEM'!$O$2)</f>
        <v>0</v>
      </c>
      <c r="Q465" s="182">
        <v>0</v>
      </c>
      <c r="R465" s="180" t="str">
        <f t="shared" si="74"/>
        <v/>
      </c>
      <c r="S465" s="218">
        <f>SUMIFS(DATA!$L:$L,DATA!$O:$O,$B468,DATA!$N:$N,$A468,DATA!$M:$M,'SALES BY SYSTEM'!$O$4)</f>
        <v>0</v>
      </c>
      <c r="T465" s="182">
        <v>0</v>
      </c>
      <c r="U465" s="180" t="str">
        <f t="shared" si="75"/>
        <v/>
      </c>
      <c r="V465" s="218">
        <f>SUMIFS(DATA!$L:$L,DATA!$O:$O,$B468,DATA!$N:$N,$A468,DATA!$M:$M,'SALES BY SYSTEM'!$O$3)</f>
        <v>0</v>
      </c>
      <c r="W465" s="168"/>
    </row>
    <row r="466" spans="1:23" ht="15.75" customHeight="1" x14ac:dyDescent="0.25">
      <c r="A466" s="178" t="s">
        <v>1147</v>
      </c>
      <c r="B466" s="178" t="s">
        <v>16</v>
      </c>
      <c r="C466" s="178" t="str">
        <f>VLOOKUP(A466,CUSTOMER!$A:$C,3,0)</f>
        <v>COOP_F_MDUC</v>
      </c>
      <c r="D466" s="178" t="s">
        <v>674</v>
      </c>
      <c r="E466" s="178" t="str">
        <f>VLOOKUP(A469,CUSTOMER!$A$2:$H$1094,5,0)</f>
        <v>VAVANCY-VU MINH TUAN</v>
      </c>
      <c r="F466" s="178" t="str">
        <f>VLOOKUP(A469,CUSTOMER!$A$2:$I$1094,6,0)</f>
        <v>TRAN THI THANH TRUC</v>
      </c>
      <c r="G466" s="178" t="s">
        <v>676</v>
      </c>
      <c r="H466" s="179">
        <f t="shared" si="61"/>
        <v>0</v>
      </c>
      <c r="I466" s="180" t="str">
        <f t="shared" si="62"/>
        <v/>
      </c>
      <c r="J466" s="181">
        <f t="shared" si="63"/>
        <v>0</v>
      </c>
      <c r="K466" s="182">
        <v>0</v>
      </c>
      <c r="L466" s="180" t="str">
        <f t="shared" si="72"/>
        <v/>
      </c>
      <c r="M466" s="218">
        <f>SUMIFS(DATA!$L:$L,DATA!$O:$O,$B469,DATA!$N:$N,$A469,DATA!$M:$M,'SALES BY SYSTEM'!$O$1)</f>
        <v>0</v>
      </c>
      <c r="N466" s="182">
        <v>0</v>
      </c>
      <c r="O466" s="180" t="str">
        <f t="shared" si="73"/>
        <v/>
      </c>
      <c r="P466" s="218">
        <f>SUMIFS(DATA!$L:$L,DATA!$O:$O,$B469,DATA!$N:$N,$A469,DATA!$M:$M,'SALES BY SYSTEM'!$O$2)</f>
        <v>0</v>
      </c>
      <c r="Q466" s="182">
        <v>0</v>
      </c>
      <c r="R466" s="180" t="str">
        <f t="shared" si="74"/>
        <v/>
      </c>
      <c r="S466" s="218">
        <f>SUMIFS(DATA!$L:$L,DATA!$O:$O,$B469,DATA!$N:$N,$A469,DATA!$M:$M,'SALES BY SYSTEM'!$O$4)</f>
        <v>0</v>
      </c>
      <c r="T466" s="182">
        <v>0</v>
      </c>
      <c r="U466" s="180" t="str">
        <f t="shared" si="75"/>
        <v/>
      </c>
      <c r="V466" s="218">
        <f>SUMIFS(DATA!$L:$L,DATA!$O:$O,$B469,DATA!$N:$N,$A469,DATA!$M:$M,'SALES BY SYSTEM'!$O$3)</f>
        <v>0</v>
      </c>
      <c r="W466" s="168"/>
    </row>
    <row r="467" spans="1:23" ht="15.75" customHeight="1" x14ac:dyDescent="0.25">
      <c r="A467" s="178" t="s">
        <v>1204</v>
      </c>
      <c r="B467" s="178" t="s">
        <v>16</v>
      </c>
      <c r="C467" s="178" t="str">
        <f>VLOOKUP(A467,CUSTOMER!$A:$C,3,0)</f>
        <v>COOP_F_MIZUKI</v>
      </c>
      <c r="D467" s="178" t="s">
        <v>674</v>
      </c>
      <c r="E467" s="178" t="str">
        <f>VLOOKUP(A470,CUSTOMER!$A$2:$H$1094,5,0)</f>
        <v>VAVANCY-VU MINH TUAN</v>
      </c>
      <c r="F467" s="178" t="str">
        <f>VLOOKUP(A470,CUSTOMER!$A$2:$I$1094,6,0)</f>
        <v>TRAN THI THANH TRUC</v>
      </c>
      <c r="G467" s="178" t="s">
        <v>676</v>
      </c>
      <c r="H467" s="179">
        <f t="shared" si="61"/>
        <v>0</v>
      </c>
      <c r="I467" s="180" t="str">
        <f t="shared" si="62"/>
        <v/>
      </c>
      <c r="J467" s="181">
        <f t="shared" si="63"/>
        <v>0</v>
      </c>
      <c r="K467" s="182">
        <v>0</v>
      </c>
      <c r="L467" s="180" t="str">
        <f t="shared" si="72"/>
        <v/>
      </c>
      <c r="M467" s="218">
        <f>SUMIFS(DATA!$L:$L,DATA!$O:$O,$B470,DATA!$N:$N,$A470,DATA!$M:$M,'SALES BY SYSTEM'!$O$1)</f>
        <v>0</v>
      </c>
      <c r="N467" s="182">
        <v>0</v>
      </c>
      <c r="O467" s="180" t="str">
        <f t="shared" si="73"/>
        <v/>
      </c>
      <c r="P467" s="218">
        <f>SUMIFS(DATA!$L:$L,DATA!$O:$O,$B470,DATA!$N:$N,$A470,DATA!$M:$M,'SALES BY SYSTEM'!$O$2)</f>
        <v>0</v>
      </c>
      <c r="Q467" s="182">
        <v>0</v>
      </c>
      <c r="R467" s="180" t="str">
        <f t="shared" si="74"/>
        <v/>
      </c>
      <c r="S467" s="218">
        <f>SUMIFS(DATA!$L:$L,DATA!$O:$O,$B470,DATA!$N:$N,$A470,DATA!$M:$M,'SALES BY SYSTEM'!$O$4)</f>
        <v>0</v>
      </c>
      <c r="T467" s="182">
        <v>0</v>
      </c>
      <c r="U467" s="180" t="str">
        <f t="shared" si="75"/>
        <v/>
      </c>
      <c r="V467" s="218">
        <f>SUMIFS(DATA!$L:$L,DATA!$O:$O,$B470,DATA!$N:$N,$A470,DATA!$M:$M,'SALES BY SYSTEM'!$O$3)</f>
        <v>0</v>
      </c>
      <c r="W467" s="168"/>
    </row>
    <row r="468" spans="1:23" ht="15.75" customHeight="1" x14ac:dyDescent="0.25">
      <c r="A468" s="178" t="s">
        <v>944</v>
      </c>
      <c r="B468" s="178" t="s">
        <v>16</v>
      </c>
      <c r="C468" s="178" t="str">
        <f>VLOOKUP(A468,CUSTOMER!$A:$C,3,0)</f>
        <v>COOP_F_NQ52</v>
      </c>
      <c r="D468" s="178" t="s">
        <v>674</v>
      </c>
      <c r="E468" s="178" t="str">
        <f>VLOOKUP(A471,CUSTOMER!$A$2:$H$1094,5,0)</f>
        <v>VAVANCY-VU MINH TUAN</v>
      </c>
      <c r="F468" s="178" t="str">
        <f>VLOOKUP(A471,CUSTOMER!$A$2:$I$1094,6,0)</f>
        <v>TRAN THI THANH TRUC</v>
      </c>
      <c r="G468" s="178" t="s">
        <v>676</v>
      </c>
      <c r="H468" s="179">
        <f t="shared" si="61"/>
        <v>0</v>
      </c>
      <c r="I468" s="180" t="str">
        <f t="shared" si="62"/>
        <v/>
      </c>
      <c r="J468" s="181">
        <f t="shared" si="63"/>
        <v>0</v>
      </c>
      <c r="K468" s="182">
        <v>0</v>
      </c>
      <c r="L468" s="180" t="str">
        <f t="shared" si="72"/>
        <v/>
      </c>
      <c r="M468" s="218">
        <f>SUMIFS(DATA!$L:$L,DATA!$O:$O,$B471,DATA!$N:$N,$A471,DATA!$M:$M,'SALES BY SYSTEM'!$O$1)</f>
        <v>0</v>
      </c>
      <c r="N468" s="182">
        <v>0</v>
      </c>
      <c r="O468" s="180" t="str">
        <f t="shared" si="73"/>
        <v/>
      </c>
      <c r="P468" s="218">
        <f>SUMIFS(DATA!$L:$L,DATA!$O:$O,$B471,DATA!$N:$N,$A471,DATA!$M:$M,'SALES BY SYSTEM'!$O$2)</f>
        <v>0</v>
      </c>
      <c r="Q468" s="182">
        <v>0</v>
      </c>
      <c r="R468" s="180" t="str">
        <f t="shared" si="74"/>
        <v/>
      </c>
      <c r="S468" s="218">
        <f>SUMIFS(DATA!$L:$L,DATA!$O:$O,$B471,DATA!$N:$N,$A471,DATA!$M:$M,'SALES BY SYSTEM'!$O$4)</f>
        <v>0</v>
      </c>
      <c r="T468" s="182">
        <v>0</v>
      </c>
      <c r="U468" s="180" t="str">
        <f t="shared" si="75"/>
        <v/>
      </c>
      <c r="V468" s="218">
        <f>SUMIFS(DATA!$L:$L,DATA!$O:$O,$B471,DATA!$N:$N,$A471,DATA!$M:$M,'SALES BY SYSTEM'!$O$3)</f>
        <v>0</v>
      </c>
      <c r="W468" s="168"/>
    </row>
    <row r="469" spans="1:23" ht="15.75" customHeight="1" x14ac:dyDescent="0.25">
      <c r="A469" s="178" t="s">
        <v>1077</v>
      </c>
      <c r="B469" s="178" t="s">
        <v>16</v>
      </c>
      <c r="C469" s="178" t="str">
        <f>VLOOKUP(A469,CUSTOMER!$A:$C,3,0)</f>
        <v>COOP_F_NDTRINH</v>
      </c>
      <c r="D469" s="178" t="s">
        <v>674</v>
      </c>
      <c r="E469" s="178" t="str">
        <f>VLOOKUP(A472,CUSTOMER!$A$2:$H$1094,5,0)</f>
        <v>VAVANCY-VU MINH TUAN</v>
      </c>
      <c r="F469" s="178" t="str">
        <f>VLOOKUP(A472,CUSTOMER!$A$2:$I$1094,6,0)</f>
        <v>TRAN THI THANH TRUC</v>
      </c>
      <c r="G469" s="178" t="str">
        <f>VLOOKUP(A472,CUSTOMER!$A$1:$J$1160,7,0)</f>
        <v>"NO PG"</v>
      </c>
      <c r="H469" s="179">
        <f t="shared" si="61"/>
        <v>0</v>
      </c>
      <c r="I469" s="180" t="str">
        <f t="shared" si="62"/>
        <v/>
      </c>
      <c r="J469" s="181">
        <f t="shared" si="63"/>
        <v>0</v>
      </c>
      <c r="K469" s="182">
        <v>0</v>
      </c>
      <c r="L469" s="180" t="str">
        <f t="shared" si="72"/>
        <v/>
      </c>
      <c r="M469" s="218">
        <f>SUMIFS(DATA!$L:$L,DATA!$O:$O,$B472,DATA!$N:$N,$A472,DATA!$M:$M,'SALES BY SYSTEM'!$O$1)</f>
        <v>0</v>
      </c>
      <c r="N469" s="182">
        <v>0</v>
      </c>
      <c r="O469" s="180" t="str">
        <f t="shared" si="73"/>
        <v/>
      </c>
      <c r="P469" s="218">
        <f>SUMIFS(DATA!$L:$L,DATA!$O:$O,$B472,DATA!$N:$N,$A472,DATA!$M:$M,'SALES BY SYSTEM'!$O$2)</f>
        <v>0</v>
      </c>
      <c r="Q469" s="182">
        <v>0</v>
      </c>
      <c r="R469" s="180" t="str">
        <f t="shared" si="74"/>
        <v/>
      </c>
      <c r="S469" s="218">
        <f>SUMIFS(DATA!$L:$L,DATA!$O:$O,$B472,DATA!$N:$N,$A472,DATA!$M:$M,'SALES BY SYSTEM'!$O$4)</f>
        <v>0</v>
      </c>
      <c r="T469" s="182">
        <v>0</v>
      </c>
      <c r="U469" s="180" t="str">
        <f t="shared" si="75"/>
        <v/>
      </c>
      <c r="V469" s="218">
        <f>SUMIFS(DATA!$L:$L,DATA!$O:$O,$B472,DATA!$N:$N,$A472,DATA!$M:$M,'SALES BY SYSTEM'!$O$3)</f>
        <v>0</v>
      </c>
      <c r="W469" s="168"/>
    </row>
    <row r="470" spans="1:23" ht="15.75" customHeight="1" x14ac:dyDescent="0.25">
      <c r="A470" s="178" t="s">
        <v>977</v>
      </c>
      <c r="B470" s="178" t="s">
        <v>16</v>
      </c>
      <c r="C470" s="178" t="str">
        <f>VLOOKUP(A470,CUSTOMER!$A:$C,3,0)</f>
        <v>COOP_F_NDTRINH192</v>
      </c>
      <c r="D470" s="178" t="s">
        <v>674</v>
      </c>
      <c r="E470" s="178" t="str">
        <f>VLOOKUP(A473,CUSTOMER!$A$2:$H$1094,5,0)</f>
        <v>VAVANCY-VU MINH TUAN</v>
      </c>
      <c r="F470" s="178" t="str">
        <f>VLOOKUP(A473,CUSTOMER!$A$2:$I$1094,6,0)</f>
        <v>TRAN THI THANH TRUC</v>
      </c>
      <c r="G470" s="178" t="s">
        <v>676</v>
      </c>
      <c r="H470" s="179">
        <f t="shared" si="61"/>
        <v>0</v>
      </c>
      <c r="I470" s="180" t="str">
        <f t="shared" si="62"/>
        <v/>
      </c>
      <c r="J470" s="181">
        <f t="shared" si="63"/>
        <v>0</v>
      </c>
      <c r="K470" s="182">
        <v>0</v>
      </c>
      <c r="L470" s="180" t="str">
        <f t="shared" si="72"/>
        <v/>
      </c>
      <c r="M470" s="218">
        <f>SUMIFS(DATA!$L:$L,DATA!$O:$O,$B473,DATA!$N:$N,$A473,DATA!$M:$M,'SALES BY SYSTEM'!$O$1)</f>
        <v>0</v>
      </c>
      <c r="N470" s="182">
        <v>0</v>
      </c>
      <c r="O470" s="180" t="str">
        <f t="shared" si="73"/>
        <v/>
      </c>
      <c r="P470" s="218">
        <f>SUMIFS(DATA!$L:$L,DATA!$O:$O,$B473,DATA!$N:$N,$A473,DATA!$M:$M,'SALES BY SYSTEM'!$O$2)</f>
        <v>0</v>
      </c>
      <c r="Q470" s="182">
        <v>0</v>
      </c>
      <c r="R470" s="180" t="str">
        <f t="shared" si="74"/>
        <v/>
      </c>
      <c r="S470" s="218">
        <f>SUMIFS(DATA!$L:$L,DATA!$O:$O,$B473,DATA!$N:$N,$A473,DATA!$M:$M,'SALES BY SYSTEM'!$O$4)</f>
        <v>0</v>
      </c>
      <c r="T470" s="182">
        <v>0</v>
      </c>
      <c r="U470" s="180" t="str">
        <f t="shared" si="75"/>
        <v/>
      </c>
      <c r="V470" s="218">
        <f>SUMIFS(DATA!$L:$L,DATA!$O:$O,$B473,DATA!$N:$N,$A473,DATA!$M:$M,'SALES BY SYSTEM'!$O$3)</f>
        <v>0</v>
      </c>
      <c r="W470" s="168"/>
    </row>
    <row r="471" spans="1:23" ht="15.75" customHeight="1" x14ac:dyDescent="0.25">
      <c r="A471" s="178" t="s">
        <v>950</v>
      </c>
      <c r="B471" s="178" t="s">
        <v>16</v>
      </c>
      <c r="C471" s="178" t="str">
        <f>VLOOKUP(A471,CUSTOMER!$A:$C,3,0)</f>
        <v>COOP_F_NHONG</v>
      </c>
      <c r="D471" s="178" t="s">
        <v>674</v>
      </c>
      <c r="E471" s="178" t="str">
        <f>VLOOKUP(A474,CUSTOMER!$A$2:$H$1094,5,0)</f>
        <v>VAVANCY-VU MINH TUAN</v>
      </c>
      <c r="F471" s="178" t="str">
        <f>VLOOKUP(A474,CUSTOMER!$A$2:$I$1094,6,0)</f>
        <v>TRAN THI THANH TRUC</v>
      </c>
      <c r="G471" s="178" t="str">
        <f>VLOOKUP(A474,CUSTOMER!$A$1:$J$1160,7,0)</f>
        <v>"NO PG"</v>
      </c>
      <c r="H471" s="179">
        <f t="shared" si="61"/>
        <v>0</v>
      </c>
      <c r="I471" s="180" t="str">
        <f t="shared" si="62"/>
        <v/>
      </c>
      <c r="J471" s="181">
        <f t="shared" si="63"/>
        <v>0</v>
      </c>
      <c r="K471" s="182">
        <v>0</v>
      </c>
      <c r="L471" s="180" t="str">
        <f t="shared" si="72"/>
        <v/>
      </c>
      <c r="M471" s="218">
        <f>SUMIFS(DATA!$L:$L,DATA!$O:$O,$B474,DATA!$N:$N,$A474,DATA!$M:$M,'SALES BY SYSTEM'!$O$1)</f>
        <v>0</v>
      </c>
      <c r="N471" s="182">
        <v>0</v>
      </c>
      <c r="O471" s="180" t="str">
        <f t="shared" si="73"/>
        <v/>
      </c>
      <c r="P471" s="218">
        <f>SUMIFS(DATA!$L:$L,DATA!$O:$O,$B474,DATA!$N:$N,$A474,DATA!$M:$M,'SALES BY SYSTEM'!$O$2)</f>
        <v>0</v>
      </c>
      <c r="Q471" s="182">
        <v>0</v>
      </c>
      <c r="R471" s="180" t="str">
        <f t="shared" si="74"/>
        <v/>
      </c>
      <c r="S471" s="218">
        <f>SUMIFS(DATA!$L:$L,DATA!$O:$O,$B474,DATA!$N:$N,$A474,DATA!$M:$M,'SALES BY SYSTEM'!$O$4)</f>
        <v>0</v>
      </c>
      <c r="T471" s="182">
        <v>0</v>
      </c>
      <c r="U471" s="180" t="str">
        <f t="shared" si="75"/>
        <v/>
      </c>
      <c r="V471" s="218">
        <f>SUMIFS(DATA!$L:$L,DATA!$O:$O,$B474,DATA!$N:$N,$A474,DATA!$M:$M,'SALES BY SYSTEM'!$O$3)</f>
        <v>0</v>
      </c>
      <c r="W471" s="168"/>
    </row>
    <row r="472" spans="1:23" ht="15.75" customHeight="1" x14ac:dyDescent="0.25">
      <c r="A472" s="178" t="s">
        <v>979</v>
      </c>
      <c r="B472" s="178" t="s">
        <v>16</v>
      </c>
      <c r="C472" s="178" t="str">
        <f>VLOOKUP(A472,CUSTOMER!$A:$C,3,0)</f>
        <v>COOP_F_NHTIEN11</v>
      </c>
      <c r="D472" s="178" t="s">
        <v>674</v>
      </c>
      <c r="E472" s="178" t="str">
        <f>VLOOKUP(A475,CUSTOMER!$A$2:$H$1094,5,0)</f>
        <v>VAVANCY-VU MINH TUAN</v>
      </c>
      <c r="F472" s="178" t="str">
        <f>VLOOKUP(A475,CUSTOMER!$A$2:$I$1094,6,0)</f>
        <v>TRAN THI THANH TRUC</v>
      </c>
      <c r="G472" s="178" t="s">
        <v>676</v>
      </c>
      <c r="H472" s="179">
        <f t="shared" si="61"/>
        <v>0</v>
      </c>
      <c r="I472" s="180" t="str">
        <f t="shared" si="62"/>
        <v/>
      </c>
      <c r="J472" s="181">
        <f t="shared" si="63"/>
        <v>0</v>
      </c>
      <c r="K472" s="182">
        <v>0</v>
      </c>
      <c r="L472" s="180" t="str">
        <f t="shared" si="72"/>
        <v/>
      </c>
      <c r="M472" s="218">
        <f>SUMIFS(DATA!$L:$L,DATA!$O:$O,$B475,DATA!$N:$N,$A475,DATA!$M:$M,'SALES BY SYSTEM'!$O$1)</f>
        <v>0</v>
      </c>
      <c r="N472" s="182">
        <v>0</v>
      </c>
      <c r="O472" s="180" t="str">
        <f t="shared" si="73"/>
        <v/>
      </c>
      <c r="P472" s="218">
        <f>SUMIFS(DATA!$L:$L,DATA!$O:$O,$B475,DATA!$N:$N,$A475,DATA!$M:$M,'SALES BY SYSTEM'!$O$2)</f>
        <v>0</v>
      </c>
      <c r="Q472" s="182">
        <v>0</v>
      </c>
      <c r="R472" s="180" t="str">
        <f t="shared" si="74"/>
        <v/>
      </c>
      <c r="S472" s="218">
        <f>SUMIFS(DATA!$L:$L,DATA!$O:$O,$B475,DATA!$N:$N,$A475,DATA!$M:$M,'SALES BY SYSTEM'!$O$4)</f>
        <v>0</v>
      </c>
      <c r="T472" s="182">
        <v>0</v>
      </c>
      <c r="U472" s="180" t="str">
        <f t="shared" si="75"/>
        <v/>
      </c>
      <c r="V472" s="218">
        <f>SUMIFS(DATA!$L:$L,DATA!$O:$O,$B475,DATA!$N:$N,$A475,DATA!$M:$M,'SALES BY SYSTEM'!$O$3)</f>
        <v>0</v>
      </c>
      <c r="W472" s="168"/>
    </row>
    <row r="473" spans="1:23" ht="15.75" customHeight="1" x14ac:dyDescent="0.25">
      <c r="A473" s="139" t="s">
        <v>380</v>
      </c>
      <c r="B473" s="4" t="s">
        <v>16</v>
      </c>
      <c r="C473" s="261" t="str">
        <f>VLOOKUP(A473,CUSTOMER!$A:$C,3,0)</f>
        <v>COOP_F_NKHOAI</v>
      </c>
      <c r="D473" s="178" t="s">
        <v>674</v>
      </c>
      <c r="E473" s="178" t="str">
        <f>VLOOKUP(A476,CUSTOMER!$A$2:$H$1094,5,0)</f>
        <v>VAVANCY-VU MINH TUAN</v>
      </c>
      <c r="F473" s="178" t="str">
        <f>VLOOKUP(A476,CUSTOMER!$A$2:$I$1094,6,0)</f>
        <v>TRAN THI THANH TRUC</v>
      </c>
      <c r="G473" s="4" t="s">
        <v>676</v>
      </c>
      <c r="H473" s="179">
        <f t="shared" si="61"/>
        <v>0</v>
      </c>
      <c r="I473" s="180" t="str">
        <f t="shared" si="62"/>
        <v/>
      </c>
      <c r="J473" s="181">
        <f t="shared" si="63"/>
        <v>0</v>
      </c>
      <c r="K473" s="182">
        <v>0</v>
      </c>
      <c r="L473" s="180"/>
      <c r="M473" s="218">
        <f>SUMIFS(DATA!$L:$L,DATA!$O:$O,$B476,DATA!$N:$N,$A476,DATA!$M:$M,'SALES BY SYSTEM'!$O$1)</f>
        <v>0</v>
      </c>
      <c r="N473" s="182">
        <v>0</v>
      </c>
      <c r="O473" s="180"/>
      <c r="P473" s="218">
        <f>SUMIFS(DATA!$L:$L,DATA!$O:$O,$B476,DATA!$N:$N,$A476,DATA!$M:$M,'SALES BY SYSTEM'!$O$2)</f>
        <v>0</v>
      </c>
      <c r="Q473" s="182">
        <v>0</v>
      </c>
      <c r="R473" s="180"/>
      <c r="S473" s="218">
        <f>SUMIFS(DATA!$L:$L,DATA!$O:$O,$B476,DATA!$N:$N,$A476,DATA!$M:$M,'SALES BY SYSTEM'!$O$4)</f>
        <v>0</v>
      </c>
      <c r="T473" s="182">
        <v>0</v>
      </c>
      <c r="U473" s="180"/>
      <c r="V473" s="218">
        <f>SUMIFS(DATA!$L:$L,DATA!$O:$O,$B476,DATA!$N:$N,$A476,DATA!$M:$M,'SALES BY SYSTEM'!$O$3)</f>
        <v>0</v>
      </c>
      <c r="W473" s="168"/>
    </row>
    <row r="474" spans="1:23" ht="15.75" customHeight="1" x14ac:dyDescent="0.25">
      <c r="A474" s="178" t="s">
        <v>928</v>
      </c>
      <c r="B474" s="178" t="s">
        <v>16</v>
      </c>
      <c r="C474" s="178" t="str">
        <f>VLOOKUP(A474,CUSTOMER!$A:$C,3,0)</f>
        <v>COOP_F_NSON325</v>
      </c>
      <c r="D474" s="178" t="s">
        <v>674</v>
      </c>
      <c r="E474" s="178" t="str">
        <f>VLOOKUP(A477,CUSTOMER!$A$2:$H$1094,5,0)</f>
        <v>VAVANCY-VU MINH TUAN</v>
      </c>
      <c r="F474" s="178" t="str">
        <f>VLOOKUP(A477,CUSTOMER!$A$2:$I$1094,6,0)</f>
        <v>TRAN THI THANH TRUC</v>
      </c>
      <c r="G474" s="178" t="s">
        <v>676</v>
      </c>
      <c r="H474" s="179">
        <f t="shared" si="61"/>
        <v>0</v>
      </c>
      <c r="I474" s="180" t="str">
        <f t="shared" si="62"/>
        <v/>
      </c>
      <c r="J474" s="181">
        <f t="shared" si="63"/>
        <v>0</v>
      </c>
      <c r="K474" s="182">
        <v>0</v>
      </c>
      <c r="L474" s="180"/>
      <c r="M474" s="218">
        <f>SUMIFS(DATA!$L:$L,DATA!$O:$O,$B477,DATA!$N:$N,$A477,DATA!$M:$M,'SALES BY SYSTEM'!$O$1)</f>
        <v>0</v>
      </c>
      <c r="N474" s="182">
        <v>0</v>
      </c>
      <c r="O474" s="180" t="str">
        <f>IFERROR(P477/N477,"")</f>
        <v/>
      </c>
      <c r="P474" s="218">
        <f>SUMIFS(DATA!$L:$L,DATA!$O:$O,$B477,DATA!$N:$N,$A477,DATA!$M:$M,'SALES BY SYSTEM'!$O$2)</f>
        <v>0</v>
      </c>
      <c r="Q474" s="182">
        <v>0</v>
      </c>
      <c r="R474" s="180" t="str">
        <f>IFERROR(S477/Q477,"")</f>
        <v/>
      </c>
      <c r="S474" s="218">
        <f>SUMIFS(DATA!$L:$L,DATA!$O:$O,$B477,DATA!$N:$N,$A477,DATA!$M:$M,'SALES BY SYSTEM'!$O$4)</f>
        <v>0</v>
      </c>
      <c r="T474" s="182">
        <v>0</v>
      </c>
      <c r="U474" s="180" t="str">
        <f>IFERROR(V477/T477,"")</f>
        <v/>
      </c>
      <c r="V474" s="218">
        <f>SUMIFS(DATA!$L:$L,DATA!$O:$O,$B477,DATA!$N:$N,$A477,DATA!$M:$M,'SALES BY SYSTEM'!$O$3)</f>
        <v>0</v>
      </c>
      <c r="W474" s="168"/>
    </row>
    <row r="475" spans="1:23" ht="15.75" customHeight="1" x14ac:dyDescent="0.25">
      <c r="A475" s="178" t="s">
        <v>408</v>
      </c>
      <c r="B475" s="178" t="s">
        <v>16</v>
      </c>
      <c r="C475" s="178" t="str">
        <f>VLOOKUP(A475,CUSTOMER!$A:$C,3,0)</f>
        <v>COOP_F_NSSACH</v>
      </c>
      <c r="D475" s="178" t="s">
        <v>674</v>
      </c>
      <c r="E475" s="178" t="str">
        <f>VLOOKUP(A478,CUSTOMER!$A$2:$H$1094,5,0)</f>
        <v>VAVANCY-VU MINH TUAN</v>
      </c>
      <c r="F475" s="178" t="str">
        <f>VLOOKUP(A478,CUSTOMER!$A$2:$I$1094,6,0)</f>
        <v>TRAN THI THANH TRUC</v>
      </c>
      <c r="G475" s="178" t="str">
        <f>VLOOKUP(A478,CUSTOMER!$A$1:$J$1160,7,0)</f>
        <v>"NO PG"</v>
      </c>
      <c r="H475" s="179">
        <f t="shared" ref="H475:H538" si="76">SUM(K475,N475,Q475,T475)</f>
        <v>0</v>
      </c>
      <c r="I475" s="180" t="str">
        <f t="shared" ref="I475:I538" si="77">IFERROR(J475/H475,"")</f>
        <v/>
      </c>
      <c r="J475" s="181">
        <f t="shared" ref="J475:J538" si="78">SUM(M475,P475,S475,V475)</f>
        <v>0</v>
      </c>
      <c r="K475" s="182">
        <v>0</v>
      </c>
      <c r="L475" s="180" t="str">
        <f>IFERROR(M478/K478,"")</f>
        <v/>
      </c>
      <c r="M475" s="218">
        <f>SUMIFS(DATA!$L:$L,DATA!$O:$O,$B478,DATA!$N:$N,$A478,DATA!$M:$M,'SALES BY SYSTEM'!$O$1)</f>
        <v>0</v>
      </c>
      <c r="N475" s="182">
        <v>0</v>
      </c>
      <c r="O475" s="180" t="str">
        <f>IFERROR(P478/N478,"")</f>
        <v/>
      </c>
      <c r="P475" s="218">
        <f>SUMIFS(DATA!$L:$L,DATA!$O:$O,$B478,DATA!$N:$N,$A478,DATA!$M:$M,'SALES BY SYSTEM'!$O$2)</f>
        <v>0</v>
      </c>
      <c r="Q475" s="182">
        <v>0</v>
      </c>
      <c r="R475" s="180" t="str">
        <f>IFERROR(S478/Q478,"")</f>
        <v/>
      </c>
      <c r="S475" s="218">
        <f>SUMIFS(DATA!$L:$L,DATA!$O:$O,$B478,DATA!$N:$N,$A478,DATA!$M:$M,'SALES BY SYSTEM'!$O$4)</f>
        <v>0</v>
      </c>
      <c r="T475" s="182">
        <v>0</v>
      </c>
      <c r="U475" s="180" t="str">
        <f>IFERROR(V478/T478,"")</f>
        <v/>
      </c>
      <c r="V475" s="218">
        <f>SUMIFS(DATA!$L:$L,DATA!$O:$O,$B478,DATA!$N:$N,$A478,DATA!$M:$M,'SALES BY SYSTEM'!$O$3)</f>
        <v>0</v>
      </c>
      <c r="W475" s="168"/>
    </row>
    <row r="476" spans="1:23" ht="15.75" customHeight="1" x14ac:dyDescent="0.25">
      <c r="A476" s="178" t="s">
        <v>353</v>
      </c>
      <c r="B476" s="178" t="s">
        <v>16</v>
      </c>
      <c r="C476" s="178" t="str">
        <f>VLOOKUP(A476,CUSTOMER!$A:$C,3,0)</f>
        <v>COOP_F_NTB</v>
      </c>
      <c r="D476" s="178" t="s">
        <v>674</v>
      </c>
      <c r="E476" s="178" t="str">
        <f>VLOOKUP(A479,CUSTOMER!$A$2:$H$1094,5,0)</f>
        <v>VAVANCY-VU MINH TUAN</v>
      </c>
      <c r="F476" s="178" t="str">
        <f>VLOOKUP(A479,CUSTOMER!$A$2:$I$1094,6,0)</f>
        <v>TRAN THI THANH TRUC</v>
      </c>
      <c r="G476" s="178" t="str">
        <f>VLOOKUP(A479,CUSTOMER!$A$1:$J$1160,7,0)</f>
        <v>"NO PG"</v>
      </c>
      <c r="H476" s="179">
        <f t="shared" si="76"/>
        <v>0</v>
      </c>
      <c r="I476" s="180" t="str">
        <f t="shared" si="77"/>
        <v/>
      </c>
      <c r="J476" s="181">
        <f t="shared" si="78"/>
        <v>0</v>
      </c>
      <c r="K476" s="182">
        <v>0</v>
      </c>
      <c r="L476" s="180" t="str">
        <f>IFERROR(M479/K479,"")</f>
        <v/>
      </c>
      <c r="M476" s="218">
        <f>SUMIFS(DATA!$L:$L,DATA!$O:$O,$B479,DATA!$N:$N,$A479,DATA!$M:$M,'SALES BY SYSTEM'!$O$1)</f>
        <v>0</v>
      </c>
      <c r="N476" s="182">
        <v>0</v>
      </c>
      <c r="O476" s="180" t="str">
        <f>IFERROR(P479/N479,"")</f>
        <v/>
      </c>
      <c r="P476" s="218">
        <f>SUMIFS(DATA!$L:$L,DATA!$O:$O,$B479,DATA!$N:$N,$A479,DATA!$M:$M,'SALES BY SYSTEM'!$O$2)</f>
        <v>0</v>
      </c>
      <c r="Q476" s="182">
        <v>0</v>
      </c>
      <c r="R476" s="180" t="str">
        <f>IFERROR(S479/Q479,"")</f>
        <v/>
      </c>
      <c r="S476" s="218">
        <f>SUMIFS(DATA!$L:$L,DATA!$O:$O,$B479,DATA!$N:$N,$A479,DATA!$M:$M,'SALES BY SYSTEM'!$O$4)</f>
        <v>0</v>
      </c>
      <c r="T476" s="182">
        <v>0</v>
      </c>
      <c r="U476" s="180" t="str">
        <f>IFERROR(V479/T479,"")</f>
        <v/>
      </c>
      <c r="V476" s="218">
        <f>SUMIFS(DATA!$L:$L,DATA!$O:$O,$B479,DATA!$N:$N,$A479,DATA!$M:$M,'SALES BY SYSTEM'!$O$3)</f>
        <v>0</v>
      </c>
      <c r="W476" s="168"/>
    </row>
    <row r="477" spans="1:23" ht="15.75" customHeight="1" x14ac:dyDescent="0.25">
      <c r="A477" s="139" t="s">
        <v>910</v>
      </c>
      <c r="B477" s="4" t="s">
        <v>16</v>
      </c>
      <c r="C477" s="261" t="str">
        <f>VLOOKUP(A477,CUSTOMER!$A:$C,3,0)</f>
        <v>COOP_F_NTD</v>
      </c>
      <c r="D477" s="178" t="s">
        <v>674</v>
      </c>
      <c r="E477" s="178" t="str">
        <f>VLOOKUP(A480,CUSTOMER!$A$2:$H$1094,5,0)</f>
        <v>VAVANCY-VU MINH TUAN</v>
      </c>
      <c r="F477" s="178" t="str">
        <f>VLOOKUP(A480,CUSTOMER!$A$2:$I$1094,6,0)</f>
        <v>TRAN THI THANH TRUC</v>
      </c>
      <c r="G477" s="4" t="s">
        <v>676</v>
      </c>
      <c r="H477" s="179">
        <f t="shared" si="76"/>
        <v>0</v>
      </c>
      <c r="I477" s="180" t="str">
        <f t="shared" si="77"/>
        <v/>
      </c>
      <c r="J477" s="181">
        <f t="shared" si="78"/>
        <v>0</v>
      </c>
      <c r="K477" s="182">
        <v>0</v>
      </c>
      <c r="L477" s="180"/>
      <c r="M477" s="218">
        <f>SUMIFS(DATA!$L:$L,DATA!$O:$O,$B480,DATA!$N:$N,$A480,DATA!$M:$M,'SALES BY SYSTEM'!$O$1)</f>
        <v>0</v>
      </c>
      <c r="N477" s="182">
        <v>0</v>
      </c>
      <c r="O477" s="180"/>
      <c r="P477" s="218">
        <f>SUMIFS(DATA!$L:$L,DATA!$O:$O,$B480,DATA!$N:$N,$A480,DATA!$M:$M,'SALES BY SYSTEM'!$O$2)</f>
        <v>0</v>
      </c>
      <c r="Q477" s="182">
        <v>0</v>
      </c>
      <c r="R477" s="180"/>
      <c r="S477" s="218">
        <f>SUMIFS(DATA!$L:$L,DATA!$O:$O,$B480,DATA!$N:$N,$A480,DATA!$M:$M,'SALES BY SYSTEM'!$O$4)</f>
        <v>0</v>
      </c>
      <c r="T477" s="182">
        <v>0</v>
      </c>
      <c r="U477" s="180"/>
      <c r="V477" s="218">
        <f>SUMIFS(DATA!$L:$L,DATA!$O:$O,$B480,DATA!$N:$N,$A480,DATA!$M:$M,'SALES BY SYSTEM'!$O$3)</f>
        <v>0</v>
      </c>
      <c r="W477" s="168"/>
    </row>
    <row r="478" spans="1:23" ht="15.75" customHeight="1" x14ac:dyDescent="0.25">
      <c r="A478" s="178" t="s">
        <v>938</v>
      </c>
      <c r="B478" s="178" t="s">
        <v>16</v>
      </c>
      <c r="C478" s="178" t="str">
        <f>VLOOKUP(A478,CUSTOMER!$A:$C,3,0)</f>
        <v>COOP_F_NTT171</v>
      </c>
      <c r="D478" s="178" t="s">
        <v>674</v>
      </c>
      <c r="E478" s="178" t="str">
        <f>VLOOKUP(A481,CUSTOMER!$A$2:$H$1094,5,0)</f>
        <v>VAVANCY-VU MINH TUAN</v>
      </c>
      <c r="F478" s="178" t="str">
        <f>VLOOKUP(A481,CUSTOMER!$A$2:$I$1094,6,0)</f>
        <v>TRAN THI THANH TRUC</v>
      </c>
      <c r="G478" s="178" t="s">
        <v>676</v>
      </c>
      <c r="H478" s="179">
        <f t="shared" si="76"/>
        <v>0</v>
      </c>
      <c r="I478" s="180" t="str">
        <f t="shared" si="77"/>
        <v/>
      </c>
      <c r="J478" s="181">
        <f t="shared" si="78"/>
        <v>0</v>
      </c>
      <c r="K478" s="182">
        <v>0</v>
      </c>
      <c r="L478" s="180" t="str">
        <f t="shared" ref="L478:L486" si="79">IFERROR(M481/K481,"")</f>
        <v/>
      </c>
      <c r="M478" s="218">
        <f>SUMIFS(DATA!$L:$L,DATA!$O:$O,$B481,DATA!$N:$N,$A481,DATA!$M:$M,'SALES BY SYSTEM'!$O$1)</f>
        <v>0</v>
      </c>
      <c r="N478" s="182">
        <v>0</v>
      </c>
      <c r="O478" s="180" t="str">
        <f t="shared" ref="O478:O486" si="80">IFERROR(P481/N481,"")</f>
        <v/>
      </c>
      <c r="P478" s="218">
        <f>SUMIFS(DATA!$L:$L,DATA!$O:$O,$B481,DATA!$N:$N,$A481,DATA!$M:$M,'SALES BY SYSTEM'!$O$2)</f>
        <v>0</v>
      </c>
      <c r="Q478" s="182">
        <v>0</v>
      </c>
      <c r="R478" s="180" t="str">
        <f t="shared" ref="R478:R486" si="81">IFERROR(S481/Q481,"")</f>
        <v/>
      </c>
      <c r="S478" s="218">
        <f>SUMIFS(DATA!$L:$L,DATA!$O:$O,$B481,DATA!$N:$N,$A481,DATA!$M:$M,'SALES BY SYSTEM'!$O$4)</f>
        <v>0</v>
      </c>
      <c r="T478" s="182">
        <v>0</v>
      </c>
      <c r="U478" s="180" t="str">
        <f t="shared" ref="U478:U486" si="82">IFERROR(V481/T481,"")</f>
        <v/>
      </c>
      <c r="V478" s="218">
        <f>SUMIFS(DATA!$L:$L,DATA!$O:$O,$B481,DATA!$N:$N,$A481,DATA!$M:$M,'SALES BY SYSTEM'!$O$3)</f>
        <v>0</v>
      </c>
      <c r="W478" s="168"/>
    </row>
    <row r="479" spans="1:23" ht="15.75" customHeight="1" x14ac:dyDescent="0.25">
      <c r="A479" s="178" t="s">
        <v>1198</v>
      </c>
      <c r="B479" s="178" t="s">
        <v>16</v>
      </c>
      <c r="C479" s="178" t="str">
        <f>VLOOKUP(A479,CUSTOMER!$A:$C,3,0)</f>
        <v>COOP_F_NVTAO</v>
      </c>
      <c r="D479" s="178" t="s">
        <v>674</v>
      </c>
      <c r="E479" s="178" t="str">
        <f>VLOOKUP(A482,CUSTOMER!$A$2:$H$1094,5,0)</f>
        <v>VAVANCY-VU MINH TUAN</v>
      </c>
      <c r="F479" s="178" t="str">
        <f>VLOOKUP(A482,CUSTOMER!$A$2:$I$1094,6,0)</f>
        <v>TRAN THI THANH TRUC</v>
      </c>
      <c r="G479" s="178" t="str">
        <f>VLOOKUP(A482,CUSTOMER!$A$1:$J$1160,7,0)</f>
        <v>"NO PG"</v>
      </c>
      <c r="H479" s="179">
        <f t="shared" si="76"/>
        <v>0</v>
      </c>
      <c r="I479" s="180" t="str">
        <f t="shared" si="77"/>
        <v/>
      </c>
      <c r="J479" s="181">
        <f t="shared" si="78"/>
        <v>0</v>
      </c>
      <c r="K479" s="182">
        <v>0</v>
      </c>
      <c r="L479" s="180" t="str">
        <f t="shared" si="79"/>
        <v/>
      </c>
      <c r="M479" s="218">
        <f>SUMIFS(DATA!$L:$L,DATA!$O:$O,$B482,DATA!$N:$N,$A482,DATA!$M:$M,'SALES BY SYSTEM'!$O$1)</f>
        <v>0</v>
      </c>
      <c r="N479" s="182">
        <v>0</v>
      </c>
      <c r="O479" s="180" t="str">
        <f t="shared" si="80"/>
        <v/>
      </c>
      <c r="P479" s="218">
        <f>SUMIFS(DATA!$L:$L,DATA!$O:$O,$B482,DATA!$N:$N,$A482,DATA!$M:$M,'SALES BY SYSTEM'!$O$2)</f>
        <v>0</v>
      </c>
      <c r="Q479" s="182">
        <v>0</v>
      </c>
      <c r="R479" s="180" t="str">
        <f t="shared" si="81"/>
        <v/>
      </c>
      <c r="S479" s="218">
        <f>SUMIFS(DATA!$L:$L,DATA!$O:$O,$B482,DATA!$N:$N,$A482,DATA!$M:$M,'SALES BY SYSTEM'!$O$4)</f>
        <v>0</v>
      </c>
      <c r="T479" s="182">
        <v>0</v>
      </c>
      <c r="U479" s="180" t="str">
        <f t="shared" si="82"/>
        <v/>
      </c>
      <c r="V479" s="218">
        <f>SUMIFS(DATA!$L:$L,DATA!$O:$O,$B482,DATA!$N:$N,$A482,DATA!$M:$M,'SALES BY SYSTEM'!$O$3)</f>
        <v>0</v>
      </c>
      <c r="W479" s="168"/>
    </row>
    <row r="480" spans="1:23" ht="15.75" customHeight="1" x14ac:dyDescent="0.25">
      <c r="A480" s="178" t="s">
        <v>384</v>
      </c>
      <c r="B480" s="178" t="s">
        <v>16</v>
      </c>
      <c r="C480" s="178" t="str">
        <f>VLOOKUP(A480,CUSTOMER!$A:$C,3,0)</f>
        <v>COOP_F_NTL17</v>
      </c>
      <c r="D480" s="178" t="s">
        <v>674</v>
      </c>
      <c r="E480" s="178" t="str">
        <f>VLOOKUP(A483,CUSTOMER!$A$2:$H$1094,5,0)</f>
        <v>VAVANCY-VU MINH TUAN</v>
      </c>
      <c r="F480" s="178" t="str">
        <f>VLOOKUP(A483,CUSTOMER!$A$2:$I$1094,6,0)</f>
        <v>NO SALE</v>
      </c>
      <c r="G480" s="178" t="s">
        <v>676</v>
      </c>
      <c r="H480" s="179">
        <f t="shared" si="76"/>
        <v>0</v>
      </c>
      <c r="I480" s="180" t="str">
        <f t="shared" si="77"/>
        <v/>
      </c>
      <c r="J480" s="181">
        <f t="shared" si="78"/>
        <v>0</v>
      </c>
      <c r="K480" s="182">
        <v>0</v>
      </c>
      <c r="L480" s="180" t="str">
        <f t="shared" si="79"/>
        <v/>
      </c>
      <c r="M480" s="218">
        <f>SUMIFS(DATA!$L:$L,DATA!$O:$O,$B483,DATA!$N:$N,$A483,DATA!$M:$M,'SALES BY SYSTEM'!$O$1)</f>
        <v>0</v>
      </c>
      <c r="N480" s="182">
        <v>0</v>
      </c>
      <c r="O480" s="180" t="str">
        <f t="shared" si="80"/>
        <v/>
      </c>
      <c r="P480" s="218">
        <f>SUMIFS(DATA!$L:$L,DATA!$O:$O,$B483,DATA!$N:$N,$A483,DATA!$M:$M,'SALES BY SYSTEM'!$O$2)</f>
        <v>0</v>
      </c>
      <c r="Q480" s="182">
        <v>0</v>
      </c>
      <c r="R480" s="180" t="str">
        <f t="shared" si="81"/>
        <v/>
      </c>
      <c r="S480" s="218">
        <f>SUMIFS(DATA!$L:$L,DATA!$O:$O,$B483,DATA!$N:$N,$A483,DATA!$M:$M,'SALES BY SYSTEM'!$O$4)</f>
        <v>0</v>
      </c>
      <c r="T480" s="182">
        <v>0</v>
      </c>
      <c r="U480" s="180" t="str">
        <f t="shared" si="82"/>
        <v/>
      </c>
      <c r="V480" s="218">
        <f>SUMIFS(DATA!$L:$L,DATA!$O:$O,$B483,DATA!$N:$N,$A483,DATA!$M:$M,'SALES BY SYSTEM'!$O$3)</f>
        <v>0</v>
      </c>
      <c r="W480" s="168"/>
    </row>
    <row r="481" spans="1:23" ht="15.75" customHeight="1" x14ac:dyDescent="0.25">
      <c r="A481" s="178" t="s">
        <v>946</v>
      </c>
      <c r="B481" s="178" t="s">
        <v>16</v>
      </c>
      <c r="C481" s="178" t="str">
        <f>VLOOKUP(A481,CUSTOMER!$A:$C,3,0)</f>
        <v>COOP_F_OPAL</v>
      </c>
      <c r="D481" s="178" t="s">
        <v>674</v>
      </c>
      <c r="E481" s="178" t="str">
        <f>VLOOKUP(A484,CUSTOMER!$A$2:$H$1094,5,0)</f>
        <v>VAVANCY-VU MINH TUAN</v>
      </c>
      <c r="F481" s="178" t="str">
        <f>VLOOKUP(A484,CUSTOMER!$A$2:$I$1094,6,0)</f>
        <v>TRAN THI THANH TRUC</v>
      </c>
      <c r="G481" s="178" t="s">
        <v>676</v>
      </c>
      <c r="H481" s="179">
        <f t="shared" si="76"/>
        <v>0</v>
      </c>
      <c r="I481" s="180" t="str">
        <f t="shared" si="77"/>
        <v/>
      </c>
      <c r="J481" s="181">
        <f t="shared" si="78"/>
        <v>0</v>
      </c>
      <c r="K481" s="182">
        <v>0</v>
      </c>
      <c r="L481" s="180" t="str">
        <f t="shared" si="79"/>
        <v/>
      </c>
      <c r="M481" s="218">
        <f>SUMIFS(DATA!$L:$L,DATA!$O:$O,$B484,DATA!$N:$N,$A484,DATA!$M:$M,'SALES BY SYSTEM'!$O$1)</f>
        <v>0</v>
      </c>
      <c r="N481" s="182">
        <v>0</v>
      </c>
      <c r="O481" s="180" t="str">
        <f t="shared" si="80"/>
        <v/>
      </c>
      <c r="P481" s="218">
        <f>SUMIFS(DATA!$L:$L,DATA!$O:$O,$B484,DATA!$N:$N,$A484,DATA!$M:$M,'SALES BY SYSTEM'!$O$2)</f>
        <v>0</v>
      </c>
      <c r="Q481" s="182">
        <v>0</v>
      </c>
      <c r="R481" s="180" t="str">
        <f t="shared" si="81"/>
        <v/>
      </c>
      <c r="S481" s="218">
        <f>SUMIFS(DATA!$L:$L,DATA!$O:$O,$B484,DATA!$N:$N,$A484,DATA!$M:$M,'SALES BY SYSTEM'!$O$4)</f>
        <v>0</v>
      </c>
      <c r="T481" s="182">
        <v>0</v>
      </c>
      <c r="U481" s="180" t="str">
        <f t="shared" si="82"/>
        <v/>
      </c>
      <c r="V481" s="218">
        <f>SUMIFS(DATA!$L:$L,DATA!$O:$O,$B484,DATA!$N:$N,$A484,DATA!$M:$M,'SALES BY SYSTEM'!$O$3)</f>
        <v>0</v>
      </c>
      <c r="W481" s="168"/>
    </row>
    <row r="482" spans="1:23" ht="15.75" customHeight="1" x14ac:dyDescent="0.25">
      <c r="A482" s="178" t="s">
        <v>948</v>
      </c>
      <c r="B482" s="178" t="s">
        <v>16</v>
      </c>
      <c r="C482" s="178" t="str">
        <f>VLOOKUP(A482,CUSTOMER!$A:$C,3,0)</f>
        <v>COOP_F_PASTEUR</v>
      </c>
      <c r="D482" s="178" t="s">
        <v>674</v>
      </c>
      <c r="E482" s="178" t="str">
        <f>VLOOKUP(A485,CUSTOMER!$A$2:$H$1094,5,0)</f>
        <v>VAVANCY-VU MINH TUAN</v>
      </c>
      <c r="F482" s="178" t="str">
        <f>VLOOKUP(A485,CUSTOMER!$A$2:$I$1094,6,0)</f>
        <v>TRAN THI THANH TRUC</v>
      </c>
      <c r="G482" s="178" t="str">
        <f>VLOOKUP(A485,CUSTOMER!$A$1:$J$1160,7,0)</f>
        <v>"NO PG"</v>
      </c>
      <c r="H482" s="179">
        <f t="shared" si="76"/>
        <v>0</v>
      </c>
      <c r="I482" s="180" t="str">
        <f t="shared" si="77"/>
        <v/>
      </c>
      <c r="J482" s="181">
        <f t="shared" si="78"/>
        <v>0</v>
      </c>
      <c r="K482" s="182">
        <v>0</v>
      </c>
      <c r="L482" s="180" t="str">
        <f t="shared" si="79"/>
        <v/>
      </c>
      <c r="M482" s="218">
        <f>SUMIFS(DATA!$L:$L,DATA!$O:$O,$B485,DATA!$N:$N,$A485,DATA!$M:$M,'SALES BY SYSTEM'!$O$1)</f>
        <v>0</v>
      </c>
      <c r="N482" s="182">
        <v>0</v>
      </c>
      <c r="O482" s="180" t="str">
        <f t="shared" si="80"/>
        <v/>
      </c>
      <c r="P482" s="218">
        <f>SUMIFS(DATA!$L:$L,DATA!$O:$O,$B485,DATA!$N:$N,$A485,DATA!$M:$M,'SALES BY SYSTEM'!$O$2)</f>
        <v>0</v>
      </c>
      <c r="Q482" s="182">
        <v>0</v>
      </c>
      <c r="R482" s="180" t="str">
        <f t="shared" si="81"/>
        <v/>
      </c>
      <c r="S482" s="218">
        <f>SUMIFS(DATA!$L:$L,DATA!$O:$O,$B485,DATA!$N:$N,$A485,DATA!$M:$M,'SALES BY SYSTEM'!$O$4)</f>
        <v>0</v>
      </c>
      <c r="T482" s="182">
        <v>0</v>
      </c>
      <c r="U482" s="180" t="str">
        <f t="shared" si="82"/>
        <v/>
      </c>
      <c r="V482" s="218">
        <f>SUMIFS(DATA!$L:$L,DATA!$O:$O,$B485,DATA!$N:$N,$A485,DATA!$M:$M,'SALES BY SYSTEM'!$O$3)</f>
        <v>0</v>
      </c>
      <c r="W482" s="168"/>
    </row>
    <row r="483" spans="1:23" ht="15.75" customHeight="1" x14ac:dyDescent="0.25">
      <c r="A483" s="178" t="s">
        <v>351</v>
      </c>
      <c r="B483" s="178" t="s">
        <v>16</v>
      </c>
      <c r="C483" s="178" t="str">
        <f>VLOOKUP(A483,CUSTOMER!$A:$C,3,0)</f>
        <v>COOP_F_PNTANG</v>
      </c>
      <c r="D483" s="178" t="s">
        <v>674</v>
      </c>
      <c r="E483" s="178" t="str">
        <f>VLOOKUP(A486,CUSTOMER!$A$2:$H$1094,5,0)</f>
        <v>VAVANCY-VU MINH TUAN</v>
      </c>
      <c r="F483" s="178" t="str">
        <f>VLOOKUP(A486,CUSTOMER!$A$2:$I$1094,6,0)</f>
        <v>TRAN THI THANH TRUC</v>
      </c>
      <c r="G483" s="178" t="str">
        <f>VLOOKUP(A486,CUSTOMER!$A$1:$J$1160,7,0)</f>
        <v>"NO PG"</v>
      </c>
      <c r="H483" s="179">
        <f t="shared" si="76"/>
        <v>0</v>
      </c>
      <c r="I483" s="180" t="str">
        <f t="shared" si="77"/>
        <v/>
      </c>
      <c r="J483" s="181">
        <f t="shared" si="78"/>
        <v>0</v>
      </c>
      <c r="K483" s="182">
        <v>0</v>
      </c>
      <c r="L483" s="180" t="str">
        <f t="shared" si="79"/>
        <v/>
      </c>
      <c r="M483" s="218">
        <f>SUMIFS(DATA!$L:$L,DATA!$O:$O,$B486,DATA!$N:$N,$A486,DATA!$M:$M,'SALES BY SYSTEM'!$O$1)</f>
        <v>0</v>
      </c>
      <c r="N483" s="182">
        <v>0</v>
      </c>
      <c r="O483" s="180" t="str">
        <f t="shared" si="80"/>
        <v/>
      </c>
      <c r="P483" s="218">
        <f>SUMIFS(DATA!$L:$L,DATA!$O:$O,$B486,DATA!$N:$N,$A486,DATA!$M:$M,'SALES BY SYSTEM'!$O$2)</f>
        <v>0</v>
      </c>
      <c r="Q483" s="182">
        <v>0</v>
      </c>
      <c r="R483" s="180" t="str">
        <f t="shared" si="81"/>
        <v/>
      </c>
      <c r="S483" s="218">
        <f>SUMIFS(DATA!$L:$L,DATA!$O:$O,$B486,DATA!$N:$N,$A486,DATA!$M:$M,'SALES BY SYSTEM'!$O$4)</f>
        <v>0</v>
      </c>
      <c r="T483" s="182">
        <v>0</v>
      </c>
      <c r="U483" s="180" t="str">
        <f t="shared" si="82"/>
        <v/>
      </c>
      <c r="V483" s="218">
        <f>SUMIFS(DATA!$L:$L,DATA!$O:$O,$B486,DATA!$N:$N,$A486,DATA!$M:$M,'SALES BY SYSTEM'!$O$3)</f>
        <v>0</v>
      </c>
      <c r="W483" s="168"/>
    </row>
    <row r="484" spans="1:23" ht="15.75" customHeight="1" x14ac:dyDescent="0.25">
      <c r="A484" s="178" t="s">
        <v>1200</v>
      </c>
      <c r="B484" s="178" t="s">
        <v>16</v>
      </c>
      <c r="C484" s="178" t="str">
        <f>VLOOKUP(A484,CUSTOMER!$A:$C,3,0)</f>
        <v>COOP_F_PPTHU</v>
      </c>
      <c r="D484" s="178" t="s">
        <v>674</v>
      </c>
      <c r="E484" s="178" t="str">
        <f>VLOOKUP(A487,CUSTOMER!$A$2:$H$1094,5,0)</f>
        <v>VAVANCY-VU MINH TUAN</v>
      </c>
      <c r="F484" s="178" t="str">
        <f>VLOOKUP(A487,CUSTOMER!$A$2:$I$1094,6,0)</f>
        <v>TRAN THI THANH TRUC</v>
      </c>
      <c r="G484" s="178" t="str">
        <f>VLOOKUP(A487,CUSTOMER!$A$1:$J$1160,7,0)</f>
        <v>"NO PG"</v>
      </c>
      <c r="H484" s="179">
        <f t="shared" si="76"/>
        <v>0</v>
      </c>
      <c r="I484" s="180" t="str">
        <f t="shared" si="77"/>
        <v/>
      </c>
      <c r="J484" s="181">
        <f t="shared" si="78"/>
        <v>0</v>
      </c>
      <c r="K484" s="182">
        <v>0</v>
      </c>
      <c r="L484" s="180" t="str">
        <f t="shared" si="79"/>
        <v/>
      </c>
      <c r="M484" s="218">
        <f>SUMIFS(DATA!$L:$L,DATA!$O:$O,$B487,DATA!$N:$N,$A487,DATA!$M:$M,'SALES BY SYSTEM'!$O$1)</f>
        <v>0</v>
      </c>
      <c r="N484" s="182">
        <v>0</v>
      </c>
      <c r="O484" s="180" t="str">
        <f t="shared" si="80"/>
        <v/>
      </c>
      <c r="P484" s="218">
        <f>SUMIFS(DATA!$L:$L,DATA!$O:$O,$B487,DATA!$N:$N,$A487,DATA!$M:$M,'SALES BY SYSTEM'!$O$2)</f>
        <v>0</v>
      </c>
      <c r="Q484" s="182">
        <v>0</v>
      </c>
      <c r="R484" s="180" t="str">
        <f t="shared" si="81"/>
        <v/>
      </c>
      <c r="S484" s="218">
        <f>SUMIFS(DATA!$L:$L,DATA!$O:$O,$B487,DATA!$N:$N,$A487,DATA!$M:$M,'SALES BY SYSTEM'!$O$4)</f>
        <v>0</v>
      </c>
      <c r="T484" s="182">
        <v>0</v>
      </c>
      <c r="U484" s="180" t="str">
        <f t="shared" si="82"/>
        <v/>
      </c>
      <c r="V484" s="218">
        <f>SUMIFS(DATA!$L:$L,DATA!$O:$O,$B487,DATA!$N:$N,$A487,DATA!$M:$M,'SALES BY SYSTEM'!$O$3)</f>
        <v>0</v>
      </c>
      <c r="W484" s="168"/>
    </row>
    <row r="485" spans="1:23" ht="15.75" customHeight="1" x14ac:dyDescent="0.25">
      <c r="A485" s="178" t="s">
        <v>1194</v>
      </c>
      <c r="B485" s="178" t="s">
        <v>16</v>
      </c>
      <c r="C485" s="199" t="str">
        <f>VLOOKUP(A485,CUSTOMER!$A:$C,3,0)</f>
        <v>COOP_F_PTHIEN</v>
      </c>
      <c r="D485" s="178" t="s">
        <v>674</v>
      </c>
      <c r="E485" s="178" t="str">
        <f>VLOOKUP(A488,CUSTOMER!$A$2:$H$1094,5,0)</f>
        <v>VAVANCY-VU MINH TUAN</v>
      </c>
      <c r="F485" s="178" t="str">
        <f>VLOOKUP(A488,CUSTOMER!$A$2:$I$1094,6,0)</f>
        <v>NO SALE</v>
      </c>
      <c r="G485" s="179">
        <v>0</v>
      </c>
      <c r="H485" s="179">
        <f t="shared" si="76"/>
        <v>0</v>
      </c>
      <c r="I485" s="180" t="str">
        <f t="shared" si="77"/>
        <v/>
      </c>
      <c r="J485" s="181">
        <f t="shared" si="78"/>
        <v>0</v>
      </c>
      <c r="K485" s="182">
        <v>0</v>
      </c>
      <c r="L485" s="180" t="str">
        <f t="shared" si="79"/>
        <v/>
      </c>
      <c r="M485" s="218">
        <f>SUMIFS(DATA!$L:$L,DATA!$O:$O,$B488,DATA!$N:$N,$A488,DATA!$M:$M,'SALES BY SYSTEM'!$O$1)</f>
        <v>0</v>
      </c>
      <c r="N485" s="182">
        <v>0</v>
      </c>
      <c r="O485" s="180" t="str">
        <f t="shared" si="80"/>
        <v/>
      </c>
      <c r="P485" s="218">
        <f>SUMIFS(DATA!$L:$L,DATA!$O:$O,$B488,DATA!$N:$N,$A488,DATA!$M:$M,'SALES BY SYSTEM'!$O$2)</f>
        <v>0</v>
      </c>
      <c r="Q485" s="182">
        <v>0</v>
      </c>
      <c r="R485" s="180" t="str">
        <f t="shared" si="81"/>
        <v/>
      </c>
      <c r="S485" s="218">
        <f>SUMIFS(DATA!$L:$L,DATA!$O:$O,$B488,DATA!$N:$N,$A488,DATA!$M:$M,'SALES BY SYSTEM'!$O$4)</f>
        <v>0</v>
      </c>
      <c r="T485" s="182">
        <v>0</v>
      </c>
      <c r="U485" s="180" t="str">
        <f t="shared" si="82"/>
        <v/>
      </c>
      <c r="V485" s="218">
        <f>SUMIFS(DATA!$L:$L,DATA!$O:$O,$B488,DATA!$N:$N,$A488,DATA!$M:$M,'SALES BY SYSTEM'!$O$3)</f>
        <v>0</v>
      </c>
      <c r="W485" s="168"/>
    </row>
    <row r="486" spans="1:23" ht="15.75" customHeight="1" x14ac:dyDescent="0.25">
      <c r="A486" s="178" t="s">
        <v>1045</v>
      </c>
      <c r="B486" s="178" t="s">
        <v>16</v>
      </c>
      <c r="C486" s="178" t="str">
        <f>VLOOKUP(A486,CUSTOMER!$A:$C,3,0)</f>
        <v>COOP_F_PTHIEN2649</v>
      </c>
      <c r="D486" s="178" t="s">
        <v>674</v>
      </c>
      <c r="E486" s="178" t="str">
        <f>VLOOKUP(A489,CUSTOMER!$A$2:$H$1094,5,0)</f>
        <v>VAVANCY-VU MINH TUAN</v>
      </c>
      <c r="F486" s="178" t="str">
        <f>VLOOKUP(A489,CUSTOMER!$A$2:$I$1094,6,0)</f>
        <v>TRAN THI THANH TRUC</v>
      </c>
      <c r="G486" s="178" t="s">
        <v>676</v>
      </c>
      <c r="H486" s="179">
        <f t="shared" si="76"/>
        <v>0</v>
      </c>
      <c r="I486" s="180" t="str">
        <f t="shared" si="77"/>
        <v/>
      </c>
      <c r="J486" s="181">
        <f t="shared" si="78"/>
        <v>0</v>
      </c>
      <c r="K486" s="182">
        <v>0</v>
      </c>
      <c r="L486" s="180" t="str">
        <f t="shared" si="79"/>
        <v/>
      </c>
      <c r="M486" s="218">
        <f>SUMIFS(DATA!$L:$L,DATA!$O:$O,$B489,DATA!$N:$N,$A489,DATA!$M:$M,'SALES BY SYSTEM'!$O$1)</f>
        <v>0</v>
      </c>
      <c r="N486" s="182">
        <v>0</v>
      </c>
      <c r="O486" s="180" t="str">
        <f t="shared" si="80"/>
        <v/>
      </c>
      <c r="P486" s="218">
        <f>SUMIFS(DATA!$L:$L,DATA!$O:$O,$B489,DATA!$N:$N,$A489,DATA!$M:$M,'SALES BY SYSTEM'!$O$2)</f>
        <v>0</v>
      </c>
      <c r="Q486" s="182">
        <v>0</v>
      </c>
      <c r="R486" s="180" t="str">
        <f t="shared" si="81"/>
        <v/>
      </c>
      <c r="S486" s="218">
        <f>SUMIFS(DATA!$L:$L,DATA!$O:$O,$B489,DATA!$N:$N,$A489,DATA!$M:$M,'SALES BY SYSTEM'!$O$4)</f>
        <v>0</v>
      </c>
      <c r="T486" s="182">
        <v>0</v>
      </c>
      <c r="U486" s="180" t="str">
        <f t="shared" si="82"/>
        <v/>
      </c>
      <c r="V486" s="218">
        <f>SUMIFS(DATA!$L:$L,DATA!$O:$O,$B489,DATA!$N:$N,$A489,DATA!$M:$M,'SALES BY SYSTEM'!$O$3)</f>
        <v>0</v>
      </c>
      <c r="W486" s="168"/>
    </row>
    <row r="487" spans="1:23" ht="15.75" customHeight="1" x14ac:dyDescent="0.25">
      <c r="A487" s="178" t="s">
        <v>1011</v>
      </c>
      <c r="B487" s="178" t="s">
        <v>16</v>
      </c>
      <c r="C487" s="178" t="str">
        <f>VLOOKUP(A487,CUSTOMER!$A:$C,3,0)</f>
        <v>COOP_F_PVHON151</v>
      </c>
      <c r="D487" s="178" t="s">
        <v>674</v>
      </c>
      <c r="E487" s="178" t="str">
        <f>VLOOKUP(A490,CUSTOMER!$A$2:$H$1094,5,0)</f>
        <v>VAVANCY-VU MINH TUAN</v>
      </c>
      <c r="F487" s="178" t="str">
        <f>VLOOKUP(A490,CUSTOMER!$A$2:$I$1094,6,0)</f>
        <v>TRAN THI THANH TRUC</v>
      </c>
      <c r="G487" s="178" t="str">
        <f>VLOOKUP(A490,CUSTOMER!$A$1:$J$1160,7,0)</f>
        <v>"NO PG"</v>
      </c>
      <c r="H487" s="179">
        <f t="shared" si="76"/>
        <v>0</v>
      </c>
      <c r="I487" s="180" t="str">
        <f t="shared" si="77"/>
        <v/>
      </c>
      <c r="J487" s="181">
        <f t="shared" si="78"/>
        <v>0</v>
      </c>
      <c r="K487" s="182">
        <v>0</v>
      </c>
      <c r="L487" s="180"/>
      <c r="M487" s="218">
        <f>SUMIFS(DATA!$L:$L,DATA!$O:$O,$B490,DATA!$N:$N,$A490,DATA!$M:$M,'SALES BY SYSTEM'!$O$1)</f>
        <v>0</v>
      </c>
      <c r="N487" s="182">
        <v>0</v>
      </c>
      <c r="O487" s="180"/>
      <c r="P487" s="218">
        <f>SUMIFS(DATA!$L:$L,DATA!$O:$O,$B490,DATA!$N:$N,$A490,DATA!$M:$M,'SALES BY SYSTEM'!$O$2)</f>
        <v>0</v>
      </c>
      <c r="Q487" s="182">
        <v>0</v>
      </c>
      <c r="R487" s="180"/>
      <c r="S487" s="218">
        <f>SUMIFS(DATA!$L:$L,DATA!$O:$O,$B490,DATA!$N:$N,$A490,DATA!$M:$M,'SALES BY SYSTEM'!$O$4)</f>
        <v>0</v>
      </c>
      <c r="T487" s="182">
        <v>0</v>
      </c>
      <c r="U487" s="180"/>
      <c r="V487" s="218">
        <f>SUMIFS(DATA!$L:$L,DATA!$O:$O,$B490,DATA!$N:$N,$A490,DATA!$M:$M,'SALES BY SYSTEM'!$O$3)</f>
        <v>0</v>
      </c>
      <c r="W487" s="168"/>
    </row>
    <row r="488" spans="1:23" ht="15.75" customHeight="1" x14ac:dyDescent="0.25">
      <c r="A488" s="178" t="s">
        <v>372</v>
      </c>
      <c r="B488" s="178" t="s">
        <v>16</v>
      </c>
      <c r="C488" s="178" t="str">
        <f>VLOOKUP(A488,CUSTOMER!$A:$C,3,0)</f>
        <v>COOP_F_PDPHUNG</v>
      </c>
      <c r="D488" s="178" t="s">
        <v>674</v>
      </c>
      <c r="E488" s="178" t="str">
        <f>VLOOKUP(A491,CUSTOMER!$A$2:$H$1094,5,0)</f>
        <v>VAVANCY-VU MINH TUAN</v>
      </c>
      <c r="F488" s="178" t="str">
        <f>VLOOKUP(A491,CUSTOMER!$A$2:$I$1094,6,0)</f>
        <v>NO SALE</v>
      </c>
      <c r="G488" s="178" t="s">
        <v>676</v>
      </c>
      <c r="H488" s="179">
        <f t="shared" si="76"/>
        <v>0</v>
      </c>
      <c r="I488" s="180" t="str">
        <f t="shared" si="77"/>
        <v/>
      </c>
      <c r="J488" s="181">
        <f t="shared" si="78"/>
        <v>0</v>
      </c>
      <c r="K488" s="182">
        <v>0</v>
      </c>
      <c r="L488" s="180" t="str">
        <f t="shared" ref="L488:L510" si="83">IFERROR(M491/K491,"")</f>
        <v/>
      </c>
      <c r="M488" s="218">
        <f>SUMIFS(DATA!$L:$L,DATA!$O:$O,$B491,DATA!$N:$N,$A491,DATA!$M:$M,'SALES BY SYSTEM'!$O$1)</f>
        <v>0</v>
      </c>
      <c r="N488" s="182">
        <v>0</v>
      </c>
      <c r="O488" s="180" t="str">
        <f t="shared" ref="O488:O512" si="84">IFERROR(P491/N491,"")</f>
        <v/>
      </c>
      <c r="P488" s="218">
        <f>SUMIFS(DATA!$L:$L,DATA!$O:$O,$B491,DATA!$N:$N,$A491,DATA!$M:$M,'SALES BY SYSTEM'!$O$2)</f>
        <v>0</v>
      </c>
      <c r="Q488" s="182">
        <v>0</v>
      </c>
      <c r="R488" s="180" t="str">
        <f t="shared" ref="R488:R512" si="85">IFERROR(S491/Q491,"")</f>
        <v/>
      </c>
      <c r="S488" s="218">
        <f>SUMIFS(DATA!$L:$L,DATA!$O:$O,$B491,DATA!$N:$N,$A491,DATA!$M:$M,'SALES BY SYSTEM'!$O$4)</f>
        <v>0</v>
      </c>
      <c r="T488" s="182">
        <v>0</v>
      </c>
      <c r="U488" s="180" t="str">
        <f t="shared" ref="U488:U512" si="86">IFERROR(V491/T491,"")</f>
        <v/>
      </c>
      <c r="V488" s="218">
        <f>SUMIFS(DATA!$L:$L,DATA!$O:$O,$B491,DATA!$N:$N,$A491,DATA!$M:$M,'SALES BY SYSTEM'!$O$3)</f>
        <v>0</v>
      </c>
      <c r="W488" s="168"/>
    </row>
    <row r="489" spans="1:23" ht="15.75" customHeight="1" x14ac:dyDescent="0.25">
      <c r="A489" s="178" t="s">
        <v>1013</v>
      </c>
      <c r="B489" s="178" t="s">
        <v>16</v>
      </c>
      <c r="C489" s="178" t="str">
        <f>VLOOKUP(A489,CUSTOMER!$A:$C,3,0)</f>
        <v>COOP_F_PVHON285</v>
      </c>
      <c r="D489" s="178" t="s">
        <v>674</v>
      </c>
      <c r="E489" s="178" t="str">
        <f>VLOOKUP(A492,CUSTOMER!$A$2:$H$1094,5,0)</f>
        <v>VAVANCY-VU MINH TUAN</v>
      </c>
      <c r="F489" s="178" t="str">
        <f>VLOOKUP(A492,CUSTOMER!$A$2:$I$1094,6,0)</f>
        <v>"NO SALE"</v>
      </c>
      <c r="G489" s="178" t="str">
        <f>VLOOKUP(A492,CUSTOMER!$A$1:$J$1160,7,0)</f>
        <v>"NO PG"</v>
      </c>
      <c r="H489" s="179">
        <f t="shared" si="76"/>
        <v>0</v>
      </c>
      <c r="I489" s="180" t="str">
        <f t="shared" si="77"/>
        <v/>
      </c>
      <c r="J489" s="181">
        <f t="shared" si="78"/>
        <v>0</v>
      </c>
      <c r="K489" s="182">
        <v>0</v>
      </c>
      <c r="L489" s="180" t="str">
        <f t="shared" si="83"/>
        <v/>
      </c>
      <c r="M489" s="218">
        <f>SUMIFS(DATA!$L:$L,DATA!$O:$O,$B492,DATA!$N:$N,$A492,DATA!$M:$M,'SALES BY SYSTEM'!$O$1)</f>
        <v>0</v>
      </c>
      <c r="N489" s="182">
        <v>0</v>
      </c>
      <c r="O489" s="180" t="str">
        <f t="shared" si="84"/>
        <v/>
      </c>
      <c r="P489" s="218">
        <f>SUMIFS(DATA!$L:$L,DATA!$O:$O,$B492,DATA!$N:$N,$A492,DATA!$M:$M,'SALES BY SYSTEM'!$O$2)</f>
        <v>0</v>
      </c>
      <c r="Q489" s="182">
        <v>0</v>
      </c>
      <c r="R489" s="180" t="str">
        <f t="shared" si="85"/>
        <v/>
      </c>
      <c r="S489" s="218">
        <f>SUMIFS(DATA!$L:$L,DATA!$O:$O,$B492,DATA!$N:$N,$A492,DATA!$M:$M,'SALES BY SYSTEM'!$O$4)</f>
        <v>0</v>
      </c>
      <c r="T489" s="182">
        <v>0</v>
      </c>
      <c r="U489" s="180" t="str">
        <f t="shared" si="86"/>
        <v/>
      </c>
      <c r="V489" s="218">
        <f>SUMIFS(DATA!$L:$L,DATA!$O:$O,$B492,DATA!$N:$N,$A492,DATA!$M:$M,'SALES BY SYSTEM'!$O$3)</f>
        <v>0</v>
      </c>
      <c r="W489" s="168"/>
    </row>
    <row r="490" spans="1:23" ht="15.75" customHeight="1" x14ac:dyDescent="0.25">
      <c r="A490" s="178" t="s">
        <v>1081</v>
      </c>
      <c r="B490" s="178" t="s">
        <v>16</v>
      </c>
      <c r="C490" s="178" t="str">
        <f>VLOOKUP(A490,CUSTOMER!$A:$C,3,0)</f>
        <v>COOP_F_PLOI</v>
      </c>
      <c r="D490" s="178" t="s">
        <v>674</v>
      </c>
      <c r="E490" s="178" t="str">
        <f>VLOOKUP(A493,CUSTOMER!$A$2:$H$1094,5,0)</f>
        <v>VAVANCY-VU MINH TUAN</v>
      </c>
      <c r="F490" s="178" t="str">
        <f>VLOOKUP(A493,CUSTOMER!$A$2:$I$1094,6,0)</f>
        <v>NO SALE</v>
      </c>
      <c r="G490" s="178" t="str">
        <f>VLOOKUP(A493,CUSTOMER!$A$1:$J$1160,7,0)</f>
        <v>"NO PG"</v>
      </c>
      <c r="H490" s="179">
        <f t="shared" si="76"/>
        <v>0</v>
      </c>
      <c r="I490" s="180" t="str">
        <f t="shared" si="77"/>
        <v/>
      </c>
      <c r="J490" s="181">
        <f t="shared" si="78"/>
        <v>0</v>
      </c>
      <c r="K490" s="182">
        <v>0</v>
      </c>
      <c r="L490" s="180" t="str">
        <f t="shared" si="83"/>
        <v/>
      </c>
      <c r="M490" s="218">
        <f>SUMIFS(DATA!$L:$L,DATA!$O:$O,$B493,DATA!$N:$N,$A493,DATA!$M:$M,'SALES BY SYSTEM'!$O$1)</f>
        <v>0</v>
      </c>
      <c r="N490" s="182">
        <v>0</v>
      </c>
      <c r="O490" s="180" t="str">
        <f t="shared" si="84"/>
        <v/>
      </c>
      <c r="P490" s="218">
        <f>SUMIFS(DATA!$L:$L,DATA!$O:$O,$B493,DATA!$N:$N,$A493,DATA!$M:$M,'SALES BY SYSTEM'!$O$2)</f>
        <v>0</v>
      </c>
      <c r="Q490" s="182">
        <v>0</v>
      </c>
      <c r="R490" s="180" t="str">
        <f t="shared" si="85"/>
        <v/>
      </c>
      <c r="S490" s="218">
        <f>SUMIFS(DATA!$L:$L,DATA!$O:$O,$B493,DATA!$N:$N,$A493,DATA!$M:$M,'SALES BY SYSTEM'!$O$4)</f>
        <v>0</v>
      </c>
      <c r="T490" s="182">
        <v>0</v>
      </c>
      <c r="U490" s="180" t="str">
        <f t="shared" si="86"/>
        <v/>
      </c>
      <c r="V490" s="218">
        <f>SUMIFS(DATA!$L:$L,DATA!$O:$O,$B493,DATA!$N:$N,$A493,DATA!$M:$M,'SALES BY SYSTEM'!$O$3)</f>
        <v>0</v>
      </c>
      <c r="W490" s="168"/>
    </row>
    <row r="491" spans="1:23" ht="15.75" customHeight="1" x14ac:dyDescent="0.25">
      <c r="A491" s="178" t="s">
        <v>398</v>
      </c>
      <c r="B491" s="178" t="s">
        <v>16</v>
      </c>
      <c r="C491" s="178" t="str">
        <f>VLOOKUP(A491,CUSTOMER!$A:$C,3,0)</f>
        <v>COOP_F_PXUAN</v>
      </c>
      <c r="D491" s="178" t="s">
        <v>674</v>
      </c>
      <c r="E491" s="178" t="str">
        <f>VLOOKUP(A494,CUSTOMER!$A$2:$H$1094,5,0)</f>
        <v>VAVANCY-VU MINH TUAN</v>
      </c>
      <c r="F491" s="178" t="str">
        <f>VLOOKUP(A494,CUSTOMER!$A$2:$I$1094,6,0)</f>
        <v>NO SALE</v>
      </c>
      <c r="G491" s="178" t="s">
        <v>676</v>
      </c>
      <c r="H491" s="179">
        <f t="shared" si="76"/>
        <v>0</v>
      </c>
      <c r="I491" s="180" t="str">
        <f t="shared" si="77"/>
        <v/>
      </c>
      <c r="J491" s="181">
        <f t="shared" si="78"/>
        <v>0</v>
      </c>
      <c r="K491" s="182">
        <v>0</v>
      </c>
      <c r="L491" s="180" t="str">
        <f t="shared" si="83"/>
        <v/>
      </c>
      <c r="M491" s="218">
        <f>SUMIFS(DATA!$L:$L,DATA!$O:$O,$B494,DATA!$N:$N,$A494,DATA!$M:$M,'SALES BY SYSTEM'!$O$1)</f>
        <v>0</v>
      </c>
      <c r="N491" s="182">
        <v>0</v>
      </c>
      <c r="O491" s="180" t="str">
        <f t="shared" si="84"/>
        <v/>
      </c>
      <c r="P491" s="218">
        <f>SUMIFS(DATA!$L:$L,DATA!$O:$O,$B494,DATA!$N:$N,$A494,DATA!$M:$M,'SALES BY SYSTEM'!$O$2)</f>
        <v>0</v>
      </c>
      <c r="Q491" s="182">
        <v>0</v>
      </c>
      <c r="R491" s="180" t="str">
        <f t="shared" si="85"/>
        <v/>
      </c>
      <c r="S491" s="218">
        <f>SUMIFS(DATA!$L:$L,DATA!$O:$O,$B494,DATA!$N:$N,$A494,DATA!$M:$M,'SALES BY SYSTEM'!$O$4)</f>
        <v>0</v>
      </c>
      <c r="T491" s="182">
        <v>0</v>
      </c>
      <c r="U491" s="180" t="str">
        <f t="shared" si="86"/>
        <v/>
      </c>
      <c r="V491" s="218">
        <f>SUMIFS(DATA!$L:$L,DATA!$O:$O,$B494,DATA!$N:$N,$A494,DATA!$M:$M,'SALES BY SYSTEM'!$O$3)</f>
        <v>0</v>
      </c>
      <c r="W491" s="168"/>
    </row>
    <row r="492" spans="1:23" ht="15.75" customHeight="1" x14ac:dyDescent="0.25">
      <c r="A492" s="178" t="s">
        <v>1183</v>
      </c>
      <c r="B492" s="178" t="s">
        <v>16</v>
      </c>
      <c r="C492" s="178" t="str">
        <f>VLOOKUP(A492,CUSTOMER!$A:$C,3,0)</f>
        <v>COOP_F_PYNHTHO</v>
      </c>
      <c r="D492" s="178" t="s">
        <v>674</v>
      </c>
      <c r="E492" s="178" t="str">
        <f>VLOOKUP(A495,CUSTOMER!$A$2:$H$1094,5,0)</f>
        <v>VAVANCY-VU MINH TUAN</v>
      </c>
      <c r="F492" s="178" t="str">
        <f>VLOOKUP(A495,CUSTOMER!$A$2:$I$1094,6,0)</f>
        <v>NO SALE</v>
      </c>
      <c r="G492" s="178" t="s">
        <v>676</v>
      </c>
      <c r="H492" s="179">
        <f t="shared" si="76"/>
        <v>0</v>
      </c>
      <c r="I492" s="180" t="str">
        <f t="shared" si="77"/>
        <v/>
      </c>
      <c r="J492" s="181">
        <f t="shared" si="78"/>
        <v>0</v>
      </c>
      <c r="K492" s="182">
        <v>0</v>
      </c>
      <c r="L492" s="180" t="str">
        <f t="shared" si="83"/>
        <v/>
      </c>
      <c r="M492" s="218">
        <f>SUMIFS(DATA!$L:$L,DATA!$O:$O,$B495,DATA!$N:$N,$A495,DATA!$M:$M,'SALES BY SYSTEM'!$O$1)</f>
        <v>0</v>
      </c>
      <c r="N492" s="182">
        <v>0</v>
      </c>
      <c r="O492" s="180" t="str">
        <f t="shared" si="84"/>
        <v/>
      </c>
      <c r="P492" s="218">
        <f>SUMIFS(DATA!$L:$L,DATA!$O:$O,$B495,DATA!$N:$N,$A495,DATA!$M:$M,'SALES BY SYSTEM'!$O$2)</f>
        <v>0</v>
      </c>
      <c r="Q492" s="182">
        <v>0</v>
      </c>
      <c r="R492" s="180" t="str">
        <f t="shared" si="85"/>
        <v/>
      </c>
      <c r="S492" s="218">
        <f>SUMIFS(DATA!$L:$L,DATA!$O:$O,$B495,DATA!$N:$N,$A495,DATA!$M:$M,'SALES BY SYSTEM'!$O$4)</f>
        <v>0</v>
      </c>
      <c r="T492" s="182">
        <v>0</v>
      </c>
      <c r="U492" s="180" t="str">
        <f t="shared" si="86"/>
        <v/>
      </c>
      <c r="V492" s="218">
        <f>SUMIFS(DATA!$L:$L,DATA!$O:$O,$B495,DATA!$N:$N,$A495,DATA!$M:$M,'SALES BY SYSTEM'!$O$3)</f>
        <v>0</v>
      </c>
      <c r="W492" s="168"/>
    </row>
    <row r="493" spans="1:23" ht="15.75" customHeight="1" x14ac:dyDescent="0.25">
      <c r="A493" s="178" t="s">
        <v>1121</v>
      </c>
      <c r="B493" s="178" t="s">
        <v>16</v>
      </c>
      <c r="C493" s="178" t="str">
        <f>VLOOKUP(A493,CUSTOMER!$A:$C,3,0)</f>
        <v>COOP_F_PALOC</v>
      </c>
      <c r="D493" s="178" t="s">
        <v>674</v>
      </c>
      <c r="E493" s="178" t="str">
        <f>VLOOKUP(A496,CUSTOMER!$A$2:$H$1094,5,0)</f>
        <v>VAVANCY-VU MINH TUAN</v>
      </c>
      <c r="F493" s="178" t="str">
        <f>VLOOKUP(A496,CUSTOMER!$A$2:$I$1094,6,0)</f>
        <v>TRAN THI THANH TRUC</v>
      </c>
      <c r="G493" s="178" t="str">
        <f>VLOOKUP(A496,CUSTOMER!$A$1:$J$1160,7,0)</f>
        <v>"NO PG"</v>
      </c>
      <c r="H493" s="179">
        <f t="shared" si="76"/>
        <v>0</v>
      </c>
      <c r="I493" s="180" t="str">
        <f t="shared" si="77"/>
        <v/>
      </c>
      <c r="J493" s="181">
        <f t="shared" si="78"/>
        <v>0</v>
      </c>
      <c r="K493" s="182">
        <v>0</v>
      </c>
      <c r="L493" s="180" t="str">
        <f t="shared" si="83"/>
        <v/>
      </c>
      <c r="M493" s="218">
        <f>SUMIFS(DATA!$L:$L,DATA!$O:$O,$B496,DATA!$N:$N,$A496,DATA!$M:$M,'SALES BY SYSTEM'!$O$1)</f>
        <v>0</v>
      </c>
      <c r="N493" s="182">
        <v>0</v>
      </c>
      <c r="O493" s="180" t="str">
        <f t="shared" si="84"/>
        <v/>
      </c>
      <c r="P493" s="218">
        <f>SUMIFS(DATA!$L:$L,DATA!$O:$O,$B496,DATA!$N:$N,$A496,DATA!$M:$M,'SALES BY SYSTEM'!$O$2)</f>
        <v>0</v>
      </c>
      <c r="Q493" s="182">
        <v>0</v>
      </c>
      <c r="R493" s="180" t="str">
        <f t="shared" si="85"/>
        <v/>
      </c>
      <c r="S493" s="218">
        <f>SUMIFS(DATA!$L:$L,DATA!$O:$O,$B496,DATA!$N:$N,$A496,DATA!$M:$M,'SALES BY SYSTEM'!$O$4)</f>
        <v>0</v>
      </c>
      <c r="T493" s="182">
        <v>0</v>
      </c>
      <c r="U493" s="180" t="str">
        <f t="shared" si="86"/>
        <v/>
      </c>
      <c r="V493" s="218">
        <f>SUMIFS(DATA!$L:$L,DATA!$O:$O,$B496,DATA!$N:$N,$A496,DATA!$M:$M,'SALES BY SYSTEM'!$O$3)</f>
        <v>0</v>
      </c>
      <c r="W493" s="168"/>
    </row>
    <row r="494" spans="1:23" ht="15.75" customHeight="1" x14ac:dyDescent="0.25">
      <c r="A494" s="178" t="s">
        <v>1117</v>
      </c>
      <c r="B494" s="178" t="s">
        <v>16</v>
      </c>
      <c r="C494" s="178" t="str">
        <f>VLOOKUP(A494,CUSTOMER!$A:$C,3,0)</f>
        <v>COOP_F_QPHUC</v>
      </c>
      <c r="D494" s="178" t="s">
        <v>674</v>
      </c>
      <c r="E494" s="178" t="str">
        <f>VLOOKUP(A497,CUSTOMER!$A$2:$H$1094,5,0)</f>
        <v>VAVANCY-VU MINH TUAN</v>
      </c>
      <c r="F494" s="178" t="str">
        <f>VLOOKUP(A497,CUSTOMER!$A$2:$I$1094,6,0)</f>
        <v>NO SALE</v>
      </c>
      <c r="G494" s="178" t="str">
        <f>VLOOKUP(A497,CUSTOMER!$A$1:$J$1160,7,0)</f>
        <v>"NO PG"</v>
      </c>
      <c r="H494" s="179">
        <f t="shared" si="76"/>
        <v>0</v>
      </c>
      <c r="I494" s="180" t="str">
        <f t="shared" si="77"/>
        <v/>
      </c>
      <c r="J494" s="181">
        <f t="shared" si="78"/>
        <v>0</v>
      </c>
      <c r="K494" s="182">
        <v>0</v>
      </c>
      <c r="L494" s="180" t="str">
        <f t="shared" si="83"/>
        <v/>
      </c>
      <c r="M494" s="218">
        <f>SUMIFS(DATA!$L:$L,DATA!$O:$O,$B497,DATA!$N:$N,$A497,DATA!$M:$M,'SALES BY SYSTEM'!$O$1)</f>
        <v>0</v>
      </c>
      <c r="N494" s="182">
        <v>0</v>
      </c>
      <c r="O494" s="180" t="str">
        <f t="shared" si="84"/>
        <v/>
      </c>
      <c r="P494" s="218">
        <f>SUMIFS(DATA!$L:$L,DATA!$O:$O,$B497,DATA!$N:$N,$A497,DATA!$M:$M,'SALES BY SYSTEM'!$O$2)</f>
        <v>0</v>
      </c>
      <c r="Q494" s="182">
        <v>0</v>
      </c>
      <c r="R494" s="180" t="str">
        <f t="shared" si="85"/>
        <v/>
      </c>
      <c r="S494" s="218">
        <f>SUMIFS(DATA!$L:$L,DATA!$O:$O,$B497,DATA!$N:$N,$A497,DATA!$M:$M,'SALES BY SYSTEM'!$O$4)</f>
        <v>0</v>
      </c>
      <c r="T494" s="182">
        <v>0</v>
      </c>
      <c r="U494" s="180" t="str">
        <f t="shared" si="86"/>
        <v/>
      </c>
      <c r="V494" s="218">
        <f>SUMIFS(DATA!$L:$L,DATA!$O:$O,$B497,DATA!$N:$N,$A497,DATA!$M:$M,'SALES BY SYSTEM'!$O$3)</f>
        <v>0</v>
      </c>
      <c r="W494" s="168"/>
    </row>
    <row r="495" spans="1:23" ht="15.75" customHeight="1" x14ac:dyDescent="0.25">
      <c r="A495" s="178" t="s">
        <v>1171</v>
      </c>
      <c r="B495" s="178" t="s">
        <v>16</v>
      </c>
      <c r="C495" s="178" t="str">
        <f>VLOOKUP(A495,CUSTOMER!$A:$C,3,0)</f>
        <v>COOP_F_QTRUNG100</v>
      </c>
      <c r="D495" s="178" t="s">
        <v>674</v>
      </c>
      <c r="E495" s="178" t="str">
        <f>VLOOKUP(A498,CUSTOMER!$A$2:$H$1094,5,0)</f>
        <v>VAVANCY-VU MINH TUAN</v>
      </c>
      <c r="F495" s="178" t="str">
        <f>VLOOKUP(A498,CUSTOMER!$A$2:$I$1094,6,0)</f>
        <v>TRAN THI THANH TRUC</v>
      </c>
      <c r="G495" s="178" t="s">
        <v>676</v>
      </c>
      <c r="H495" s="179">
        <f t="shared" si="76"/>
        <v>0</v>
      </c>
      <c r="I495" s="180" t="str">
        <f t="shared" si="77"/>
        <v/>
      </c>
      <c r="J495" s="181">
        <f t="shared" si="78"/>
        <v>0</v>
      </c>
      <c r="K495" s="182">
        <v>0</v>
      </c>
      <c r="L495" s="180" t="str">
        <f t="shared" si="83"/>
        <v/>
      </c>
      <c r="M495" s="218">
        <f>SUMIFS(DATA!$L:$L,DATA!$O:$O,$B498,DATA!$N:$N,$A498,DATA!$M:$M,'SALES BY SYSTEM'!$O$1)</f>
        <v>0</v>
      </c>
      <c r="N495" s="182">
        <v>0</v>
      </c>
      <c r="O495" s="180" t="str">
        <f t="shared" si="84"/>
        <v/>
      </c>
      <c r="P495" s="218">
        <f>SUMIFS(DATA!$L:$L,DATA!$O:$O,$B498,DATA!$N:$N,$A498,DATA!$M:$M,'SALES BY SYSTEM'!$O$2)</f>
        <v>0</v>
      </c>
      <c r="Q495" s="182">
        <v>0</v>
      </c>
      <c r="R495" s="180" t="str">
        <f t="shared" si="85"/>
        <v/>
      </c>
      <c r="S495" s="218">
        <f>SUMIFS(DATA!$L:$L,DATA!$O:$O,$B498,DATA!$N:$N,$A498,DATA!$M:$M,'SALES BY SYSTEM'!$O$4)</f>
        <v>0</v>
      </c>
      <c r="T495" s="182">
        <v>0</v>
      </c>
      <c r="U495" s="180" t="str">
        <f t="shared" si="86"/>
        <v/>
      </c>
      <c r="V495" s="218">
        <f>SUMIFS(DATA!$L:$L,DATA!$O:$O,$B498,DATA!$N:$N,$A498,DATA!$M:$M,'SALES BY SYSTEM'!$O$3)</f>
        <v>0</v>
      </c>
      <c r="W495" s="168"/>
    </row>
    <row r="496" spans="1:23" ht="15.75" customHeight="1" x14ac:dyDescent="0.25">
      <c r="A496" s="178" t="s">
        <v>1007</v>
      </c>
      <c r="B496" s="178" t="s">
        <v>16</v>
      </c>
      <c r="C496" s="178" t="str">
        <f>VLOOKUP(A496,CUSTOMER!$A:$C,3,0)</f>
        <v>COOP_F_QL22_726</v>
      </c>
      <c r="D496" s="178" t="s">
        <v>674</v>
      </c>
      <c r="E496" s="178" t="str">
        <f>VLOOKUP(A499,CUSTOMER!$A$2:$H$1094,5,0)</f>
        <v>VAVANCY-VU MINH TUAN</v>
      </c>
      <c r="F496" s="178" t="str">
        <f>VLOOKUP(A499,CUSTOMER!$A$2:$I$1094,6,0)</f>
        <v>VACANCY</v>
      </c>
      <c r="G496" s="178" t="str">
        <f>VLOOKUP(A499,CUSTOMER!$A$1:$J$1160,7,0)</f>
        <v>"NO PG"</v>
      </c>
      <c r="H496" s="179">
        <f t="shared" si="76"/>
        <v>0</v>
      </c>
      <c r="I496" s="180" t="str">
        <f t="shared" si="77"/>
        <v/>
      </c>
      <c r="J496" s="181">
        <f t="shared" si="78"/>
        <v>0</v>
      </c>
      <c r="K496" s="182">
        <v>0</v>
      </c>
      <c r="L496" s="180" t="str">
        <f t="shared" si="83"/>
        <v/>
      </c>
      <c r="M496" s="218">
        <f>SUMIFS(DATA!$L:$L,DATA!$O:$O,$B499,DATA!$N:$N,$A499,DATA!$M:$M,'SALES BY SYSTEM'!$O$1)</f>
        <v>0</v>
      </c>
      <c r="N496" s="182">
        <v>0</v>
      </c>
      <c r="O496" s="180" t="str">
        <f t="shared" si="84"/>
        <v/>
      </c>
      <c r="P496" s="218">
        <f>SUMIFS(DATA!$L:$L,DATA!$O:$O,$B499,DATA!$N:$N,$A499,DATA!$M:$M,'SALES BY SYSTEM'!$O$2)</f>
        <v>0</v>
      </c>
      <c r="Q496" s="182">
        <v>0</v>
      </c>
      <c r="R496" s="180" t="str">
        <f t="shared" si="85"/>
        <v/>
      </c>
      <c r="S496" s="218">
        <f>SUMIFS(DATA!$L:$L,DATA!$O:$O,$B499,DATA!$N:$N,$A499,DATA!$M:$M,'SALES BY SYSTEM'!$O$4)</f>
        <v>0</v>
      </c>
      <c r="T496" s="182">
        <v>0</v>
      </c>
      <c r="U496" s="180" t="str">
        <f t="shared" si="86"/>
        <v/>
      </c>
      <c r="V496" s="218">
        <f>SUMIFS(DATA!$L:$L,DATA!$O:$O,$B499,DATA!$N:$N,$A499,DATA!$M:$M,'SALES BY SYSTEM'!$O$3)</f>
        <v>0</v>
      </c>
      <c r="W496" s="168"/>
    </row>
    <row r="497" spans="1:23" ht="15.75" customHeight="1" x14ac:dyDescent="0.25">
      <c r="A497" s="178" t="s">
        <v>1185</v>
      </c>
      <c r="B497" s="178" t="s">
        <v>16</v>
      </c>
      <c r="C497" s="178" t="str">
        <f>VLOOKUP(A497,CUSTOMER!$A:$C,3,0)</f>
        <v>COOP_F_QL50</v>
      </c>
      <c r="D497" s="178" t="s">
        <v>674</v>
      </c>
      <c r="E497" s="178" t="str">
        <f>VLOOKUP(A500,CUSTOMER!$A$2:$H$1094,5,0)</f>
        <v>VAVANCY-VU MINH TUAN</v>
      </c>
      <c r="F497" s="178" t="str">
        <f>VLOOKUP(A500,CUSTOMER!$A$2:$I$1094,6,0)</f>
        <v>TRAN THI THANH TRUC</v>
      </c>
      <c r="G497" s="178" t="s">
        <v>676</v>
      </c>
      <c r="H497" s="179">
        <f t="shared" si="76"/>
        <v>0</v>
      </c>
      <c r="I497" s="180" t="str">
        <f t="shared" si="77"/>
        <v/>
      </c>
      <c r="J497" s="181">
        <f t="shared" si="78"/>
        <v>0</v>
      </c>
      <c r="K497" s="182">
        <v>0</v>
      </c>
      <c r="L497" s="180" t="str">
        <f t="shared" si="83"/>
        <v/>
      </c>
      <c r="M497" s="218">
        <f>SUMIFS(DATA!$L:$L,DATA!$O:$O,$B500,DATA!$N:$N,$A500,DATA!$M:$M,'SALES BY SYSTEM'!$O$1)</f>
        <v>0</v>
      </c>
      <c r="N497" s="182">
        <v>0</v>
      </c>
      <c r="O497" s="180" t="str">
        <f t="shared" si="84"/>
        <v/>
      </c>
      <c r="P497" s="218">
        <f>SUMIFS(DATA!$L:$L,DATA!$O:$O,$B500,DATA!$N:$N,$A500,DATA!$M:$M,'SALES BY SYSTEM'!$O$2)</f>
        <v>0</v>
      </c>
      <c r="Q497" s="182">
        <v>0</v>
      </c>
      <c r="R497" s="180" t="str">
        <f t="shared" si="85"/>
        <v/>
      </c>
      <c r="S497" s="218">
        <f>SUMIFS(DATA!$L:$L,DATA!$O:$O,$B500,DATA!$N:$N,$A500,DATA!$M:$M,'SALES BY SYSTEM'!$O$4)</f>
        <v>0</v>
      </c>
      <c r="T497" s="182">
        <v>0</v>
      </c>
      <c r="U497" s="180" t="str">
        <f t="shared" si="86"/>
        <v/>
      </c>
      <c r="V497" s="218">
        <f>SUMIFS(DATA!$L:$L,DATA!$O:$O,$B500,DATA!$N:$N,$A500,DATA!$M:$M,'SALES BY SYSTEM'!$O$3)</f>
        <v>0</v>
      </c>
      <c r="W497" s="168"/>
    </row>
    <row r="498" spans="1:23" ht="15.75" customHeight="1" x14ac:dyDescent="0.25">
      <c r="A498" s="178" t="s">
        <v>997</v>
      </c>
      <c r="B498" s="178" t="s">
        <v>16</v>
      </c>
      <c r="C498" s="178" t="str">
        <f>VLOOKUP(A498,CUSTOMER!$A:$C,3,0)</f>
        <v>COOP_F_ROMAN</v>
      </c>
      <c r="D498" s="178" t="s">
        <v>674</v>
      </c>
      <c r="E498" s="178" t="str">
        <f>VLOOKUP(A501,CUSTOMER!$A$2:$H$1094,5,0)</f>
        <v>VAVANCY-VU MINH TUAN</v>
      </c>
      <c r="F498" s="178" t="str">
        <f>VLOOKUP(A501,CUSTOMER!$A$2:$I$1094,6,0)</f>
        <v>VACANCY</v>
      </c>
      <c r="G498" s="178" t="str">
        <f>VLOOKUP(A501,CUSTOMER!$A$1:$J$1160,7,0)</f>
        <v>"NO PG"</v>
      </c>
      <c r="H498" s="179">
        <f t="shared" si="76"/>
        <v>0</v>
      </c>
      <c r="I498" s="180" t="str">
        <f t="shared" si="77"/>
        <v/>
      </c>
      <c r="J498" s="181">
        <f t="shared" si="78"/>
        <v>0</v>
      </c>
      <c r="K498" s="182">
        <v>0</v>
      </c>
      <c r="L498" s="180" t="str">
        <f t="shared" si="83"/>
        <v/>
      </c>
      <c r="M498" s="218">
        <f>SUMIFS(DATA!$L:$L,DATA!$O:$O,$B501,DATA!$N:$N,$A501,DATA!$M:$M,'SALES BY SYSTEM'!$O$1)</f>
        <v>0</v>
      </c>
      <c r="N498" s="182">
        <v>0</v>
      </c>
      <c r="O498" s="180" t="str">
        <f t="shared" si="84"/>
        <v/>
      </c>
      <c r="P498" s="218">
        <f>SUMIFS(DATA!$L:$L,DATA!$O:$O,$B501,DATA!$N:$N,$A501,DATA!$M:$M,'SALES BY SYSTEM'!$O$2)</f>
        <v>0</v>
      </c>
      <c r="Q498" s="182">
        <v>0</v>
      </c>
      <c r="R498" s="180" t="str">
        <f t="shared" si="85"/>
        <v/>
      </c>
      <c r="S498" s="218">
        <f>SUMIFS(DATA!$L:$L,DATA!$O:$O,$B501,DATA!$N:$N,$A501,DATA!$M:$M,'SALES BY SYSTEM'!$O$4)</f>
        <v>0</v>
      </c>
      <c r="T498" s="182">
        <v>0</v>
      </c>
      <c r="U498" s="180" t="str">
        <f t="shared" si="86"/>
        <v/>
      </c>
      <c r="V498" s="218">
        <f>SUMIFS(DATA!$L:$L,DATA!$O:$O,$B501,DATA!$N:$N,$A501,DATA!$M:$M,'SALES BY SYSTEM'!$O$3)</f>
        <v>0</v>
      </c>
      <c r="W498" s="168"/>
    </row>
    <row r="499" spans="1:23" ht="15.75" customHeight="1" x14ac:dyDescent="0.25">
      <c r="A499" s="178" t="s">
        <v>1187</v>
      </c>
      <c r="B499" s="178" t="s">
        <v>16</v>
      </c>
      <c r="C499" s="178" t="str">
        <f>VLOOKUP(A499,CUSTOMER!$A:$C,3,0)</f>
        <v>COOP_SAFIRAKDIEN</v>
      </c>
      <c r="D499" s="178" t="s">
        <v>674</v>
      </c>
      <c r="E499" s="178" t="str">
        <f>VLOOKUP(A502,CUSTOMER!$A$2:$H$1094,5,0)</f>
        <v>VAVANCY-VU MINH TUAN</v>
      </c>
      <c r="F499" s="178" t="str">
        <f>VLOOKUP(A502,CUSTOMER!$A$2:$I$1094,6,0)</f>
        <v>TRAN THI THANH TRUC</v>
      </c>
      <c r="G499" s="178" t="s">
        <v>676</v>
      </c>
      <c r="H499" s="179">
        <f t="shared" si="76"/>
        <v>0</v>
      </c>
      <c r="I499" s="180" t="str">
        <f t="shared" si="77"/>
        <v/>
      </c>
      <c r="J499" s="181">
        <f t="shared" si="78"/>
        <v>0</v>
      </c>
      <c r="K499" s="182">
        <v>0</v>
      </c>
      <c r="L499" s="180" t="str">
        <f t="shared" si="83"/>
        <v/>
      </c>
      <c r="M499" s="218">
        <f>SUMIFS(DATA!$L:$L,DATA!$O:$O,$B502,DATA!$N:$N,$A502,DATA!$M:$M,'SALES BY SYSTEM'!$O$1)</f>
        <v>0</v>
      </c>
      <c r="N499" s="182">
        <v>0</v>
      </c>
      <c r="O499" s="180" t="str">
        <f t="shared" si="84"/>
        <v/>
      </c>
      <c r="P499" s="218">
        <f>SUMIFS(DATA!$L:$L,DATA!$O:$O,$B502,DATA!$N:$N,$A502,DATA!$M:$M,'SALES BY SYSTEM'!$O$2)</f>
        <v>0</v>
      </c>
      <c r="Q499" s="182">
        <v>0</v>
      </c>
      <c r="R499" s="180" t="str">
        <f t="shared" si="85"/>
        <v/>
      </c>
      <c r="S499" s="218">
        <f>SUMIFS(DATA!$L:$L,DATA!$O:$O,$B502,DATA!$N:$N,$A502,DATA!$M:$M,'SALES BY SYSTEM'!$O$4)</f>
        <v>0</v>
      </c>
      <c r="T499" s="182">
        <v>0</v>
      </c>
      <c r="U499" s="180" t="str">
        <f t="shared" si="86"/>
        <v/>
      </c>
      <c r="V499" s="218">
        <f>SUMIFS(DATA!$L:$L,DATA!$O:$O,$B502,DATA!$N:$N,$A502,DATA!$M:$M,'SALES BY SYSTEM'!$O$3)</f>
        <v>0</v>
      </c>
      <c r="W499" s="168"/>
    </row>
    <row r="500" spans="1:23" ht="15.75" customHeight="1" x14ac:dyDescent="0.25">
      <c r="A500" s="178" t="s">
        <v>965</v>
      </c>
      <c r="B500" s="178" t="s">
        <v>16</v>
      </c>
      <c r="C500" s="178" t="str">
        <f>VLOOKUP(A500,CUSTOMER!$A:$C,3,0)</f>
        <v>COOP_F_SAIGON</v>
      </c>
      <c r="D500" s="178" t="s">
        <v>674</v>
      </c>
      <c r="E500" s="178" t="str">
        <f>VLOOKUP(A503,CUSTOMER!$A$2:$H$1094,5,0)</f>
        <v>VAVANCY-VU MINH TUAN</v>
      </c>
      <c r="F500" s="178" t="str">
        <f>VLOOKUP(A503,CUSTOMER!$A$2:$I$1094,6,0)</f>
        <v>TRAN THI THANH TRUC</v>
      </c>
      <c r="G500" s="178" t="str">
        <f>VLOOKUP(A503,CUSTOMER!$A$1:$J$1160,7,0)</f>
        <v>"NO PG"</v>
      </c>
      <c r="H500" s="179">
        <f t="shared" si="76"/>
        <v>0</v>
      </c>
      <c r="I500" s="180" t="str">
        <f t="shared" si="77"/>
        <v/>
      </c>
      <c r="J500" s="181">
        <f t="shared" si="78"/>
        <v>0</v>
      </c>
      <c r="K500" s="182">
        <v>0</v>
      </c>
      <c r="L500" s="180" t="str">
        <f t="shared" si="83"/>
        <v/>
      </c>
      <c r="M500" s="218">
        <f>SUMIFS(DATA!$L:$L,DATA!$O:$O,$B503,DATA!$N:$N,$A503,DATA!$M:$M,'SALES BY SYSTEM'!$O$1)</f>
        <v>0</v>
      </c>
      <c r="N500" s="182">
        <v>0</v>
      </c>
      <c r="O500" s="180" t="str">
        <f t="shared" si="84"/>
        <v/>
      </c>
      <c r="P500" s="218">
        <f>SUMIFS(DATA!$L:$L,DATA!$O:$O,$B503,DATA!$N:$N,$A503,DATA!$M:$M,'SALES BY SYSTEM'!$O$2)</f>
        <v>0</v>
      </c>
      <c r="Q500" s="182">
        <v>0</v>
      </c>
      <c r="R500" s="180" t="str">
        <f t="shared" si="85"/>
        <v/>
      </c>
      <c r="S500" s="218">
        <f>SUMIFS(DATA!$L:$L,DATA!$O:$O,$B503,DATA!$N:$N,$A503,DATA!$M:$M,'SALES BY SYSTEM'!$O$4)</f>
        <v>0</v>
      </c>
      <c r="T500" s="182">
        <v>0</v>
      </c>
      <c r="U500" s="180" t="str">
        <f t="shared" si="86"/>
        <v/>
      </c>
      <c r="V500" s="218">
        <f>SUMIFS(DATA!$L:$L,DATA!$O:$O,$B503,DATA!$N:$N,$A503,DATA!$M:$M,'SALES BY SYSTEM'!$O$3)</f>
        <v>0</v>
      </c>
      <c r="W500" s="168"/>
    </row>
    <row r="501" spans="1:23" ht="15.75" customHeight="1" x14ac:dyDescent="0.25">
      <c r="A501" s="178" t="s">
        <v>1063</v>
      </c>
      <c r="B501" s="178" t="s">
        <v>16</v>
      </c>
      <c r="C501" s="178" t="str">
        <f>VLOOKUP(A501,CUSTOMER!$A:$C,3,0)</f>
        <v>COOP_F_SAMSO</v>
      </c>
      <c r="D501" s="178" t="s">
        <v>674</v>
      </c>
      <c r="E501" s="178" t="str">
        <f>VLOOKUP(A504,CUSTOMER!$A$2:$H$1094,5,0)</f>
        <v>VAVANCY-VU MINH TUAN</v>
      </c>
      <c r="F501" s="178" t="str">
        <f>VLOOKUP(A504,CUSTOMER!$A$2:$I$1094,6,0)</f>
        <v>NO SALE</v>
      </c>
      <c r="G501" s="178" t="str">
        <f>VLOOKUP(A504,CUSTOMER!$A$1:$J$1160,7,0)</f>
        <v>"NO PG"</v>
      </c>
      <c r="H501" s="179">
        <f t="shared" si="76"/>
        <v>0</v>
      </c>
      <c r="I501" s="180" t="str">
        <f t="shared" si="77"/>
        <v/>
      </c>
      <c r="J501" s="181">
        <f t="shared" si="78"/>
        <v>0</v>
      </c>
      <c r="K501" s="182">
        <v>0</v>
      </c>
      <c r="L501" s="180" t="str">
        <f t="shared" si="83"/>
        <v/>
      </c>
      <c r="M501" s="218">
        <f>SUMIFS(DATA!$L:$L,DATA!$O:$O,$B504,DATA!$N:$N,$A504,DATA!$M:$M,'SALES BY SYSTEM'!$O$1)</f>
        <v>0</v>
      </c>
      <c r="N501" s="182">
        <v>0</v>
      </c>
      <c r="O501" s="180" t="str">
        <f t="shared" si="84"/>
        <v/>
      </c>
      <c r="P501" s="218">
        <f>SUMIFS(DATA!$L:$L,DATA!$O:$O,$B504,DATA!$N:$N,$A504,DATA!$M:$M,'SALES BY SYSTEM'!$O$2)</f>
        <v>0</v>
      </c>
      <c r="Q501" s="182">
        <v>0</v>
      </c>
      <c r="R501" s="180" t="str">
        <f t="shared" si="85"/>
        <v/>
      </c>
      <c r="S501" s="218">
        <f>SUMIFS(DATA!$L:$L,DATA!$O:$O,$B504,DATA!$N:$N,$A504,DATA!$M:$M,'SALES BY SYSTEM'!$O$4)</f>
        <v>0</v>
      </c>
      <c r="T501" s="182">
        <v>0</v>
      </c>
      <c r="U501" s="180" t="str">
        <f t="shared" si="86"/>
        <v/>
      </c>
      <c r="V501" s="218">
        <f>SUMIFS(DATA!$L:$L,DATA!$O:$O,$B504,DATA!$N:$N,$A504,DATA!$M:$M,'SALES BY SYSTEM'!$O$3)</f>
        <v>0</v>
      </c>
      <c r="W501" s="168"/>
    </row>
    <row r="502" spans="1:23" ht="15.75" customHeight="1" x14ac:dyDescent="0.25">
      <c r="A502" s="178" t="s">
        <v>1003</v>
      </c>
      <c r="B502" s="178" t="s">
        <v>16</v>
      </c>
      <c r="C502" s="178" t="str">
        <f>VLOOKUP(A502,CUSTOMER!$A:$C,3,0)</f>
        <v>COOP_F_SAPHIRE</v>
      </c>
      <c r="D502" s="178" t="s">
        <v>674</v>
      </c>
      <c r="E502" s="178" t="str">
        <f>VLOOKUP(A505,CUSTOMER!$A$2:$H$1094,5,0)</f>
        <v>VAVANCY-VU MINH TUAN</v>
      </c>
      <c r="F502" s="178" t="str">
        <f>VLOOKUP(A505,CUSTOMER!$A$2:$I$1094,6,0)</f>
        <v>NO SALE</v>
      </c>
      <c r="G502" s="178" t="s">
        <v>676</v>
      </c>
      <c r="H502" s="179">
        <f t="shared" si="76"/>
        <v>0</v>
      </c>
      <c r="I502" s="180" t="str">
        <f t="shared" si="77"/>
        <v/>
      </c>
      <c r="J502" s="181">
        <f t="shared" si="78"/>
        <v>0</v>
      </c>
      <c r="K502" s="182">
        <v>0</v>
      </c>
      <c r="L502" s="180" t="str">
        <f t="shared" si="83"/>
        <v/>
      </c>
      <c r="M502" s="218">
        <f>SUMIFS(DATA!$L:$L,DATA!$O:$O,$B505,DATA!$N:$N,$A505,DATA!$M:$M,'SALES BY SYSTEM'!$O$1)</f>
        <v>0</v>
      </c>
      <c r="N502" s="182">
        <v>0</v>
      </c>
      <c r="O502" s="180" t="str">
        <f t="shared" si="84"/>
        <v/>
      </c>
      <c r="P502" s="218">
        <f>SUMIFS(DATA!$L:$L,DATA!$O:$O,$B505,DATA!$N:$N,$A505,DATA!$M:$M,'SALES BY SYSTEM'!$O$2)</f>
        <v>0</v>
      </c>
      <c r="Q502" s="182">
        <v>0</v>
      </c>
      <c r="R502" s="180" t="str">
        <f t="shared" si="85"/>
        <v/>
      </c>
      <c r="S502" s="218">
        <f>SUMIFS(DATA!$L:$L,DATA!$O:$O,$B505,DATA!$N:$N,$A505,DATA!$M:$M,'SALES BY SYSTEM'!$O$4)</f>
        <v>0</v>
      </c>
      <c r="T502" s="182">
        <v>0</v>
      </c>
      <c r="U502" s="180" t="str">
        <f t="shared" si="86"/>
        <v/>
      </c>
      <c r="V502" s="218">
        <f>SUMIFS(DATA!$L:$L,DATA!$O:$O,$B505,DATA!$N:$N,$A505,DATA!$M:$M,'SALES BY SYSTEM'!$O$3)</f>
        <v>0</v>
      </c>
      <c r="W502" s="168"/>
    </row>
    <row r="503" spans="1:23" ht="15.75" customHeight="1" x14ac:dyDescent="0.25">
      <c r="A503" s="178" t="s">
        <v>370</v>
      </c>
      <c r="B503" s="178" t="s">
        <v>16</v>
      </c>
      <c r="C503" s="178" t="str">
        <f>VLOOKUP(A503,CUSTOMER!$A:$C,3,0)</f>
        <v>COOP_F_SAVIMEX</v>
      </c>
      <c r="D503" s="178" t="s">
        <v>674</v>
      </c>
      <c r="E503" s="178" t="str">
        <f>VLOOKUP(A506,CUSTOMER!$A$2:$H$1094,5,0)</f>
        <v>VAVANCY-VU MINH TUAN</v>
      </c>
      <c r="F503" s="178" t="str">
        <f>VLOOKUP(A506,CUSTOMER!$A$2:$I$1094,6,0)</f>
        <v>NO SALE</v>
      </c>
      <c r="G503" s="178" t="str">
        <f>VLOOKUP(A506,CUSTOMER!$A$1:$J$1160,7,0)</f>
        <v>"NO PG"</v>
      </c>
      <c r="H503" s="179">
        <f t="shared" si="76"/>
        <v>0</v>
      </c>
      <c r="I503" s="180" t="str">
        <f t="shared" si="77"/>
        <v/>
      </c>
      <c r="J503" s="181">
        <f t="shared" si="78"/>
        <v>0</v>
      </c>
      <c r="K503" s="182">
        <v>0</v>
      </c>
      <c r="L503" s="180" t="str">
        <f t="shared" si="83"/>
        <v/>
      </c>
      <c r="M503" s="218">
        <f>SUMIFS(DATA!$L:$L,DATA!$O:$O,$B506,DATA!$N:$N,$A506,DATA!$M:$M,'SALES BY SYSTEM'!$O$1)</f>
        <v>0</v>
      </c>
      <c r="N503" s="182">
        <v>0</v>
      </c>
      <c r="O503" s="180" t="str">
        <f t="shared" si="84"/>
        <v/>
      </c>
      <c r="P503" s="218">
        <f>SUMIFS(DATA!$L:$L,DATA!$O:$O,$B506,DATA!$N:$N,$A506,DATA!$M:$M,'SALES BY SYSTEM'!$O$2)</f>
        <v>0</v>
      </c>
      <c r="Q503" s="182">
        <v>0</v>
      </c>
      <c r="R503" s="180" t="str">
        <f t="shared" si="85"/>
        <v/>
      </c>
      <c r="S503" s="218">
        <f>SUMIFS(DATA!$L:$L,DATA!$O:$O,$B506,DATA!$N:$N,$A506,DATA!$M:$M,'SALES BY SYSTEM'!$O$4)</f>
        <v>0</v>
      </c>
      <c r="T503" s="182">
        <v>0</v>
      </c>
      <c r="U503" s="180" t="str">
        <f t="shared" si="86"/>
        <v/>
      </c>
      <c r="V503" s="218">
        <f>SUMIFS(DATA!$L:$L,DATA!$O:$O,$B506,DATA!$N:$N,$A506,DATA!$M:$M,'SALES BY SYSTEM'!$O$3)</f>
        <v>0</v>
      </c>
      <c r="W503" s="168"/>
    </row>
    <row r="504" spans="1:23" ht="15.75" customHeight="1" x14ac:dyDescent="0.25">
      <c r="A504" s="178" t="s">
        <v>1127</v>
      </c>
      <c r="B504" s="178" t="s">
        <v>16</v>
      </c>
      <c r="C504" s="178" t="str">
        <f>VLOOKUP(A504,CUSTOMER!$A:$C,3,0)</f>
        <v>COOP_F_SKY9</v>
      </c>
      <c r="D504" s="178" t="s">
        <v>674</v>
      </c>
      <c r="E504" s="178" t="str">
        <f>VLOOKUP(A507,CUSTOMER!$A$2:$H$1094,5,0)</f>
        <v>VAVANCY-VU MINH TUAN</v>
      </c>
      <c r="F504" s="178" t="str">
        <f>VLOOKUP(A507,CUSTOMER!$A$2:$I$1094,6,0)</f>
        <v>NO SALE</v>
      </c>
      <c r="G504" s="178" t="str">
        <f>VLOOKUP(A507,CUSTOMER!$A$1:$J$1160,7,0)</f>
        <v>"NO PG"</v>
      </c>
      <c r="H504" s="179">
        <f t="shared" si="76"/>
        <v>0</v>
      </c>
      <c r="I504" s="180" t="str">
        <f t="shared" si="77"/>
        <v/>
      </c>
      <c r="J504" s="181">
        <f t="shared" si="78"/>
        <v>0</v>
      </c>
      <c r="K504" s="182">
        <v>0</v>
      </c>
      <c r="L504" s="180" t="str">
        <f t="shared" si="83"/>
        <v/>
      </c>
      <c r="M504" s="218">
        <f>SUMIFS(DATA!$L:$L,DATA!$O:$O,$B507,DATA!$N:$N,$A507,DATA!$M:$M,'SALES BY SYSTEM'!$O$1)</f>
        <v>0</v>
      </c>
      <c r="N504" s="182">
        <v>0</v>
      </c>
      <c r="O504" s="180" t="str">
        <f t="shared" si="84"/>
        <v/>
      </c>
      <c r="P504" s="218">
        <f>SUMIFS(DATA!$L:$L,DATA!$O:$O,$B507,DATA!$N:$N,$A507,DATA!$M:$M,'SALES BY SYSTEM'!$O$2)</f>
        <v>0</v>
      </c>
      <c r="Q504" s="182">
        <v>0</v>
      </c>
      <c r="R504" s="180" t="str">
        <f t="shared" si="85"/>
        <v/>
      </c>
      <c r="S504" s="218">
        <f>SUMIFS(DATA!$L:$L,DATA!$O:$O,$B507,DATA!$N:$N,$A507,DATA!$M:$M,'SALES BY SYSTEM'!$O$4)</f>
        <v>0</v>
      </c>
      <c r="T504" s="182">
        <v>0</v>
      </c>
      <c r="U504" s="180" t="str">
        <f t="shared" si="86"/>
        <v/>
      </c>
      <c r="V504" s="218">
        <f>SUMIFS(DATA!$L:$L,DATA!$O:$O,$B507,DATA!$N:$N,$A507,DATA!$M:$M,'SALES BY SYSTEM'!$O$3)</f>
        <v>0</v>
      </c>
      <c r="W504" s="168"/>
    </row>
    <row r="505" spans="1:23" ht="15.75" customHeight="1" x14ac:dyDescent="0.25">
      <c r="A505" s="178" t="s">
        <v>1153</v>
      </c>
      <c r="B505" s="178" t="s">
        <v>16</v>
      </c>
      <c r="C505" s="178" t="str">
        <f>VLOOKUP(A505,CUSTOMER!$A:$C,3,0)</f>
        <v>COOP_F_PYSHINH</v>
      </c>
      <c r="D505" s="178" t="s">
        <v>674</v>
      </c>
      <c r="E505" s="178" t="str">
        <f>VLOOKUP(A508,CUSTOMER!$A$2:$H$1094,5,0)</f>
        <v>VAVANCY-VU MINH TUAN</v>
      </c>
      <c r="F505" s="178" t="str">
        <f>VLOOKUP(A508,CUSTOMER!$A$2:$I$1094,6,0)</f>
        <v>VACANCY</v>
      </c>
      <c r="G505" s="178" t="s">
        <v>676</v>
      </c>
      <c r="H505" s="179">
        <f t="shared" si="76"/>
        <v>0</v>
      </c>
      <c r="I505" s="180" t="str">
        <f t="shared" si="77"/>
        <v/>
      </c>
      <c r="J505" s="181">
        <f t="shared" si="78"/>
        <v>0</v>
      </c>
      <c r="K505" s="182">
        <v>0</v>
      </c>
      <c r="L505" s="180" t="str">
        <f t="shared" si="83"/>
        <v/>
      </c>
      <c r="M505" s="218">
        <f>SUMIFS(DATA!$L:$L,DATA!$O:$O,$B508,DATA!$N:$N,$A508,DATA!$M:$M,'SALES BY SYSTEM'!$O$1)</f>
        <v>0</v>
      </c>
      <c r="N505" s="182">
        <v>0</v>
      </c>
      <c r="O505" s="180" t="str">
        <f t="shared" si="84"/>
        <v/>
      </c>
      <c r="P505" s="218">
        <f>SUMIFS(DATA!$L:$L,DATA!$O:$O,$B508,DATA!$N:$N,$A508,DATA!$M:$M,'SALES BY SYSTEM'!$O$2)</f>
        <v>0</v>
      </c>
      <c r="Q505" s="182">
        <v>0</v>
      </c>
      <c r="R505" s="180" t="str">
        <f t="shared" si="85"/>
        <v/>
      </c>
      <c r="S505" s="218">
        <f>SUMIFS(DATA!$L:$L,DATA!$O:$O,$B508,DATA!$N:$N,$A508,DATA!$M:$M,'SALES BY SYSTEM'!$O$4)</f>
        <v>0</v>
      </c>
      <c r="T505" s="182">
        <v>0</v>
      </c>
      <c r="U505" s="180" t="str">
        <f t="shared" si="86"/>
        <v/>
      </c>
      <c r="V505" s="218">
        <f>SUMIFS(DATA!$L:$L,DATA!$O:$O,$B508,DATA!$N:$N,$A508,DATA!$M:$M,'SALES BY SYSTEM'!$O$3)</f>
        <v>0</v>
      </c>
      <c r="W505" s="168"/>
    </row>
    <row r="506" spans="1:23" ht="15.75" customHeight="1" x14ac:dyDescent="0.25">
      <c r="A506" s="178" t="s">
        <v>1111</v>
      </c>
      <c r="B506" s="178" t="s">
        <v>16</v>
      </c>
      <c r="C506" s="178" t="str">
        <f>VLOOKUP(A506,CUSTOMER!$A:$C,3,0)</f>
        <v>COOP_F_SUNRISE</v>
      </c>
      <c r="D506" s="178" t="s">
        <v>674</v>
      </c>
      <c r="E506" s="178" t="str">
        <f>VLOOKUP(A509,CUSTOMER!$A$2:$H$1094,5,0)</f>
        <v>VAVANCY-VU MINH TUAN</v>
      </c>
      <c r="F506" s="178" t="str">
        <f>VLOOKUP(A509,CUSTOMER!$A$2:$I$1094,6,0)</f>
        <v>NO SALE</v>
      </c>
      <c r="G506" s="178" t="str">
        <f>VLOOKUP(A509,CUSTOMER!$A$1:$J$1160,7,0)</f>
        <v>"NO PG"</v>
      </c>
      <c r="H506" s="179">
        <f t="shared" si="76"/>
        <v>0</v>
      </c>
      <c r="I506" s="180" t="str">
        <f t="shared" si="77"/>
        <v/>
      </c>
      <c r="J506" s="181">
        <f t="shared" si="78"/>
        <v>0</v>
      </c>
      <c r="K506" s="182">
        <v>0</v>
      </c>
      <c r="L506" s="180" t="str">
        <f t="shared" si="83"/>
        <v/>
      </c>
      <c r="M506" s="218">
        <f>SUMIFS(DATA!$L:$L,DATA!$O:$O,$B509,DATA!$N:$N,$A509,DATA!$M:$M,'SALES BY SYSTEM'!$O$1)</f>
        <v>0</v>
      </c>
      <c r="N506" s="182">
        <v>0</v>
      </c>
      <c r="O506" s="180" t="str">
        <f t="shared" si="84"/>
        <v/>
      </c>
      <c r="P506" s="218">
        <f>SUMIFS(DATA!$L:$L,DATA!$O:$O,$B509,DATA!$N:$N,$A509,DATA!$M:$M,'SALES BY SYSTEM'!$O$2)</f>
        <v>0</v>
      </c>
      <c r="Q506" s="182">
        <v>0</v>
      </c>
      <c r="R506" s="180" t="str">
        <f t="shared" si="85"/>
        <v/>
      </c>
      <c r="S506" s="218">
        <f>SUMIFS(DATA!$L:$L,DATA!$O:$O,$B509,DATA!$N:$N,$A509,DATA!$M:$M,'SALES BY SYSTEM'!$O$4)</f>
        <v>0</v>
      </c>
      <c r="T506" s="182">
        <v>0</v>
      </c>
      <c r="U506" s="180" t="str">
        <f t="shared" si="86"/>
        <v/>
      </c>
      <c r="V506" s="218">
        <f>SUMIFS(DATA!$L:$L,DATA!$O:$O,$B509,DATA!$N:$N,$A509,DATA!$M:$M,'SALES BY SYSTEM'!$O$3)</f>
        <v>0</v>
      </c>
      <c r="W506" s="168"/>
    </row>
    <row r="507" spans="1:23" ht="15.75" customHeight="1" x14ac:dyDescent="0.25">
      <c r="A507" s="178" t="s">
        <v>1113</v>
      </c>
      <c r="B507" s="178" t="s">
        <v>16</v>
      </c>
      <c r="C507" s="178" t="str">
        <f>VLOOKUP(A507,CUSTOMER!$A:$C,3,0)</f>
        <v>COOP_F_TANHOA</v>
      </c>
      <c r="D507" s="178" t="s">
        <v>674</v>
      </c>
      <c r="E507" s="178" t="str">
        <f>VLOOKUP(A510,CUSTOMER!$A$2:$H$1094,5,0)</f>
        <v>VAVANCY-VU MINH TUAN</v>
      </c>
      <c r="F507" s="178" t="str">
        <f>VLOOKUP(A510,CUSTOMER!$A$2:$I$1094,6,0)</f>
        <v>TRAN THI THANH TRUC</v>
      </c>
      <c r="G507" s="178" t="str">
        <f>VLOOKUP(A510,CUSTOMER!$A$1:$J$1160,7,0)</f>
        <v>"NO PG"</v>
      </c>
      <c r="H507" s="179">
        <f t="shared" si="76"/>
        <v>0</v>
      </c>
      <c r="I507" s="180" t="str">
        <f t="shared" si="77"/>
        <v/>
      </c>
      <c r="J507" s="181">
        <f t="shared" si="78"/>
        <v>0</v>
      </c>
      <c r="K507" s="182">
        <v>0</v>
      </c>
      <c r="L507" s="180" t="str">
        <f t="shared" si="83"/>
        <v/>
      </c>
      <c r="M507" s="218">
        <f>SUMIFS(DATA!$L:$L,DATA!$O:$O,$B510,DATA!$N:$N,$A510,DATA!$M:$M,'SALES BY SYSTEM'!$O$1)</f>
        <v>0</v>
      </c>
      <c r="N507" s="182">
        <v>0</v>
      </c>
      <c r="O507" s="180" t="str">
        <f t="shared" si="84"/>
        <v/>
      </c>
      <c r="P507" s="218">
        <f>SUMIFS(DATA!$L:$L,DATA!$O:$O,$B510,DATA!$N:$N,$A510,DATA!$M:$M,'SALES BY SYSTEM'!$O$2)</f>
        <v>0</v>
      </c>
      <c r="Q507" s="182">
        <v>0</v>
      </c>
      <c r="R507" s="180" t="str">
        <f t="shared" si="85"/>
        <v/>
      </c>
      <c r="S507" s="218">
        <f>SUMIFS(DATA!$L:$L,DATA!$O:$O,$B510,DATA!$N:$N,$A510,DATA!$M:$M,'SALES BY SYSTEM'!$O$4)</f>
        <v>0</v>
      </c>
      <c r="T507" s="182">
        <v>0</v>
      </c>
      <c r="U507" s="180" t="str">
        <f t="shared" si="86"/>
        <v/>
      </c>
      <c r="V507" s="218">
        <f>SUMIFS(DATA!$L:$L,DATA!$O:$O,$B510,DATA!$N:$N,$A510,DATA!$M:$M,'SALES BY SYSTEM'!$O$3)</f>
        <v>0</v>
      </c>
      <c r="W507" s="168"/>
    </row>
    <row r="508" spans="1:23" ht="15.75" customHeight="1" x14ac:dyDescent="0.25">
      <c r="A508" s="178" t="s">
        <v>1157</v>
      </c>
      <c r="B508" s="178" t="s">
        <v>16</v>
      </c>
      <c r="C508" s="178" t="str">
        <f>VLOOKUP(A508,CUSTOMER!$A:$C,3,0)</f>
        <v>COOP_F_TLAP55</v>
      </c>
      <c r="D508" s="178" t="s">
        <v>674</v>
      </c>
      <c r="E508" s="178" t="str">
        <f>VLOOKUP(A511,CUSTOMER!$A$2:$H$1094,5,0)</f>
        <v>VAVANCY-VU MINH TUAN</v>
      </c>
      <c r="F508" s="178" t="str">
        <f>VLOOKUP(A511,CUSTOMER!$A$2:$I$1094,6,0)</f>
        <v>TRAN THI THANH TRUC</v>
      </c>
      <c r="G508" s="178" t="s">
        <v>676</v>
      </c>
      <c r="H508" s="179">
        <f t="shared" si="76"/>
        <v>0</v>
      </c>
      <c r="I508" s="180" t="str">
        <f t="shared" si="77"/>
        <v/>
      </c>
      <c r="J508" s="181">
        <f t="shared" si="78"/>
        <v>0</v>
      </c>
      <c r="K508" s="182">
        <v>0</v>
      </c>
      <c r="L508" s="180" t="str">
        <f t="shared" si="83"/>
        <v/>
      </c>
      <c r="M508" s="218">
        <f>SUMIFS(DATA!$L:$L,DATA!$O:$O,$B511,DATA!$N:$N,$A511,DATA!$M:$M,'SALES BY SYSTEM'!$O$1)</f>
        <v>0</v>
      </c>
      <c r="N508" s="182">
        <v>0</v>
      </c>
      <c r="O508" s="180" t="str">
        <f t="shared" si="84"/>
        <v/>
      </c>
      <c r="P508" s="218">
        <f>SUMIFS(DATA!$L:$L,DATA!$O:$O,$B511,DATA!$N:$N,$A511,DATA!$M:$M,'SALES BY SYSTEM'!$O$2)</f>
        <v>0</v>
      </c>
      <c r="Q508" s="182">
        <v>0</v>
      </c>
      <c r="R508" s="180" t="str">
        <f t="shared" si="85"/>
        <v/>
      </c>
      <c r="S508" s="218">
        <f>SUMIFS(DATA!$L:$L,DATA!$O:$O,$B511,DATA!$N:$N,$A511,DATA!$M:$M,'SALES BY SYSTEM'!$O$4)</f>
        <v>0</v>
      </c>
      <c r="T508" s="182">
        <v>0</v>
      </c>
      <c r="U508" s="180" t="str">
        <f t="shared" si="86"/>
        <v/>
      </c>
      <c r="V508" s="218">
        <f>SUMIFS(DATA!$L:$L,DATA!$O:$O,$B511,DATA!$N:$N,$A511,DATA!$M:$M,'SALES BY SYSTEM'!$O$3)</f>
        <v>0</v>
      </c>
      <c r="W508" s="168"/>
    </row>
    <row r="509" spans="1:23" ht="15.75" customHeight="1" x14ac:dyDescent="0.25">
      <c r="A509" s="178" t="s">
        <v>1115</v>
      </c>
      <c r="B509" s="178" t="s">
        <v>16</v>
      </c>
      <c r="C509" s="178" t="str">
        <f>VLOOKUP(A509,CUSTOMER!$A:$C,3,0)</f>
        <v>COOP_F_TANLAP</v>
      </c>
      <c r="D509" s="178" t="s">
        <v>674</v>
      </c>
      <c r="E509" s="178" t="str">
        <f>VLOOKUP(A512,CUSTOMER!$A$2:$H$1094,5,0)</f>
        <v>VAVANCY-VU MINH TUAN</v>
      </c>
      <c r="F509" s="178" t="str">
        <f>VLOOKUP(A512,CUSTOMER!$A$2:$I$1094,6,0)</f>
        <v>TRAN THI THANH TRUC</v>
      </c>
      <c r="G509" s="178" t="str">
        <f>VLOOKUP(A512,CUSTOMER!$A$1:$J$1160,7,0)</f>
        <v>"NO PG"</v>
      </c>
      <c r="H509" s="179">
        <f t="shared" si="76"/>
        <v>0</v>
      </c>
      <c r="I509" s="180" t="str">
        <f t="shared" si="77"/>
        <v/>
      </c>
      <c r="J509" s="181">
        <f t="shared" si="78"/>
        <v>0</v>
      </c>
      <c r="K509" s="182">
        <v>0</v>
      </c>
      <c r="L509" s="180" t="str">
        <f t="shared" si="83"/>
        <v/>
      </c>
      <c r="M509" s="218">
        <f>SUMIFS(DATA!$L:$L,DATA!$O:$O,$B512,DATA!$N:$N,$A512,DATA!$M:$M,'SALES BY SYSTEM'!$O$1)</f>
        <v>0</v>
      </c>
      <c r="N509" s="182">
        <v>0</v>
      </c>
      <c r="O509" s="180" t="str">
        <f t="shared" si="84"/>
        <v/>
      </c>
      <c r="P509" s="218">
        <f>SUMIFS(DATA!$L:$L,DATA!$O:$O,$B512,DATA!$N:$N,$A512,DATA!$M:$M,'SALES BY SYSTEM'!$O$2)</f>
        <v>0</v>
      </c>
      <c r="Q509" s="182">
        <v>0</v>
      </c>
      <c r="R509" s="180" t="str">
        <f t="shared" si="85"/>
        <v/>
      </c>
      <c r="S509" s="218">
        <f>SUMIFS(DATA!$L:$L,DATA!$O:$O,$B512,DATA!$N:$N,$A512,DATA!$M:$M,'SALES BY SYSTEM'!$O$4)</f>
        <v>0</v>
      </c>
      <c r="T509" s="182">
        <v>0</v>
      </c>
      <c r="U509" s="180" t="str">
        <f t="shared" si="86"/>
        <v/>
      </c>
      <c r="V509" s="218">
        <f>SUMIFS(DATA!$L:$L,DATA!$O:$O,$B512,DATA!$N:$N,$A512,DATA!$M:$M,'SALES BY SYSTEM'!$O$3)</f>
        <v>0</v>
      </c>
      <c r="W509" s="168"/>
    </row>
    <row r="510" spans="1:23" ht="15.75" customHeight="1" x14ac:dyDescent="0.25">
      <c r="A510" s="178" t="s">
        <v>1075</v>
      </c>
      <c r="B510" s="178" t="s">
        <v>16</v>
      </c>
      <c r="C510" s="178" t="str">
        <f>VLOOKUP(A510,CUSTOMER!$A:$C,3,0)</f>
        <v>COOP_F_TANQUY</v>
      </c>
      <c r="D510" s="178" t="s">
        <v>674</v>
      </c>
      <c r="E510" s="178" t="str">
        <f>VLOOKUP(A513,CUSTOMER!$A$2:$H$1094,5,0)</f>
        <v>VAVANCY-VU MINH TUAN</v>
      </c>
      <c r="F510" s="178" t="str">
        <f>VLOOKUP(A513,CUSTOMER!$A$2:$I$1094,6,0)</f>
        <v>TRAN THI THANH TRUC</v>
      </c>
      <c r="G510" s="178" t="str">
        <f>VLOOKUP(A513,CUSTOMER!$A$1:$J$1160,7,0)</f>
        <v>"NO PG"</v>
      </c>
      <c r="H510" s="179">
        <f t="shared" si="76"/>
        <v>0</v>
      </c>
      <c r="I510" s="180" t="str">
        <f t="shared" si="77"/>
        <v/>
      </c>
      <c r="J510" s="181">
        <f t="shared" si="78"/>
        <v>0</v>
      </c>
      <c r="K510" s="182">
        <v>0</v>
      </c>
      <c r="L510" s="180" t="str">
        <f t="shared" si="83"/>
        <v/>
      </c>
      <c r="M510" s="218">
        <f>SUMIFS(DATA!$L:$L,DATA!$O:$O,$B513,DATA!$N:$N,$A513,DATA!$M:$M,'SALES BY SYSTEM'!$O$1)</f>
        <v>0</v>
      </c>
      <c r="N510" s="182">
        <v>0</v>
      </c>
      <c r="O510" s="180" t="str">
        <f t="shared" si="84"/>
        <v/>
      </c>
      <c r="P510" s="218">
        <f>SUMIFS(DATA!$L:$L,DATA!$O:$O,$B513,DATA!$N:$N,$A513,DATA!$M:$M,'SALES BY SYSTEM'!$O$2)</f>
        <v>0</v>
      </c>
      <c r="Q510" s="182">
        <v>0</v>
      </c>
      <c r="R510" s="180" t="str">
        <f t="shared" si="85"/>
        <v/>
      </c>
      <c r="S510" s="218">
        <f>SUMIFS(DATA!$L:$L,DATA!$O:$O,$B513,DATA!$N:$N,$A513,DATA!$M:$M,'SALES BY SYSTEM'!$O$4)</f>
        <v>0</v>
      </c>
      <c r="T510" s="182">
        <v>0</v>
      </c>
      <c r="U510" s="180" t="str">
        <f t="shared" si="86"/>
        <v/>
      </c>
      <c r="V510" s="218">
        <f>SUMIFS(DATA!$L:$L,DATA!$O:$O,$B513,DATA!$N:$N,$A513,DATA!$M:$M,'SALES BY SYSTEM'!$O$3)</f>
        <v>0</v>
      </c>
      <c r="W510" s="168"/>
    </row>
    <row r="511" spans="1:23" ht="15.75" customHeight="1" x14ac:dyDescent="0.25">
      <c r="A511" s="178" t="s">
        <v>912</v>
      </c>
      <c r="B511" s="178" t="s">
        <v>16</v>
      </c>
      <c r="C511" s="178" t="str">
        <f>VLOOKUP(A511,CUSTOMER!$A:$C,3,0)</f>
        <v>COOP_F_TSN387</v>
      </c>
      <c r="D511" s="178" t="s">
        <v>674</v>
      </c>
      <c r="E511" s="178" t="str">
        <f>VLOOKUP(A514,CUSTOMER!$A$2:$H$1094,5,0)</f>
        <v>VAVANCY-VU MINH TUAN</v>
      </c>
      <c r="F511" s="178" t="str">
        <f>VLOOKUP(A514,CUSTOMER!$A$2:$I$1094,6,0)</f>
        <v>NO SALE</v>
      </c>
      <c r="G511" s="178" t="s">
        <v>676</v>
      </c>
      <c r="H511" s="179">
        <f t="shared" si="76"/>
        <v>0</v>
      </c>
      <c r="I511" s="180" t="str">
        <f t="shared" si="77"/>
        <v/>
      </c>
      <c r="J511" s="181">
        <f t="shared" si="78"/>
        <v>0</v>
      </c>
      <c r="K511" s="182">
        <v>0</v>
      </c>
      <c r="L511" s="180"/>
      <c r="M511" s="218">
        <f>SUMIFS(DATA!$L:$L,DATA!$O:$O,$B514,DATA!$N:$N,$A514,DATA!$M:$M,'SALES BY SYSTEM'!$O$1)</f>
        <v>0</v>
      </c>
      <c r="N511" s="182">
        <v>0</v>
      </c>
      <c r="O511" s="180" t="str">
        <f t="shared" si="84"/>
        <v/>
      </c>
      <c r="P511" s="218">
        <f>SUMIFS(DATA!$L:$L,DATA!$O:$O,$B514,DATA!$N:$N,$A514,DATA!$M:$M,'SALES BY SYSTEM'!$O$2)</f>
        <v>0</v>
      </c>
      <c r="Q511" s="182">
        <v>0</v>
      </c>
      <c r="R511" s="180" t="str">
        <f t="shared" si="85"/>
        <v/>
      </c>
      <c r="S511" s="218">
        <f>SUMIFS(DATA!$L:$L,DATA!$O:$O,$B514,DATA!$N:$N,$A514,DATA!$M:$M,'SALES BY SYSTEM'!$O$4)</f>
        <v>0</v>
      </c>
      <c r="T511" s="182">
        <v>0</v>
      </c>
      <c r="U511" s="180" t="str">
        <f t="shared" si="86"/>
        <v/>
      </c>
      <c r="V511" s="218">
        <f>SUMIFS(DATA!$L:$L,DATA!$O:$O,$B514,DATA!$N:$N,$A514,DATA!$M:$M,'SALES BY SYSTEM'!$O$3)</f>
        <v>0</v>
      </c>
      <c r="W511" s="168"/>
    </row>
    <row r="512" spans="1:23" ht="15.75" customHeight="1" x14ac:dyDescent="0.25">
      <c r="A512" s="178" t="s">
        <v>418</v>
      </c>
      <c r="B512" s="178" t="s">
        <v>16</v>
      </c>
      <c r="C512" s="178" t="str">
        <f>VLOOKUP(A512,CUSTOMER!$A:$C,3,0)</f>
        <v>COOP_F_TTHANH</v>
      </c>
      <c r="D512" s="178" t="s">
        <v>674</v>
      </c>
      <c r="E512" s="178" t="str">
        <f>VLOOKUP(A515,CUSTOMER!$A$2:$H$1094,5,0)</f>
        <v>VAVANCY-VU MINH TUAN</v>
      </c>
      <c r="F512" s="178" t="str">
        <f>VLOOKUP(A515,CUSTOMER!$A$2:$I$1094,6,0)</f>
        <v>VACANCY</v>
      </c>
      <c r="G512" s="178" t="str">
        <f>VLOOKUP(A515,CUSTOMER!$A$1:$J$1160,7,0)</f>
        <v>"NO PG"</v>
      </c>
      <c r="H512" s="179">
        <f t="shared" si="76"/>
        <v>0</v>
      </c>
      <c r="I512" s="180" t="str">
        <f t="shared" si="77"/>
        <v/>
      </c>
      <c r="J512" s="181">
        <f t="shared" si="78"/>
        <v>0</v>
      </c>
      <c r="K512" s="182">
        <v>0</v>
      </c>
      <c r="L512" s="180" t="str">
        <f>IFERROR(M515/K515,"")</f>
        <v/>
      </c>
      <c r="M512" s="218">
        <f>SUMIFS(DATA!$L:$L,DATA!$O:$O,$B515,DATA!$N:$N,$A515,DATA!$M:$M,'SALES BY SYSTEM'!$O$1)</f>
        <v>0</v>
      </c>
      <c r="N512" s="182">
        <v>0</v>
      </c>
      <c r="O512" s="180" t="str">
        <f t="shared" si="84"/>
        <v/>
      </c>
      <c r="P512" s="218">
        <f>SUMIFS(DATA!$L:$L,DATA!$O:$O,$B515,DATA!$N:$N,$A515,DATA!$M:$M,'SALES BY SYSTEM'!$O$2)</f>
        <v>0</v>
      </c>
      <c r="Q512" s="182">
        <v>0</v>
      </c>
      <c r="R512" s="180" t="str">
        <f t="shared" si="85"/>
        <v/>
      </c>
      <c r="S512" s="218">
        <f>SUMIFS(DATA!$L:$L,DATA!$O:$O,$B515,DATA!$N:$N,$A515,DATA!$M:$M,'SALES BY SYSTEM'!$O$4)</f>
        <v>0</v>
      </c>
      <c r="T512" s="182">
        <v>0</v>
      </c>
      <c r="U512" s="180" t="str">
        <f t="shared" si="86"/>
        <v/>
      </c>
      <c r="V512" s="218">
        <f>SUMIFS(DATA!$L:$L,DATA!$O:$O,$B515,DATA!$N:$N,$A515,DATA!$M:$M,'SALES BY SYSTEM'!$O$3)</f>
        <v>0</v>
      </c>
      <c r="W512" s="168"/>
    </row>
    <row r="513" spans="1:23" ht="15.75" customHeight="1" x14ac:dyDescent="0.25">
      <c r="A513" s="139" t="s">
        <v>956</v>
      </c>
      <c r="B513" s="4" t="s">
        <v>16</v>
      </c>
      <c r="C513" s="261" t="str">
        <f>VLOOKUP(A513,CUSTOMER!$A:$C,3,0)</f>
        <v>COOP_F_TNPHU</v>
      </c>
      <c r="D513" s="178" t="s">
        <v>674</v>
      </c>
      <c r="E513" s="178" t="str">
        <f>VLOOKUP(A516,CUSTOMER!$A$2:$H$1094,5,0)</f>
        <v>VAVANCY-VU MINH TUAN</v>
      </c>
      <c r="F513" s="178" t="str">
        <f>VLOOKUP(A516,CUSTOMER!$A$2:$I$1094,6,0)</f>
        <v>VACANCY</v>
      </c>
      <c r="G513" s="4" t="s">
        <v>676</v>
      </c>
      <c r="H513" s="179">
        <f t="shared" si="76"/>
        <v>0</v>
      </c>
      <c r="I513" s="180" t="str">
        <f t="shared" si="77"/>
        <v/>
      </c>
      <c r="J513" s="181">
        <f t="shared" si="78"/>
        <v>0</v>
      </c>
      <c r="K513" s="182">
        <v>0</v>
      </c>
      <c r="L513" s="180"/>
      <c r="M513" s="218">
        <f>SUMIFS(DATA!$L:$L,DATA!$O:$O,$B516,DATA!$N:$N,$A516,DATA!$M:$M,'SALES BY SYSTEM'!$O$1)</f>
        <v>0</v>
      </c>
      <c r="N513" s="182">
        <v>0</v>
      </c>
      <c r="O513" s="180"/>
      <c r="P513" s="218">
        <f>SUMIFS(DATA!$L:$L,DATA!$O:$O,$B516,DATA!$N:$N,$A516,DATA!$M:$M,'SALES BY SYSTEM'!$O$2)</f>
        <v>0</v>
      </c>
      <c r="Q513" s="182">
        <v>0</v>
      </c>
      <c r="R513" s="180"/>
      <c r="S513" s="218">
        <f>SUMIFS(DATA!$L:$L,DATA!$O:$O,$B516,DATA!$N:$N,$A516,DATA!$M:$M,'SALES BY SYSTEM'!$O$4)</f>
        <v>0</v>
      </c>
      <c r="T513" s="182">
        <v>0</v>
      </c>
      <c r="U513" s="180"/>
      <c r="V513" s="218">
        <f>SUMIFS(DATA!$L:$L,DATA!$O:$O,$B516,DATA!$N:$N,$A516,DATA!$M:$M,'SALES BY SYSTEM'!$O$3)</f>
        <v>0</v>
      </c>
      <c r="W513" s="168"/>
    </row>
    <row r="514" spans="1:23" ht="15.75" customHeight="1" x14ac:dyDescent="0.25">
      <c r="A514" s="178" t="s">
        <v>1173</v>
      </c>
      <c r="B514" s="178" t="s">
        <v>16</v>
      </c>
      <c r="C514" s="178" t="str">
        <f>VLOOKUP(A514,CUSTOMER!$A:$C,3,0)</f>
        <v>COOP_F_TAYDO</v>
      </c>
      <c r="D514" s="178" t="s">
        <v>674</v>
      </c>
      <c r="E514" s="178" t="str">
        <f>VLOOKUP(A517,CUSTOMER!$A$2:$H$1094,5,0)</f>
        <v>VAVANCY-VU MINH TUAN</v>
      </c>
      <c r="F514" s="178" t="str">
        <f>VLOOKUP(A517,CUSTOMER!$A$2:$I$1094,6,0)</f>
        <v>TRAN THI THANH TRUC</v>
      </c>
      <c r="G514" s="178" t="s">
        <v>676</v>
      </c>
      <c r="H514" s="179">
        <f t="shared" si="76"/>
        <v>0</v>
      </c>
      <c r="I514" s="180" t="str">
        <f t="shared" si="77"/>
        <v/>
      </c>
      <c r="J514" s="181">
        <f t="shared" si="78"/>
        <v>0</v>
      </c>
      <c r="K514" s="182">
        <v>0</v>
      </c>
      <c r="L514" s="180" t="str">
        <f>IFERROR(M517/K517,"")</f>
        <v/>
      </c>
      <c r="M514" s="218">
        <f>SUMIFS(DATA!$L:$L,DATA!$O:$O,$B517,DATA!$N:$N,$A517,DATA!$M:$M,'SALES BY SYSTEM'!$O$1)</f>
        <v>0</v>
      </c>
      <c r="N514" s="182">
        <v>0</v>
      </c>
      <c r="O514" s="180" t="str">
        <f>IFERROR(P517/N517,"")</f>
        <v/>
      </c>
      <c r="P514" s="218">
        <f>SUMIFS(DATA!$L:$L,DATA!$O:$O,$B517,DATA!$N:$N,$A517,DATA!$M:$M,'SALES BY SYSTEM'!$O$2)</f>
        <v>0</v>
      </c>
      <c r="Q514" s="182">
        <v>0</v>
      </c>
      <c r="R514" s="180" t="str">
        <f>IFERROR(S517/Q517,"")</f>
        <v/>
      </c>
      <c r="S514" s="218">
        <f>SUMIFS(DATA!$L:$L,DATA!$O:$O,$B517,DATA!$N:$N,$A517,DATA!$M:$M,'SALES BY SYSTEM'!$O$4)</f>
        <v>0</v>
      </c>
      <c r="T514" s="182">
        <v>0</v>
      </c>
      <c r="U514" s="180" t="str">
        <f>IFERROR(V517/T517,"")</f>
        <v/>
      </c>
      <c r="V514" s="218">
        <f>SUMIFS(DATA!$L:$L,DATA!$O:$O,$B517,DATA!$N:$N,$A517,DATA!$M:$M,'SALES BY SYSTEM'!$O$3)</f>
        <v>0</v>
      </c>
      <c r="W514" s="168"/>
    </row>
    <row r="515" spans="1:23" ht="15.75" customHeight="1" x14ac:dyDescent="0.25">
      <c r="A515" s="178" t="s">
        <v>1065</v>
      </c>
      <c r="B515" s="178" t="s">
        <v>16</v>
      </c>
      <c r="C515" s="178" t="str">
        <f>VLOOKUP(A515,CUSTOMER!$A:$C,3,0)</f>
        <v>COOP_F_TLONG31</v>
      </c>
      <c r="D515" s="178" t="s">
        <v>674</v>
      </c>
      <c r="E515" s="178" t="str">
        <f>VLOOKUP(A518,CUSTOMER!$A$2:$H$1094,5,0)</f>
        <v>VAVANCY-VU MINH TUAN</v>
      </c>
      <c r="F515" s="178" t="str">
        <f>VLOOKUP(A518,CUSTOMER!$A$2:$I$1094,6,0)</f>
        <v>TRAN THI THANH TRUC</v>
      </c>
      <c r="G515" s="178" t="str">
        <f>VLOOKUP(A518,CUSTOMER!$A$1:$J$1160,7,0)</f>
        <v>"NO PG"</v>
      </c>
      <c r="H515" s="179">
        <f t="shared" si="76"/>
        <v>0</v>
      </c>
      <c r="I515" s="180" t="str">
        <f t="shared" si="77"/>
        <v/>
      </c>
      <c r="J515" s="181">
        <f t="shared" si="78"/>
        <v>0</v>
      </c>
      <c r="K515" s="182">
        <v>0</v>
      </c>
      <c r="L515" s="180" t="str">
        <f>IFERROR(M518/K518,"")</f>
        <v/>
      </c>
      <c r="M515" s="218">
        <f>SUMIFS(DATA!$L:$L,DATA!$O:$O,$B518,DATA!$N:$N,$A518,DATA!$M:$M,'SALES BY SYSTEM'!$O$1)</f>
        <v>0</v>
      </c>
      <c r="N515" s="182">
        <v>0</v>
      </c>
      <c r="O515" s="180" t="str">
        <f>IFERROR(P518/N518,"")</f>
        <v/>
      </c>
      <c r="P515" s="218">
        <f>SUMIFS(DATA!$L:$L,DATA!$O:$O,$B518,DATA!$N:$N,$A518,DATA!$M:$M,'SALES BY SYSTEM'!$O$2)</f>
        <v>0</v>
      </c>
      <c r="Q515" s="182">
        <v>0</v>
      </c>
      <c r="R515" s="180" t="str">
        <f>IFERROR(S518/Q518,"")</f>
        <v/>
      </c>
      <c r="S515" s="218">
        <f>SUMIFS(DATA!$L:$L,DATA!$O:$O,$B518,DATA!$N:$N,$A518,DATA!$M:$M,'SALES BY SYSTEM'!$O$4)</f>
        <v>0</v>
      </c>
      <c r="T515" s="182">
        <v>0</v>
      </c>
      <c r="U515" s="180" t="str">
        <f>IFERROR(V518/T518,"")</f>
        <v/>
      </c>
      <c r="V515" s="218">
        <f>SUMIFS(DATA!$L:$L,DATA!$O:$O,$B518,DATA!$N:$N,$A518,DATA!$M:$M,'SALES BY SYSTEM'!$O$3)</f>
        <v>0</v>
      </c>
      <c r="W515" s="168"/>
    </row>
    <row r="516" spans="1:23" ht="15.75" customHeight="1" x14ac:dyDescent="0.25">
      <c r="A516" s="178" t="s">
        <v>341</v>
      </c>
      <c r="B516" s="178" t="s">
        <v>16</v>
      </c>
      <c r="C516" s="178" t="str">
        <f>VLOOKUP(A516,CUSTOMER!$A:$C,3,0)</f>
        <v>COOP_F_TLOC17</v>
      </c>
      <c r="D516" s="178" t="s">
        <v>674</v>
      </c>
      <c r="E516" s="178" t="str">
        <f>VLOOKUP(A519,CUSTOMER!$A$2:$H$1094,5,0)</f>
        <v>VAVANCY-VU MINH TUAN</v>
      </c>
      <c r="F516" s="178" t="str">
        <f>VLOOKUP(A519,CUSTOMER!$A$2:$I$1094,6,0)</f>
        <v>VACANCY</v>
      </c>
      <c r="G516" s="178" t="s">
        <v>676</v>
      </c>
      <c r="H516" s="179">
        <f t="shared" si="76"/>
        <v>0</v>
      </c>
      <c r="I516" s="180" t="str">
        <f t="shared" si="77"/>
        <v/>
      </c>
      <c r="J516" s="181">
        <f t="shared" si="78"/>
        <v>0</v>
      </c>
      <c r="K516" s="182">
        <v>0</v>
      </c>
      <c r="L516" s="180" t="str">
        <f>IFERROR(M519/K519,"")</f>
        <v/>
      </c>
      <c r="M516" s="218">
        <f>SUMIFS(DATA!$L:$L,DATA!$O:$O,$B519,DATA!$N:$N,$A519,DATA!$M:$M,'SALES BY SYSTEM'!$O$1)</f>
        <v>0</v>
      </c>
      <c r="N516" s="182">
        <v>0</v>
      </c>
      <c r="O516" s="180" t="str">
        <f>IFERROR(P519/N519,"")</f>
        <v/>
      </c>
      <c r="P516" s="218">
        <f>SUMIFS(DATA!$L:$L,DATA!$O:$O,$B519,DATA!$N:$N,$A519,DATA!$M:$M,'SALES BY SYSTEM'!$O$2)</f>
        <v>0</v>
      </c>
      <c r="Q516" s="182">
        <v>0</v>
      </c>
      <c r="R516" s="180" t="str">
        <f>IFERROR(S519/Q519,"")</f>
        <v/>
      </c>
      <c r="S516" s="218">
        <f>SUMIFS(DATA!$L:$L,DATA!$O:$O,$B519,DATA!$N:$N,$A519,DATA!$M:$M,'SALES BY SYSTEM'!$O$4)</f>
        <v>0</v>
      </c>
      <c r="T516" s="182">
        <v>0</v>
      </c>
      <c r="U516" s="180" t="str">
        <f>IFERROR(V519/T519,"")</f>
        <v/>
      </c>
      <c r="V516" s="218">
        <f>SUMIFS(DATA!$L:$L,DATA!$O:$O,$B519,DATA!$N:$N,$A519,DATA!$M:$M,'SALES BY SYSTEM'!$O$3)</f>
        <v>0</v>
      </c>
      <c r="W516" s="168"/>
    </row>
    <row r="517" spans="1:23" ht="15.75" customHeight="1" x14ac:dyDescent="0.25">
      <c r="A517" s="139" t="s">
        <v>414</v>
      </c>
      <c r="B517" s="4" t="s">
        <v>16</v>
      </c>
      <c r="C517" s="261" t="str">
        <f>VLOOKUP(A517,CUSTOMER!$A:$C,3,0)</f>
        <v>COOP_F_THEGIA</v>
      </c>
      <c r="D517" s="178" t="s">
        <v>674</v>
      </c>
      <c r="E517" s="178" t="str">
        <f>VLOOKUP(A520,CUSTOMER!$A$2:$H$1094,5,0)</f>
        <v>VAVANCY-VU MINH TUAN</v>
      </c>
      <c r="F517" s="178" t="str">
        <f>VLOOKUP(A520,CUSTOMER!$A$2:$I$1094,6,0)</f>
        <v>TRAN THI THANH TRUC</v>
      </c>
      <c r="G517" s="4" t="s">
        <v>676</v>
      </c>
      <c r="H517" s="179">
        <f t="shared" si="76"/>
        <v>0</v>
      </c>
      <c r="I517" s="180" t="str">
        <f t="shared" si="77"/>
        <v/>
      </c>
      <c r="J517" s="181">
        <f t="shared" si="78"/>
        <v>0</v>
      </c>
      <c r="K517" s="182">
        <v>0</v>
      </c>
      <c r="L517" s="180"/>
      <c r="M517" s="218">
        <f>SUMIFS(DATA!$L:$L,DATA!$O:$O,$B520,DATA!$N:$N,$A520,DATA!$M:$M,'SALES BY SYSTEM'!$O$1)</f>
        <v>0</v>
      </c>
      <c r="N517" s="182">
        <v>0</v>
      </c>
      <c r="O517" s="180"/>
      <c r="P517" s="218">
        <f>SUMIFS(DATA!$L:$L,DATA!$O:$O,$B520,DATA!$N:$N,$A520,DATA!$M:$M,'SALES BY SYSTEM'!$O$2)</f>
        <v>0</v>
      </c>
      <c r="Q517" s="182">
        <v>0</v>
      </c>
      <c r="R517" s="180"/>
      <c r="S517" s="218">
        <f>SUMIFS(DATA!$L:$L,DATA!$O:$O,$B520,DATA!$N:$N,$A520,DATA!$M:$M,'SALES BY SYSTEM'!$O$4)</f>
        <v>0</v>
      </c>
      <c r="T517" s="182">
        <v>0</v>
      </c>
      <c r="U517" s="180"/>
      <c r="V517" s="218">
        <f>SUMIFS(DATA!$L:$L,DATA!$O:$O,$B520,DATA!$N:$N,$A520,DATA!$M:$M,'SALES BY SYSTEM'!$O$3)</f>
        <v>0</v>
      </c>
      <c r="W517" s="168"/>
    </row>
    <row r="518" spans="1:23" ht="15.75" customHeight="1" x14ac:dyDescent="0.25">
      <c r="A518" s="178" t="s">
        <v>961</v>
      </c>
      <c r="B518" s="178" t="s">
        <v>16</v>
      </c>
      <c r="C518" s="178" t="str">
        <f>VLOOKUP(A518,CUSTOMER!$A:$C,3,0)</f>
        <v>COOP_F_THEMY31</v>
      </c>
      <c r="D518" s="178" t="s">
        <v>674</v>
      </c>
      <c r="E518" s="178" t="str">
        <f>VLOOKUP(A521,CUSTOMER!$A$2:$H$1094,5,0)</f>
        <v>VAVANCY-VU MINH TUAN</v>
      </c>
      <c r="F518" s="178" t="str">
        <f>VLOOKUP(A521,CUSTOMER!$A$2:$I$1094,6,0)</f>
        <v>TRAN THI THANH TRUC</v>
      </c>
      <c r="G518" s="178" t="s">
        <v>676</v>
      </c>
      <c r="H518" s="179">
        <f t="shared" si="76"/>
        <v>0</v>
      </c>
      <c r="I518" s="180" t="str">
        <f t="shared" si="77"/>
        <v/>
      </c>
      <c r="J518" s="181">
        <f t="shared" si="78"/>
        <v>0</v>
      </c>
      <c r="K518" s="182">
        <v>0</v>
      </c>
      <c r="L518" s="180" t="str">
        <f>IFERROR(M521/K521,"")</f>
        <v/>
      </c>
      <c r="M518" s="218">
        <f>SUMIFS(DATA!$L:$L,DATA!$O:$O,$B521,DATA!$N:$N,$A521,DATA!$M:$M,'SALES BY SYSTEM'!$O$1)</f>
        <v>0</v>
      </c>
      <c r="N518" s="182">
        <v>0</v>
      </c>
      <c r="O518" s="180" t="str">
        <f t="shared" ref="O518:O542" si="87">IFERROR(P521/N521,"")</f>
        <v/>
      </c>
      <c r="P518" s="218">
        <f>SUMIFS(DATA!$L:$L,DATA!$O:$O,$B521,DATA!$N:$N,$A521,DATA!$M:$M,'SALES BY SYSTEM'!$O$2)</f>
        <v>0</v>
      </c>
      <c r="Q518" s="182">
        <v>0</v>
      </c>
      <c r="R518" s="180" t="str">
        <f t="shared" ref="R518:R542" si="88">IFERROR(S521/Q521,"")</f>
        <v/>
      </c>
      <c r="S518" s="218">
        <f>SUMIFS(DATA!$L:$L,DATA!$O:$O,$B521,DATA!$N:$N,$A521,DATA!$M:$M,'SALES BY SYSTEM'!$O$4)</f>
        <v>0</v>
      </c>
      <c r="T518" s="182">
        <v>0</v>
      </c>
      <c r="U518" s="180" t="str">
        <f t="shared" ref="U518:U542" si="89">IFERROR(V521/T521,"")</f>
        <v/>
      </c>
      <c r="V518" s="218">
        <f>SUMIFS(DATA!$L:$L,DATA!$O:$O,$B521,DATA!$N:$N,$A521,DATA!$M:$M,'SALES BY SYSTEM'!$O$3)</f>
        <v>0</v>
      </c>
      <c r="W518" s="168"/>
    </row>
    <row r="519" spans="1:23" ht="15.75" customHeight="1" x14ac:dyDescent="0.25">
      <c r="A519" s="139" t="s">
        <v>1071</v>
      </c>
      <c r="B519" s="178" t="s">
        <v>16</v>
      </c>
      <c r="C519" s="198" t="str">
        <f>VLOOKUP(A519,CUSTOMER!$A:$C,3,0)</f>
        <v>COOP_F_TNHAU</v>
      </c>
      <c r="D519" s="178" t="s">
        <v>674</v>
      </c>
      <c r="E519" s="178" t="str">
        <f>VLOOKUP(A522,CUSTOMER!$A$2:$H$1094,5,0)</f>
        <v>VAVANCY-VU MINH TUAN</v>
      </c>
      <c r="F519" s="178" t="str">
        <f>VLOOKUP(A522,CUSTOMER!$A$2:$I$1094,6,0)</f>
        <v>TRAN THI THANH TRUC</v>
      </c>
      <c r="G519" s="178" t="str">
        <f>VLOOKUP(A522,CUSTOMER!$A$1:$J$1160,7,0)</f>
        <v>"NO PG"</v>
      </c>
      <c r="H519" s="179">
        <f t="shared" si="76"/>
        <v>0</v>
      </c>
      <c r="I519" s="180" t="str">
        <f t="shared" si="77"/>
        <v/>
      </c>
      <c r="J519" s="181">
        <f t="shared" si="78"/>
        <v>0</v>
      </c>
      <c r="K519" s="182">
        <v>0</v>
      </c>
      <c r="L519" s="180" t="str">
        <f>IFERROR(M522/K522,"")</f>
        <v/>
      </c>
      <c r="M519" s="218">
        <f>SUMIFS(DATA!$L:$L,DATA!$O:$O,$B522,DATA!$N:$N,$A522,DATA!$M:$M,'SALES BY SYSTEM'!$O$1)</f>
        <v>0</v>
      </c>
      <c r="N519" s="182">
        <v>0</v>
      </c>
      <c r="O519" s="180" t="str">
        <f t="shared" si="87"/>
        <v/>
      </c>
      <c r="P519" s="218">
        <f>SUMIFS(DATA!$L:$L,DATA!$O:$O,$B522,DATA!$N:$N,$A522,DATA!$M:$M,'SALES BY SYSTEM'!$O$2)</f>
        <v>0</v>
      </c>
      <c r="Q519" s="182">
        <v>0</v>
      </c>
      <c r="R519" s="180" t="str">
        <f t="shared" si="88"/>
        <v/>
      </c>
      <c r="S519" s="218">
        <f>SUMIFS(DATA!$L:$L,DATA!$O:$O,$B522,DATA!$N:$N,$A522,DATA!$M:$M,'SALES BY SYSTEM'!$O$4)</f>
        <v>0</v>
      </c>
      <c r="T519" s="182">
        <v>0</v>
      </c>
      <c r="U519" s="180" t="str">
        <f t="shared" si="89"/>
        <v/>
      </c>
      <c r="V519" s="218">
        <f>SUMIFS(DATA!$L:$L,DATA!$O:$O,$B522,DATA!$N:$N,$A522,DATA!$M:$M,'SALES BY SYSTEM'!$O$3)</f>
        <v>0</v>
      </c>
      <c r="W519" s="168"/>
    </row>
    <row r="520" spans="1:23" ht="15.75" customHeight="1" x14ac:dyDescent="0.25">
      <c r="A520" s="178" t="s">
        <v>1047</v>
      </c>
      <c r="B520" s="178" t="s">
        <v>16</v>
      </c>
      <c r="C520" s="178" t="str">
        <f>VLOOKUP(A520,CUSTOMER!$A:$C,3,0)</f>
        <v>COOP_F_TNHAT</v>
      </c>
      <c r="D520" s="178" t="s">
        <v>674</v>
      </c>
      <c r="E520" s="178" t="str">
        <f>VLOOKUP(A523,CUSTOMER!$A$2:$H$1094,5,0)</f>
        <v>VAVANCY-VU MINH TUAN</v>
      </c>
      <c r="F520" s="178" t="str">
        <f>VLOOKUP(A523,CUSTOMER!$A$2:$I$1094,6,0)</f>
        <v>TRAN THI THANH TRUC</v>
      </c>
      <c r="G520" s="178" t="s">
        <v>676</v>
      </c>
      <c r="H520" s="179">
        <f t="shared" si="76"/>
        <v>0</v>
      </c>
      <c r="I520" s="180" t="str">
        <f t="shared" si="77"/>
        <v/>
      </c>
      <c r="J520" s="181">
        <f t="shared" si="78"/>
        <v>0</v>
      </c>
      <c r="K520" s="182">
        <v>0</v>
      </c>
      <c r="L520" s="180" t="str">
        <f>IFERROR(M523/K523,"")</f>
        <v/>
      </c>
      <c r="M520" s="218">
        <f>SUMIFS(DATA!$L:$L,DATA!$O:$O,$B523,DATA!$N:$N,$A523,DATA!$M:$M,'SALES BY SYSTEM'!$O$1)</f>
        <v>0</v>
      </c>
      <c r="N520" s="182">
        <v>0</v>
      </c>
      <c r="O520" s="180" t="str">
        <f t="shared" si="87"/>
        <v/>
      </c>
      <c r="P520" s="218">
        <f>SUMIFS(DATA!$L:$L,DATA!$O:$O,$B523,DATA!$N:$N,$A523,DATA!$M:$M,'SALES BY SYSTEM'!$O$2)</f>
        <v>0</v>
      </c>
      <c r="Q520" s="182">
        <v>0</v>
      </c>
      <c r="R520" s="180" t="str">
        <f t="shared" si="88"/>
        <v/>
      </c>
      <c r="S520" s="218">
        <f>SUMIFS(DATA!$L:$L,DATA!$O:$O,$B523,DATA!$N:$N,$A523,DATA!$M:$M,'SALES BY SYSTEM'!$O$4)</f>
        <v>0</v>
      </c>
      <c r="T520" s="182">
        <v>0</v>
      </c>
      <c r="U520" s="180" t="str">
        <f t="shared" si="89"/>
        <v/>
      </c>
      <c r="V520" s="218">
        <f>SUMIFS(DATA!$L:$L,DATA!$O:$O,$B523,DATA!$N:$N,$A523,DATA!$M:$M,'SALES BY SYSTEM'!$O$3)</f>
        <v>0</v>
      </c>
      <c r="W520" s="168"/>
    </row>
    <row r="521" spans="1:23" ht="15.75" customHeight="1" x14ac:dyDescent="0.25">
      <c r="A521" s="178" t="s">
        <v>989</v>
      </c>
      <c r="B521" s="178" t="s">
        <v>16</v>
      </c>
      <c r="C521" s="178" t="str">
        <f>VLOOKUP(A521,CUSTOMER!$A:$C,3,0)</f>
        <v>COOP_F_TL15_275</v>
      </c>
      <c r="D521" s="178" t="s">
        <v>674</v>
      </c>
      <c r="E521" s="178" t="str">
        <f>VLOOKUP(A524,CUSTOMER!$A$2:$H$1094,5,0)</f>
        <v>VAVANCY-VU MINH TUAN</v>
      </c>
      <c r="F521" s="178" t="str">
        <f>VLOOKUP(A524,CUSTOMER!$A$2:$I$1094,6,0)</f>
        <v>NO SALE</v>
      </c>
      <c r="G521" s="178" t="str">
        <f>VLOOKUP(A524,CUSTOMER!$A$1:$J$1160,7,0)</f>
        <v>"NO PG"</v>
      </c>
      <c r="H521" s="179">
        <f t="shared" si="76"/>
        <v>0</v>
      </c>
      <c r="I521" s="180" t="str">
        <f t="shared" si="77"/>
        <v/>
      </c>
      <c r="J521" s="181">
        <f t="shared" si="78"/>
        <v>0</v>
      </c>
      <c r="K521" s="182">
        <v>0</v>
      </c>
      <c r="L521" s="180" t="str">
        <f>IFERROR(M524/K524,"")</f>
        <v/>
      </c>
      <c r="M521" s="218">
        <f>SUMIFS(DATA!$L:$L,DATA!$O:$O,$B524,DATA!$N:$N,$A524,DATA!$M:$M,'SALES BY SYSTEM'!$O$1)</f>
        <v>0</v>
      </c>
      <c r="N521" s="182">
        <v>0</v>
      </c>
      <c r="O521" s="180" t="str">
        <f t="shared" si="87"/>
        <v/>
      </c>
      <c r="P521" s="218">
        <f>SUMIFS(DATA!$L:$L,DATA!$O:$O,$B524,DATA!$N:$N,$A524,DATA!$M:$M,'SALES BY SYSTEM'!$O$2)</f>
        <v>0</v>
      </c>
      <c r="Q521" s="182">
        <v>0</v>
      </c>
      <c r="R521" s="180" t="str">
        <f t="shared" si="88"/>
        <v/>
      </c>
      <c r="S521" s="218">
        <f>SUMIFS(DATA!$L:$L,DATA!$O:$O,$B524,DATA!$N:$N,$A524,DATA!$M:$M,'SALES BY SYSTEM'!$O$4)</f>
        <v>0</v>
      </c>
      <c r="T521" s="182">
        <v>0</v>
      </c>
      <c r="U521" s="180" t="str">
        <f t="shared" si="89"/>
        <v/>
      </c>
      <c r="V521" s="218">
        <f>SUMIFS(DATA!$L:$L,DATA!$O:$O,$B524,DATA!$N:$N,$A524,DATA!$M:$M,'SALES BY SYSTEM'!$O$3)</f>
        <v>0</v>
      </c>
      <c r="W521" s="168"/>
    </row>
    <row r="522" spans="1:23" ht="15.75" customHeight="1" x14ac:dyDescent="0.25">
      <c r="A522" s="178" t="s">
        <v>916</v>
      </c>
      <c r="B522" s="178" t="s">
        <v>16</v>
      </c>
      <c r="C522" s="178" t="str">
        <f>VLOOKUP(A522,CUSTOMER!$A:$C,3,0)</f>
        <v>COOP_F_TLO43</v>
      </c>
      <c r="D522" s="178" t="s">
        <v>674</v>
      </c>
      <c r="E522" s="178" t="str">
        <f>VLOOKUP(A525,CUSTOMER!$A$2:$H$1094,5,0)</f>
        <v>VAVANCY-VU MINH TUAN</v>
      </c>
      <c r="F522" s="178" t="str">
        <f>VLOOKUP(A525,CUSTOMER!$A$2:$I$1094,6,0)</f>
        <v>TRAN THI THANH TRUC</v>
      </c>
      <c r="G522" s="178" t="s">
        <v>676</v>
      </c>
      <c r="H522" s="179">
        <f t="shared" si="76"/>
        <v>0</v>
      </c>
      <c r="I522" s="180" t="str">
        <f t="shared" si="77"/>
        <v/>
      </c>
      <c r="J522" s="181">
        <f t="shared" si="78"/>
        <v>0</v>
      </c>
      <c r="K522" s="182">
        <v>0</v>
      </c>
      <c r="L522" s="180"/>
      <c r="M522" s="218">
        <f>SUMIFS(DATA!$L:$L,DATA!$O:$O,$B525,DATA!$N:$N,$A525,DATA!$M:$M,'SALES BY SYSTEM'!$O$1)</f>
        <v>0</v>
      </c>
      <c r="N522" s="182">
        <v>0</v>
      </c>
      <c r="O522" s="180" t="str">
        <f t="shared" si="87"/>
        <v/>
      </c>
      <c r="P522" s="218">
        <f>SUMIFS(DATA!$L:$L,DATA!$O:$O,$B525,DATA!$N:$N,$A525,DATA!$M:$M,'SALES BY SYSTEM'!$O$2)</f>
        <v>0</v>
      </c>
      <c r="Q522" s="182">
        <v>0</v>
      </c>
      <c r="R522" s="180" t="str">
        <f t="shared" si="88"/>
        <v/>
      </c>
      <c r="S522" s="218">
        <f>SUMIFS(DATA!$L:$L,DATA!$O:$O,$B525,DATA!$N:$N,$A525,DATA!$M:$M,'SALES BY SYSTEM'!$O$4)</f>
        <v>0</v>
      </c>
      <c r="T522" s="182">
        <v>0</v>
      </c>
      <c r="U522" s="180" t="str">
        <f t="shared" si="89"/>
        <v/>
      </c>
      <c r="V522" s="218">
        <f>SUMIFS(DATA!$L:$L,DATA!$O:$O,$B525,DATA!$N:$N,$A525,DATA!$M:$M,'SALES BY SYSTEM'!$O$3)</f>
        <v>0</v>
      </c>
      <c r="W522" s="168"/>
    </row>
    <row r="523" spans="1:23" ht="15.75" customHeight="1" x14ac:dyDescent="0.25">
      <c r="A523" s="178" t="s">
        <v>1029</v>
      </c>
      <c r="B523" s="178" t="s">
        <v>16</v>
      </c>
      <c r="C523" s="178" t="str">
        <f>VLOOKUP(A523,CUSTOMER!$A:$C,3,0)</f>
        <v>COOP_F_TL8_628</v>
      </c>
      <c r="D523" s="178" t="s">
        <v>674</v>
      </c>
      <c r="E523" s="178" t="str">
        <f>VLOOKUP(A526,CUSTOMER!$A$2:$H$1094,5,0)</f>
        <v>VAVANCY-VU MINH TUAN</v>
      </c>
      <c r="F523" s="178" t="str">
        <f>VLOOKUP(A526,CUSTOMER!$A$2:$I$1094,6,0)</f>
        <v>TRAN THI THANH TRUC</v>
      </c>
      <c r="G523" s="178" t="str">
        <f>VLOOKUP(A526,CUSTOMER!$A$1:$J$1160,7,0)</f>
        <v>"NO PG"</v>
      </c>
      <c r="H523" s="179">
        <f t="shared" si="76"/>
        <v>0</v>
      </c>
      <c r="I523" s="180" t="str">
        <f t="shared" si="77"/>
        <v/>
      </c>
      <c r="J523" s="181">
        <f t="shared" si="78"/>
        <v>0</v>
      </c>
      <c r="K523" s="182">
        <v>0</v>
      </c>
      <c r="L523" s="180" t="str">
        <f>IFERROR(M526/K526,"")</f>
        <v/>
      </c>
      <c r="M523" s="218">
        <f>SUMIFS(DATA!$L:$L,DATA!$O:$O,$B526,DATA!$N:$N,$A526,DATA!$M:$M,'SALES BY SYSTEM'!$O$1)</f>
        <v>0</v>
      </c>
      <c r="N523" s="182">
        <v>0</v>
      </c>
      <c r="O523" s="180" t="str">
        <f t="shared" si="87"/>
        <v/>
      </c>
      <c r="P523" s="218">
        <f>SUMIFS(DATA!$L:$L,DATA!$O:$O,$B526,DATA!$N:$N,$A526,DATA!$M:$M,'SALES BY SYSTEM'!$O$2)</f>
        <v>0</v>
      </c>
      <c r="Q523" s="182">
        <v>0</v>
      </c>
      <c r="R523" s="180" t="str">
        <f t="shared" si="88"/>
        <v/>
      </c>
      <c r="S523" s="218">
        <f>SUMIFS(DATA!$L:$L,DATA!$O:$O,$B526,DATA!$N:$N,$A526,DATA!$M:$M,'SALES BY SYSTEM'!$O$4)</f>
        <v>0</v>
      </c>
      <c r="T523" s="182">
        <v>0</v>
      </c>
      <c r="U523" s="180" t="str">
        <f t="shared" si="89"/>
        <v/>
      </c>
      <c r="V523" s="218">
        <f>SUMIFS(DATA!$L:$L,DATA!$O:$O,$B526,DATA!$N:$N,$A526,DATA!$M:$M,'SALES BY SYSTEM'!$O$3)</f>
        <v>0</v>
      </c>
      <c r="W523" s="168"/>
    </row>
    <row r="524" spans="1:23" ht="15.75" customHeight="1" x14ac:dyDescent="0.25">
      <c r="A524" s="178" t="s">
        <v>1190</v>
      </c>
      <c r="B524" s="178" t="s">
        <v>16</v>
      </c>
      <c r="C524" s="178" t="str">
        <f>VLOOKUP(A524,CUSTOMER!$A:$C,3,0)</f>
        <v>COOP_F_TONDAN</v>
      </c>
      <c r="D524" s="178" t="s">
        <v>674</v>
      </c>
      <c r="E524" s="178" t="str">
        <f>VLOOKUP(A527,CUSTOMER!$A$2:$H$1094,5,0)</f>
        <v>VAVANCY-VU MINH TUAN</v>
      </c>
      <c r="F524" s="178" t="str">
        <f>VLOOKUP(A527,CUSTOMER!$A$2:$I$1094,6,0)</f>
        <v>VACANCY</v>
      </c>
      <c r="G524" s="178" t="s">
        <v>676</v>
      </c>
      <c r="H524" s="179">
        <f t="shared" si="76"/>
        <v>0</v>
      </c>
      <c r="I524" s="180" t="str">
        <f t="shared" si="77"/>
        <v/>
      </c>
      <c r="J524" s="181">
        <f t="shared" si="78"/>
        <v>0</v>
      </c>
      <c r="K524" s="182">
        <v>0</v>
      </c>
      <c r="L524" s="180" t="str">
        <f>IFERROR(M527/K527,"")</f>
        <v/>
      </c>
      <c r="M524" s="218">
        <f>SUMIFS(DATA!$L:$L,DATA!$O:$O,$B527,DATA!$N:$N,$A527,DATA!$M:$M,'SALES BY SYSTEM'!$O$1)</f>
        <v>0</v>
      </c>
      <c r="N524" s="182">
        <v>0</v>
      </c>
      <c r="O524" s="180" t="str">
        <f t="shared" si="87"/>
        <v/>
      </c>
      <c r="P524" s="218">
        <f>SUMIFS(DATA!$L:$L,DATA!$O:$O,$B527,DATA!$N:$N,$A527,DATA!$M:$M,'SALES BY SYSTEM'!$O$2)</f>
        <v>0</v>
      </c>
      <c r="Q524" s="182">
        <v>0</v>
      </c>
      <c r="R524" s="180" t="str">
        <f t="shared" si="88"/>
        <v/>
      </c>
      <c r="S524" s="218">
        <f>SUMIFS(DATA!$L:$L,DATA!$O:$O,$B527,DATA!$N:$N,$A527,DATA!$M:$M,'SALES BY SYSTEM'!$O$4)</f>
        <v>0</v>
      </c>
      <c r="T524" s="182">
        <v>0</v>
      </c>
      <c r="U524" s="180" t="str">
        <f t="shared" si="89"/>
        <v/>
      </c>
      <c r="V524" s="218">
        <f>SUMIFS(DATA!$L:$L,DATA!$O:$O,$B527,DATA!$N:$N,$A527,DATA!$M:$M,'SALES BY SYSTEM'!$O$3)</f>
        <v>0</v>
      </c>
      <c r="W524" s="168"/>
    </row>
    <row r="525" spans="1:23" ht="15.75" customHeight="1" x14ac:dyDescent="0.25">
      <c r="A525" s="178" t="s">
        <v>1017</v>
      </c>
      <c r="B525" s="178" t="s">
        <v>16</v>
      </c>
      <c r="C525" s="178" t="str">
        <f>VLOOKUP(A525,CUSTOMER!$A:$C,3,0)</f>
        <v>COOP_F_TTTHUYET</v>
      </c>
      <c r="D525" s="178" t="s">
        <v>674</v>
      </c>
      <c r="E525" s="178" t="str">
        <f>VLOOKUP(A528,CUSTOMER!$A$2:$H$1094,5,0)</f>
        <v>VAVANCY-VU MINH TUAN</v>
      </c>
      <c r="F525" s="178" t="str">
        <f>VLOOKUP(A528,CUSTOMER!$A$2:$I$1094,6,0)</f>
        <v>TRAN THI THANH TRUC</v>
      </c>
      <c r="G525" s="178" t="s">
        <v>676</v>
      </c>
      <c r="H525" s="179">
        <f t="shared" si="76"/>
        <v>0</v>
      </c>
      <c r="I525" s="180" t="str">
        <f t="shared" si="77"/>
        <v/>
      </c>
      <c r="J525" s="181">
        <f t="shared" si="78"/>
        <v>0</v>
      </c>
      <c r="K525" s="182">
        <v>0</v>
      </c>
      <c r="L525" s="180" t="str">
        <f>IFERROR(M528/K528,"")</f>
        <v/>
      </c>
      <c r="M525" s="218">
        <f>SUMIFS(DATA!$L:$L,DATA!$O:$O,$B528,DATA!$N:$N,$A528,DATA!$M:$M,'SALES BY SYSTEM'!$O$1)</f>
        <v>0</v>
      </c>
      <c r="N525" s="182">
        <v>0</v>
      </c>
      <c r="O525" s="180" t="str">
        <f t="shared" si="87"/>
        <v/>
      </c>
      <c r="P525" s="218">
        <f>SUMIFS(DATA!$L:$L,DATA!$O:$O,$B528,DATA!$N:$N,$A528,DATA!$M:$M,'SALES BY SYSTEM'!$O$2)</f>
        <v>0</v>
      </c>
      <c r="Q525" s="182">
        <v>0</v>
      </c>
      <c r="R525" s="180" t="str">
        <f t="shared" si="88"/>
        <v/>
      </c>
      <c r="S525" s="218">
        <f>SUMIFS(DATA!$L:$L,DATA!$O:$O,$B528,DATA!$N:$N,$A528,DATA!$M:$M,'SALES BY SYSTEM'!$O$4)</f>
        <v>0</v>
      </c>
      <c r="T525" s="182">
        <v>0</v>
      </c>
      <c r="U525" s="180" t="str">
        <f t="shared" si="89"/>
        <v/>
      </c>
      <c r="V525" s="218">
        <f>SUMIFS(DATA!$L:$L,DATA!$O:$O,$B528,DATA!$N:$N,$A528,DATA!$M:$M,'SALES BY SYSTEM'!$O$3)</f>
        <v>0</v>
      </c>
      <c r="W525" s="168"/>
    </row>
    <row r="526" spans="1:23" ht="15.75" customHeight="1" x14ac:dyDescent="0.25">
      <c r="A526" s="178" t="s">
        <v>1021</v>
      </c>
      <c r="B526" s="178" t="s">
        <v>16</v>
      </c>
      <c r="C526" s="178" t="str">
        <f>VLOOKUP(A526,CUSTOMER!$A:$C,3,0)</f>
        <v>COOP_F_TPHU71</v>
      </c>
      <c r="D526" s="178" t="s">
        <v>674</v>
      </c>
      <c r="E526" s="178" t="str">
        <f>VLOOKUP(A529,CUSTOMER!$A$2:$H$1094,5,0)</f>
        <v>VAVANCY-VU MINH TUAN</v>
      </c>
      <c r="F526" s="178" t="str">
        <f>VLOOKUP(A529,CUSTOMER!$A$2:$I$1094,6,0)</f>
        <v>TRAN THI THANH TRUC</v>
      </c>
      <c r="G526" s="178" t="str">
        <f>VLOOKUP(A529,CUSTOMER!$A$1:$J$1160,7,0)</f>
        <v>"NO PG"</v>
      </c>
      <c r="H526" s="179">
        <f t="shared" si="76"/>
        <v>0</v>
      </c>
      <c r="I526" s="180" t="str">
        <f t="shared" si="77"/>
        <v/>
      </c>
      <c r="J526" s="181">
        <f t="shared" si="78"/>
        <v>0</v>
      </c>
      <c r="K526" s="182">
        <v>0</v>
      </c>
      <c r="L526" s="180" t="str">
        <f>IFERROR(M529/K529,"")</f>
        <v/>
      </c>
      <c r="M526" s="218">
        <f>SUMIFS(DATA!$L:$L,DATA!$O:$O,$B529,DATA!$N:$N,$A529,DATA!$M:$M,'SALES BY SYSTEM'!$O$1)</f>
        <v>0</v>
      </c>
      <c r="N526" s="182">
        <v>0</v>
      </c>
      <c r="O526" s="180" t="str">
        <f t="shared" si="87"/>
        <v/>
      </c>
      <c r="P526" s="218">
        <f>SUMIFS(DATA!$L:$L,DATA!$O:$O,$B529,DATA!$N:$N,$A529,DATA!$M:$M,'SALES BY SYSTEM'!$O$2)</f>
        <v>0</v>
      </c>
      <c r="Q526" s="182">
        <v>0</v>
      </c>
      <c r="R526" s="180" t="str">
        <f t="shared" si="88"/>
        <v/>
      </c>
      <c r="S526" s="218">
        <f>SUMIFS(DATA!$L:$L,DATA!$O:$O,$B529,DATA!$N:$N,$A529,DATA!$M:$M,'SALES BY SYSTEM'!$O$4)</f>
        <v>0</v>
      </c>
      <c r="T526" s="182">
        <v>0</v>
      </c>
      <c r="U526" s="180" t="str">
        <f t="shared" si="89"/>
        <v/>
      </c>
      <c r="V526" s="218">
        <f>SUMIFS(DATA!$L:$L,DATA!$O:$O,$B529,DATA!$N:$N,$A529,DATA!$M:$M,'SALES BY SYSTEM'!$O$3)</f>
        <v>0</v>
      </c>
      <c r="W526" s="168"/>
    </row>
    <row r="527" spans="1:23" ht="15.75" customHeight="1" x14ac:dyDescent="0.25">
      <c r="A527" s="178" t="s">
        <v>412</v>
      </c>
      <c r="B527" s="178" t="s">
        <v>16</v>
      </c>
      <c r="C527" s="178" t="str">
        <f>VLOOKUP(A527,CUSTOMER!$A:$C,3,0)</f>
        <v>COOP_F_TQK</v>
      </c>
      <c r="D527" s="178" t="s">
        <v>674</v>
      </c>
      <c r="E527" s="178" t="str">
        <f>VLOOKUP(A530,CUSTOMER!$A$2:$H$1094,5,0)</f>
        <v>VAVANCY-VU MINH TUAN</v>
      </c>
      <c r="F527" s="178" t="str">
        <f>VLOOKUP(A530,CUSTOMER!$A$2:$I$1094,6,0)</f>
        <v>TRAN THI THANH TRUC</v>
      </c>
      <c r="G527" s="178" t="str">
        <f>VLOOKUP(A530,CUSTOMER!$A$1:$J$1160,7,0)</f>
        <v>"NO PG"</v>
      </c>
      <c r="H527" s="179">
        <f t="shared" si="76"/>
        <v>0</v>
      </c>
      <c r="I527" s="180" t="str">
        <f t="shared" si="77"/>
        <v/>
      </c>
      <c r="J527" s="181">
        <f t="shared" si="78"/>
        <v>0</v>
      </c>
      <c r="K527" s="182">
        <v>0</v>
      </c>
      <c r="L527" s="180"/>
      <c r="M527" s="218">
        <f>SUMIFS(DATA!$L:$L,DATA!$O:$O,$B530,DATA!$N:$N,$A530,DATA!$M:$M,'SALES BY SYSTEM'!$O$1)</f>
        <v>0</v>
      </c>
      <c r="N527" s="182">
        <v>0</v>
      </c>
      <c r="O527" s="180" t="str">
        <f t="shared" si="87"/>
        <v/>
      </c>
      <c r="P527" s="218">
        <f>SUMIFS(DATA!$L:$L,DATA!$O:$O,$B530,DATA!$N:$N,$A530,DATA!$M:$M,'SALES BY SYSTEM'!$O$2)</f>
        <v>0</v>
      </c>
      <c r="Q527" s="182">
        <v>0</v>
      </c>
      <c r="R527" s="180" t="str">
        <f t="shared" si="88"/>
        <v/>
      </c>
      <c r="S527" s="218">
        <f>SUMIFS(DATA!$L:$L,DATA!$O:$O,$B530,DATA!$N:$N,$A530,DATA!$M:$M,'SALES BY SYSTEM'!$O$4)</f>
        <v>0</v>
      </c>
      <c r="T527" s="182">
        <v>0</v>
      </c>
      <c r="U527" s="180" t="str">
        <f t="shared" si="89"/>
        <v/>
      </c>
      <c r="V527" s="218">
        <f>SUMIFS(DATA!$L:$L,DATA!$O:$O,$B530,DATA!$N:$N,$A530,DATA!$M:$M,'SALES BY SYSTEM'!$O$3)</f>
        <v>0</v>
      </c>
      <c r="W527" s="168"/>
    </row>
    <row r="528" spans="1:23" ht="15.75" customHeight="1" x14ac:dyDescent="0.25">
      <c r="A528" s="178" t="s">
        <v>969</v>
      </c>
      <c r="B528" s="178" t="s">
        <v>16</v>
      </c>
      <c r="C528" s="178" t="str">
        <f>VLOOKUP(A528,CUSTOMER!$A:$C,3,0)</f>
        <v>COOP_F_TQT</v>
      </c>
      <c r="D528" s="178" t="s">
        <v>674</v>
      </c>
      <c r="E528" s="178" t="str">
        <f>VLOOKUP(A531,CUSTOMER!$A$2:$H$1094,5,0)</f>
        <v>VAVANCY-VU MINH TUAN</v>
      </c>
      <c r="F528" s="178" t="str">
        <f>VLOOKUP(A531,CUSTOMER!$A$2:$I$1094,6,0)</f>
        <v>TRAN THI THANH TRUC</v>
      </c>
      <c r="G528" s="178" t="str">
        <f>VLOOKUP(A531,CUSTOMER!$A$1:$J$1160,7,0)</f>
        <v>"NO PG"</v>
      </c>
      <c r="H528" s="179">
        <f t="shared" si="76"/>
        <v>0</v>
      </c>
      <c r="I528" s="180" t="str">
        <f t="shared" si="77"/>
        <v/>
      </c>
      <c r="J528" s="181">
        <f t="shared" si="78"/>
        <v>0</v>
      </c>
      <c r="K528" s="182">
        <v>0</v>
      </c>
      <c r="L528" s="180" t="str">
        <f>IFERROR(M531/K531,"")</f>
        <v/>
      </c>
      <c r="M528" s="218">
        <f>SUMIFS(DATA!$L:$L,DATA!$O:$O,$B531,DATA!$N:$N,$A531,DATA!$M:$M,'SALES BY SYSTEM'!$O$1)</f>
        <v>0</v>
      </c>
      <c r="N528" s="182">
        <v>0</v>
      </c>
      <c r="O528" s="180" t="str">
        <f t="shared" si="87"/>
        <v/>
      </c>
      <c r="P528" s="218">
        <f>SUMIFS(DATA!$L:$L,DATA!$O:$O,$B531,DATA!$N:$N,$A531,DATA!$M:$M,'SALES BY SYSTEM'!$O$2)</f>
        <v>0</v>
      </c>
      <c r="Q528" s="182">
        <v>0</v>
      </c>
      <c r="R528" s="180" t="str">
        <f t="shared" si="88"/>
        <v/>
      </c>
      <c r="S528" s="218">
        <f>SUMIFS(DATA!$L:$L,DATA!$O:$O,$B531,DATA!$N:$N,$A531,DATA!$M:$M,'SALES BY SYSTEM'!$O$4)</f>
        <v>0</v>
      </c>
      <c r="T528" s="182">
        <v>0</v>
      </c>
      <c r="U528" s="180" t="str">
        <f t="shared" si="89"/>
        <v/>
      </c>
      <c r="V528" s="218">
        <f>SUMIFS(DATA!$L:$L,DATA!$O:$O,$B531,DATA!$N:$N,$A531,DATA!$M:$M,'SALES BY SYSTEM'!$O$3)</f>
        <v>0</v>
      </c>
      <c r="W528" s="168"/>
    </row>
    <row r="529" spans="1:23" ht="15.75" customHeight="1" x14ac:dyDescent="0.25">
      <c r="A529" s="178" t="s">
        <v>1196</v>
      </c>
      <c r="B529" s="178" t="s">
        <v>16</v>
      </c>
      <c r="C529" s="178" t="str">
        <f>VLOOKUP(A529,CUSTOMER!$A:$C,3,0)</f>
        <v>COOP_F_TTAN</v>
      </c>
      <c r="D529" s="178" t="s">
        <v>674</v>
      </c>
      <c r="E529" s="178" t="str">
        <f>VLOOKUP(A532,CUSTOMER!$A$2:$H$1094,5,0)</f>
        <v>VAVANCY-VU MINH TUAN</v>
      </c>
      <c r="F529" s="178" t="str">
        <f>VLOOKUP(A532,CUSTOMER!$A$2:$I$1094,6,0)</f>
        <v>VACANCY</v>
      </c>
      <c r="G529" s="178" t="str">
        <f>VLOOKUP(A532,CUSTOMER!$A$1:$J$1160,7,0)</f>
        <v>"NO PG"</v>
      </c>
      <c r="H529" s="179">
        <f t="shared" si="76"/>
        <v>0</v>
      </c>
      <c r="I529" s="180" t="str">
        <f t="shared" si="77"/>
        <v/>
      </c>
      <c r="J529" s="181">
        <f t="shared" si="78"/>
        <v>0</v>
      </c>
      <c r="K529" s="182">
        <v>0</v>
      </c>
      <c r="L529" s="180" t="str">
        <f>IFERROR(M532/K532,"")</f>
        <v/>
      </c>
      <c r="M529" s="218">
        <f>SUMIFS(DATA!$L:$L,DATA!$O:$O,$B532,DATA!$N:$N,$A532,DATA!$M:$M,'SALES BY SYSTEM'!$O$1)</f>
        <v>0</v>
      </c>
      <c r="N529" s="182">
        <v>0</v>
      </c>
      <c r="O529" s="180" t="str">
        <f t="shared" si="87"/>
        <v/>
      </c>
      <c r="P529" s="218">
        <f>SUMIFS(DATA!$L:$L,DATA!$O:$O,$B532,DATA!$N:$N,$A532,DATA!$M:$M,'SALES BY SYSTEM'!$O$2)</f>
        <v>0</v>
      </c>
      <c r="Q529" s="182">
        <v>0</v>
      </c>
      <c r="R529" s="180" t="str">
        <f t="shared" si="88"/>
        <v/>
      </c>
      <c r="S529" s="218">
        <f>SUMIFS(DATA!$L:$L,DATA!$O:$O,$B532,DATA!$N:$N,$A532,DATA!$M:$M,'SALES BY SYSTEM'!$O$4)</f>
        <v>0</v>
      </c>
      <c r="T529" s="182">
        <v>0</v>
      </c>
      <c r="U529" s="180" t="str">
        <f t="shared" si="89"/>
        <v/>
      </c>
      <c r="V529" s="218">
        <f>SUMIFS(DATA!$L:$L,DATA!$O:$O,$B532,DATA!$N:$N,$A532,DATA!$M:$M,'SALES BY SYSTEM'!$O$3)</f>
        <v>0</v>
      </c>
      <c r="W529" s="168"/>
    </row>
    <row r="530" spans="1:23" ht="15.75" customHeight="1" x14ac:dyDescent="0.25">
      <c r="A530" s="178" t="s">
        <v>343</v>
      </c>
      <c r="B530" s="178" t="s">
        <v>16</v>
      </c>
      <c r="C530" s="178" t="str">
        <f>VLOOKUP(A530,CUSTOMER!$A:$C,3,0)</f>
        <v>COOP_F_TTCO292</v>
      </c>
      <c r="D530" s="178" t="s">
        <v>674</v>
      </c>
      <c r="E530" s="178" t="str">
        <f>VLOOKUP(A533,CUSTOMER!$A$2:$H$1094,5,0)</f>
        <v>VAVANCY-VU MINH TUAN</v>
      </c>
      <c r="F530" s="178" t="str">
        <f>VLOOKUP(A533,CUSTOMER!$A$2:$I$1094,6,0)</f>
        <v>VACANCY</v>
      </c>
      <c r="G530" s="178" t="s">
        <v>676</v>
      </c>
      <c r="H530" s="179">
        <f t="shared" si="76"/>
        <v>0</v>
      </c>
      <c r="I530" s="180" t="str">
        <f t="shared" si="77"/>
        <v/>
      </c>
      <c r="J530" s="181">
        <f t="shared" si="78"/>
        <v>0</v>
      </c>
      <c r="K530" s="182">
        <v>0</v>
      </c>
      <c r="L530" s="180"/>
      <c r="M530" s="218">
        <f>SUMIFS(DATA!$L:$L,DATA!$O:$O,$B533,DATA!$N:$N,$A533,DATA!$M:$M,'SALES BY SYSTEM'!$O$1)</f>
        <v>0</v>
      </c>
      <c r="N530" s="182">
        <v>0</v>
      </c>
      <c r="O530" s="180" t="str">
        <f t="shared" si="87"/>
        <v/>
      </c>
      <c r="P530" s="218">
        <f>SUMIFS(DATA!$L:$L,DATA!$O:$O,$B533,DATA!$N:$N,$A533,DATA!$M:$M,'SALES BY SYSTEM'!$O$2)</f>
        <v>0</v>
      </c>
      <c r="Q530" s="182">
        <v>0</v>
      </c>
      <c r="R530" s="180" t="str">
        <f t="shared" si="88"/>
        <v/>
      </c>
      <c r="S530" s="218">
        <f>SUMIFS(DATA!$L:$L,DATA!$O:$O,$B533,DATA!$N:$N,$A533,DATA!$M:$M,'SALES BY SYSTEM'!$O$4)</f>
        <v>0</v>
      </c>
      <c r="T530" s="182">
        <v>0</v>
      </c>
      <c r="U530" s="180" t="str">
        <f t="shared" si="89"/>
        <v/>
      </c>
      <c r="V530" s="218">
        <f>SUMIFS(DATA!$L:$L,DATA!$O:$O,$B533,DATA!$N:$N,$A533,DATA!$M:$M,'SALES BY SYSTEM'!$O$3)</f>
        <v>0</v>
      </c>
      <c r="W530" s="168"/>
    </row>
    <row r="531" spans="1:23" ht="15.75" customHeight="1" x14ac:dyDescent="0.25">
      <c r="A531" s="178" t="s">
        <v>1053</v>
      </c>
      <c r="B531" s="178" t="s">
        <v>16</v>
      </c>
      <c r="C531" s="178" t="str">
        <f>VLOOKUP(A531,CUSTOMER!$A:$C,3,0)</f>
        <v>COOP_F_TTCUNG</v>
      </c>
      <c r="D531" s="178" t="s">
        <v>674</v>
      </c>
      <c r="E531" s="178" t="str">
        <f>VLOOKUP(A534,CUSTOMER!$A$2:$H$1094,5,0)</f>
        <v>VAVANCY-VU MINH TUAN</v>
      </c>
      <c r="F531" s="178" t="str">
        <f>VLOOKUP(A534,CUSTOMER!$A$2:$I$1094,6,0)</f>
        <v>NO SALE</v>
      </c>
      <c r="G531" s="178" t="str">
        <f>VLOOKUP(A534,CUSTOMER!$A$1:$J$1160,7,0)</f>
        <v>"NO PG"</v>
      </c>
      <c r="H531" s="179">
        <f t="shared" si="76"/>
        <v>0</v>
      </c>
      <c r="I531" s="180" t="str">
        <f t="shared" si="77"/>
        <v/>
      </c>
      <c r="J531" s="181">
        <f t="shared" si="78"/>
        <v>0</v>
      </c>
      <c r="K531" s="182">
        <v>0</v>
      </c>
      <c r="L531" s="180" t="str">
        <f t="shared" ref="L531:L539" si="90">IFERROR(M534/K534,"")</f>
        <v/>
      </c>
      <c r="M531" s="218">
        <f>SUMIFS(DATA!$L:$L,DATA!$O:$O,$B534,DATA!$N:$N,$A534,DATA!$M:$M,'SALES BY SYSTEM'!$O$1)</f>
        <v>0</v>
      </c>
      <c r="N531" s="182">
        <v>0</v>
      </c>
      <c r="O531" s="180" t="str">
        <f t="shared" si="87"/>
        <v/>
      </c>
      <c r="P531" s="218">
        <f>SUMIFS(DATA!$L:$L,DATA!$O:$O,$B534,DATA!$N:$N,$A534,DATA!$M:$M,'SALES BY SYSTEM'!$O$2)</f>
        <v>0</v>
      </c>
      <c r="Q531" s="182">
        <v>0</v>
      </c>
      <c r="R531" s="180" t="str">
        <f t="shared" si="88"/>
        <v/>
      </c>
      <c r="S531" s="218">
        <f>SUMIFS(DATA!$L:$L,DATA!$O:$O,$B534,DATA!$N:$N,$A534,DATA!$M:$M,'SALES BY SYSTEM'!$O$4)</f>
        <v>0</v>
      </c>
      <c r="T531" s="182">
        <v>0</v>
      </c>
      <c r="U531" s="180" t="str">
        <f t="shared" si="89"/>
        <v/>
      </c>
      <c r="V531" s="218">
        <f>SUMIFS(DATA!$L:$L,DATA!$O:$O,$B534,DATA!$N:$N,$A534,DATA!$M:$M,'SALES BY SYSTEM'!$O$3)</f>
        <v>0</v>
      </c>
      <c r="W531" s="168"/>
    </row>
    <row r="532" spans="1:23" ht="15.75" customHeight="1" x14ac:dyDescent="0.25">
      <c r="A532" s="178" t="s">
        <v>318</v>
      </c>
      <c r="B532" s="178" t="s">
        <v>16</v>
      </c>
      <c r="C532" s="178" t="str">
        <f>VLOOKUP(A532,CUSTOMER!$A:$C,3,0)</f>
        <v>COOP_F_TVQ</v>
      </c>
      <c r="D532" s="178" t="s">
        <v>674</v>
      </c>
      <c r="E532" s="178" t="str">
        <f>VLOOKUP(A535,CUSTOMER!$A$2:$H$1094,5,0)</f>
        <v>VAVANCY-VU MINH TUAN</v>
      </c>
      <c r="F532" s="178" t="str">
        <f>VLOOKUP(A535,CUSTOMER!$A$2:$I$1094,6,0)</f>
        <v>TRAN THI THANH TRUC</v>
      </c>
      <c r="G532" s="178" t="str">
        <f>VLOOKUP(A535,CUSTOMER!$A$1:$J$1160,7,0)</f>
        <v>"NO PG"</v>
      </c>
      <c r="H532" s="179">
        <f t="shared" si="76"/>
        <v>0</v>
      </c>
      <c r="I532" s="180" t="str">
        <f t="shared" si="77"/>
        <v/>
      </c>
      <c r="J532" s="181">
        <f t="shared" si="78"/>
        <v>0</v>
      </c>
      <c r="K532" s="182">
        <v>0</v>
      </c>
      <c r="L532" s="180" t="str">
        <f t="shared" si="90"/>
        <v/>
      </c>
      <c r="M532" s="218">
        <f>SUMIFS(DATA!$L:$L,DATA!$O:$O,$B535,DATA!$N:$N,$A535,DATA!$M:$M,'SALES BY SYSTEM'!$O$1)</f>
        <v>0</v>
      </c>
      <c r="N532" s="182">
        <v>0</v>
      </c>
      <c r="O532" s="180" t="str">
        <f t="shared" si="87"/>
        <v/>
      </c>
      <c r="P532" s="218">
        <f>SUMIFS(DATA!$L:$L,DATA!$O:$O,$B535,DATA!$N:$N,$A535,DATA!$M:$M,'SALES BY SYSTEM'!$O$2)</f>
        <v>0</v>
      </c>
      <c r="Q532" s="182">
        <v>0</v>
      </c>
      <c r="R532" s="180" t="str">
        <f t="shared" si="88"/>
        <v/>
      </c>
      <c r="S532" s="218">
        <f>SUMIFS(DATA!$L:$L,DATA!$O:$O,$B535,DATA!$N:$N,$A535,DATA!$M:$M,'SALES BY SYSTEM'!$O$4)</f>
        <v>0</v>
      </c>
      <c r="T532" s="182">
        <v>0</v>
      </c>
      <c r="U532" s="180" t="str">
        <f t="shared" si="89"/>
        <v/>
      </c>
      <c r="V532" s="218">
        <f>SUMIFS(DATA!$L:$L,DATA!$O:$O,$B535,DATA!$N:$N,$A535,DATA!$M:$M,'SALES BY SYSTEM'!$O$3)</f>
        <v>0</v>
      </c>
      <c r="W532" s="168"/>
    </row>
    <row r="533" spans="1:23" ht="15.75" customHeight="1" x14ac:dyDescent="0.25">
      <c r="A533" s="139" t="s">
        <v>1069</v>
      </c>
      <c r="B533" s="178" t="s">
        <v>16</v>
      </c>
      <c r="C533" s="198" t="str">
        <f>VLOOKUP(A533,CUSTOMER!$A:$C,3,0)</f>
        <v>COOP_F_TVC</v>
      </c>
      <c r="D533" s="178" t="s">
        <v>674</v>
      </c>
      <c r="E533" s="178" t="str">
        <f>VLOOKUP(A536,CUSTOMER!$A$2:$H$1094,5,0)</f>
        <v>VAVANCY-VU MINH TUAN</v>
      </c>
      <c r="F533" s="178" t="str">
        <f>VLOOKUP(A536,CUSTOMER!$A$2:$I$1094,6,0)</f>
        <v>TRAN THI THANH TRUC</v>
      </c>
      <c r="G533" s="178" t="str">
        <f>VLOOKUP(A536,CUSTOMER!$A$1:$J$1160,7,0)</f>
        <v>"NO PG"</v>
      </c>
      <c r="H533" s="179">
        <f t="shared" si="76"/>
        <v>0</v>
      </c>
      <c r="I533" s="180" t="str">
        <f t="shared" si="77"/>
        <v/>
      </c>
      <c r="J533" s="181">
        <f t="shared" si="78"/>
        <v>0</v>
      </c>
      <c r="K533" s="182">
        <v>0</v>
      </c>
      <c r="L533" s="180" t="str">
        <f t="shared" si="90"/>
        <v/>
      </c>
      <c r="M533" s="218">
        <f>SUMIFS(DATA!$L:$L,DATA!$O:$O,$B536,DATA!$N:$N,$A536,DATA!$M:$M,'SALES BY SYSTEM'!$O$1)</f>
        <v>0</v>
      </c>
      <c r="N533" s="182">
        <v>0</v>
      </c>
      <c r="O533" s="180" t="str">
        <f t="shared" si="87"/>
        <v/>
      </c>
      <c r="P533" s="218">
        <f>SUMIFS(DATA!$L:$L,DATA!$O:$O,$B536,DATA!$N:$N,$A536,DATA!$M:$M,'SALES BY SYSTEM'!$O$2)</f>
        <v>0</v>
      </c>
      <c r="Q533" s="182">
        <v>0</v>
      </c>
      <c r="R533" s="180" t="str">
        <f t="shared" si="88"/>
        <v/>
      </c>
      <c r="S533" s="218">
        <f>SUMIFS(DATA!$L:$L,DATA!$O:$O,$B536,DATA!$N:$N,$A536,DATA!$M:$M,'SALES BY SYSTEM'!$O$4)</f>
        <v>0</v>
      </c>
      <c r="T533" s="182">
        <v>0</v>
      </c>
      <c r="U533" s="180" t="str">
        <f t="shared" si="89"/>
        <v/>
      </c>
      <c r="V533" s="218">
        <f>SUMIFS(DATA!$L:$L,DATA!$O:$O,$B536,DATA!$N:$N,$A536,DATA!$M:$M,'SALES BY SYSTEM'!$O$3)</f>
        <v>0</v>
      </c>
      <c r="W533" s="168"/>
    </row>
    <row r="534" spans="1:23" ht="15.75" customHeight="1" x14ac:dyDescent="0.25">
      <c r="A534" s="178" t="s">
        <v>1192</v>
      </c>
      <c r="B534" s="178" t="s">
        <v>16</v>
      </c>
      <c r="C534" s="178" t="str">
        <f>VLOOKUP(A534,CUSTOMER!$A:$C,3,0)</f>
        <v>COOP_F_TXSOAN</v>
      </c>
      <c r="D534" s="178" t="s">
        <v>674</v>
      </c>
      <c r="E534" s="178" t="str">
        <f>VLOOKUP(A537,CUSTOMER!$A$2:$H$1094,5,0)</f>
        <v>VAVANCY-VU MINH TUAN</v>
      </c>
      <c r="F534" s="178" t="str">
        <f>VLOOKUP(A537,CUSTOMER!$A$2:$I$1094,6,0)</f>
        <v>TRAN THI THANH TRUC</v>
      </c>
      <c r="G534" s="178" t="s">
        <v>676</v>
      </c>
      <c r="H534" s="179">
        <f t="shared" si="76"/>
        <v>0</v>
      </c>
      <c r="I534" s="180" t="str">
        <f t="shared" si="77"/>
        <v/>
      </c>
      <c r="J534" s="181">
        <f t="shared" si="78"/>
        <v>0</v>
      </c>
      <c r="K534" s="182">
        <v>0</v>
      </c>
      <c r="L534" s="180" t="str">
        <f t="shared" si="90"/>
        <v/>
      </c>
      <c r="M534" s="218">
        <f>SUMIFS(DATA!$L:$L,DATA!$O:$O,$B537,DATA!$N:$N,$A537,DATA!$M:$M,'SALES BY SYSTEM'!$O$1)</f>
        <v>0</v>
      </c>
      <c r="N534" s="182">
        <v>0</v>
      </c>
      <c r="O534" s="180" t="str">
        <f t="shared" si="87"/>
        <v/>
      </c>
      <c r="P534" s="218">
        <f>SUMIFS(DATA!$L:$L,DATA!$O:$O,$B537,DATA!$N:$N,$A537,DATA!$M:$M,'SALES BY SYSTEM'!$O$2)</f>
        <v>0</v>
      </c>
      <c r="Q534" s="182">
        <v>0</v>
      </c>
      <c r="R534" s="180" t="str">
        <f t="shared" si="88"/>
        <v/>
      </c>
      <c r="S534" s="218">
        <f>SUMIFS(DATA!$L:$L,DATA!$O:$O,$B537,DATA!$N:$N,$A537,DATA!$M:$M,'SALES BY SYSTEM'!$O$4)</f>
        <v>0</v>
      </c>
      <c r="T534" s="182">
        <v>0</v>
      </c>
      <c r="U534" s="180" t="str">
        <f t="shared" si="89"/>
        <v/>
      </c>
      <c r="V534" s="218">
        <f>SUMIFS(DATA!$L:$L,DATA!$O:$O,$B537,DATA!$N:$N,$A537,DATA!$M:$M,'SALES BY SYSTEM'!$O$3)</f>
        <v>0</v>
      </c>
      <c r="W534" s="168"/>
    </row>
    <row r="535" spans="1:23" ht="15.75" customHeight="1" x14ac:dyDescent="0.25">
      <c r="A535" s="178" t="s">
        <v>1031</v>
      </c>
      <c r="B535" s="178" t="s">
        <v>16</v>
      </c>
      <c r="C535" s="178" t="str">
        <f>VLOOKUP(A535,CUSTOMER!$A:$C,3,0)</f>
        <v>COOP_F_TKHUC</v>
      </c>
      <c r="D535" s="178" t="s">
        <v>674</v>
      </c>
      <c r="E535" s="178" t="str">
        <f>VLOOKUP(A538,CUSTOMER!$A$2:$H$1094,5,0)</f>
        <v>VAVANCY-VU MINH TUAN</v>
      </c>
      <c r="F535" s="178" t="str">
        <f>VLOOKUP(A538,CUSTOMER!$A$2:$I$1094,6,0)</f>
        <v>TRAN THI THANH TRUC</v>
      </c>
      <c r="G535" s="178" t="str">
        <f>VLOOKUP(A538,CUSTOMER!$A$1:$J$1160,7,0)</f>
        <v>"NO PG"</v>
      </c>
      <c r="H535" s="179">
        <f t="shared" si="76"/>
        <v>0</v>
      </c>
      <c r="I535" s="180" t="str">
        <f t="shared" si="77"/>
        <v/>
      </c>
      <c r="J535" s="181">
        <f t="shared" si="78"/>
        <v>0</v>
      </c>
      <c r="K535" s="182">
        <v>0</v>
      </c>
      <c r="L535" s="180" t="str">
        <f t="shared" si="90"/>
        <v/>
      </c>
      <c r="M535" s="218">
        <f>SUMIFS(DATA!$L:$L,DATA!$O:$O,$B538,DATA!$N:$N,$A538,DATA!$M:$M,'SALES BY SYSTEM'!$O$1)</f>
        <v>0</v>
      </c>
      <c r="N535" s="182">
        <v>0</v>
      </c>
      <c r="O535" s="180" t="str">
        <f t="shared" si="87"/>
        <v/>
      </c>
      <c r="P535" s="218">
        <f>SUMIFS(DATA!$L:$L,DATA!$O:$O,$B538,DATA!$N:$N,$A538,DATA!$M:$M,'SALES BY SYSTEM'!$O$2)</f>
        <v>0</v>
      </c>
      <c r="Q535" s="182">
        <v>0</v>
      </c>
      <c r="R535" s="180" t="str">
        <f t="shared" si="88"/>
        <v/>
      </c>
      <c r="S535" s="218">
        <f>SUMIFS(DATA!$L:$L,DATA!$O:$O,$B538,DATA!$N:$N,$A538,DATA!$M:$M,'SALES BY SYSTEM'!$O$4)</f>
        <v>0</v>
      </c>
      <c r="T535" s="182">
        <v>0</v>
      </c>
      <c r="U535" s="180" t="str">
        <f t="shared" si="89"/>
        <v/>
      </c>
      <c r="V535" s="218">
        <f>SUMIFS(DATA!$L:$L,DATA!$O:$O,$B538,DATA!$N:$N,$A538,DATA!$M:$M,'SALES BY SYSTEM'!$O$3)</f>
        <v>0</v>
      </c>
      <c r="W535" s="168"/>
    </row>
    <row r="536" spans="1:23" ht="15.75" customHeight="1" x14ac:dyDescent="0.25">
      <c r="A536" s="178" t="s">
        <v>934</v>
      </c>
      <c r="B536" s="178" t="s">
        <v>16</v>
      </c>
      <c r="C536" s="178" t="str">
        <f>VLOOKUP(A536,CUSTOMER!$A:$C,3,0)</f>
        <v>COOP_F_TMTAY</v>
      </c>
      <c r="D536" s="178" t="s">
        <v>674</v>
      </c>
      <c r="E536" s="178" t="str">
        <f>VLOOKUP(A539,CUSTOMER!$A$2:$H$1094,5,0)</f>
        <v>VAVANCY-VU MINH TUAN</v>
      </c>
      <c r="F536" s="178" t="str">
        <f>VLOOKUP(A539,CUSTOMER!$A$2:$I$1094,6,0)</f>
        <v>TRAN THI THANH TRUC</v>
      </c>
      <c r="G536" s="178" t="s">
        <v>676</v>
      </c>
      <c r="H536" s="179">
        <f t="shared" si="76"/>
        <v>0</v>
      </c>
      <c r="I536" s="180" t="str">
        <f t="shared" si="77"/>
        <v/>
      </c>
      <c r="J536" s="181">
        <f t="shared" si="78"/>
        <v>0</v>
      </c>
      <c r="K536" s="182">
        <v>0</v>
      </c>
      <c r="L536" s="180" t="str">
        <f t="shared" si="90"/>
        <v/>
      </c>
      <c r="M536" s="218">
        <f>SUMIFS(DATA!$L:$L,DATA!$O:$O,$B539,DATA!$N:$N,$A539,DATA!$M:$M,'SALES BY SYSTEM'!$O$1)</f>
        <v>0</v>
      </c>
      <c r="N536" s="182">
        <v>0</v>
      </c>
      <c r="O536" s="180" t="str">
        <f t="shared" si="87"/>
        <v/>
      </c>
      <c r="P536" s="218">
        <f>SUMIFS(DATA!$L:$L,DATA!$O:$O,$B539,DATA!$N:$N,$A539,DATA!$M:$M,'SALES BY SYSTEM'!$O$2)</f>
        <v>0</v>
      </c>
      <c r="Q536" s="182">
        <v>0</v>
      </c>
      <c r="R536" s="180" t="str">
        <f t="shared" si="88"/>
        <v/>
      </c>
      <c r="S536" s="218">
        <f>SUMIFS(DATA!$L:$L,DATA!$O:$O,$B539,DATA!$N:$N,$A539,DATA!$M:$M,'SALES BY SYSTEM'!$O$4)</f>
        <v>0</v>
      </c>
      <c r="T536" s="182">
        <v>0</v>
      </c>
      <c r="U536" s="180" t="str">
        <f t="shared" si="89"/>
        <v/>
      </c>
      <c r="V536" s="218">
        <f>SUMIFS(DATA!$L:$L,DATA!$O:$O,$B539,DATA!$N:$N,$A539,DATA!$M:$M,'SALES BY SYSTEM'!$O$3)</f>
        <v>0</v>
      </c>
      <c r="W536" s="168"/>
    </row>
    <row r="537" spans="1:23" ht="15.75" customHeight="1" x14ac:dyDescent="0.25">
      <c r="A537" s="178" t="s">
        <v>1049</v>
      </c>
      <c r="B537" s="178" t="s">
        <v>16</v>
      </c>
      <c r="C537" s="178" t="str">
        <f>VLOOKUP(A537,CUSTOMER!$A:$C,3,0)</f>
        <v>COOP_F_TCDINH</v>
      </c>
      <c r="D537" s="178" t="s">
        <v>674</v>
      </c>
      <c r="E537" s="178" t="str">
        <f>VLOOKUP(A540,CUSTOMER!$A$2:$H$1094,5,0)</f>
        <v>VAVANCY-VU MINH TUAN</v>
      </c>
      <c r="F537" s="178" t="str">
        <f>VLOOKUP(A540,CUSTOMER!$A$2:$I$1094,6,0)</f>
        <v>TRAN THI THANH TRUC</v>
      </c>
      <c r="G537" s="178" t="s">
        <v>676</v>
      </c>
      <c r="H537" s="179">
        <f t="shared" si="76"/>
        <v>0</v>
      </c>
      <c r="I537" s="180" t="str">
        <f t="shared" si="77"/>
        <v/>
      </c>
      <c r="J537" s="181">
        <f t="shared" si="78"/>
        <v>0</v>
      </c>
      <c r="K537" s="182">
        <v>0</v>
      </c>
      <c r="L537" s="180" t="str">
        <f t="shared" si="90"/>
        <v/>
      </c>
      <c r="M537" s="218">
        <f>SUMIFS(DATA!$L:$L,DATA!$O:$O,$B540,DATA!$N:$N,$A540,DATA!$M:$M,'SALES BY SYSTEM'!$O$1)</f>
        <v>0</v>
      </c>
      <c r="N537" s="182">
        <v>0</v>
      </c>
      <c r="O537" s="180" t="str">
        <f t="shared" si="87"/>
        <v/>
      </c>
      <c r="P537" s="218">
        <f>SUMIFS(DATA!$L:$L,DATA!$O:$O,$B540,DATA!$N:$N,$A540,DATA!$M:$M,'SALES BY SYSTEM'!$O$2)</f>
        <v>0</v>
      </c>
      <c r="Q537" s="182">
        <v>0</v>
      </c>
      <c r="R537" s="180" t="str">
        <f t="shared" si="88"/>
        <v/>
      </c>
      <c r="S537" s="218">
        <f>SUMIFS(DATA!$L:$L,DATA!$O:$O,$B540,DATA!$N:$N,$A540,DATA!$M:$M,'SALES BY SYSTEM'!$O$4)</f>
        <v>0</v>
      </c>
      <c r="T537" s="182">
        <v>0</v>
      </c>
      <c r="U537" s="180" t="str">
        <f t="shared" si="89"/>
        <v/>
      </c>
      <c r="V537" s="218">
        <f>SUMIFS(DATA!$L:$L,DATA!$O:$O,$B540,DATA!$N:$N,$A540,DATA!$M:$M,'SALES BY SYSTEM'!$O$3)</f>
        <v>0</v>
      </c>
      <c r="W537" s="168"/>
    </row>
    <row r="538" spans="1:23" ht="15.75" customHeight="1" x14ac:dyDescent="0.25">
      <c r="A538" s="178" t="s">
        <v>394</v>
      </c>
      <c r="B538" s="178" t="s">
        <v>16</v>
      </c>
      <c r="C538" s="178" t="str">
        <f>VLOOKUP(A538,CUSTOMER!$A:$C,3,0)</f>
        <v>COOP_F_TDHOI</v>
      </c>
      <c r="D538" s="178" t="s">
        <v>674</v>
      </c>
      <c r="E538" s="178" t="str">
        <f>VLOOKUP(A541,CUSTOMER!$A$2:$H$1094,5,0)</f>
        <v>VAVANCY-VU MINH TUAN</v>
      </c>
      <c r="F538" s="178" t="str">
        <f>VLOOKUP(A541,CUSTOMER!$A$2:$I$1094,6,0)</f>
        <v>VACANCY</v>
      </c>
      <c r="G538" s="178" t="str">
        <f>VLOOKUP(A541,CUSTOMER!$A$1:$J$1160,7,0)</f>
        <v>"NO PG"</v>
      </c>
      <c r="H538" s="179">
        <f t="shared" si="76"/>
        <v>0</v>
      </c>
      <c r="I538" s="180" t="str">
        <f t="shared" si="77"/>
        <v/>
      </c>
      <c r="J538" s="181">
        <f t="shared" si="78"/>
        <v>0</v>
      </c>
      <c r="K538" s="182">
        <v>0</v>
      </c>
      <c r="L538" s="180" t="str">
        <f t="shared" si="90"/>
        <v/>
      </c>
      <c r="M538" s="218">
        <f>SUMIFS(DATA!$L:$L,DATA!$O:$O,$B541,DATA!$N:$N,$A541,DATA!$M:$M,'SALES BY SYSTEM'!$O$1)</f>
        <v>0</v>
      </c>
      <c r="N538" s="182">
        <v>0</v>
      </c>
      <c r="O538" s="180" t="str">
        <f t="shared" si="87"/>
        <v/>
      </c>
      <c r="P538" s="218">
        <f>SUMIFS(DATA!$L:$L,DATA!$O:$O,$B541,DATA!$N:$N,$A541,DATA!$M:$M,'SALES BY SYSTEM'!$O$2)</f>
        <v>0</v>
      </c>
      <c r="Q538" s="182">
        <v>0</v>
      </c>
      <c r="R538" s="180" t="str">
        <f t="shared" si="88"/>
        <v/>
      </c>
      <c r="S538" s="218">
        <f>SUMIFS(DATA!$L:$L,DATA!$O:$O,$B541,DATA!$N:$N,$A541,DATA!$M:$M,'SALES BY SYSTEM'!$O$4)</f>
        <v>0</v>
      </c>
      <c r="T538" s="182">
        <v>0</v>
      </c>
      <c r="U538" s="180" t="str">
        <f t="shared" si="89"/>
        <v/>
      </c>
      <c r="V538" s="218">
        <f>SUMIFS(DATA!$L:$L,DATA!$O:$O,$B541,DATA!$N:$N,$A541,DATA!$M:$M,'SALES BY SYSTEM'!$O$3)</f>
        <v>0</v>
      </c>
      <c r="W538" s="168"/>
    </row>
    <row r="539" spans="1:23" ht="15.75" customHeight="1" x14ac:dyDescent="0.25">
      <c r="A539" s="178" t="s">
        <v>940</v>
      </c>
      <c r="B539" s="178" t="s">
        <v>16</v>
      </c>
      <c r="C539" s="178" t="str">
        <f>VLOOKUP(A539,CUSTOMER!$A:$C,3,0)</f>
        <v>COOP_F_TPPHAN</v>
      </c>
      <c r="D539" s="178" t="s">
        <v>674</v>
      </c>
      <c r="E539" s="178" t="str">
        <f>VLOOKUP(A542,CUSTOMER!$A$2:$H$1094,5,0)</f>
        <v>VAVANCY-VU MINH TUAN</v>
      </c>
      <c r="F539" s="178" t="str">
        <f>VLOOKUP(A542,CUSTOMER!$A$2:$I$1094,6,0)</f>
        <v>TRAN THI THANH TRUC</v>
      </c>
      <c r="G539" s="178" t="s">
        <v>676</v>
      </c>
      <c r="H539" s="179">
        <f t="shared" ref="H539:H602" si="91">SUM(K539,N539,Q539,T539)</f>
        <v>0</v>
      </c>
      <c r="I539" s="180" t="str">
        <f t="shared" ref="I539:I602" si="92">IFERROR(J539/H539,"")</f>
        <v/>
      </c>
      <c r="J539" s="181">
        <f t="shared" ref="J539:J602" si="93">SUM(M539,P539,S539,V539)</f>
        <v>0</v>
      </c>
      <c r="K539" s="182">
        <v>0</v>
      </c>
      <c r="L539" s="180" t="str">
        <f t="shared" si="90"/>
        <v/>
      </c>
      <c r="M539" s="218">
        <f>SUMIFS(DATA!$L:$L,DATA!$O:$O,$B542,DATA!$N:$N,$A542,DATA!$M:$M,'SALES BY SYSTEM'!$O$1)</f>
        <v>0</v>
      </c>
      <c r="N539" s="182">
        <v>0</v>
      </c>
      <c r="O539" s="180" t="str">
        <f t="shared" si="87"/>
        <v/>
      </c>
      <c r="P539" s="218">
        <f>SUMIFS(DATA!$L:$L,DATA!$O:$O,$B542,DATA!$N:$N,$A542,DATA!$M:$M,'SALES BY SYSTEM'!$O$2)</f>
        <v>0</v>
      </c>
      <c r="Q539" s="182">
        <v>0</v>
      </c>
      <c r="R539" s="180" t="str">
        <f t="shared" si="88"/>
        <v/>
      </c>
      <c r="S539" s="218">
        <f>SUMIFS(DATA!$L:$L,DATA!$O:$O,$B542,DATA!$N:$N,$A542,DATA!$M:$M,'SALES BY SYSTEM'!$O$4)</f>
        <v>0</v>
      </c>
      <c r="T539" s="182">
        <v>0</v>
      </c>
      <c r="U539" s="180" t="str">
        <f t="shared" si="89"/>
        <v/>
      </c>
      <c r="V539" s="218">
        <f>SUMIFS(DATA!$L:$L,DATA!$O:$O,$B542,DATA!$N:$N,$A542,DATA!$M:$M,'SALES BY SYSTEM'!$O$3)</f>
        <v>0</v>
      </c>
      <c r="W539" s="168"/>
    </row>
    <row r="540" spans="1:23" ht="15.75" customHeight="1" x14ac:dyDescent="0.25">
      <c r="A540" s="178" t="s">
        <v>316</v>
      </c>
      <c r="B540" s="178" t="s">
        <v>16</v>
      </c>
      <c r="C540" s="178" t="str">
        <f>VLOOKUP(A540,CUSTOMER!$A:$C,3,0)</f>
        <v>COOP_F_TQDUNG</v>
      </c>
      <c r="D540" s="178" t="s">
        <v>674</v>
      </c>
      <c r="E540" s="178" t="str">
        <f>VLOOKUP(A543,CUSTOMER!$A$2:$H$1094,5,0)</f>
        <v>VAVANCY-VU MINH TUAN</v>
      </c>
      <c r="F540" s="178" t="str">
        <f>VLOOKUP(A543,CUSTOMER!$A$2:$I$1094,6,0)</f>
        <v>TRAN THI THANH TRUC</v>
      </c>
      <c r="G540" s="178" t="s">
        <v>676</v>
      </c>
      <c r="H540" s="179">
        <f t="shared" si="91"/>
        <v>0</v>
      </c>
      <c r="I540" s="180" t="str">
        <f t="shared" si="92"/>
        <v/>
      </c>
      <c r="J540" s="181">
        <f t="shared" si="93"/>
        <v>0</v>
      </c>
      <c r="K540" s="182">
        <v>0</v>
      </c>
      <c r="L540" s="180"/>
      <c r="M540" s="218">
        <f>SUMIFS(DATA!$L:$L,DATA!$O:$O,$B543,DATA!$N:$N,$A543,DATA!$M:$M,'SALES BY SYSTEM'!$O$1)</f>
        <v>0</v>
      </c>
      <c r="N540" s="182">
        <v>0</v>
      </c>
      <c r="O540" s="180" t="str">
        <f t="shared" si="87"/>
        <v/>
      </c>
      <c r="P540" s="218">
        <f>SUMIFS(DATA!$L:$L,DATA!$O:$O,$B543,DATA!$N:$N,$A543,DATA!$M:$M,'SALES BY SYSTEM'!$O$2)</f>
        <v>0</v>
      </c>
      <c r="Q540" s="182">
        <v>0</v>
      </c>
      <c r="R540" s="180" t="str">
        <f t="shared" si="88"/>
        <v/>
      </c>
      <c r="S540" s="218">
        <f>SUMIFS(DATA!$L:$L,DATA!$O:$O,$B543,DATA!$N:$N,$A543,DATA!$M:$M,'SALES BY SYSTEM'!$O$4)</f>
        <v>0</v>
      </c>
      <c r="T540" s="182">
        <v>0</v>
      </c>
      <c r="U540" s="180" t="str">
        <f t="shared" si="89"/>
        <v/>
      </c>
      <c r="V540" s="218">
        <f>SUMIFS(DATA!$L:$L,DATA!$O:$O,$B543,DATA!$N:$N,$A543,DATA!$M:$M,'SALES BY SYSTEM'!$O$3)</f>
        <v>0</v>
      </c>
      <c r="W540" s="168"/>
    </row>
    <row r="541" spans="1:23" ht="15.75" customHeight="1" x14ac:dyDescent="0.25">
      <c r="A541" s="178" t="s">
        <v>359</v>
      </c>
      <c r="B541" s="178" t="s">
        <v>16</v>
      </c>
      <c r="C541" s="178" t="str">
        <f>VLOOKUP(A541,CUSTOMER!$A:$C,3,0)</f>
        <v>COOP_TTHO</v>
      </c>
      <c r="D541" s="178" t="s">
        <v>674</v>
      </c>
      <c r="E541" s="178" t="str">
        <f>VLOOKUP(A544,CUSTOMER!$A$2:$H$1094,5,0)</f>
        <v>VAVANCY-VU MINH TUAN</v>
      </c>
      <c r="F541" s="178" t="str">
        <f>VLOOKUP(A544,CUSTOMER!$A$2:$I$1094,6,0)</f>
        <v>NO SALE</v>
      </c>
      <c r="G541" s="178" t="s">
        <v>676</v>
      </c>
      <c r="H541" s="179">
        <f t="shared" si="91"/>
        <v>0</v>
      </c>
      <c r="I541" s="180" t="str">
        <f t="shared" si="92"/>
        <v/>
      </c>
      <c r="J541" s="181">
        <f t="shared" si="93"/>
        <v>0</v>
      </c>
      <c r="K541" s="182">
        <v>0</v>
      </c>
      <c r="L541" s="180" t="str">
        <f>IFERROR(M544/K544,"")</f>
        <v/>
      </c>
      <c r="M541" s="218">
        <f>SUMIFS(DATA!$L:$L,DATA!$O:$O,$B544,DATA!$N:$N,$A544,DATA!$M:$M,'SALES BY SYSTEM'!$O$1)</f>
        <v>0</v>
      </c>
      <c r="N541" s="182">
        <v>0</v>
      </c>
      <c r="O541" s="180" t="str">
        <f t="shared" si="87"/>
        <v/>
      </c>
      <c r="P541" s="218">
        <f>SUMIFS(DATA!$L:$L,DATA!$O:$O,$B544,DATA!$N:$N,$A544,DATA!$M:$M,'SALES BY SYSTEM'!$O$2)</f>
        <v>0</v>
      </c>
      <c r="Q541" s="182">
        <v>0</v>
      </c>
      <c r="R541" s="180" t="str">
        <f t="shared" si="88"/>
        <v/>
      </c>
      <c r="S541" s="218">
        <f>SUMIFS(DATA!$L:$L,DATA!$O:$O,$B544,DATA!$N:$N,$A544,DATA!$M:$M,'SALES BY SYSTEM'!$O$4)</f>
        <v>0</v>
      </c>
      <c r="T541" s="182">
        <v>0</v>
      </c>
      <c r="U541" s="180" t="str">
        <f t="shared" si="89"/>
        <v/>
      </c>
      <c r="V541" s="218">
        <f>SUMIFS(DATA!$L:$L,DATA!$O:$O,$B544,DATA!$N:$N,$A544,DATA!$M:$M,'SALES BY SYSTEM'!$O$3)</f>
        <v>0</v>
      </c>
      <c r="W541" s="168"/>
    </row>
    <row r="542" spans="1:23" ht="15.75" customHeight="1" x14ac:dyDescent="0.25">
      <c r="A542" s="178" t="s">
        <v>1059</v>
      </c>
      <c r="B542" s="178" t="s">
        <v>16</v>
      </c>
      <c r="C542" s="178" t="str">
        <f>VLOOKUP(A542,CUSTOMER!$A:$C,3,0)</f>
        <v>COOP_F_TVTHANH</v>
      </c>
      <c r="D542" s="178" t="s">
        <v>674</v>
      </c>
      <c r="E542" s="178" t="str">
        <f>VLOOKUP(A545,CUSTOMER!$A$2:$H$1094,5,0)</f>
        <v>VAVANCY-VU MINH TUAN</v>
      </c>
      <c r="F542" s="178" t="str">
        <f>VLOOKUP(A545,CUSTOMER!$A$2:$I$1094,6,0)</f>
        <v>VU THUY MINH THAO</v>
      </c>
      <c r="G542" s="178" t="str">
        <f>VLOOKUP(A545,CUSTOMER!$A$1:$J$1160,7,0)</f>
        <v>"NO PG"</v>
      </c>
      <c r="H542" s="179">
        <f t="shared" si="91"/>
        <v>0</v>
      </c>
      <c r="I542" s="180" t="str">
        <f t="shared" si="92"/>
        <v/>
      </c>
      <c r="J542" s="181">
        <f t="shared" si="93"/>
        <v>0</v>
      </c>
      <c r="K542" s="182">
        <v>0</v>
      </c>
      <c r="L542" s="180" t="str">
        <f>IFERROR(M545/K545,"")</f>
        <v/>
      </c>
      <c r="M542" s="218">
        <f>SUMIFS(DATA!$L:$L,DATA!$O:$O,$B545,DATA!$N:$N,$A545,DATA!$M:$M,'SALES BY SYSTEM'!$O$1)</f>
        <v>0</v>
      </c>
      <c r="N542" s="182">
        <v>0</v>
      </c>
      <c r="O542" s="180" t="str">
        <f t="shared" si="87"/>
        <v/>
      </c>
      <c r="P542" s="218">
        <f>SUMIFS(DATA!$L:$L,DATA!$O:$O,$B545,DATA!$N:$N,$A545,DATA!$M:$M,'SALES BY SYSTEM'!$O$2)</f>
        <v>0</v>
      </c>
      <c r="Q542" s="182">
        <v>0</v>
      </c>
      <c r="R542" s="180" t="str">
        <f t="shared" si="88"/>
        <v/>
      </c>
      <c r="S542" s="218">
        <f>SUMIFS(DATA!$L:$L,DATA!$O:$O,$B545,DATA!$N:$N,$A545,DATA!$M:$M,'SALES BY SYSTEM'!$O$4)</f>
        <v>0</v>
      </c>
      <c r="T542" s="182">
        <v>0</v>
      </c>
      <c r="U542" s="180" t="str">
        <f t="shared" si="89"/>
        <v/>
      </c>
      <c r="V542" s="218">
        <f>SUMIFS(DATA!$L:$L,DATA!$O:$O,$B545,DATA!$N:$N,$A545,DATA!$M:$M,'SALES BY SYSTEM'!$O$3)</f>
        <v>0</v>
      </c>
      <c r="W542" s="168"/>
    </row>
    <row r="543" spans="1:23" ht="15.75" customHeight="1" x14ac:dyDescent="0.25">
      <c r="A543" s="139" t="s">
        <v>908</v>
      </c>
      <c r="B543" s="4" t="s">
        <v>16</v>
      </c>
      <c r="C543" s="261" t="str">
        <f>VLOOKUP(A543,CUSTOMER!$A:$C,3,0)</f>
        <v>COOP_F_VKHE</v>
      </c>
      <c r="D543" s="178" t="s">
        <v>674</v>
      </c>
      <c r="E543" s="178" t="str">
        <f>VLOOKUP(A546,CUSTOMER!$A$2:$H$1094,5,0)</f>
        <v>VAVANCY-VU MINH TUAN</v>
      </c>
      <c r="F543" s="178" t="str">
        <f>VLOOKUP(A546,CUSTOMER!$A$2:$I$1094,6,0)</f>
        <v>TRAN THI THANH TRUC</v>
      </c>
      <c r="G543" s="4" t="s">
        <v>676</v>
      </c>
      <c r="H543" s="179">
        <f t="shared" si="91"/>
        <v>0</v>
      </c>
      <c r="I543" s="180" t="str">
        <f t="shared" si="92"/>
        <v/>
      </c>
      <c r="J543" s="181">
        <f t="shared" si="93"/>
        <v>0</v>
      </c>
      <c r="K543" s="182">
        <v>0</v>
      </c>
      <c r="L543" s="180"/>
      <c r="M543" s="218">
        <f>SUMIFS(DATA!$L:$L,DATA!$O:$O,$B546,DATA!$N:$N,$A546,DATA!$M:$M,'SALES BY SYSTEM'!$O$1)</f>
        <v>0</v>
      </c>
      <c r="N543" s="182">
        <v>0</v>
      </c>
      <c r="O543" s="180"/>
      <c r="P543" s="218">
        <f>SUMIFS(DATA!$L:$L,DATA!$O:$O,$B546,DATA!$N:$N,$A546,DATA!$M:$M,'SALES BY SYSTEM'!$O$2)</f>
        <v>0</v>
      </c>
      <c r="Q543" s="182">
        <v>0</v>
      </c>
      <c r="R543" s="180"/>
      <c r="S543" s="218">
        <f>SUMIFS(DATA!$L:$L,DATA!$O:$O,$B546,DATA!$N:$N,$A546,DATA!$M:$M,'SALES BY SYSTEM'!$O$4)</f>
        <v>0</v>
      </c>
      <c r="T543" s="182">
        <v>0</v>
      </c>
      <c r="U543" s="180"/>
      <c r="V543" s="218">
        <f>SUMIFS(DATA!$L:$L,DATA!$O:$O,$B546,DATA!$N:$N,$A546,DATA!$M:$M,'SALES BY SYSTEM'!$O$3)</f>
        <v>0</v>
      </c>
      <c r="W543" s="168"/>
    </row>
    <row r="544" spans="1:23" ht="15.75" customHeight="1" x14ac:dyDescent="0.25">
      <c r="A544" s="178" t="s">
        <v>1085</v>
      </c>
      <c r="B544" s="178" t="s">
        <v>16</v>
      </c>
      <c r="C544" s="178" t="str">
        <f>VLOOKUP(A544,CUSTOMER!$A:$C,3,0)</f>
        <v>COOP_F_VKIEP</v>
      </c>
      <c r="D544" s="178" t="s">
        <v>674</v>
      </c>
      <c r="E544" s="178" t="str">
        <f>VLOOKUP(A547,CUSTOMER!$A$2:$H$1094,5,0)</f>
        <v>VAVANCY-VU MINH TUAN</v>
      </c>
      <c r="F544" s="178" t="str">
        <f>VLOOKUP(A547,CUSTOMER!$A$2:$I$1094,6,0)</f>
        <v>TRAN THI THANH TRUC</v>
      </c>
      <c r="G544" s="178" t="str">
        <f>VLOOKUP(A547,CUSTOMER!$A$1:$J$1160,7,0)</f>
        <v>"NO PG"</v>
      </c>
      <c r="H544" s="179">
        <f t="shared" si="91"/>
        <v>0</v>
      </c>
      <c r="I544" s="180" t="str">
        <f t="shared" si="92"/>
        <v/>
      </c>
      <c r="J544" s="181">
        <f t="shared" si="93"/>
        <v>0</v>
      </c>
      <c r="K544" s="182">
        <v>0</v>
      </c>
      <c r="L544" s="180" t="str">
        <f>IFERROR(M547/K547,"")</f>
        <v/>
      </c>
      <c r="M544" s="218">
        <f>SUMIFS(DATA!$L:$L,DATA!$O:$O,$B547,DATA!$N:$N,$A547,DATA!$M:$M,'SALES BY SYSTEM'!$O$1)</f>
        <v>0</v>
      </c>
      <c r="N544" s="182">
        <v>0</v>
      </c>
      <c r="O544" s="180" t="str">
        <f t="shared" ref="O544:O549" si="94">IFERROR(P547/N547,"")</f>
        <v/>
      </c>
      <c r="P544" s="218">
        <f>SUMIFS(DATA!$L:$L,DATA!$O:$O,$B547,DATA!$N:$N,$A547,DATA!$M:$M,'SALES BY SYSTEM'!$O$2)</f>
        <v>0</v>
      </c>
      <c r="Q544" s="182">
        <v>0</v>
      </c>
      <c r="R544" s="180" t="str">
        <f t="shared" ref="R544:R549" si="95">IFERROR(S547/Q547,"")</f>
        <v/>
      </c>
      <c r="S544" s="218">
        <f>SUMIFS(DATA!$L:$L,DATA!$O:$O,$B547,DATA!$N:$N,$A547,DATA!$M:$M,'SALES BY SYSTEM'!$O$4)</f>
        <v>0</v>
      </c>
      <c r="T544" s="182">
        <v>0</v>
      </c>
      <c r="U544" s="180" t="str">
        <f t="shared" ref="U544:U549" si="96">IFERROR(V547/T547,"")</f>
        <v/>
      </c>
      <c r="V544" s="218">
        <f>SUMIFS(DATA!$L:$L,DATA!$O:$O,$B547,DATA!$N:$N,$A547,DATA!$M:$M,'SALES BY SYSTEM'!$O$3)</f>
        <v>0</v>
      </c>
      <c r="W544" s="168"/>
    </row>
    <row r="545" spans="1:23" ht="15.75" customHeight="1" x14ac:dyDescent="0.25">
      <c r="A545" s="178" t="s">
        <v>985</v>
      </c>
      <c r="B545" s="178" t="s">
        <v>16</v>
      </c>
      <c r="C545" s="178" t="str">
        <f>VLOOKUP(A545,CUSTOMER!$A:$C,3,0)</f>
        <v>COOP_F_VDAI</v>
      </c>
      <c r="D545" s="178" t="s">
        <v>674</v>
      </c>
      <c r="E545" s="178" t="str">
        <f>VLOOKUP(A548,CUSTOMER!$A$2:$H$1094,5,0)</f>
        <v>VAVANCY-VU MINH TUAN</v>
      </c>
      <c r="F545" s="178" t="str">
        <f>VLOOKUP(A548,CUSTOMER!$A$2:$I$1094,6,0)</f>
        <v>VACANCY</v>
      </c>
      <c r="G545" s="178" t="str">
        <f>VLOOKUP(A548,CUSTOMER!$A$1:$J$1160,7,0)</f>
        <v>"NO PG"</v>
      </c>
      <c r="H545" s="179">
        <f t="shared" si="91"/>
        <v>0</v>
      </c>
      <c r="I545" s="180" t="str">
        <f t="shared" si="92"/>
        <v/>
      </c>
      <c r="J545" s="181">
        <f t="shared" si="93"/>
        <v>0</v>
      </c>
      <c r="K545" s="182">
        <v>0</v>
      </c>
      <c r="L545" s="180" t="str">
        <f>IFERROR(M548/K548,"")</f>
        <v/>
      </c>
      <c r="M545" s="218">
        <f>SUMIFS(DATA!$L:$L,DATA!$O:$O,$B548,DATA!$N:$N,$A548,DATA!$M:$M,'SALES BY SYSTEM'!$O$1)</f>
        <v>0</v>
      </c>
      <c r="N545" s="182">
        <v>0</v>
      </c>
      <c r="O545" s="180" t="str">
        <f t="shared" si="94"/>
        <v/>
      </c>
      <c r="P545" s="218">
        <f>SUMIFS(DATA!$L:$L,DATA!$O:$O,$B548,DATA!$N:$N,$A548,DATA!$M:$M,'SALES BY SYSTEM'!$O$2)</f>
        <v>0</v>
      </c>
      <c r="Q545" s="182">
        <v>0</v>
      </c>
      <c r="R545" s="180" t="str">
        <f t="shared" si="95"/>
        <v/>
      </c>
      <c r="S545" s="218">
        <f>SUMIFS(DATA!$L:$L,DATA!$O:$O,$B548,DATA!$N:$N,$A548,DATA!$M:$M,'SALES BY SYSTEM'!$O$4)</f>
        <v>0</v>
      </c>
      <c r="T545" s="182">
        <v>0</v>
      </c>
      <c r="U545" s="180" t="str">
        <f t="shared" si="96"/>
        <v/>
      </c>
      <c r="V545" s="218">
        <f>SUMIFS(DATA!$L:$L,DATA!$O:$O,$B548,DATA!$N:$N,$A548,DATA!$M:$M,'SALES BY SYSTEM'!$O$3)</f>
        <v>0</v>
      </c>
      <c r="W545" s="168"/>
    </row>
    <row r="546" spans="1:23" ht="15.75" customHeight="1" x14ac:dyDescent="0.25">
      <c r="A546" s="178" t="s">
        <v>918</v>
      </c>
      <c r="B546" s="178" t="s">
        <v>16</v>
      </c>
      <c r="C546" s="178" t="str">
        <f>VLOOKUP(A546,CUSTOMER!$A:$C,3,0)</f>
        <v>COOP_F_VESTA</v>
      </c>
      <c r="D546" s="178" t="s">
        <v>674</v>
      </c>
      <c r="E546" s="178" t="str">
        <f>VLOOKUP(A549,CUSTOMER!$A$2:$H$1094,5,0)</f>
        <v>VAVANCY-VU MINH TUAN</v>
      </c>
      <c r="F546" s="178" t="str">
        <f>VLOOKUP(A549,CUSTOMER!$A$2:$I$1094,6,0)</f>
        <v>TRAN THI THANH TRUC</v>
      </c>
      <c r="G546" s="178" t="s">
        <v>676</v>
      </c>
      <c r="H546" s="179">
        <f t="shared" si="91"/>
        <v>0</v>
      </c>
      <c r="I546" s="180" t="str">
        <f t="shared" si="92"/>
        <v/>
      </c>
      <c r="J546" s="181">
        <f t="shared" si="93"/>
        <v>0</v>
      </c>
      <c r="K546" s="182">
        <v>0</v>
      </c>
      <c r="L546" s="180"/>
      <c r="M546" s="218">
        <f>SUMIFS(DATA!$L:$L,DATA!$O:$O,$B549,DATA!$N:$N,$A549,DATA!$M:$M,'SALES BY SYSTEM'!$O$1)</f>
        <v>0</v>
      </c>
      <c r="N546" s="182">
        <v>0</v>
      </c>
      <c r="O546" s="180" t="str">
        <f t="shared" si="94"/>
        <v/>
      </c>
      <c r="P546" s="218">
        <f>SUMIFS(DATA!$L:$L,DATA!$O:$O,$B549,DATA!$N:$N,$A549,DATA!$M:$M,'SALES BY SYSTEM'!$O$2)</f>
        <v>0</v>
      </c>
      <c r="Q546" s="182">
        <v>0</v>
      </c>
      <c r="R546" s="180" t="str">
        <f t="shared" si="95"/>
        <v/>
      </c>
      <c r="S546" s="218">
        <f>SUMIFS(DATA!$L:$L,DATA!$O:$O,$B549,DATA!$N:$N,$A549,DATA!$M:$M,'SALES BY SYSTEM'!$O$4)</f>
        <v>0</v>
      </c>
      <c r="T546" s="182">
        <v>0</v>
      </c>
      <c r="U546" s="180" t="str">
        <f t="shared" si="96"/>
        <v/>
      </c>
      <c r="V546" s="218">
        <f>SUMIFS(DATA!$L:$L,DATA!$O:$O,$B549,DATA!$N:$N,$A549,DATA!$M:$M,'SALES BY SYSTEM'!$O$3)</f>
        <v>0</v>
      </c>
      <c r="W546" s="168"/>
    </row>
    <row r="547" spans="1:23" ht="15.75" customHeight="1" x14ac:dyDescent="0.25">
      <c r="A547" s="178" t="s">
        <v>406</v>
      </c>
      <c r="B547" s="178" t="s">
        <v>16</v>
      </c>
      <c r="C547" s="178" t="str">
        <f>VLOOKUP(A547,CUSTOMER!$A:$C,3,0)</f>
        <v>COOP_F_VHOI</v>
      </c>
      <c r="D547" s="178" t="s">
        <v>674</v>
      </c>
      <c r="E547" s="178" t="str">
        <f>VLOOKUP(A550,CUSTOMER!$A$2:$H$1094,5,0)</f>
        <v>VAVANCY-VU MINH TUAN</v>
      </c>
      <c r="F547" s="178" t="str">
        <f>VLOOKUP(A550,CUSTOMER!$A$2:$I$1094,6,0)</f>
        <v>TRAN THI THANH TRUC</v>
      </c>
      <c r="G547" s="178" t="str">
        <f>VLOOKUP(A550,CUSTOMER!$A$1:$J$1160,7,0)</f>
        <v>"NO PG"</v>
      </c>
      <c r="H547" s="179">
        <f t="shared" si="91"/>
        <v>0</v>
      </c>
      <c r="I547" s="180" t="str">
        <f t="shared" si="92"/>
        <v/>
      </c>
      <c r="J547" s="181">
        <f t="shared" si="93"/>
        <v>0</v>
      </c>
      <c r="K547" s="182">
        <v>0</v>
      </c>
      <c r="L547" s="180" t="str">
        <f>IFERROR(M550/K550,"")</f>
        <v/>
      </c>
      <c r="M547" s="218">
        <f>SUMIFS(DATA!$L:$L,DATA!$O:$O,$B550,DATA!$N:$N,$A550,DATA!$M:$M,'SALES BY SYSTEM'!$O$1)</f>
        <v>0</v>
      </c>
      <c r="N547" s="182">
        <v>0</v>
      </c>
      <c r="O547" s="180" t="str">
        <f t="shared" si="94"/>
        <v/>
      </c>
      <c r="P547" s="218">
        <f>SUMIFS(DATA!$L:$L,DATA!$O:$O,$B550,DATA!$N:$N,$A550,DATA!$M:$M,'SALES BY SYSTEM'!$O$2)</f>
        <v>0</v>
      </c>
      <c r="Q547" s="182">
        <v>0</v>
      </c>
      <c r="R547" s="180" t="str">
        <f t="shared" si="95"/>
        <v/>
      </c>
      <c r="S547" s="218">
        <f>SUMIFS(DATA!$L:$L,DATA!$O:$O,$B550,DATA!$N:$N,$A550,DATA!$M:$M,'SALES BY SYSTEM'!$O$4)</f>
        <v>0</v>
      </c>
      <c r="T547" s="182">
        <v>0</v>
      </c>
      <c r="U547" s="180" t="str">
        <f t="shared" si="96"/>
        <v/>
      </c>
      <c r="V547" s="218">
        <f>SUMIFS(DATA!$L:$L,DATA!$O:$O,$B550,DATA!$N:$N,$A550,DATA!$M:$M,'SALES BY SYSTEM'!$O$3)</f>
        <v>0</v>
      </c>
      <c r="W547" s="168"/>
    </row>
    <row r="548" spans="1:23" ht="15.75" customHeight="1" x14ac:dyDescent="0.25">
      <c r="A548" s="178" t="s">
        <v>1001</v>
      </c>
      <c r="B548" s="178" t="s">
        <v>16</v>
      </c>
      <c r="C548" s="178" t="str">
        <f>VLOOKUP(A548,CUSTOMER!$A:$C,3,0)</f>
        <v>COOP_F_VHUNG</v>
      </c>
      <c r="D548" s="178" t="s">
        <v>674</v>
      </c>
      <c r="E548" s="178" t="str">
        <f>VLOOKUP(A551,CUSTOMER!$A$2:$H$1094,5,0)</f>
        <v>VAVANCY-VU MINH TUAN</v>
      </c>
      <c r="F548" s="178" t="str">
        <f>VLOOKUP(A551,CUSTOMER!$A$2:$I$1094,6,0)</f>
        <v>VACANCY</v>
      </c>
      <c r="G548" s="178" t="s">
        <v>676</v>
      </c>
      <c r="H548" s="179">
        <f t="shared" si="91"/>
        <v>0</v>
      </c>
      <c r="I548" s="180" t="str">
        <f t="shared" si="92"/>
        <v/>
      </c>
      <c r="J548" s="181">
        <f t="shared" si="93"/>
        <v>0</v>
      </c>
      <c r="K548" s="182">
        <v>0</v>
      </c>
      <c r="L548" s="180" t="str">
        <f>IFERROR(M551/K551,"")</f>
        <v/>
      </c>
      <c r="M548" s="218">
        <f>SUMIFS(DATA!$L:$L,DATA!$O:$O,$B551,DATA!$N:$N,$A551,DATA!$M:$M,'SALES BY SYSTEM'!$O$1)</f>
        <v>0</v>
      </c>
      <c r="N548" s="182">
        <v>0</v>
      </c>
      <c r="O548" s="180" t="str">
        <f t="shared" si="94"/>
        <v/>
      </c>
      <c r="P548" s="218">
        <f>SUMIFS(DATA!$L:$L,DATA!$O:$O,$B551,DATA!$N:$N,$A551,DATA!$M:$M,'SALES BY SYSTEM'!$O$2)</f>
        <v>0</v>
      </c>
      <c r="Q548" s="182">
        <v>0</v>
      </c>
      <c r="R548" s="180" t="str">
        <f t="shared" si="95"/>
        <v/>
      </c>
      <c r="S548" s="218">
        <f>SUMIFS(DATA!$L:$L,DATA!$O:$O,$B551,DATA!$N:$N,$A551,DATA!$M:$M,'SALES BY SYSTEM'!$O$4)</f>
        <v>0</v>
      </c>
      <c r="T548" s="182">
        <v>0</v>
      </c>
      <c r="U548" s="180" t="str">
        <f t="shared" si="96"/>
        <v/>
      </c>
      <c r="V548" s="218">
        <f>SUMIFS(DATA!$L:$L,DATA!$O:$O,$B551,DATA!$N:$N,$A551,DATA!$M:$M,'SALES BY SYSTEM'!$O$3)</f>
        <v>0</v>
      </c>
      <c r="W548" s="168"/>
    </row>
    <row r="549" spans="1:23" ht="15.75" customHeight="1" x14ac:dyDescent="0.25">
      <c r="A549" s="178" t="s">
        <v>952</v>
      </c>
      <c r="B549" s="178" t="s">
        <v>16</v>
      </c>
      <c r="C549" s="178" t="str">
        <f>VLOOKUP(A549,CUSTOMER!$A:$C,3,0)</f>
        <v>COOP_F_VVIEN393</v>
      </c>
      <c r="D549" s="178" t="s">
        <v>674</v>
      </c>
      <c r="E549" s="178" t="str">
        <f>VLOOKUP(A552,CUSTOMER!$A$2:$H$1094,5,0)</f>
        <v>VAVANCY-VU MINH TUAN</v>
      </c>
      <c r="F549" s="178" t="str">
        <f>VLOOKUP(A552,CUSTOMER!$A$2:$I$1094,6,0)</f>
        <v>VACANCY</v>
      </c>
      <c r="G549" s="178" t="str">
        <f>VLOOKUP(A552,CUSTOMER!$A$1:$J$1160,7,0)</f>
        <v>"NO PG"</v>
      </c>
      <c r="H549" s="179">
        <f t="shared" si="91"/>
        <v>0</v>
      </c>
      <c r="I549" s="180" t="str">
        <f t="shared" si="92"/>
        <v/>
      </c>
      <c r="J549" s="181">
        <f t="shared" si="93"/>
        <v>0</v>
      </c>
      <c r="K549" s="182">
        <v>0</v>
      </c>
      <c r="L549" s="180" t="str">
        <f>IFERROR(M552/K552,"")</f>
        <v/>
      </c>
      <c r="M549" s="218">
        <f>SUMIFS(DATA!$L:$L,DATA!$O:$O,$B552,DATA!$N:$N,$A552,DATA!$M:$M,'SALES BY SYSTEM'!$O$1)</f>
        <v>0</v>
      </c>
      <c r="N549" s="182">
        <v>0</v>
      </c>
      <c r="O549" s="180" t="str">
        <f t="shared" si="94"/>
        <v/>
      </c>
      <c r="P549" s="218">
        <f>SUMIFS(DATA!$L:$L,DATA!$O:$O,$B552,DATA!$N:$N,$A552,DATA!$M:$M,'SALES BY SYSTEM'!$O$2)</f>
        <v>0</v>
      </c>
      <c r="Q549" s="182">
        <v>0</v>
      </c>
      <c r="R549" s="180" t="str">
        <f t="shared" si="95"/>
        <v/>
      </c>
      <c r="S549" s="218">
        <f>SUMIFS(DATA!$L:$L,DATA!$O:$O,$B552,DATA!$N:$N,$A552,DATA!$M:$M,'SALES BY SYSTEM'!$O$4)</f>
        <v>0</v>
      </c>
      <c r="T549" s="182">
        <v>0</v>
      </c>
      <c r="U549" s="180" t="str">
        <f t="shared" si="96"/>
        <v/>
      </c>
      <c r="V549" s="218">
        <f>SUMIFS(DATA!$L:$L,DATA!$O:$O,$B552,DATA!$N:$N,$A552,DATA!$M:$M,'SALES BY SYSTEM'!$O$3)</f>
        <v>0</v>
      </c>
      <c r="W549" s="168"/>
    </row>
    <row r="550" spans="1:23" ht="15.75" customHeight="1" x14ac:dyDescent="0.25">
      <c r="A550" s="139" t="s">
        <v>906</v>
      </c>
      <c r="B550" s="4" t="s">
        <v>16</v>
      </c>
      <c r="C550" s="261" t="str">
        <f>VLOOKUP(A550,CUSTOMER!$A:$C,3,0)</f>
        <v>COOP_F_VISION</v>
      </c>
      <c r="D550" s="178" t="s">
        <v>674</v>
      </c>
      <c r="E550" s="178" t="str">
        <f>VLOOKUP(A553,CUSTOMER!$A$2:$H$1094,5,0)</f>
        <v>VAVANCY-VU MINH TUAN</v>
      </c>
      <c r="F550" s="178" t="str">
        <f>VLOOKUP(A553,CUSTOMER!$A$2:$I$1094,6,0)</f>
        <v>TRAN THI THANH TRUC</v>
      </c>
      <c r="G550" s="4" t="s">
        <v>676</v>
      </c>
      <c r="H550" s="179">
        <f t="shared" si="91"/>
        <v>0</v>
      </c>
      <c r="I550" s="180" t="str">
        <f t="shared" si="92"/>
        <v/>
      </c>
      <c r="J550" s="181">
        <f t="shared" si="93"/>
        <v>0</v>
      </c>
      <c r="K550" s="182">
        <v>0</v>
      </c>
      <c r="L550" s="180"/>
      <c r="M550" s="218">
        <f>SUMIFS(DATA!$L:$L,DATA!$O:$O,$B553,DATA!$N:$N,$A553,DATA!$M:$M,'SALES BY SYSTEM'!$O$1)</f>
        <v>0</v>
      </c>
      <c r="N550" s="182">
        <v>0</v>
      </c>
      <c r="O550" s="180"/>
      <c r="P550" s="218">
        <f>SUMIFS(DATA!$L:$L,DATA!$O:$O,$B553,DATA!$N:$N,$A553,DATA!$M:$M,'SALES BY SYSTEM'!$O$2)</f>
        <v>0</v>
      </c>
      <c r="Q550" s="182">
        <v>0</v>
      </c>
      <c r="R550" s="180"/>
      <c r="S550" s="218">
        <f>SUMIFS(DATA!$L:$L,DATA!$O:$O,$B553,DATA!$N:$N,$A553,DATA!$M:$M,'SALES BY SYSTEM'!$O$4)</f>
        <v>0</v>
      </c>
      <c r="T550" s="182">
        <v>0</v>
      </c>
      <c r="U550" s="180"/>
      <c r="V550" s="218">
        <f>SUMIFS(DATA!$L:$L,DATA!$O:$O,$B553,DATA!$N:$N,$A553,DATA!$M:$M,'SALES BY SYSTEM'!$O$3)</f>
        <v>0</v>
      </c>
      <c r="W550" s="168"/>
    </row>
    <row r="551" spans="1:23" ht="15.75" customHeight="1" x14ac:dyDescent="0.25">
      <c r="A551" s="178" t="s">
        <v>1206</v>
      </c>
      <c r="B551" s="178" t="s">
        <v>16</v>
      </c>
      <c r="C551" s="178" t="str">
        <f>VLOOKUP(A551,CUSTOMER!$A:$C,3,0)</f>
        <v>COOP_F_VNGIAP</v>
      </c>
      <c r="D551" s="178" t="s">
        <v>674</v>
      </c>
      <c r="E551" s="178" t="str">
        <f>VLOOKUP(A554,CUSTOMER!$A$2:$H$1094,5,0)</f>
        <v>VAVANCY-VU MINH TUAN</v>
      </c>
      <c r="F551" s="178" t="str">
        <f>VLOOKUP(A554,CUSTOMER!$A$2:$I$1094,6,0)</f>
        <v>TRAN THI THANH TRUC</v>
      </c>
      <c r="G551" s="178" t="s">
        <v>676</v>
      </c>
      <c r="H551" s="179">
        <f t="shared" si="91"/>
        <v>0</v>
      </c>
      <c r="I551" s="180" t="str">
        <f t="shared" si="92"/>
        <v/>
      </c>
      <c r="J551" s="181">
        <f t="shared" si="93"/>
        <v>0</v>
      </c>
      <c r="K551" s="182">
        <v>0</v>
      </c>
      <c r="L551" s="180" t="str">
        <f>IFERROR(M554/K554,"")</f>
        <v/>
      </c>
      <c r="M551" s="218">
        <f>SUMIFS(DATA!$L:$L,DATA!$O:$O,$B554,DATA!$N:$N,$A554,DATA!$M:$M,'SALES BY SYSTEM'!$O$1)</f>
        <v>0</v>
      </c>
      <c r="N551" s="182">
        <v>0</v>
      </c>
      <c r="O551" s="180" t="str">
        <f t="shared" ref="O551:O614" si="97">IFERROR(P554/N554,"")</f>
        <v/>
      </c>
      <c r="P551" s="218">
        <f>SUMIFS(DATA!$L:$L,DATA!$O:$O,$B554,DATA!$N:$N,$A554,DATA!$M:$M,'SALES BY SYSTEM'!$O$2)</f>
        <v>0</v>
      </c>
      <c r="Q551" s="182">
        <v>0</v>
      </c>
      <c r="R551" s="180" t="str">
        <f t="shared" ref="R551:R614" si="98">IFERROR(S554/Q554,"")</f>
        <v/>
      </c>
      <c r="S551" s="218">
        <f>SUMIFS(DATA!$L:$L,DATA!$O:$O,$B554,DATA!$N:$N,$A554,DATA!$M:$M,'SALES BY SYSTEM'!$O$4)</f>
        <v>0</v>
      </c>
      <c r="T551" s="182">
        <v>0</v>
      </c>
      <c r="U551" s="180" t="str">
        <f t="shared" ref="U551:U614" si="99">IFERROR(V554/T554,"")</f>
        <v/>
      </c>
      <c r="V551" s="218">
        <f>SUMIFS(DATA!$L:$L,DATA!$O:$O,$B554,DATA!$N:$N,$A554,DATA!$M:$M,'SALES BY SYSTEM'!$O$3)</f>
        <v>0</v>
      </c>
      <c r="W551" s="168"/>
    </row>
    <row r="552" spans="1:23" ht="15.75" customHeight="1" x14ac:dyDescent="0.25">
      <c r="A552" s="178" t="s">
        <v>335</v>
      </c>
      <c r="B552" s="178" t="s">
        <v>16</v>
      </c>
      <c r="C552" s="178" t="str">
        <f>VLOOKUP(A552,CUSTOMER!$A:$C,3,0)</f>
        <v>COOP_F_VLAI</v>
      </c>
      <c r="D552" s="178" t="s">
        <v>674</v>
      </c>
      <c r="E552" s="178" t="str">
        <f>VLOOKUP(A555,CUSTOMER!$A$2:$H$1094,5,0)</f>
        <v>VAVANCY-VU MINH TUAN</v>
      </c>
      <c r="F552" s="178" t="str">
        <f>VLOOKUP(A555,CUSTOMER!$A$2:$I$1094,6,0)</f>
        <v>TRAN THI THANH TRUC</v>
      </c>
      <c r="G552" s="178" t="str">
        <f>VLOOKUP(A555,CUSTOMER!$A$1:$J$1160,7,0)</f>
        <v>"NO PG"</v>
      </c>
      <c r="H552" s="179">
        <f t="shared" si="91"/>
        <v>0</v>
      </c>
      <c r="I552" s="180" t="str">
        <f t="shared" si="92"/>
        <v/>
      </c>
      <c r="J552" s="181">
        <f t="shared" si="93"/>
        <v>0</v>
      </c>
      <c r="K552" s="182">
        <v>0</v>
      </c>
      <c r="L552" s="180" t="str">
        <f>IFERROR(M555/K555,"")</f>
        <v/>
      </c>
      <c r="M552" s="218">
        <f>SUMIFS(DATA!$L:$L,DATA!$O:$O,$B555,DATA!$N:$N,$A555,DATA!$M:$M,'SALES BY SYSTEM'!$O$1)</f>
        <v>0</v>
      </c>
      <c r="N552" s="182">
        <v>0</v>
      </c>
      <c r="O552" s="180" t="str">
        <f t="shared" si="97"/>
        <v/>
      </c>
      <c r="P552" s="218">
        <f>SUMIFS(DATA!$L:$L,DATA!$O:$O,$B555,DATA!$N:$N,$A555,DATA!$M:$M,'SALES BY SYSTEM'!$O$2)</f>
        <v>0</v>
      </c>
      <c r="Q552" s="182">
        <v>0</v>
      </c>
      <c r="R552" s="180" t="str">
        <f t="shared" si="98"/>
        <v/>
      </c>
      <c r="S552" s="218">
        <f>SUMIFS(DATA!$L:$L,DATA!$O:$O,$B555,DATA!$N:$N,$A555,DATA!$M:$M,'SALES BY SYSTEM'!$O$4)</f>
        <v>0</v>
      </c>
      <c r="T552" s="182">
        <v>0</v>
      </c>
      <c r="U552" s="180" t="str">
        <f t="shared" si="99"/>
        <v/>
      </c>
      <c r="V552" s="218">
        <f>SUMIFS(DATA!$L:$L,DATA!$O:$O,$B555,DATA!$N:$N,$A555,DATA!$M:$M,'SALES BY SYSTEM'!$O$3)</f>
        <v>0</v>
      </c>
      <c r="W552" s="168"/>
    </row>
    <row r="553" spans="1:23" ht="15.75" customHeight="1" x14ac:dyDescent="0.25">
      <c r="A553" s="178" t="s">
        <v>1039</v>
      </c>
      <c r="B553" s="178" t="s">
        <v>16</v>
      </c>
      <c r="C553" s="178" t="str">
        <f>VLOOKUP(A553,CUSTOMER!$A:$C,3,0)</f>
        <v>COOP_F_WEAL</v>
      </c>
      <c r="D553" s="178" t="s">
        <v>674</v>
      </c>
      <c r="E553" s="178" t="str">
        <f>VLOOKUP(A556,CUSTOMER!$A$2:$H$1094,5,0)</f>
        <v>VAVANCY-VU MINH TUAN</v>
      </c>
      <c r="F553" s="178" t="str">
        <f>VLOOKUP(A556,CUSTOMER!$A$2:$I$1094,6,0)</f>
        <v>TRAN THI THANH TRUC</v>
      </c>
      <c r="G553" s="178" t="s">
        <v>676</v>
      </c>
      <c r="H553" s="179">
        <f t="shared" si="91"/>
        <v>0</v>
      </c>
      <c r="I553" s="180" t="str">
        <f t="shared" si="92"/>
        <v/>
      </c>
      <c r="J553" s="181">
        <f t="shared" si="93"/>
        <v>0</v>
      </c>
      <c r="K553" s="182">
        <v>0</v>
      </c>
      <c r="L553" s="180" t="str">
        <f>IFERROR(M556/K556,"")</f>
        <v/>
      </c>
      <c r="M553" s="218">
        <f>SUMIFS(DATA!$L:$L,DATA!$O:$O,$B556,DATA!$N:$N,$A556,DATA!$M:$M,'SALES BY SYSTEM'!$O$1)</f>
        <v>0</v>
      </c>
      <c r="N553" s="182">
        <v>0</v>
      </c>
      <c r="O553" s="180" t="str">
        <f t="shared" si="97"/>
        <v/>
      </c>
      <c r="P553" s="218">
        <f>SUMIFS(DATA!$L:$L,DATA!$O:$O,$B556,DATA!$N:$N,$A556,DATA!$M:$M,'SALES BY SYSTEM'!$O$2)</f>
        <v>0</v>
      </c>
      <c r="Q553" s="182">
        <v>0</v>
      </c>
      <c r="R553" s="180" t="str">
        <f t="shared" si="98"/>
        <v/>
      </c>
      <c r="S553" s="218">
        <f>SUMIFS(DATA!$L:$L,DATA!$O:$O,$B556,DATA!$N:$N,$A556,DATA!$M:$M,'SALES BY SYSTEM'!$O$4)</f>
        <v>0</v>
      </c>
      <c r="T553" s="182">
        <v>0</v>
      </c>
      <c r="U553" s="180" t="str">
        <f t="shared" si="99"/>
        <v/>
      </c>
      <c r="V553" s="218">
        <f>SUMIFS(DATA!$L:$L,DATA!$O:$O,$B556,DATA!$N:$N,$A556,DATA!$M:$M,'SALES BY SYSTEM'!$O$3)</f>
        <v>0</v>
      </c>
      <c r="W553" s="168"/>
    </row>
    <row r="554" spans="1:23" ht="15.75" customHeight="1" x14ac:dyDescent="0.25">
      <c r="A554" s="178" t="s">
        <v>366</v>
      </c>
      <c r="B554" s="178" t="s">
        <v>16</v>
      </c>
      <c r="C554" s="178" t="str">
        <f>VLOOKUP(A554,CUSTOMER!$A:$C,3,0)</f>
        <v>COOP_F_WEST</v>
      </c>
      <c r="D554" s="178" t="s">
        <v>674</v>
      </c>
      <c r="E554" s="178" t="str">
        <f>VLOOKUP(A557,CUSTOMER!$A$2:$H$1094,5,0)</f>
        <v>VACANCY</v>
      </c>
      <c r="F554" s="178" t="str">
        <f>VLOOKUP(A557,CUSTOMER!$A$2:$I$1094,6,0)</f>
        <v>VACANCY</v>
      </c>
      <c r="G554" s="178" t="s">
        <v>676</v>
      </c>
      <c r="H554" s="179">
        <f t="shared" si="91"/>
        <v>0</v>
      </c>
      <c r="I554" s="180" t="str">
        <f t="shared" si="92"/>
        <v/>
      </c>
      <c r="J554" s="181">
        <f t="shared" si="93"/>
        <v>0</v>
      </c>
      <c r="K554" s="182">
        <v>0</v>
      </c>
      <c r="L554" s="180" t="str">
        <f>IFERROR(M557/K557,"")</f>
        <v/>
      </c>
      <c r="M554" s="218">
        <f>SUMIFS(DATA!$L:$L,DATA!$O:$O,$B557,DATA!$N:$N,$A557,DATA!$M:$M,'SALES BY SYSTEM'!$O$1)</f>
        <v>0</v>
      </c>
      <c r="N554" s="182">
        <v>0</v>
      </c>
      <c r="O554" s="180" t="str">
        <f t="shared" si="97"/>
        <v/>
      </c>
      <c r="P554" s="218">
        <f>SUMIFS(DATA!$L:$L,DATA!$O:$O,$B557,DATA!$N:$N,$A557,DATA!$M:$M,'SALES BY SYSTEM'!$O$2)</f>
        <v>0</v>
      </c>
      <c r="Q554" s="182">
        <v>0</v>
      </c>
      <c r="R554" s="180" t="str">
        <f t="shared" si="98"/>
        <v/>
      </c>
      <c r="S554" s="218">
        <f>SUMIFS(DATA!$L:$L,DATA!$O:$O,$B557,DATA!$N:$N,$A557,DATA!$M:$M,'SALES BY SYSTEM'!$O$4)</f>
        <v>0</v>
      </c>
      <c r="T554" s="182">
        <v>0</v>
      </c>
      <c r="U554" s="180" t="str">
        <f t="shared" si="99"/>
        <v/>
      </c>
      <c r="V554" s="218">
        <f>SUMIFS(DATA!$L:$L,DATA!$O:$O,$B557,DATA!$N:$N,$A557,DATA!$M:$M,'SALES BY SYSTEM'!$O$3)</f>
        <v>0</v>
      </c>
      <c r="W554" s="168"/>
    </row>
    <row r="555" spans="1:23" ht="15.75" customHeight="1" x14ac:dyDescent="0.25">
      <c r="A555" s="178" t="s">
        <v>914</v>
      </c>
      <c r="B555" s="178" t="s">
        <v>16</v>
      </c>
      <c r="C555" s="178" t="str">
        <f>VLOOKUP(A555,CUSTOMER!$A:$C,3,0)</f>
        <v>COOP_F_XCHIEU</v>
      </c>
      <c r="D555" s="178" t="s">
        <v>674</v>
      </c>
      <c r="E555" s="178" t="str">
        <f>VLOOKUP(A558,CUSTOMER!$A$2:$H$1094,5,0)</f>
        <v>VACANCY</v>
      </c>
      <c r="F555" s="178" t="str">
        <f>VLOOKUP(A558,CUSTOMER!$A$2:$I$1094,6,0)</f>
        <v>"NO SALE"</v>
      </c>
      <c r="G555" s="178" t="s">
        <v>676</v>
      </c>
      <c r="H555" s="179">
        <f t="shared" si="91"/>
        <v>0</v>
      </c>
      <c r="I555" s="180" t="str">
        <f t="shared" si="92"/>
        <v/>
      </c>
      <c r="J555" s="181">
        <f t="shared" si="93"/>
        <v>0</v>
      </c>
      <c r="K555" s="182">
        <v>0</v>
      </c>
      <c r="L555" s="180"/>
      <c r="M555" s="218">
        <f>SUMIFS(DATA!$L:$L,DATA!$O:$O,$B558,DATA!$N:$N,$A558,DATA!$M:$M,'SALES BY SYSTEM'!$O$1)</f>
        <v>0</v>
      </c>
      <c r="N555" s="182">
        <v>0</v>
      </c>
      <c r="O555" s="180" t="str">
        <f t="shared" si="97"/>
        <v/>
      </c>
      <c r="P555" s="218">
        <f>SUMIFS(DATA!$L:$L,DATA!$O:$O,$B558,DATA!$N:$N,$A558,DATA!$M:$M,'SALES BY SYSTEM'!$O$2)</f>
        <v>0</v>
      </c>
      <c r="Q555" s="182">
        <v>0</v>
      </c>
      <c r="R555" s="180" t="str">
        <f t="shared" si="98"/>
        <v/>
      </c>
      <c r="S555" s="218">
        <f>SUMIFS(DATA!$L:$L,DATA!$O:$O,$B558,DATA!$N:$N,$A558,DATA!$M:$M,'SALES BY SYSTEM'!$O$4)</f>
        <v>0</v>
      </c>
      <c r="T555" s="182">
        <v>0</v>
      </c>
      <c r="U555" s="180" t="str">
        <f t="shared" si="99"/>
        <v/>
      </c>
      <c r="V555" s="218">
        <f>SUMIFS(DATA!$L:$L,DATA!$O:$O,$B558,DATA!$N:$N,$A558,DATA!$M:$M,'SALES BY SYSTEM'!$O$3)</f>
        <v>0</v>
      </c>
      <c r="W555" s="168"/>
    </row>
    <row r="556" spans="1:23" ht="15.75" customHeight="1" x14ac:dyDescent="0.25">
      <c r="A556" s="178" t="s">
        <v>1033</v>
      </c>
      <c r="B556" s="178" t="s">
        <v>16</v>
      </c>
      <c r="C556" s="178" t="str">
        <f>VLOOKUP(A556,CUSTOMER!$A:$C,3,0)</f>
        <v>COOP_F_XUYENA</v>
      </c>
      <c r="D556" s="178" t="s">
        <v>674</v>
      </c>
      <c r="E556" s="178" t="str">
        <f>VLOOKUP(A559,CUSTOMER!$A$2:$H$1094,5,0)</f>
        <v>VACANCY</v>
      </c>
      <c r="F556" s="178" t="str">
        <f>VLOOKUP(A559,CUSTOMER!$A$2:$I$1094,6,0)</f>
        <v>"NO SALE"</v>
      </c>
      <c r="G556" s="178" t="str">
        <f>VLOOKUP(A559,CUSTOMER!$A$1:$J$1160,7,0)</f>
        <v>"NO PG"</v>
      </c>
      <c r="H556" s="179">
        <f t="shared" si="91"/>
        <v>0</v>
      </c>
      <c r="I556" s="180" t="str">
        <f t="shared" si="92"/>
        <v/>
      </c>
      <c r="J556" s="181">
        <f t="shared" si="93"/>
        <v>0</v>
      </c>
      <c r="K556" s="182">
        <v>0</v>
      </c>
      <c r="L556" s="180" t="str">
        <f t="shared" ref="L556:L619" si="100">IFERROR(M559/K559,"")</f>
        <v/>
      </c>
      <c r="M556" s="218">
        <f>SUMIFS(DATA!$L:$L,DATA!$O:$O,$B559,DATA!$N:$N,$A559,DATA!$M:$M,'SALES BY SYSTEM'!$O$1)</f>
        <v>0</v>
      </c>
      <c r="N556" s="182">
        <v>0</v>
      </c>
      <c r="O556" s="180" t="str">
        <f t="shared" si="97"/>
        <v/>
      </c>
      <c r="P556" s="218">
        <f>SUMIFS(DATA!$L:$L,DATA!$O:$O,$B559,DATA!$N:$N,$A559,DATA!$M:$M,'SALES BY SYSTEM'!$O$2)</f>
        <v>0</v>
      </c>
      <c r="Q556" s="182">
        <v>0</v>
      </c>
      <c r="R556" s="180" t="str">
        <f t="shared" si="98"/>
        <v/>
      </c>
      <c r="S556" s="218">
        <f>SUMIFS(DATA!$L:$L,DATA!$O:$O,$B559,DATA!$N:$N,$A559,DATA!$M:$M,'SALES BY SYSTEM'!$O$4)</f>
        <v>0</v>
      </c>
      <c r="T556" s="182">
        <v>0</v>
      </c>
      <c r="U556" s="180" t="str">
        <f t="shared" si="99"/>
        <v/>
      </c>
      <c r="V556" s="218">
        <f>SUMIFS(DATA!$L:$L,DATA!$O:$O,$B559,DATA!$N:$N,$A559,DATA!$M:$M,'SALES BY SYSTEM'!$O$3)</f>
        <v>0</v>
      </c>
      <c r="W556" s="168"/>
    </row>
    <row r="557" spans="1:23" ht="15.75" customHeight="1" x14ac:dyDescent="0.25">
      <c r="A557" s="178" t="s">
        <v>1741</v>
      </c>
      <c r="B557" s="178" t="s">
        <v>1741</v>
      </c>
      <c r="C557" s="178" t="str">
        <f>VLOOKUP(A557,CUSTOMER!$A:$C,3,0)</f>
        <v>6166</v>
      </c>
      <c r="D557" s="178" t="s">
        <v>674</v>
      </c>
      <c r="E557" s="178" t="str">
        <f>VLOOKUP(A560,CUSTOMER!$A$2:$H$1094,5,0)</f>
        <v>VACANCY</v>
      </c>
      <c r="F557" s="178" t="str">
        <f>VLOOKUP(A560,CUSTOMER!$A$2:$I$1094,6,0)</f>
        <v>"NO SALE"</v>
      </c>
      <c r="G557" s="178" t="s">
        <v>676</v>
      </c>
      <c r="H557" s="179">
        <f t="shared" si="91"/>
        <v>0</v>
      </c>
      <c r="I557" s="180" t="str">
        <f t="shared" si="92"/>
        <v/>
      </c>
      <c r="J557" s="181">
        <f t="shared" si="93"/>
        <v>0</v>
      </c>
      <c r="K557" s="182">
        <v>0</v>
      </c>
      <c r="L557" s="180" t="str">
        <f t="shared" si="100"/>
        <v/>
      </c>
      <c r="M557" s="218">
        <f>SUMIFS(DATA!$L:$L,DATA!$O:$O,$B560,DATA!$N:$N,$A560,DATA!$M:$M,'SALES BY SYSTEM'!$O$1)</f>
        <v>0</v>
      </c>
      <c r="N557" s="182">
        <v>0</v>
      </c>
      <c r="O557" s="180" t="str">
        <f t="shared" si="97"/>
        <v/>
      </c>
      <c r="P557" s="218">
        <f>SUMIFS(DATA!$L:$L,DATA!$O:$O,$B560,DATA!$N:$N,$A560,DATA!$M:$M,'SALES BY SYSTEM'!$O$2)</f>
        <v>0</v>
      </c>
      <c r="Q557" s="182">
        <v>0</v>
      </c>
      <c r="R557" s="180" t="str">
        <f t="shared" si="98"/>
        <v/>
      </c>
      <c r="S557" s="218">
        <f>SUMIFS(DATA!$L:$L,DATA!$O:$O,$B560,DATA!$N:$N,$A560,DATA!$M:$M,'SALES BY SYSTEM'!$O$4)</f>
        <v>0</v>
      </c>
      <c r="T557" s="182">
        <v>0</v>
      </c>
      <c r="U557" s="180" t="str">
        <f t="shared" si="99"/>
        <v/>
      </c>
      <c r="V557" s="218">
        <f>SUMIFS(DATA!$L:$L,DATA!$O:$O,$B560,DATA!$N:$N,$A560,DATA!$M:$M,'SALES BY SYSTEM'!$O$3)</f>
        <v>0</v>
      </c>
      <c r="W557" s="168"/>
    </row>
    <row r="558" spans="1:23" ht="15.75" customHeight="1" x14ac:dyDescent="0.25">
      <c r="A558" s="178" t="s">
        <v>1745</v>
      </c>
      <c r="B558" s="178" t="s">
        <v>1746</v>
      </c>
      <c r="C558" s="178" t="str">
        <f>VLOOKUP(A558,CUSTOMER!$A:$C,3,0)</f>
        <v>SATRA_CCH</v>
      </c>
      <c r="D558" s="178" t="s">
        <v>674</v>
      </c>
      <c r="E558" s="178" t="str">
        <f>VLOOKUP(A561,CUSTOMER!$A$2:$H$1094,5,0)</f>
        <v>VACANCY</v>
      </c>
      <c r="F558" s="178" t="str">
        <f>VLOOKUP(A561,CUSTOMER!$A$2:$I$1094,6,0)</f>
        <v>"NO SALE"</v>
      </c>
      <c r="G558" s="178" t="s">
        <v>676</v>
      </c>
      <c r="H558" s="179">
        <f t="shared" si="91"/>
        <v>0</v>
      </c>
      <c r="I558" s="180" t="str">
        <f t="shared" si="92"/>
        <v/>
      </c>
      <c r="J558" s="181">
        <f t="shared" si="93"/>
        <v>0</v>
      </c>
      <c r="K558" s="182">
        <v>0</v>
      </c>
      <c r="L558" s="180" t="str">
        <f t="shared" si="100"/>
        <v/>
      </c>
      <c r="M558" s="218">
        <f>SUMIFS(DATA!$L:$L,DATA!$O:$O,$B561,DATA!$N:$N,$A561,DATA!$M:$M,'SALES BY SYSTEM'!$O$1)</f>
        <v>0</v>
      </c>
      <c r="N558" s="182">
        <v>0</v>
      </c>
      <c r="O558" s="180" t="str">
        <f t="shared" si="97"/>
        <v/>
      </c>
      <c r="P558" s="218">
        <f>SUMIFS(DATA!$L:$L,DATA!$O:$O,$B561,DATA!$N:$N,$A561,DATA!$M:$M,'SALES BY SYSTEM'!$O$2)</f>
        <v>0</v>
      </c>
      <c r="Q558" s="182">
        <v>0</v>
      </c>
      <c r="R558" s="180" t="str">
        <f t="shared" si="98"/>
        <v/>
      </c>
      <c r="S558" s="218">
        <f>SUMIFS(DATA!$L:$L,DATA!$O:$O,$B561,DATA!$N:$N,$A561,DATA!$M:$M,'SALES BY SYSTEM'!$O$4)</f>
        <v>0</v>
      </c>
      <c r="T558" s="182">
        <v>0</v>
      </c>
      <c r="U558" s="180" t="str">
        <f t="shared" si="99"/>
        <v/>
      </c>
      <c r="V558" s="218">
        <f>SUMIFS(DATA!$L:$L,DATA!$O:$O,$B561,DATA!$N:$N,$A561,DATA!$M:$M,'SALES BY SYSTEM'!$O$3)</f>
        <v>0</v>
      </c>
      <c r="W558" s="168"/>
    </row>
    <row r="559" spans="1:23" ht="15.75" customHeight="1" x14ac:dyDescent="0.25">
      <c r="A559" s="178" t="s">
        <v>1748</v>
      </c>
      <c r="B559" s="178" t="s">
        <v>1746</v>
      </c>
      <c r="C559" s="178" t="str">
        <f>VLOOKUP(A559,CUSTOMER!$A:$C,3,0)</f>
        <v>SATRA_PH</v>
      </c>
      <c r="D559" s="178" t="s">
        <v>674</v>
      </c>
      <c r="E559" s="178" t="str">
        <f>VLOOKUP(A562,CUSTOMER!$A$2:$H$1094,5,0)</f>
        <v>VACANCY</v>
      </c>
      <c r="F559" s="178" t="str">
        <f>VLOOKUP(A562,CUSTOMER!$A$2:$I$1094,6,0)</f>
        <v>VACANCY</v>
      </c>
      <c r="G559" s="178" t="s">
        <v>676</v>
      </c>
      <c r="H559" s="179">
        <f t="shared" si="91"/>
        <v>0</v>
      </c>
      <c r="I559" s="180" t="str">
        <f t="shared" si="92"/>
        <v/>
      </c>
      <c r="J559" s="181">
        <f t="shared" si="93"/>
        <v>0</v>
      </c>
      <c r="K559" s="182">
        <v>0</v>
      </c>
      <c r="L559" s="180" t="str">
        <f t="shared" si="100"/>
        <v/>
      </c>
      <c r="M559" s="218">
        <f>SUMIFS(DATA!$L:$L,DATA!$O:$O,$B562,DATA!$N:$N,$A562,DATA!$M:$M,'SALES BY SYSTEM'!$O$1)</f>
        <v>0</v>
      </c>
      <c r="N559" s="182">
        <v>0</v>
      </c>
      <c r="O559" s="180" t="str">
        <f t="shared" si="97"/>
        <v/>
      </c>
      <c r="P559" s="218">
        <f>SUMIFS(DATA!$L:$L,DATA!$O:$O,$B562,DATA!$N:$N,$A562,DATA!$M:$M,'SALES BY SYSTEM'!$O$2)</f>
        <v>0</v>
      </c>
      <c r="Q559" s="182">
        <v>0</v>
      </c>
      <c r="R559" s="180" t="str">
        <f t="shared" si="98"/>
        <v/>
      </c>
      <c r="S559" s="218">
        <f>SUMIFS(DATA!$L:$L,DATA!$O:$O,$B562,DATA!$N:$N,$A562,DATA!$M:$M,'SALES BY SYSTEM'!$O$4)</f>
        <v>0</v>
      </c>
      <c r="T559" s="182">
        <v>0</v>
      </c>
      <c r="U559" s="180" t="str">
        <f t="shared" si="99"/>
        <v/>
      </c>
      <c r="V559" s="218">
        <f>SUMIFS(DATA!$L:$L,DATA!$O:$O,$B562,DATA!$N:$N,$A562,DATA!$M:$M,'SALES BY SYSTEM'!$O$3)</f>
        <v>0</v>
      </c>
      <c r="W559" s="168"/>
    </row>
    <row r="560" spans="1:23" ht="15.75" customHeight="1" x14ac:dyDescent="0.25">
      <c r="A560" s="178" t="s">
        <v>1750</v>
      </c>
      <c r="B560" s="178" t="s">
        <v>1746</v>
      </c>
      <c r="C560" s="178" t="str">
        <f>VLOOKUP(A560,CUSTOMER!$A:$C,3,0)</f>
        <v>SATRA_SG</v>
      </c>
      <c r="D560" s="178" t="s">
        <v>674</v>
      </c>
      <c r="E560" s="178" t="str">
        <f>VLOOKUP(A563,CUSTOMER!$A$2:$H$1094,5,0)</f>
        <v>VACANCY</v>
      </c>
      <c r="F560" s="178" t="str">
        <f>VLOOKUP(A563,CUSTOMER!$A$2:$I$1094,6,0)</f>
        <v>VACANCY</v>
      </c>
      <c r="G560" s="178" t="s">
        <v>676</v>
      </c>
      <c r="H560" s="179">
        <f t="shared" si="91"/>
        <v>0</v>
      </c>
      <c r="I560" s="180" t="str">
        <f t="shared" si="92"/>
        <v/>
      </c>
      <c r="J560" s="181">
        <f t="shared" si="93"/>
        <v>0</v>
      </c>
      <c r="K560" s="182">
        <v>0</v>
      </c>
      <c r="L560" s="180" t="str">
        <f t="shared" si="100"/>
        <v/>
      </c>
      <c r="M560" s="218">
        <f>SUMIFS(DATA!$L:$L,DATA!$O:$O,$B563,DATA!$N:$N,$A563,DATA!$M:$M,'SALES BY SYSTEM'!$O$1)</f>
        <v>0</v>
      </c>
      <c r="N560" s="182">
        <v>0</v>
      </c>
      <c r="O560" s="180" t="str">
        <f t="shared" si="97"/>
        <v/>
      </c>
      <c r="P560" s="218">
        <f>SUMIFS(DATA!$L:$L,DATA!$O:$O,$B563,DATA!$N:$N,$A563,DATA!$M:$M,'SALES BY SYSTEM'!$O$2)</f>
        <v>0</v>
      </c>
      <c r="Q560" s="182">
        <v>0</v>
      </c>
      <c r="R560" s="180" t="str">
        <f t="shared" si="98"/>
        <v/>
      </c>
      <c r="S560" s="218">
        <f>SUMIFS(DATA!$L:$L,DATA!$O:$O,$B563,DATA!$N:$N,$A563,DATA!$M:$M,'SALES BY SYSTEM'!$O$4)</f>
        <v>0</v>
      </c>
      <c r="T560" s="182">
        <v>0</v>
      </c>
      <c r="U560" s="180" t="str">
        <f t="shared" si="99"/>
        <v/>
      </c>
      <c r="V560" s="218">
        <f>SUMIFS(DATA!$L:$L,DATA!$O:$O,$B563,DATA!$N:$N,$A563,DATA!$M:$M,'SALES BY SYSTEM'!$O$3)</f>
        <v>0</v>
      </c>
      <c r="W560" s="168"/>
    </row>
    <row r="561" spans="1:23" ht="15.75" customHeight="1" x14ac:dyDescent="0.25">
      <c r="A561" s="178" t="s">
        <v>1752</v>
      </c>
      <c r="B561" s="178" t="s">
        <v>1746</v>
      </c>
      <c r="C561" s="178" t="str">
        <f>VLOOKUP(A561,CUSTOMER!$A:$C,3,0)</f>
        <v>SATRA_TAX</v>
      </c>
      <c r="D561" s="178" t="s">
        <v>674</v>
      </c>
      <c r="E561" s="178" t="str">
        <f>VLOOKUP(A564,CUSTOMER!$A$2:$H$1094,5,0)</f>
        <v>VACANCY</v>
      </c>
      <c r="F561" s="178" t="str">
        <f>VLOOKUP(A564,CUSTOMER!$A$2:$I$1094,6,0)</f>
        <v>VACANCY</v>
      </c>
      <c r="G561" s="178" t="s">
        <v>676</v>
      </c>
      <c r="H561" s="179">
        <f t="shared" si="91"/>
        <v>0</v>
      </c>
      <c r="I561" s="180" t="str">
        <f t="shared" si="92"/>
        <v/>
      </c>
      <c r="J561" s="181">
        <f t="shared" si="93"/>
        <v>0</v>
      </c>
      <c r="K561" s="182">
        <v>0</v>
      </c>
      <c r="L561" s="180" t="str">
        <f t="shared" si="100"/>
        <v/>
      </c>
      <c r="M561" s="218">
        <f>SUMIFS(DATA!$L:$L,DATA!$O:$O,$B564,DATA!$N:$N,$A564,DATA!$M:$M,'SALES BY SYSTEM'!$O$1)</f>
        <v>0</v>
      </c>
      <c r="N561" s="182">
        <v>0</v>
      </c>
      <c r="O561" s="180" t="str">
        <f t="shared" si="97"/>
        <v/>
      </c>
      <c r="P561" s="218">
        <f>SUMIFS(DATA!$L:$L,DATA!$O:$O,$B564,DATA!$N:$N,$A564,DATA!$M:$M,'SALES BY SYSTEM'!$O$2)</f>
        <v>0</v>
      </c>
      <c r="Q561" s="182">
        <v>0</v>
      </c>
      <c r="R561" s="180" t="str">
        <f t="shared" si="98"/>
        <v/>
      </c>
      <c r="S561" s="218">
        <f>SUMIFS(DATA!$L:$L,DATA!$O:$O,$B564,DATA!$N:$N,$A564,DATA!$M:$M,'SALES BY SYSTEM'!$O$4)</f>
        <v>0</v>
      </c>
      <c r="T561" s="182">
        <v>0</v>
      </c>
      <c r="U561" s="180" t="str">
        <f t="shared" si="99"/>
        <v/>
      </c>
      <c r="V561" s="218">
        <f>SUMIFS(DATA!$L:$L,DATA!$O:$O,$B564,DATA!$N:$N,$A564,DATA!$M:$M,'SALES BY SYSTEM'!$O$3)</f>
        <v>0</v>
      </c>
      <c r="W561" s="168"/>
    </row>
    <row r="562" spans="1:23" ht="15.75" customHeight="1" x14ac:dyDescent="0.25">
      <c r="A562" s="178" t="s">
        <v>1754</v>
      </c>
      <c r="B562" s="178" t="s">
        <v>1755</v>
      </c>
      <c r="C562" s="178" t="str">
        <f>VLOOKUP(A562,CUSTOMER!$A:$C,3,0)</f>
        <v>SATRA_F1001HV</v>
      </c>
      <c r="D562" s="178" t="s">
        <v>674</v>
      </c>
      <c r="E562" s="178" t="str">
        <f>VLOOKUP(A565,CUSTOMER!$A$2:$H$1094,5,0)</f>
        <v>VACANCY</v>
      </c>
      <c r="F562" s="178" t="str">
        <f>VLOOKUP(A565,CUSTOMER!$A$2:$I$1094,6,0)</f>
        <v>VACANCY</v>
      </c>
      <c r="G562" s="178" t="s">
        <v>676</v>
      </c>
      <c r="H562" s="179">
        <f t="shared" si="91"/>
        <v>0</v>
      </c>
      <c r="I562" s="180" t="str">
        <f t="shared" si="92"/>
        <v/>
      </c>
      <c r="J562" s="181">
        <f t="shared" si="93"/>
        <v>0</v>
      </c>
      <c r="K562" s="182">
        <v>0</v>
      </c>
      <c r="L562" s="180" t="str">
        <f t="shared" si="100"/>
        <v/>
      </c>
      <c r="M562" s="218">
        <f>SUMIFS(DATA!$L:$L,DATA!$O:$O,$B565,DATA!$N:$N,$A565,DATA!$M:$M,'SALES BY SYSTEM'!$O$1)</f>
        <v>0</v>
      </c>
      <c r="N562" s="182">
        <v>0</v>
      </c>
      <c r="O562" s="180" t="str">
        <f t="shared" si="97"/>
        <v/>
      </c>
      <c r="P562" s="218">
        <f>SUMIFS(DATA!$L:$L,DATA!$O:$O,$B565,DATA!$N:$N,$A565,DATA!$M:$M,'SALES BY SYSTEM'!$O$2)</f>
        <v>0</v>
      </c>
      <c r="Q562" s="182">
        <v>0</v>
      </c>
      <c r="R562" s="180" t="str">
        <f t="shared" si="98"/>
        <v/>
      </c>
      <c r="S562" s="218">
        <f>SUMIFS(DATA!$L:$L,DATA!$O:$O,$B565,DATA!$N:$N,$A565,DATA!$M:$M,'SALES BY SYSTEM'!$O$4)</f>
        <v>0</v>
      </c>
      <c r="T562" s="182">
        <v>0</v>
      </c>
      <c r="U562" s="180" t="str">
        <f t="shared" si="99"/>
        <v/>
      </c>
      <c r="V562" s="218">
        <f>SUMIFS(DATA!$L:$L,DATA!$O:$O,$B565,DATA!$N:$N,$A565,DATA!$M:$M,'SALES BY SYSTEM'!$O$3)</f>
        <v>0</v>
      </c>
      <c r="W562" s="168"/>
    </row>
    <row r="563" spans="1:23" ht="15.75" customHeight="1" x14ac:dyDescent="0.25">
      <c r="A563" s="178" t="s">
        <v>1757</v>
      </c>
      <c r="B563" s="178" t="s">
        <v>1755</v>
      </c>
      <c r="C563" s="178" t="str">
        <f>VLOOKUP(A563,CUSTOMER!$A:$C,3,0)</f>
        <v>SATRA_F1003TQ</v>
      </c>
      <c r="D563" s="178" t="s">
        <v>674</v>
      </c>
      <c r="E563" s="178" t="str">
        <f>VLOOKUP(A566,CUSTOMER!$A$2:$H$1094,5,0)</f>
        <v>VACANCY</v>
      </c>
      <c r="F563" s="178" t="str">
        <f>VLOOKUP(A566,CUSTOMER!$A$2:$I$1094,6,0)</f>
        <v>VACANCY</v>
      </c>
      <c r="G563" s="178" t="s">
        <v>676</v>
      </c>
      <c r="H563" s="179">
        <f t="shared" si="91"/>
        <v>0</v>
      </c>
      <c r="I563" s="180" t="str">
        <f t="shared" si="92"/>
        <v/>
      </c>
      <c r="J563" s="181">
        <f t="shared" si="93"/>
        <v>0</v>
      </c>
      <c r="K563" s="182">
        <v>0</v>
      </c>
      <c r="L563" s="180" t="str">
        <f t="shared" si="100"/>
        <v/>
      </c>
      <c r="M563" s="218">
        <f>SUMIFS(DATA!$L:$L,DATA!$O:$O,$B566,DATA!$N:$N,$A566,DATA!$M:$M,'SALES BY SYSTEM'!$O$1)</f>
        <v>0</v>
      </c>
      <c r="N563" s="182">
        <v>0</v>
      </c>
      <c r="O563" s="180" t="str">
        <f t="shared" si="97"/>
        <v/>
      </c>
      <c r="P563" s="218">
        <f>SUMIFS(DATA!$L:$L,DATA!$O:$O,$B566,DATA!$N:$N,$A566,DATA!$M:$M,'SALES BY SYSTEM'!$O$2)</f>
        <v>0</v>
      </c>
      <c r="Q563" s="182">
        <v>0</v>
      </c>
      <c r="R563" s="180" t="str">
        <f t="shared" si="98"/>
        <v/>
      </c>
      <c r="S563" s="218">
        <f>SUMIFS(DATA!$L:$L,DATA!$O:$O,$B566,DATA!$N:$N,$A566,DATA!$M:$M,'SALES BY SYSTEM'!$O$4)</f>
        <v>0</v>
      </c>
      <c r="T563" s="182">
        <v>0</v>
      </c>
      <c r="U563" s="180" t="str">
        <f t="shared" si="99"/>
        <v/>
      </c>
      <c r="V563" s="218">
        <f>SUMIFS(DATA!$L:$L,DATA!$O:$O,$B566,DATA!$N:$N,$A566,DATA!$M:$M,'SALES BY SYSTEM'!$O$3)</f>
        <v>0</v>
      </c>
      <c r="W563" s="168"/>
    </row>
    <row r="564" spans="1:23" ht="15.75" customHeight="1" x14ac:dyDescent="0.25">
      <c r="A564" s="178" t="s">
        <v>1759</v>
      </c>
      <c r="B564" s="178" t="s">
        <v>1755</v>
      </c>
      <c r="C564" s="178" t="str">
        <f>VLOOKUP(A564,CUSTOMER!$A:$C,3,0)</f>
        <v>SATRA_F1004XVNT</v>
      </c>
      <c r="D564" s="178" t="s">
        <v>674</v>
      </c>
      <c r="E564" s="178" t="str">
        <f>VLOOKUP(A567,CUSTOMER!$A$2:$H$1094,5,0)</f>
        <v>VACANCY</v>
      </c>
      <c r="F564" s="178" t="str">
        <f>VLOOKUP(A567,CUSTOMER!$A$2:$I$1094,6,0)</f>
        <v>VACANCY</v>
      </c>
      <c r="G564" s="178" t="s">
        <v>676</v>
      </c>
      <c r="H564" s="179">
        <f t="shared" si="91"/>
        <v>0</v>
      </c>
      <c r="I564" s="180" t="str">
        <f t="shared" si="92"/>
        <v/>
      </c>
      <c r="J564" s="181">
        <f t="shared" si="93"/>
        <v>0</v>
      </c>
      <c r="K564" s="182">
        <v>0</v>
      </c>
      <c r="L564" s="180" t="str">
        <f t="shared" si="100"/>
        <v/>
      </c>
      <c r="M564" s="218">
        <f>SUMIFS(DATA!$L:$L,DATA!$O:$O,$B567,DATA!$N:$N,$A567,DATA!$M:$M,'SALES BY SYSTEM'!$O$1)</f>
        <v>0</v>
      </c>
      <c r="N564" s="182">
        <v>0</v>
      </c>
      <c r="O564" s="180" t="str">
        <f t="shared" si="97"/>
        <v/>
      </c>
      <c r="P564" s="218">
        <f>SUMIFS(DATA!$L:$L,DATA!$O:$O,$B567,DATA!$N:$N,$A567,DATA!$M:$M,'SALES BY SYSTEM'!$O$2)</f>
        <v>0</v>
      </c>
      <c r="Q564" s="182">
        <v>0</v>
      </c>
      <c r="R564" s="180" t="str">
        <f t="shared" si="98"/>
        <v/>
      </c>
      <c r="S564" s="218">
        <f>SUMIFS(DATA!$L:$L,DATA!$O:$O,$B567,DATA!$N:$N,$A567,DATA!$M:$M,'SALES BY SYSTEM'!$O$4)</f>
        <v>0</v>
      </c>
      <c r="T564" s="182">
        <v>0</v>
      </c>
      <c r="U564" s="180" t="str">
        <f t="shared" si="99"/>
        <v/>
      </c>
      <c r="V564" s="218">
        <f>SUMIFS(DATA!$L:$L,DATA!$O:$O,$B567,DATA!$N:$N,$A567,DATA!$M:$M,'SALES BY SYSTEM'!$O$3)</f>
        <v>0</v>
      </c>
      <c r="W564" s="168"/>
    </row>
    <row r="565" spans="1:23" ht="15.75" customHeight="1" x14ac:dyDescent="0.25">
      <c r="A565" s="178" t="s">
        <v>1761</v>
      </c>
      <c r="B565" s="178" t="s">
        <v>1755</v>
      </c>
      <c r="C565" s="178" t="str">
        <f>VLOOKUP(A565,CUSTOMER!$A:$C,3,0)</f>
        <v>SATRA_F1005PVH</v>
      </c>
      <c r="D565" s="178" t="s">
        <v>674</v>
      </c>
      <c r="E565" s="178" t="str">
        <f>VLOOKUP(A568,CUSTOMER!$A$2:$H$1094,5,0)</f>
        <v>VACANCY</v>
      </c>
      <c r="F565" s="178" t="str">
        <f>VLOOKUP(A568,CUSTOMER!$A$2:$I$1094,6,0)</f>
        <v>VACANCY</v>
      </c>
      <c r="G565" s="178" t="s">
        <v>676</v>
      </c>
      <c r="H565" s="179">
        <f t="shared" si="91"/>
        <v>0</v>
      </c>
      <c r="I565" s="180" t="str">
        <f t="shared" si="92"/>
        <v/>
      </c>
      <c r="J565" s="181">
        <f t="shared" si="93"/>
        <v>0</v>
      </c>
      <c r="K565" s="182">
        <v>0</v>
      </c>
      <c r="L565" s="180" t="str">
        <f t="shared" si="100"/>
        <v/>
      </c>
      <c r="M565" s="218">
        <f>SUMIFS(DATA!$L:$L,DATA!$O:$O,$B568,DATA!$N:$N,$A568,DATA!$M:$M,'SALES BY SYSTEM'!$O$1)</f>
        <v>0</v>
      </c>
      <c r="N565" s="182">
        <v>0</v>
      </c>
      <c r="O565" s="180" t="str">
        <f t="shared" si="97"/>
        <v/>
      </c>
      <c r="P565" s="218">
        <f>SUMIFS(DATA!$L:$L,DATA!$O:$O,$B568,DATA!$N:$N,$A568,DATA!$M:$M,'SALES BY SYSTEM'!$O$2)</f>
        <v>0</v>
      </c>
      <c r="Q565" s="182">
        <v>0</v>
      </c>
      <c r="R565" s="180" t="str">
        <f t="shared" si="98"/>
        <v/>
      </c>
      <c r="S565" s="218">
        <f>SUMIFS(DATA!$L:$L,DATA!$O:$O,$B568,DATA!$N:$N,$A568,DATA!$M:$M,'SALES BY SYSTEM'!$O$4)</f>
        <v>0</v>
      </c>
      <c r="T565" s="182">
        <v>0</v>
      </c>
      <c r="U565" s="180" t="str">
        <f t="shared" si="99"/>
        <v/>
      </c>
      <c r="V565" s="218">
        <f>SUMIFS(DATA!$L:$L,DATA!$O:$O,$B568,DATA!$N:$N,$A568,DATA!$M:$M,'SALES BY SYSTEM'!$O$3)</f>
        <v>0</v>
      </c>
      <c r="W565" s="168"/>
    </row>
    <row r="566" spans="1:23" ht="15.75" customHeight="1" x14ac:dyDescent="0.25">
      <c r="A566" s="178" t="s">
        <v>1763</v>
      </c>
      <c r="B566" s="178" t="s">
        <v>1755</v>
      </c>
      <c r="C566" s="178" t="str">
        <f>VLOOKUP(A566,CUSTOMER!$A:$C,3,0)</f>
        <v>SATRA_F1006THD</v>
      </c>
      <c r="D566" s="178" t="s">
        <v>674</v>
      </c>
      <c r="E566" s="178" t="str">
        <f>VLOOKUP(A569,CUSTOMER!$A$2:$H$1094,5,0)</f>
        <v>VACANCY</v>
      </c>
      <c r="F566" s="178" t="str">
        <f>VLOOKUP(A569,CUSTOMER!$A$2:$I$1094,6,0)</f>
        <v>VACANCY</v>
      </c>
      <c r="G566" s="178" t="s">
        <v>676</v>
      </c>
      <c r="H566" s="179">
        <f t="shared" si="91"/>
        <v>0</v>
      </c>
      <c r="I566" s="180" t="str">
        <f t="shared" si="92"/>
        <v/>
      </c>
      <c r="J566" s="181">
        <f t="shared" si="93"/>
        <v>0</v>
      </c>
      <c r="K566" s="182">
        <v>0</v>
      </c>
      <c r="L566" s="180" t="str">
        <f t="shared" si="100"/>
        <v/>
      </c>
      <c r="M566" s="218">
        <f>SUMIFS(DATA!$L:$L,DATA!$O:$O,$B569,DATA!$N:$N,$A569,DATA!$M:$M,'SALES BY SYSTEM'!$O$1)</f>
        <v>0</v>
      </c>
      <c r="N566" s="182">
        <v>0</v>
      </c>
      <c r="O566" s="180" t="str">
        <f t="shared" si="97"/>
        <v/>
      </c>
      <c r="P566" s="218">
        <f>SUMIFS(DATA!$L:$L,DATA!$O:$O,$B569,DATA!$N:$N,$A569,DATA!$M:$M,'SALES BY SYSTEM'!$O$2)</f>
        <v>0</v>
      </c>
      <c r="Q566" s="182">
        <v>0</v>
      </c>
      <c r="R566" s="180" t="str">
        <f t="shared" si="98"/>
        <v/>
      </c>
      <c r="S566" s="218">
        <f>SUMIFS(DATA!$L:$L,DATA!$O:$O,$B569,DATA!$N:$N,$A569,DATA!$M:$M,'SALES BY SYSTEM'!$O$4)</f>
        <v>0</v>
      </c>
      <c r="T566" s="182">
        <v>0</v>
      </c>
      <c r="U566" s="180" t="str">
        <f t="shared" si="99"/>
        <v/>
      </c>
      <c r="V566" s="218">
        <f>SUMIFS(DATA!$L:$L,DATA!$O:$O,$B569,DATA!$N:$N,$A569,DATA!$M:$M,'SALES BY SYSTEM'!$O$3)</f>
        <v>0</v>
      </c>
      <c r="W566" s="168"/>
    </row>
    <row r="567" spans="1:23" ht="15.75" customHeight="1" x14ac:dyDescent="0.25">
      <c r="A567" s="178" t="s">
        <v>1765</v>
      </c>
      <c r="B567" s="178" t="s">
        <v>1755</v>
      </c>
      <c r="C567" s="178" t="str">
        <f>VLOOKUP(A567,CUSTOMER!$A:$C,3,0)</f>
        <v>SATRA_F1008QT</v>
      </c>
      <c r="D567" s="178" t="s">
        <v>674</v>
      </c>
      <c r="E567" s="178" t="str">
        <f>VLOOKUP(A570,CUSTOMER!$A$2:$H$1094,5,0)</f>
        <v>VACANCY</v>
      </c>
      <c r="F567" s="178" t="str">
        <f>VLOOKUP(A570,CUSTOMER!$A$2:$I$1094,6,0)</f>
        <v>VACANCY</v>
      </c>
      <c r="G567" s="178" t="s">
        <v>676</v>
      </c>
      <c r="H567" s="179">
        <f t="shared" si="91"/>
        <v>0</v>
      </c>
      <c r="I567" s="180" t="str">
        <f t="shared" si="92"/>
        <v/>
      </c>
      <c r="J567" s="181">
        <f t="shared" si="93"/>
        <v>0</v>
      </c>
      <c r="K567" s="182">
        <v>0</v>
      </c>
      <c r="L567" s="180" t="str">
        <f t="shared" si="100"/>
        <v/>
      </c>
      <c r="M567" s="218">
        <f>SUMIFS(DATA!$L:$L,DATA!$O:$O,$B570,DATA!$N:$N,$A570,DATA!$M:$M,'SALES BY SYSTEM'!$O$1)</f>
        <v>0</v>
      </c>
      <c r="N567" s="182">
        <v>0</v>
      </c>
      <c r="O567" s="180" t="str">
        <f t="shared" si="97"/>
        <v/>
      </c>
      <c r="P567" s="218">
        <f>SUMIFS(DATA!$L:$L,DATA!$O:$O,$B570,DATA!$N:$N,$A570,DATA!$M:$M,'SALES BY SYSTEM'!$O$2)</f>
        <v>0</v>
      </c>
      <c r="Q567" s="182">
        <v>0</v>
      </c>
      <c r="R567" s="180" t="str">
        <f t="shared" si="98"/>
        <v/>
      </c>
      <c r="S567" s="218">
        <f>SUMIFS(DATA!$L:$L,DATA!$O:$O,$B570,DATA!$N:$N,$A570,DATA!$M:$M,'SALES BY SYSTEM'!$O$4)</f>
        <v>0</v>
      </c>
      <c r="T567" s="182">
        <v>0</v>
      </c>
      <c r="U567" s="180" t="str">
        <f t="shared" si="99"/>
        <v/>
      </c>
      <c r="V567" s="218">
        <f>SUMIFS(DATA!$L:$L,DATA!$O:$O,$B570,DATA!$N:$N,$A570,DATA!$M:$M,'SALES BY SYSTEM'!$O$3)</f>
        <v>0</v>
      </c>
      <c r="W567" s="168"/>
    </row>
    <row r="568" spans="1:23" ht="15.75" customHeight="1" x14ac:dyDescent="0.25">
      <c r="A568" s="178" t="s">
        <v>1767</v>
      </c>
      <c r="B568" s="178" t="s">
        <v>1755</v>
      </c>
      <c r="C568" s="178" t="str">
        <f>VLOOKUP(A568,CUSTOMER!$A:$C,3,0)</f>
        <v>SATRA_F1009LLQ</v>
      </c>
      <c r="D568" s="178" t="s">
        <v>674</v>
      </c>
      <c r="E568" s="178" t="str">
        <f>VLOOKUP(A571,CUSTOMER!$A$2:$H$1094,5,0)</f>
        <v>VACANCY</v>
      </c>
      <c r="F568" s="178" t="str">
        <f>VLOOKUP(A571,CUSTOMER!$A$2:$I$1094,6,0)</f>
        <v>VACANCY</v>
      </c>
      <c r="G568" s="178" t="s">
        <v>676</v>
      </c>
      <c r="H568" s="179">
        <f t="shared" si="91"/>
        <v>0</v>
      </c>
      <c r="I568" s="180" t="str">
        <f t="shared" si="92"/>
        <v/>
      </c>
      <c r="J568" s="181">
        <f t="shared" si="93"/>
        <v>0</v>
      </c>
      <c r="K568" s="182">
        <v>0</v>
      </c>
      <c r="L568" s="180" t="str">
        <f t="shared" si="100"/>
        <v/>
      </c>
      <c r="M568" s="218">
        <f>SUMIFS(DATA!$L:$L,DATA!$O:$O,$B571,DATA!$N:$N,$A571,DATA!$M:$M,'SALES BY SYSTEM'!$O$1)</f>
        <v>0</v>
      </c>
      <c r="N568" s="182">
        <v>0</v>
      </c>
      <c r="O568" s="180" t="str">
        <f t="shared" si="97"/>
        <v/>
      </c>
      <c r="P568" s="218">
        <f>SUMIFS(DATA!$L:$L,DATA!$O:$O,$B571,DATA!$N:$N,$A571,DATA!$M:$M,'SALES BY SYSTEM'!$O$2)</f>
        <v>0</v>
      </c>
      <c r="Q568" s="182">
        <v>0</v>
      </c>
      <c r="R568" s="180" t="str">
        <f t="shared" si="98"/>
        <v/>
      </c>
      <c r="S568" s="218">
        <f>SUMIFS(DATA!$L:$L,DATA!$O:$O,$B571,DATA!$N:$N,$A571,DATA!$M:$M,'SALES BY SYSTEM'!$O$4)</f>
        <v>0</v>
      </c>
      <c r="T568" s="182">
        <v>0</v>
      </c>
      <c r="U568" s="180" t="str">
        <f t="shared" si="99"/>
        <v/>
      </c>
      <c r="V568" s="218">
        <f>SUMIFS(DATA!$L:$L,DATA!$O:$O,$B571,DATA!$N:$N,$A571,DATA!$M:$M,'SALES BY SYSTEM'!$O$3)</f>
        <v>0</v>
      </c>
      <c r="W568" s="168"/>
    </row>
    <row r="569" spans="1:23" ht="15.75" customHeight="1" x14ac:dyDescent="0.25">
      <c r="A569" s="178" t="s">
        <v>1769</v>
      </c>
      <c r="B569" s="178" t="s">
        <v>1755</v>
      </c>
      <c r="C569" s="178" t="str">
        <f>VLOOKUP(A569,CUSTOMER!$A:$C,3,0)</f>
        <v>SATRA_F1010DXH</v>
      </c>
      <c r="D569" s="178" t="s">
        <v>674</v>
      </c>
      <c r="E569" s="178" t="str">
        <f>VLOOKUP(A572,CUSTOMER!$A$2:$H$1094,5,0)</f>
        <v>VACANCY</v>
      </c>
      <c r="F569" s="178" t="str">
        <f>VLOOKUP(A572,CUSTOMER!$A$2:$I$1094,6,0)</f>
        <v>VACANCY</v>
      </c>
      <c r="G569" s="178" t="s">
        <v>676</v>
      </c>
      <c r="H569" s="179">
        <f t="shared" si="91"/>
        <v>0</v>
      </c>
      <c r="I569" s="180" t="str">
        <f t="shared" si="92"/>
        <v/>
      </c>
      <c r="J569" s="181">
        <f t="shared" si="93"/>
        <v>0</v>
      </c>
      <c r="K569" s="182">
        <v>0</v>
      </c>
      <c r="L569" s="180" t="str">
        <f t="shared" si="100"/>
        <v/>
      </c>
      <c r="M569" s="218">
        <f>SUMIFS(DATA!$L:$L,DATA!$O:$O,$B572,DATA!$N:$N,$A572,DATA!$M:$M,'SALES BY SYSTEM'!$O$1)</f>
        <v>0</v>
      </c>
      <c r="N569" s="182">
        <v>0</v>
      </c>
      <c r="O569" s="180" t="str">
        <f t="shared" si="97"/>
        <v/>
      </c>
      <c r="P569" s="218">
        <f>SUMIFS(DATA!$L:$L,DATA!$O:$O,$B572,DATA!$N:$N,$A572,DATA!$M:$M,'SALES BY SYSTEM'!$O$2)</f>
        <v>0</v>
      </c>
      <c r="Q569" s="182">
        <v>0</v>
      </c>
      <c r="R569" s="180" t="str">
        <f t="shared" si="98"/>
        <v/>
      </c>
      <c r="S569" s="218">
        <f>SUMIFS(DATA!$L:$L,DATA!$O:$O,$B572,DATA!$N:$N,$A572,DATA!$M:$M,'SALES BY SYSTEM'!$O$4)</f>
        <v>0</v>
      </c>
      <c r="T569" s="182">
        <v>0</v>
      </c>
      <c r="U569" s="180" t="str">
        <f t="shared" si="99"/>
        <v/>
      </c>
      <c r="V569" s="218">
        <f>SUMIFS(DATA!$L:$L,DATA!$O:$O,$B572,DATA!$N:$N,$A572,DATA!$M:$M,'SALES BY SYSTEM'!$O$3)</f>
        <v>0</v>
      </c>
      <c r="W569" s="168"/>
    </row>
    <row r="570" spans="1:23" ht="15.75" customHeight="1" x14ac:dyDescent="0.25">
      <c r="A570" s="178" t="s">
        <v>1771</v>
      </c>
      <c r="B570" s="178" t="s">
        <v>1755</v>
      </c>
      <c r="C570" s="178" t="str">
        <f>VLOOKUP(A570,CUSTOMER!$A:$C,3,0)</f>
        <v>SATRA_F1011KVC</v>
      </c>
      <c r="D570" s="178" t="s">
        <v>674</v>
      </c>
      <c r="E570" s="178" t="str">
        <f>VLOOKUP(A573,CUSTOMER!$A$2:$H$1094,5,0)</f>
        <v>VACANCY</v>
      </c>
      <c r="F570" s="178" t="str">
        <f>VLOOKUP(A573,CUSTOMER!$A$2:$I$1094,6,0)</f>
        <v>VACANCY</v>
      </c>
      <c r="G570" s="178" t="s">
        <v>676</v>
      </c>
      <c r="H570" s="179">
        <f t="shared" si="91"/>
        <v>0</v>
      </c>
      <c r="I570" s="180" t="str">
        <f t="shared" si="92"/>
        <v/>
      </c>
      <c r="J570" s="181">
        <f t="shared" si="93"/>
        <v>0</v>
      </c>
      <c r="K570" s="182">
        <v>0</v>
      </c>
      <c r="L570" s="180" t="str">
        <f t="shared" si="100"/>
        <v/>
      </c>
      <c r="M570" s="218">
        <f>SUMIFS(DATA!$L:$L,DATA!$O:$O,$B573,DATA!$N:$N,$A573,DATA!$M:$M,'SALES BY SYSTEM'!$O$1)</f>
        <v>0</v>
      </c>
      <c r="N570" s="182">
        <v>0</v>
      </c>
      <c r="O570" s="180" t="str">
        <f t="shared" si="97"/>
        <v/>
      </c>
      <c r="P570" s="218">
        <f>SUMIFS(DATA!$L:$L,DATA!$O:$O,$B573,DATA!$N:$N,$A573,DATA!$M:$M,'SALES BY SYSTEM'!$O$2)</f>
        <v>0</v>
      </c>
      <c r="Q570" s="182">
        <v>0</v>
      </c>
      <c r="R570" s="180" t="str">
        <f t="shared" si="98"/>
        <v/>
      </c>
      <c r="S570" s="218">
        <f>SUMIFS(DATA!$L:$L,DATA!$O:$O,$B573,DATA!$N:$N,$A573,DATA!$M:$M,'SALES BY SYSTEM'!$O$4)</f>
        <v>0</v>
      </c>
      <c r="T570" s="182">
        <v>0</v>
      </c>
      <c r="U570" s="180" t="str">
        <f t="shared" si="99"/>
        <v/>
      </c>
      <c r="V570" s="218">
        <f>SUMIFS(DATA!$L:$L,DATA!$O:$O,$B573,DATA!$N:$N,$A573,DATA!$M:$M,'SALES BY SYSTEM'!$O$3)</f>
        <v>0</v>
      </c>
      <c r="W570" s="168"/>
    </row>
    <row r="571" spans="1:23" ht="15.75" customHeight="1" x14ac:dyDescent="0.25">
      <c r="A571" s="178" t="s">
        <v>1773</v>
      </c>
      <c r="B571" s="178" t="s">
        <v>1755</v>
      </c>
      <c r="C571" s="178" t="str">
        <f>VLOOKUP(A571,CUSTOMER!$A:$C,3,0)</f>
        <v>SATRA_F1012HTP</v>
      </c>
      <c r="D571" s="178" t="s">
        <v>674</v>
      </c>
      <c r="E571" s="178" t="str">
        <f>VLOOKUP(A574,CUSTOMER!$A$2:$H$1094,5,0)</f>
        <v>VACANCY</v>
      </c>
      <c r="F571" s="178" t="str">
        <f>VLOOKUP(A574,CUSTOMER!$A$2:$I$1094,6,0)</f>
        <v>VACANCY</v>
      </c>
      <c r="G571" s="178" t="s">
        <v>676</v>
      </c>
      <c r="H571" s="179">
        <f t="shared" si="91"/>
        <v>0</v>
      </c>
      <c r="I571" s="180" t="str">
        <f t="shared" si="92"/>
        <v/>
      </c>
      <c r="J571" s="181">
        <f t="shared" si="93"/>
        <v>0</v>
      </c>
      <c r="K571" s="182">
        <v>0</v>
      </c>
      <c r="L571" s="180" t="str">
        <f t="shared" si="100"/>
        <v/>
      </c>
      <c r="M571" s="218">
        <f>SUMIFS(DATA!$L:$L,DATA!$O:$O,$B574,DATA!$N:$N,$A574,DATA!$M:$M,'SALES BY SYSTEM'!$O$1)</f>
        <v>0</v>
      </c>
      <c r="N571" s="182">
        <v>0</v>
      </c>
      <c r="O571" s="180" t="str">
        <f t="shared" si="97"/>
        <v/>
      </c>
      <c r="P571" s="218">
        <f>SUMIFS(DATA!$L:$L,DATA!$O:$O,$B574,DATA!$N:$N,$A574,DATA!$M:$M,'SALES BY SYSTEM'!$O$2)</f>
        <v>0</v>
      </c>
      <c r="Q571" s="182">
        <v>0</v>
      </c>
      <c r="R571" s="180" t="str">
        <f t="shared" si="98"/>
        <v/>
      </c>
      <c r="S571" s="218">
        <f>SUMIFS(DATA!$L:$L,DATA!$O:$O,$B574,DATA!$N:$N,$A574,DATA!$M:$M,'SALES BY SYSTEM'!$O$4)</f>
        <v>0</v>
      </c>
      <c r="T571" s="182">
        <v>0</v>
      </c>
      <c r="U571" s="180" t="str">
        <f t="shared" si="99"/>
        <v/>
      </c>
      <c r="V571" s="218">
        <f>SUMIFS(DATA!$L:$L,DATA!$O:$O,$B574,DATA!$N:$N,$A574,DATA!$M:$M,'SALES BY SYSTEM'!$O$3)</f>
        <v>0</v>
      </c>
      <c r="W571" s="168"/>
    </row>
    <row r="572" spans="1:23" ht="15.75" customHeight="1" x14ac:dyDescent="0.25">
      <c r="A572" s="178" t="s">
        <v>1775</v>
      </c>
      <c r="B572" s="178" t="s">
        <v>1755</v>
      </c>
      <c r="C572" s="178" t="str">
        <f>VLOOKUP(A572,CUSTOMER!$A:$C,3,0)</f>
        <v>SATRA_F1013TD</v>
      </c>
      <c r="D572" s="178" t="s">
        <v>674</v>
      </c>
      <c r="E572" s="178" t="str">
        <f>VLOOKUP(A575,CUSTOMER!$A$2:$H$1094,5,0)</f>
        <v>VACANCY</v>
      </c>
      <c r="F572" s="178" t="str">
        <f>VLOOKUP(A575,CUSTOMER!$A$2:$I$1094,6,0)</f>
        <v>VACANCY</v>
      </c>
      <c r="G572" s="178" t="s">
        <v>676</v>
      </c>
      <c r="H572" s="179">
        <f t="shared" si="91"/>
        <v>0</v>
      </c>
      <c r="I572" s="180" t="str">
        <f t="shared" si="92"/>
        <v/>
      </c>
      <c r="J572" s="181">
        <f t="shared" si="93"/>
        <v>0</v>
      </c>
      <c r="K572" s="182">
        <v>0</v>
      </c>
      <c r="L572" s="180" t="str">
        <f t="shared" si="100"/>
        <v/>
      </c>
      <c r="M572" s="218">
        <f>SUMIFS(DATA!$L:$L,DATA!$O:$O,$B575,DATA!$N:$N,$A575,DATA!$M:$M,'SALES BY SYSTEM'!$O$1)</f>
        <v>0</v>
      </c>
      <c r="N572" s="182">
        <v>0</v>
      </c>
      <c r="O572" s="180" t="str">
        <f t="shared" si="97"/>
        <v/>
      </c>
      <c r="P572" s="218">
        <f>SUMIFS(DATA!$L:$L,DATA!$O:$O,$B575,DATA!$N:$N,$A575,DATA!$M:$M,'SALES BY SYSTEM'!$O$2)</f>
        <v>0</v>
      </c>
      <c r="Q572" s="182">
        <v>0</v>
      </c>
      <c r="R572" s="180" t="str">
        <f t="shared" si="98"/>
        <v/>
      </c>
      <c r="S572" s="218">
        <f>SUMIFS(DATA!$L:$L,DATA!$O:$O,$B575,DATA!$N:$N,$A575,DATA!$M:$M,'SALES BY SYSTEM'!$O$4)</f>
        <v>0</v>
      </c>
      <c r="T572" s="182">
        <v>0</v>
      </c>
      <c r="U572" s="180" t="str">
        <f t="shared" si="99"/>
        <v/>
      </c>
      <c r="V572" s="218">
        <f>SUMIFS(DATA!$L:$L,DATA!$O:$O,$B575,DATA!$N:$N,$A575,DATA!$M:$M,'SALES BY SYSTEM'!$O$3)</f>
        <v>0</v>
      </c>
      <c r="W572" s="168"/>
    </row>
    <row r="573" spans="1:23" ht="15.75" customHeight="1" x14ac:dyDescent="0.25">
      <c r="A573" s="178" t="s">
        <v>1777</v>
      </c>
      <c r="B573" s="178" t="s">
        <v>1755</v>
      </c>
      <c r="C573" s="178" t="str">
        <f>VLOOKUP(A573,CUSTOMER!$A:$C,3,0)</f>
        <v>SATRA_F1014NTL</v>
      </c>
      <c r="D573" s="178" t="s">
        <v>674</v>
      </c>
      <c r="E573" s="178" t="str">
        <f>VLOOKUP(A576,CUSTOMER!$A$2:$H$1094,5,0)</f>
        <v>VACANCY</v>
      </c>
      <c r="F573" s="178" t="str">
        <f>VLOOKUP(A576,CUSTOMER!$A$2:$I$1094,6,0)</f>
        <v>VACANCY</v>
      </c>
      <c r="G573" s="178" t="s">
        <v>676</v>
      </c>
      <c r="H573" s="179">
        <f t="shared" si="91"/>
        <v>0</v>
      </c>
      <c r="I573" s="180" t="str">
        <f t="shared" si="92"/>
        <v/>
      </c>
      <c r="J573" s="181">
        <f t="shared" si="93"/>
        <v>0</v>
      </c>
      <c r="K573" s="182">
        <v>0</v>
      </c>
      <c r="L573" s="180" t="str">
        <f t="shared" si="100"/>
        <v/>
      </c>
      <c r="M573" s="218">
        <f>SUMIFS(DATA!$L:$L,DATA!$O:$O,$B576,DATA!$N:$N,$A576,DATA!$M:$M,'SALES BY SYSTEM'!$O$1)</f>
        <v>0</v>
      </c>
      <c r="N573" s="182">
        <v>0</v>
      </c>
      <c r="O573" s="180" t="str">
        <f t="shared" si="97"/>
        <v/>
      </c>
      <c r="P573" s="218">
        <f>SUMIFS(DATA!$L:$L,DATA!$O:$O,$B576,DATA!$N:$N,$A576,DATA!$M:$M,'SALES BY SYSTEM'!$O$2)</f>
        <v>0</v>
      </c>
      <c r="Q573" s="182">
        <v>0</v>
      </c>
      <c r="R573" s="180" t="str">
        <f t="shared" si="98"/>
        <v/>
      </c>
      <c r="S573" s="218">
        <f>SUMIFS(DATA!$L:$L,DATA!$O:$O,$B576,DATA!$N:$N,$A576,DATA!$M:$M,'SALES BY SYSTEM'!$O$4)</f>
        <v>0</v>
      </c>
      <c r="T573" s="182">
        <v>0</v>
      </c>
      <c r="U573" s="180" t="str">
        <f t="shared" si="99"/>
        <v/>
      </c>
      <c r="V573" s="218">
        <f>SUMIFS(DATA!$L:$L,DATA!$O:$O,$B576,DATA!$N:$N,$A576,DATA!$M:$M,'SALES BY SYSTEM'!$O$3)</f>
        <v>0</v>
      </c>
      <c r="W573" s="168"/>
    </row>
    <row r="574" spans="1:23" ht="15.75" customHeight="1" x14ac:dyDescent="0.25">
      <c r="A574" s="178" t="s">
        <v>1779</v>
      </c>
      <c r="B574" s="178" t="s">
        <v>1755</v>
      </c>
      <c r="C574" s="178" t="str">
        <f>VLOOKUP(A574,CUSTOMER!$A:$C,3,0)</f>
        <v>SATRA_F1015LTT</v>
      </c>
      <c r="D574" s="178" t="s">
        <v>674</v>
      </c>
      <c r="E574" s="178" t="str">
        <f>VLOOKUP(A577,CUSTOMER!$A$2:$H$1094,5,0)</f>
        <v>VACANCY</v>
      </c>
      <c r="F574" s="178" t="str">
        <f>VLOOKUP(A577,CUSTOMER!$A$2:$I$1094,6,0)</f>
        <v>VACANCY</v>
      </c>
      <c r="G574" s="178" t="s">
        <v>676</v>
      </c>
      <c r="H574" s="179">
        <f t="shared" si="91"/>
        <v>0</v>
      </c>
      <c r="I574" s="180" t="str">
        <f t="shared" si="92"/>
        <v/>
      </c>
      <c r="J574" s="181">
        <f t="shared" si="93"/>
        <v>0</v>
      </c>
      <c r="K574" s="182">
        <v>0</v>
      </c>
      <c r="L574" s="180" t="str">
        <f t="shared" si="100"/>
        <v/>
      </c>
      <c r="M574" s="218">
        <f>SUMIFS(DATA!$L:$L,DATA!$O:$O,$B577,DATA!$N:$N,$A577,DATA!$M:$M,'SALES BY SYSTEM'!$O$1)</f>
        <v>0</v>
      </c>
      <c r="N574" s="182">
        <v>0</v>
      </c>
      <c r="O574" s="180" t="str">
        <f t="shared" si="97"/>
        <v/>
      </c>
      <c r="P574" s="218">
        <f>SUMIFS(DATA!$L:$L,DATA!$O:$O,$B577,DATA!$N:$N,$A577,DATA!$M:$M,'SALES BY SYSTEM'!$O$2)</f>
        <v>0</v>
      </c>
      <c r="Q574" s="182">
        <v>0</v>
      </c>
      <c r="R574" s="180" t="str">
        <f t="shared" si="98"/>
        <v/>
      </c>
      <c r="S574" s="218">
        <f>SUMIFS(DATA!$L:$L,DATA!$O:$O,$B577,DATA!$N:$N,$A577,DATA!$M:$M,'SALES BY SYSTEM'!$O$4)</f>
        <v>0</v>
      </c>
      <c r="T574" s="182">
        <v>0</v>
      </c>
      <c r="U574" s="180" t="str">
        <f t="shared" si="99"/>
        <v/>
      </c>
      <c r="V574" s="218">
        <f>SUMIFS(DATA!$L:$L,DATA!$O:$O,$B577,DATA!$N:$N,$A577,DATA!$M:$M,'SALES BY SYSTEM'!$O$3)</f>
        <v>0</v>
      </c>
      <c r="W574" s="168"/>
    </row>
    <row r="575" spans="1:23" ht="15.75" customHeight="1" x14ac:dyDescent="0.25">
      <c r="A575" s="178" t="s">
        <v>1781</v>
      </c>
      <c r="B575" s="178" t="s">
        <v>1755</v>
      </c>
      <c r="C575" s="178" t="str">
        <f>VLOOKUP(A575,CUSTOMER!$A:$C,3,0)</f>
        <v>SATRA_F1017PHI</v>
      </c>
      <c r="D575" s="178" t="s">
        <v>674</v>
      </c>
      <c r="E575" s="178" t="str">
        <f>VLOOKUP(A578,CUSTOMER!$A$2:$H$1094,5,0)</f>
        <v>VACANCY</v>
      </c>
      <c r="F575" s="178" t="str">
        <f>VLOOKUP(A578,CUSTOMER!$A$2:$I$1094,6,0)</f>
        <v>VACANCY</v>
      </c>
      <c r="G575" s="178" t="s">
        <v>676</v>
      </c>
      <c r="H575" s="179">
        <f t="shared" si="91"/>
        <v>0</v>
      </c>
      <c r="I575" s="180" t="str">
        <f t="shared" si="92"/>
        <v/>
      </c>
      <c r="J575" s="181">
        <f t="shared" si="93"/>
        <v>0</v>
      </c>
      <c r="K575" s="182">
        <v>0</v>
      </c>
      <c r="L575" s="180" t="str">
        <f t="shared" si="100"/>
        <v/>
      </c>
      <c r="M575" s="218">
        <f>SUMIFS(DATA!$L:$L,DATA!$O:$O,$B578,DATA!$N:$N,$A578,DATA!$M:$M,'SALES BY SYSTEM'!$O$1)</f>
        <v>0</v>
      </c>
      <c r="N575" s="182">
        <v>0</v>
      </c>
      <c r="O575" s="180" t="str">
        <f t="shared" si="97"/>
        <v/>
      </c>
      <c r="P575" s="218">
        <f>SUMIFS(DATA!$L:$L,DATA!$O:$O,$B578,DATA!$N:$N,$A578,DATA!$M:$M,'SALES BY SYSTEM'!$O$2)</f>
        <v>0</v>
      </c>
      <c r="Q575" s="182">
        <v>0</v>
      </c>
      <c r="R575" s="180" t="str">
        <f t="shared" si="98"/>
        <v/>
      </c>
      <c r="S575" s="218">
        <f>SUMIFS(DATA!$L:$L,DATA!$O:$O,$B578,DATA!$N:$N,$A578,DATA!$M:$M,'SALES BY SYSTEM'!$O$4)</f>
        <v>0</v>
      </c>
      <c r="T575" s="182">
        <v>0</v>
      </c>
      <c r="U575" s="180" t="str">
        <f t="shared" si="99"/>
        <v/>
      </c>
      <c r="V575" s="218">
        <f>SUMIFS(DATA!$L:$L,DATA!$O:$O,$B578,DATA!$N:$N,$A578,DATA!$M:$M,'SALES BY SYSTEM'!$O$3)</f>
        <v>0</v>
      </c>
      <c r="W575" s="168"/>
    </row>
    <row r="576" spans="1:23" ht="15.75" customHeight="1" x14ac:dyDescent="0.25">
      <c r="A576" s="178" t="s">
        <v>1783</v>
      </c>
      <c r="B576" s="178" t="s">
        <v>1755</v>
      </c>
      <c r="C576" s="178" t="str">
        <f>VLOOKUP(A576,CUSTOMER!$A:$C,3,0)</f>
        <v>SATRA_F1018KP2VL</v>
      </c>
      <c r="D576" s="178" t="s">
        <v>674</v>
      </c>
      <c r="E576" s="178" t="str">
        <f>VLOOKUP(A579,CUSTOMER!$A$2:$H$1094,5,0)</f>
        <v>VACANCY</v>
      </c>
      <c r="F576" s="178" t="str">
        <f>VLOOKUP(A579,CUSTOMER!$A$2:$I$1094,6,0)</f>
        <v>VACANCY</v>
      </c>
      <c r="G576" s="178" t="s">
        <v>676</v>
      </c>
      <c r="H576" s="179">
        <f t="shared" si="91"/>
        <v>0</v>
      </c>
      <c r="I576" s="180" t="str">
        <f t="shared" si="92"/>
        <v/>
      </c>
      <c r="J576" s="181">
        <f t="shared" si="93"/>
        <v>0</v>
      </c>
      <c r="K576" s="182">
        <v>0</v>
      </c>
      <c r="L576" s="180" t="str">
        <f t="shared" si="100"/>
        <v/>
      </c>
      <c r="M576" s="218">
        <f>SUMIFS(DATA!$L:$L,DATA!$O:$O,$B579,DATA!$N:$N,$A579,DATA!$M:$M,'SALES BY SYSTEM'!$O$1)</f>
        <v>0</v>
      </c>
      <c r="N576" s="182">
        <v>0</v>
      </c>
      <c r="O576" s="180" t="str">
        <f t="shared" si="97"/>
        <v/>
      </c>
      <c r="P576" s="218">
        <f>SUMIFS(DATA!$L:$L,DATA!$O:$O,$B579,DATA!$N:$N,$A579,DATA!$M:$M,'SALES BY SYSTEM'!$O$2)</f>
        <v>0</v>
      </c>
      <c r="Q576" s="182">
        <v>0</v>
      </c>
      <c r="R576" s="180" t="str">
        <f t="shared" si="98"/>
        <v/>
      </c>
      <c r="S576" s="218">
        <f>SUMIFS(DATA!$L:$L,DATA!$O:$O,$B579,DATA!$N:$N,$A579,DATA!$M:$M,'SALES BY SYSTEM'!$O$4)</f>
        <v>0</v>
      </c>
      <c r="T576" s="182">
        <v>0</v>
      </c>
      <c r="U576" s="180" t="str">
        <f t="shared" si="99"/>
        <v/>
      </c>
      <c r="V576" s="218">
        <f>SUMIFS(DATA!$L:$L,DATA!$O:$O,$B579,DATA!$N:$N,$A579,DATA!$M:$M,'SALES BY SYSTEM'!$O$3)</f>
        <v>0</v>
      </c>
      <c r="W576" s="168"/>
    </row>
    <row r="577" spans="1:23" ht="15.75" customHeight="1" x14ac:dyDescent="0.25">
      <c r="A577" s="178" t="s">
        <v>1785</v>
      </c>
      <c r="B577" s="178" t="s">
        <v>1755</v>
      </c>
      <c r="C577" s="178" t="str">
        <f>VLOOKUP(A577,CUSTOMER!$A:$C,3,0)</f>
        <v>SATRA_F1019DS41</v>
      </c>
      <c r="D577" s="178" t="s">
        <v>674</v>
      </c>
      <c r="E577" s="178" t="str">
        <f>VLOOKUP(A580,CUSTOMER!$A$2:$H$1094,5,0)</f>
        <v>VACANCY</v>
      </c>
      <c r="F577" s="178" t="str">
        <f>VLOOKUP(A580,CUSTOMER!$A$2:$I$1094,6,0)</f>
        <v>VACANCY</v>
      </c>
      <c r="G577" s="178" t="s">
        <v>676</v>
      </c>
      <c r="H577" s="179">
        <f t="shared" si="91"/>
        <v>0</v>
      </c>
      <c r="I577" s="180" t="str">
        <f t="shared" si="92"/>
        <v/>
      </c>
      <c r="J577" s="181">
        <f t="shared" si="93"/>
        <v>0</v>
      </c>
      <c r="K577" s="182">
        <v>0</v>
      </c>
      <c r="L577" s="180" t="str">
        <f t="shared" si="100"/>
        <v/>
      </c>
      <c r="M577" s="218">
        <f>SUMIFS(DATA!$L:$L,DATA!$O:$O,$B580,DATA!$N:$N,$A580,DATA!$M:$M,'SALES BY SYSTEM'!$O$1)</f>
        <v>0</v>
      </c>
      <c r="N577" s="182">
        <v>0</v>
      </c>
      <c r="O577" s="180" t="str">
        <f t="shared" si="97"/>
        <v/>
      </c>
      <c r="P577" s="218">
        <f>SUMIFS(DATA!$L:$L,DATA!$O:$O,$B580,DATA!$N:$N,$A580,DATA!$M:$M,'SALES BY SYSTEM'!$O$2)</f>
        <v>0</v>
      </c>
      <c r="Q577" s="182">
        <v>0</v>
      </c>
      <c r="R577" s="180" t="str">
        <f t="shared" si="98"/>
        <v/>
      </c>
      <c r="S577" s="218">
        <f>SUMIFS(DATA!$L:$L,DATA!$O:$O,$B580,DATA!$N:$N,$A580,DATA!$M:$M,'SALES BY SYSTEM'!$O$4)</f>
        <v>0</v>
      </c>
      <c r="T577" s="182">
        <v>0</v>
      </c>
      <c r="U577" s="180" t="str">
        <f t="shared" si="99"/>
        <v/>
      </c>
      <c r="V577" s="218">
        <f>SUMIFS(DATA!$L:$L,DATA!$O:$O,$B580,DATA!$N:$N,$A580,DATA!$M:$M,'SALES BY SYSTEM'!$O$3)</f>
        <v>0</v>
      </c>
      <c r="W577" s="168"/>
    </row>
    <row r="578" spans="1:23" ht="15.75" customHeight="1" x14ac:dyDescent="0.25">
      <c r="A578" s="178" t="s">
        <v>1787</v>
      </c>
      <c r="B578" s="178" t="s">
        <v>1755</v>
      </c>
      <c r="C578" s="178" t="str">
        <f>VLOOKUP(A578,CUSTOMER!$A:$C,3,0)</f>
        <v>SATRA_F1020PDL</v>
      </c>
      <c r="D578" s="178" t="s">
        <v>674</v>
      </c>
      <c r="E578" s="178" t="str">
        <f>VLOOKUP(A581,CUSTOMER!$A$2:$H$1094,5,0)</f>
        <v>VACANCY</v>
      </c>
      <c r="F578" s="178" t="str">
        <f>VLOOKUP(A581,CUSTOMER!$A$2:$I$1094,6,0)</f>
        <v>VACANCY</v>
      </c>
      <c r="G578" s="178" t="s">
        <v>676</v>
      </c>
      <c r="H578" s="179">
        <f t="shared" si="91"/>
        <v>0</v>
      </c>
      <c r="I578" s="180" t="str">
        <f t="shared" si="92"/>
        <v/>
      </c>
      <c r="J578" s="181">
        <f t="shared" si="93"/>
        <v>0</v>
      </c>
      <c r="K578" s="182">
        <v>0</v>
      </c>
      <c r="L578" s="180" t="str">
        <f t="shared" si="100"/>
        <v/>
      </c>
      <c r="M578" s="218">
        <f>SUMIFS(DATA!$L:$L,DATA!$O:$O,$B581,DATA!$N:$N,$A581,DATA!$M:$M,'SALES BY SYSTEM'!$O$1)</f>
        <v>0</v>
      </c>
      <c r="N578" s="182">
        <v>0</v>
      </c>
      <c r="O578" s="180" t="str">
        <f t="shared" si="97"/>
        <v/>
      </c>
      <c r="P578" s="218">
        <f>SUMIFS(DATA!$L:$L,DATA!$O:$O,$B581,DATA!$N:$N,$A581,DATA!$M:$M,'SALES BY SYSTEM'!$O$2)</f>
        <v>0</v>
      </c>
      <c r="Q578" s="182">
        <v>0</v>
      </c>
      <c r="R578" s="180" t="str">
        <f t="shared" si="98"/>
        <v/>
      </c>
      <c r="S578" s="218">
        <f>SUMIFS(DATA!$L:$L,DATA!$O:$O,$B581,DATA!$N:$N,$A581,DATA!$M:$M,'SALES BY SYSTEM'!$O$4)</f>
        <v>0</v>
      </c>
      <c r="T578" s="182">
        <v>0</v>
      </c>
      <c r="U578" s="180" t="str">
        <f t="shared" si="99"/>
        <v/>
      </c>
      <c r="V578" s="218">
        <f>SUMIFS(DATA!$L:$L,DATA!$O:$O,$B581,DATA!$N:$N,$A581,DATA!$M:$M,'SALES BY SYSTEM'!$O$3)</f>
        <v>0</v>
      </c>
      <c r="W578" s="168"/>
    </row>
    <row r="579" spans="1:23" ht="15.75" customHeight="1" x14ac:dyDescent="0.25">
      <c r="A579" s="178" t="s">
        <v>1789</v>
      </c>
      <c r="B579" s="178" t="s">
        <v>1755</v>
      </c>
      <c r="C579" s="178" t="str">
        <f>VLOOKUP(A579,CUSTOMER!$A:$C,3,0)</f>
        <v>SATRA_F1021LVT</v>
      </c>
      <c r="D579" s="178" t="s">
        <v>674</v>
      </c>
      <c r="E579" s="178" t="str">
        <f>VLOOKUP(A582,CUSTOMER!$A$2:$H$1094,5,0)</f>
        <v>VACANCY</v>
      </c>
      <c r="F579" s="178" t="str">
        <f>VLOOKUP(A582,CUSTOMER!$A$2:$I$1094,6,0)</f>
        <v>VACANCY</v>
      </c>
      <c r="G579" s="178" t="s">
        <v>676</v>
      </c>
      <c r="H579" s="179">
        <f t="shared" si="91"/>
        <v>0</v>
      </c>
      <c r="I579" s="180" t="str">
        <f t="shared" si="92"/>
        <v/>
      </c>
      <c r="J579" s="181">
        <f t="shared" si="93"/>
        <v>0</v>
      </c>
      <c r="K579" s="182">
        <v>0</v>
      </c>
      <c r="L579" s="180" t="str">
        <f t="shared" si="100"/>
        <v/>
      </c>
      <c r="M579" s="218">
        <f>SUMIFS(DATA!$L:$L,DATA!$O:$O,$B582,DATA!$N:$N,$A582,DATA!$M:$M,'SALES BY SYSTEM'!$O$1)</f>
        <v>0</v>
      </c>
      <c r="N579" s="182">
        <v>0</v>
      </c>
      <c r="O579" s="180" t="str">
        <f t="shared" si="97"/>
        <v/>
      </c>
      <c r="P579" s="218">
        <f>SUMIFS(DATA!$L:$L,DATA!$O:$O,$B582,DATA!$N:$N,$A582,DATA!$M:$M,'SALES BY SYSTEM'!$O$2)</f>
        <v>0</v>
      </c>
      <c r="Q579" s="182">
        <v>0</v>
      </c>
      <c r="R579" s="180" t="str">
        <f t="shared" si="98"/>
        <v/>
      </c>
      <c r="S579" s="218">
        <f>SUMIFS(DATA!$L:$L,DATA!$O:$O,$B582,DATA!$N:$N,$A582,DATA!$M:$M,'SALES BY SYSTEM'!$O$4)</f>
        <v>0</v>
      </c>
      <c r="T579" s="182">
        <v>0</v>
      </c>
      <c r="U579" s="180" t="str">
        <f t="shared" si="99"/>
        <v/>
      </c>
      <c r="V579" s="218">
        <f>SUMIFS(DATA!$L:$L,DATA!$O:$O,$B582,DATA!$N:$N,$A582,DATA!$M:$M,'SALES BY SYSTEM'!$O$3)</f>
        <v>0</v>
      </c>
      <c r="W579" s="168"/>
    </row>
    <row r="580" spans="1:23" ht="15.75" customHeight="1" x14ac:dyDescent="0.25">
      <c r="A580" s="178" t="s">
        <v>1791</v>
      </c>
      <c r="B580" s="178" t="s">
        <v>1755</v>
      </c>
      <c r="C580" s="178" t="str">
        <f>VLOOKUP(A580,CUSTOMER!$A:$C,3,0)</f>
        <v>SATRA_F1022LTR</v>
      </c>
      <c r="D580" s="178" t="s">
        <v>674</v>
      </c>
      <c r="E580" s="178" t="str">
        <f>VLOOKUP(A583,CUSTOMER!$A$2:$H$1094,5,0)</f>
        <v>VACANCY</v>
      </c>
      <c r="F580" s="178" t="str">
        <f>VLOOKUP(A583,CUSTOMER!$A$2:$I$1094,6,0)</f>
        <v>VACANCY</v>
      </c>
      <c r="G580" s="178" t="s">
        <v>676</v>
      </c>
      <c r="H580" s="179">
        <f t="shared" si="91"/>
        <v>0</v>
      </c>
      <c r="I580" s="180" t="str">
        <f t="shared" si="92"/>
        <v/>
      </c>
      <c r="J580" s="181">
        <f t="shared" si="93"/>
        <v>0</v>
      </c>
      <c r="K580" s="182">
        <v>0</v>
      </c>
      <c r="L580" s="180" t="str">
        <f t="shared" si="100"/>
        <v/>
      </c>
      <c r="M580" s="218">
        <f>SUMIFS(DATA!$L:$L,DATA!$O:$O,$B583,DATA!$N:$N,$A583,DATA!$M:$M,'SALES BY SYSTEM'!$O$1)</f>
        <v>0</v>
      </c>
      <c r="N580" s="182">
        <v>0</v>
      </c>
      <c r="O580" s="180" t="str">
        <f t="shared" si="97"/>
        <v/>
      </c>
      <c r="P580" s="218">
        <f>SUMIFS(DATA!$L:$L,DATA!$O:$O,$B583,DATA!$N:$N,$A583,DATA!$M:$M,'SALES BY SYSTEM'!$O$2)</f>
        <v>0</v>
      </c>
      <c r="Q580" s="182">
        <v>0</v>
      </c>
      <c r="R580" s="180" t="str">
        <f t="shared" si="98"/>
        <v/>
      </c>
      <c r="S580" s="218">
        <f>SUMIFS(DATA!$L:$L,DATA!$O:$O,$B583,DATA!$N:$N,$A583,DATA!$M:$M,'SALES BY SYSTEM'!$O$4)</f>
        <v>0</v>
      </c>
      <c r="T580" s="182">
        <v>0</v>
      </c>
      <c r="U580" s="180" t="str">
        <f t="shared" si="99"/>
        <v/>
      </c>
      <c r="V580" s="218">
        <f>SUMIFS(DATA!$L:$L,DATA!$O:$O,$B583,DATA!$N:$N,$A583,DATA!$M:$M,'SALES BY SYSTEM'!$O$3)</f>
        <v>0</v>
      </c>
      <c r="W580" s="168"/>
    </row>
    <row r="581" spans="1:23" ht="15.75" customHeight="1" x14ac:dyDescent="0.25">
      <c r="A581" s="178" t="s">
        <v>1793</v>
      </c>
      <c r="B581" s="178" t="s">
        <v>1755</v>
      </c>
      <c r="C581" s="178" t="str">
        <f>VLOOKUP(A581,CUSTOMER!$A:$C,3,0)</f>
        <v>SATRA_F1023DBT</v>
      </c>
      <c r="D581" s="178" t="s">
        <v>674</v>
      </c>
      <c r="E581" s="178" t="str">
        <f>VLOOKUP(A584,CUSTOMER!$A$2:$H$1094,5,0)</f>
        <v>VACANCY</v>
      </c>
      <c r="F581" s="178" t="str">
        <f>VLOOKUP(A584,CUSTOMER!$A$2:$I$1094,6,0)</f>
        <v>VACANCY</v>
      </c>
      <c r="G581" s="178" t="s">
        <v>676</v>
      </c>
      <c r="H581" s="179">
        <f t="shared" si="91"/>
        <v>0</v>
      </c>
      <c r="I581" s="180" t="str">
        <f t="shared" si="92"/>
        <v/>
      </c>
      <c r="J581" s="181">
        <f t="shared" si="93"/>
        <v>0</v>
      </c>
      <c r="K581" s="182">
        <v>0</v>
      </c>
      <c r="L581" s="180" t="str">
        <f t="shared" si="100"/>
        <v/>
      </c>
      <c r="M581" s="218">
        <f>SUMIFS(DATA!$L:$L,DATA!$O:$O,$B584,DATA!$N:$N,$A584,DATA!$M:$M,'SALES BY SYSTEM'!$O$1)</f>
        <v>0</v>
      </c>
      <c r="N581" s="182">
        <v>0</v>
      </c>
      <c r="O581" s="180" t="str">
        <f t="shared" si="97"/>
        <v/>
      </c>
      <c r="P581" s="218">
        <f>SUMIFS(DATA!$L:$L,DATA!$O:$O,$B584,DATA!$N:$N,$A584,DATA!$M:$M,'SALES BY SYSTEM'!$O$2)</f>
        <v>0</v>
      </c>
      <c r="Q581" s="182">
        <v>0</v>
      </c>
      <c r="R581" s="180" t="str">
        <f t="shared" si="98"/>
        <v/>
      </c>
      <c r="S581" s="218">
        <f>SUMIFS(DATA!$L:$L,DATA!$O:$O,$B584,DATA!$N:$N,$A584,DATA!$M:$M,'SALES BY SYSTEM'!$O$4)</f>
        <v>0</v>
      </c>
      <c r="T581" s="182">
        <v>0</v>
      </c>
      <c r="U581" s="180" t="str">
        <f t="shared" si="99"/>
        <v/>
      </c>
      <c r="V581" s="218">
        <f>SUMIFS(DATA!$L:$L,DATA!$O:$O,$B584,DATA!$N:$N,$A584,DATA!$M:$M,'SALES BY SYSTEM'!$O$3)</f>
        <v>0</v>
      </c>
      <c r="W581" s="168"/>
    </row>
    <row r="582" spans="1:23" ht="15.75" customHeight="1" x14ac:dyDescent="0.25">
      <c r="A582" s="178" t="s">
        <v>1795</v>
      </c>
      <c r="B582" s="178" t="s">
        <v>1755</v>
      </c>
      <c r="C582" s="178" t="str">
        <f>VLOOKUP(A582,CUSTOMER!$A:$C,3,0)</f>
        <v>SATRA_F1024PTH</v>
      </c>
      <c r="D582" s="178" t="s">
        <v>674</v>
      </c>
      <c r="E582" s="178" t="str">
        <f>VLOOKUP(A585,CUSTOMER!$A$2:$H$1094,5,0)</f>
        <v>VACANCY</v>
      </c>
      <c r="F582" s="178" t="str">
        <f>VLOOKUP(A585,CUSTOMER!$A$2:$I$1094,6,0)</f>
        <v>VACANCY</v>
      </c>
      <c r="G582" s="178" t="s">
        <v>676</v>
      </c>
      <c r="H582" s="179">
        <f t="shared" si="91"/>
        <v>0</v>
      </c>
      <c r="I582" s="180" t="str">
        <f t="shared" si="92"/>
        <v/>
      </c>
      <c r="J582" s="181">
        <f t="shared" si="93"/>
        <v>0</v>
      </c>
      <c r="K582" s="182">
        <v>0</v>
      </c>
      <c r="L582" s="180" t="str">
        <f t="shared" si="100"/>
        <v/>
      </c>
      <c r="M582" s="218">
        <f>SUMIFS(DATA!$L:$L,DATA!$O:$O,$B585,DATA!$N:$N,$A585,DATA!$M:$M,'SALES BY SYSTEM'!$O$1)</f>
        <v>0</v>
      </c>
      <c r="N582" s="182">
        <v>0</v>
      </c>
      <c r="O582" s="180" t="str">
        <f t="shared" si="97"/>
        <v/>
      </c>
      <c r="P582" s="218">
        <f>SUMIFS(DATA!$L:$L,DATA!$O:$O,$B585,DATA!$N:$N,$A585,DATA!$M:$M,'SALES BY SYSTEM'!$O$2)</f>
        <v>0</v>
      </c>
      <c r="Q582" s="182">
        <v>0</v>
      </c>
      <c r="R582" s="180" t="str">
        <f t="shared" si="98"/>
        <v/>
      </c>
      <c r="S582" s="218">
        <f>SUMIFS(DATA!$L:$L,DATA!$O:$O,$B585,DATA!$N:$N,$A585,DATA!$M:$M,'SALES BY SYSTEM'!$O$4)</f>
        <v>0</v>
      </c>
      <c r="T582" s="182">
        <v>0</v>
      </c>
      <c r="U582" s="180" t="str">
        <f t="shared" si="99"/>
        <v/>
      </c>
      <c r="V582" s="218">
        <f>SUMIFS(DATA!$L:$L,DATA!$O:$O,$B585,DATA!$N:$N,$A585,DATA!$M:$M,'SALES BY SYSTEM'!$O$3)</f>
        <v>0</v>
      </c>
      <c r="W582" s="168"/>
    </row>
    <row r="583" spans="1:23" ht="15.75" customHeight="1" x14ac:dyDescent="0.25">
      <c r="A583" s="178" t="s">
        <v>1797</v>
      </c>
      <c r="B583" s="178" t="s">
        <v>1755</v>
      </c>
      <c r="C583" s="178" t="str">
        <f>VLOOKUP(A583,CUSTOMER!$A:$C,3,0)</f>
        <v>SATRA_F1025LLQ</v>
      </c>
      <c r="D583" s="178" t="s">
        <v>674</v>
      </c>
      <c r="E583" s="178" t="str">
        <f>VLOOKUP(A586,CUSTOMER!$A$2:$H$1094,5,0)</f>
        <v>VACANCY</v>
      </c>
      <c r="F583" s="178" t="str">
        <f>VLOOKUP(A586,CUSTOMER!$A$2:$I$1094,6,0)</f>
        <v>VACANCY</v>
      </c>
      <c r="G583" s="178" t="s">
        <v>676</v>
      </c>
      <c r="H583" s="179">
        <f t="shared" si="91"/>
        <v>0</v>
      </c>
      <c r="I583" s="180" t="str">
        <f t="shared" si="92"/>
        <v/>
      </c>
      <c r="J583" s="181">
        <f t="shared" si="93"/>
        <v>0</v>
      </c>
      <c r="K583" s="182">
        <v>0</v>
      </c>
      <c r="L583" s="180" t="str">
        <f t="shared" si="100"/>
        <v/>
      </c>
      <c r="M583" s="218">
        <f>SUMIFS(DATA!$L:$L,DATA!$O:$O,$B586,DATA!$N:$N,$A586,DATA!$M:$M,'SALES BY SYSTEM'!$O$1)</f>
        <v>0</v>
      </c>
      <c r="N583" s="182">
        <v>0</v>
      </c>
      <c r="O583" s="180" t="str">
        <f t="shared" si="97"/>
        <v/>
      </c>
      <c r="P583" s="218">
        <f>SUMIFS(DATA!$L:$L,DATA!$O:$O,$B586,DATA!$N:$N,$A586,DATA!$M:$M,'SALES BY SYSTEM'!$O$2)</f>
        <v>0</v>
      </c>
      <c r="Q583" s="182">
        <v>0</v>
      </c>
      <c r="R583" s="180" t="str">
        <f t="shared" si="98"/>
        <v/>
      </c>
      <c r="S583" s="218">
        <f>SUMIFS(DATA!$L:$L,DATA!$O:$O,$B586,DATA!$N:$N,$A586,DATA!$M:$M,'SALES BY SYSTEM'!$O$4)</f>
        <v>0</v>
      </c>
      <c r="T583" s="182">
        <v>0</v>
      </c>
      <c r="U583" s="180" t="str">
        <f t="shared" si="99"/>
        <v/>
      </c>
      <c r="V583" s="218">
        <f>SUMIFS(DATA!$L:$L,DATA!$O:$O,$B586,DATA!$N:$N,$A586,DATA!$M:$M,'SALES BY SYSTEM'!$O$3)</f>
        <v>0</v>
      </c>
      <c r="W583" s="168"/>
    </row>
    <row r="584" spans="1:23" ht="15.75" customHeight="1" x14ac:dyDescent="0.25">
      <c r="A584" s="178" t="s">
        <v>1799</v>
      </c>
      <c r="B584" s="178" t="s">
        <v>1755</v>
      </c>
      <c r="C584" s="178" t="str">
        <f>VLOOKUP(A584,CUSTOMER!$A:$C,3,0)</f>
        <v>SATRA_F1026HP</v>
      </c>
      <c r="D584" s="178" t="s">
        <v>674</v>
      </c>
      <c r="E584" s="178" t="str">
        <f>VLOOKUP(A587,CUSTOMER!$A$2:$H$1094,5,0)</f>
        <v>VACANCY</v>
      </c>
      <c r="F584" s="178" t="str">
        <f>VLOOKUP(A587,CUSTOMER!$A$2:$I$1094,6,0)</f>
        <v>VACANCY</v>
      </c>
      <c r="G584" s="178" t="s">
        <v>676</v>
      </c>
      <c r="H584" s="179">
        <f t="shared" si="91"/>
        <v>0</v>
      </c>
      <c r="I584" s="180" t="str">
        <f t="shared" si="92"/>
        <v/>
      </c>
      <c r="J584" s="181">
        <f t="shared" si="93"/>
        <v>0</v>
      </c>
      <c r="K584" s="182">
        <v>0</v>
      </c>
      <c r="L584" s="180" t="str">
        <f t="shared" si="100"/>
        <v/>
      </c>
      <c r="M584" s="218">
        <f>SUMIFS(DATA!$L:$L,DATA!$O:$O,$B587,DATA!$N:$N,$A587,DATA!$M:$M,'SALES BY SYSTEM'!$O$1)</f>
        <v>0</v>
      </c>
      <c r="N584" s="182">
        <v>0</v>
      </c>
      <c r="O584" s="180" t="str">
        <f t="shared" si="97"/>
        <v/>
      </c>
      <c r="P584" s="218">
        <f>SUMIFS(DATA!$L:$L,DATA!$O:$O,$B587,DATA!$N:$N,$A587,DATA!$M:$M,'SALES BY SYSTEM'!$O$2)</f>
        <v>0</v>
      </c>
      <c r="Q584" s="182">
        <v>0</v>
      </c>
      <c r="R584" s="180" t="str">
        <f t="shared" si="98"/>
        <v/>
      </c>
      <c r="S584" s="218">
        <f>SUMIFS(DATA!$L:$L,DATA!$O:$O,$B587,DATA!$N:$N,$A587,DATA!$M:$M,'SALES BY SYSTEM'!$O$4)</f>
        <v>0</v>
      </c>
      <c r="T584" s="182">
        <v>0</v>
      </c>
      <c r="U584" s="180" t="str">
        <f t="shared" si="99"/>
        <v/>
      </c>
      <c r="V584" s="218">
        <f>SUMIFS(DATA!$L:$L,DATA!$O:$O,$B587,DATA!$N:$N,$A587,DATA!$M:$M,'SALES BY SYSTEM'!$O$3)</f>
        <v>0</v>
      </c>
      <c r="W584" s="168"/>
    </row>
    <row r="585" spans="1:23" ht="15.75" customHeight="1" x14ac:dyDescent="0.25">
      <c r="A585" s="178" t="s">
        <v>1801</v>
      </c>
      <c r="B585" s="178" t="s">
        <v>1755</v>
      </c>
      <c r="C585" s="178" t="str">
        <f>VLOOKUP(A585,CUSTOMER!$A:$C,3,0)</f>
        <v>SATRA_F1027TL</v>
      </c>
      <c r="D585" s="178" t="s">
        <v>674</v>
      </c>
      <c r="E585" s="178" t="str">
        <f>VLOOKUP(A588,CUSTOMER!$A$2:$H$1094,5,0)</f>
        <v>VACANCY</v>
      </c>
      <c r="F585" s="178" t="str">
        <f>VLOOKUP(A588,CUSTOMER!$A$2:$I$1094,6,0)</f>
        <v>VACANCY</v>
      </c>
      <c r="G585" s="178" t="s">
        <v>676</v>
      </c>
      <c r="H585" s="179">
        <f t="shared" si="91"/>
        <v>0</v>
      </c>
      <c r="I585" s="180" t="str">
        <f t="shared" si="92"/>
        <v/>
      </c>
      <c r="J585" s="181">
        <f t="shared" si="93"/>
        <v>0</v>
      </c>
      <c r="K585" s="182">
        <v>0</v>
      </c>
      <c r="L585" s="180" t="str">
        <f t="shared" si="100"/>
        <v/>
      </c>
      <c r="M585" s="218">
        <f>SUMIFS(DATA!$L:$L,DATA!$O:$O,$B588,DATA!$N:$N,$A588,DATA!$M:$M,'SALES BY SYSTEM'!$O$1)</f>
        <v>0</v>
      </c>
      <c r="N585" s="182">
        <v>0</v>
      </c>
      <c r="O585" s="180" t="str">
        <f t="shared" si="97"/>
        <v/>
      </c>
      <c r="P585" s="218">
        <f>SUMIFS(DATA!$L:$L,DATA!$O:$O,$B588,DATA!$N:$N,$A588,DATA!$M:$M,'SALES BY SYSTEM'!$O$2)</f>
        <v>0</v>
      </c>
      <c r="Q585" s="182">
        <v>0</v>
      </c>
      <c r="R585" s="180" t="str">
        <f t="shared" si="98"/>
        <v/>
      </c>
      <c r="S585" s="218">
        <f>SUMIFS(DATA!$L:$L,DATA!$O:$O,$B588,DATA!$N:$N,$A588,DATA!$M:$M,'SALES BY SYSTEM'!$O$4)</f>
        <v>0</v>
      </c>
      <c r="T585" s="182">
        <v>0</v>
      </c>
      <c r="U585" s="180" t="str">
        <f t="shared" si="99"/>
        <v/>
      </c>
      <c r="V585" s="218">
        <f>SUMIFS(DATA!$L:$L,DATA!$O:$O,$B588,DATA!$N:$N,$A588,DATA!$M:$M,'SALES BY SYSTEM'!$O$3)</f>
        <v>0</v>
      </c>
      <c r="W585" s="168"/>
    </row>
    <row r="586" spans="1:23" ht="15.75" customHeight="1" x14ac:dyDescent="0.25">
      <c r="A586" s="178" t="s">
        <v>1803</v>
      </c>
      <c r="B586" s="178" t="s">
        <v>1755</v>
      </c>
      <c r="C586" s="178" t="str">
        <f>VLOOKUP(A586,CUSTOMER!$A:$C,3,0)</f>
        <v>SATRA_F1028BH</v>
      </c>
      <c r="D586" s="178" t="s">
        <v>674</v>
      </c>
      <c r="E586" s="178" t="str">
        <f>VLOOKUP(A589,CUSTOMER!$A$2:$H$1094,5,0)</f>
        <v>VACANCY</v>
      </c>
      <c r="F586" s="178" t="str">
        <f>VLOOKUP(A589,CUSTOMER!$A$2:$I$1094,6,0)</f>
        <v>VACANCY</v>
      </c>
      <c r="G586" s="178" t="s">
        <v>676</v>
      </c>
      <c r="H586" s="179">
        <f t="shared" si="91"/>
        <v>0</v>
      </c>
      <c r="I586" s="180" t="str">
        <f t="shared" si="92"/>
        <v/>
      </c>
      <c r="J586" s="181">
        <f t="shared" si="93"/>
        <v>0</v>
      </c>
      <c r="K586" s="182">
        <v>0</v>
      </c>
      <c r="L586" s="180" t="str">
        <f t="shared" si="100"/>
        <v/>
      </c>
      <c r="M586" s="218">
        <f>SUMIFS(DATA!$L:$L,DATA!$O:$O,$B589,DATA!$N:$N,$A589,DATA!$M:$M,'SALES BY SYSTEM'!$O$1)</f>
        <v>0</v>
      </c>
      <c r="N586" s="182">
        <v>0</v>
      </c>
      <c r="O586" s="180" t="str">
        <f t="shared" si="97"/>
        <v/>
      </c>
      <c r="P586" s="218">
        <f>SUMIFS(DATA!$L:$L,DATA!$O:$O,$B589,DATA!$N:$N,$A589,DATA!$M:$M,'SALES BY SYSTEM'!$O$2)</f>
        <v>0</v>
      </c>
      <c r="Q586" s="182">
        <v>0</v>
      </c>
      <c r="R586" s="180" t="str">
        <f t="shared" si="98"/>
        <v/>
      </c>
      <c r="S586" s="218">
        <f>SUMIFS(DATA!$L:$L,DATA!$O:$O,$B589,DATA!$N:$N,$A589,DATA!$M:$M,'SALES BY SYSTEM'!$O$4)</f>
        <v>0</v>
      </c>
      <c r="T586" s="182">
        <v>0</v>
      </c>
      <c r="U586" s="180" t="str">
        <f t="shared" si="99"/>
        <v/>
      </c>
      <c r="V586" s="218">
        <f>SUMIFS(DATA!$L:$L,DATA!$O:$O,$B589,DATA!$N:$N,$A589,DATA!$M:$M,'SALES BY SYSTEM'!$O$3)</f>
        <v>0</v>
      </c>
      <c r="W586" s="168"/>
    </row>
    <row r="587" spans="1:23" ht="15.75" customHeight="1" x14ac:dyDescent="0.25">
      <c r="A587" s="178" t="s">
        <v>1805</v>
      </c>
      <c r="B587" s="178" t="s">
        <v>1755</v>
      </c>
      <c r="C587" s="178" t="str">
        <f>VLOOKUP(A587,CUSTOMER!$A:$C,3,0)</f>
        <v>SATRA_F1029AC</v>
      </c>
      <c r="D587" s="178" t="s">
        <v>674</v>
      </c>
      <c r="E587" s="178" t="str">
        <f>VLOOKUP(A590,CUSTOMER!$A$2:$H$1094,5,0)</f>
        <v>VACANCY</v>
      </c>
      <c r="F587" s="178" t="str">
        <f>VLOOKUP(A590,CUSTOMER!$A$2:$I$1094,6,0)</f>
        <v>VACANCY</v>
      </c>
      <c r="G587" s="178" t="s">
        <v>676</v>
      </c>
      <c r="H587" s="179">
        <f t="shared" si="91"/>
        <v>0</v>
      </c>
      <c r="I587" s="180" t="str">
        <f t="shared" si="92"/>
        <v/>
      </c>
      <c r="J587" s="181">
        <f t="shared" si="93"/>
        <v>0</v>
      </c>
      <c r="K587" s="182">
        <v>0</v>
      </c>
      <c r="L587" s="180" t="str">
        <f t="shared" si="100"/>
        <v/>
      </c>
      <c r="M587" s="218">
        <f>SUMIFS(DATA!$L:$L,DATA!$O:$O,$B590,DATA!$N:$N,$A590,DATA!$M:$M,'SALES BY SYSTEM'!$O$1)</f>
        <v>0</v>
      </c>
      <c r="N587" s="182">
        <v>0</v>
      </c>
      <c r="O587" s="180" t="str">
        <f t="shared" si="97"/>
        <v/>
      </c>
      <c r="P587" s="218">
        <f>SUMIFS(DATA!$L:$L,DATA!$O:$O,$B590,DATA!$N:$N,$A590,DATA!$M:$M,'SALES BY SYSTEM'!$O$2)</f>
        <v>0</v>
      </c>
      <c r="Q587" s="182">
        <v>0</v>
      </c>
      <c r="R587" s="180" t="str">
        <f t="shared" si="98"/>
        <v/>
      </c>
      <c r="S587" s="218">
        <f>SUMIFS(DATA!$L:$L,DATA!$O:$O,$B590,DATA!$N:$N,$A590,DATA!$M:$M,'SALES BY SYSTEM'!$O$4)</f>
        <v>0</v>
      </c>
      <c r="T587" s="182">
        <v>0</v>
      </c>
      <c r="U587" s="180" t="str">
        <f t="shared" si="99"/>
        <v/>
      </c>
      <c r="V587" s="218">
        <f>SUMIFS(DATA!$L:$L,DATA!$O:$O,$B590,DATA!$N:$N,$A590,DATA!$M:$M,'SALES BY SYSTEM'!$O$3)</f>
        <v>0</v>
      </c>
      <c r="W587" s="168"/>
    </row>
    <row r="588" spans="1:23" ht="15.75" customHeight="1" x14ac:dyDescent="0.25">
      <c r="A588" s="178" t="s">
        <v>1807</v>
      </c>
      <c r="B588" s="178" t="s">
        <v>1755</v>
      </c>
      <c r="C588" s="178" t="str">
        <f>VLOOKUP(A588,CUSTOMER!$A:$C,3,0)</f>
        <v>SATRA_F1030VVT</v>
      </c>
      <c r="D588" s="178" t="s">
        <v>674</v>
      </c>
      <c r="E588" s="178" t="str">
        <f>VLOOKUP(A591,CUSTOMER!$A$2:$H$1094,5,0)</f>
        <v>VACANCY</v>
      </c>
      <c r="F588" s="178" t="str">
        <f>VLOOKUP(A591,CUSTOMER!$A$2:$I$1094,6,0)</f>
        <v>VACANCY</v>
      </c>
      <c r="G588" s="178" t="s">
        <v>676</v>
      </c>
      <c r="H588" s="179">
        <f t="shared" si="91"/>
        <v>0</v>
      </c>
      <c r="I588" s="180" t="str">
        <f t="shared" si="92"/>
        <v/>
      </c>
      <c r="J588" s="181">
        <f t="shared" si="93"/>
        <v>0</v>
      </c>
      <c r="K588" s="182">
        <v>0</v>
      </c>
      <c r="L588" s="180" t="str">
        <f t="shared" si="100"/>
        <v/>
      </c>
      <c r="M588" s="218">
        <f>SUMIFS(DATA!$L:$L,DATA!$O:$O,$B591,DATA!$N:$N,$A591,DATA!$M:$M,'SALES BY SYSTEM'!$O$1)</f>
        <v>0</v>
      </c>
      <c r="N588" s="182">
        <v>0</v>
      </c>
      <c r="O588" s="180" t="str">
        <f t="shared" si="97"/>
        <v/>
      </c>
      <c r="P588" s="218">
        <f>SUMIFS(DATA!$L:$L,DATA!$O:$O,$B591,DATA!$N:$N,$A591,DATA!$M:$M,'SALES BY SYSTEM'!$O$2)</f>
        <v>0</v>
      </c>
      <c r="Q588" s="182">
        <v>0</v>
      </c>
      <c r="R588" s="180" t="str">
        <f t="shared" si="98"/>
        <v/>
      </c>
      <c r="S588" s="218">
        <f>SUMIFS(DATA!$L:$L,DATA!$O:$O,$B591,DATA!$N:$N,$A591,DATA!$M:$M,'SALES BY SYSTEM'!$O$4)</f>
        <v>0</v>
      </c>
      <c r="T588" s="182">
        <v>0</v>
      </c>
      <c r="U588" s="180" t="str">
        <f t="shared" si="99"/>
        <v/>
      </c>
      <c r="V588" s="218">
        <f>SUMIFS(DATA!$L:$L,DATA!$O:$O,$B591,DATA!$N:$N,$A591,DATA!$M:$M,'SALES BY SYSTEM'!$O$3)</f>
        <v>0</v>
      </c>
      <c r="W588" s="168"/>
    </row>
    <row r="589" spans="1:23" ht="15.75" customHeight="1" x14ac:dyDescent="0.25">
      <c r="A589" s="178" t="s">
        <v>1809</v>
      </c>
      <c r="B589" s="178" t="s">
        <v>1755</v>
      </c>
      <c r="C589" s="178" t="str">
        <f>VLOOKUP(A589,CUSTOMER!$A:$C,3,0)</f>
        <v>SATRA_F1031BTH</v>
      </c>
      <c r="D589" s="178" t="s">
        <v>674</v>
      </c>
      <c r="E589" s="178" t="str">
        <f>VLOOKUP(A592,CUSTOMER!$A$2:$H$1094,5,0)</f>
        <v>VACANCY</v>
      </c>
      <c r="F589" s="178" t="str">
        <f>VLOOKUP(A592,CUSTOMER!$A$2:$I$1094,6,0)</f>
        <v>VACANCY</v>
      </c>
      <c r="G589" s="178" t="s">
        <v>676</v>
      </c>
      <c r="H589" s="179">
        <f t="shared" si="91"/>
        <v>0</v>
      </c>
      <c r="I589" s="180" t="str">
        <f t="shared" si="92"/>
        <v/>
      </c>
      <c r="J589" s="181">
        <f t="shared" si="93"/>
        <v>0</v>
      </c>
      <c r="K589" s="182">
        <v>0</v>
      </c>
      <c r="L589" s="180" t="str">
        <f t="shared" si="100"/>
        <v/>
      </c>
      <c r="M589" s="218">
        <f>SUMIFS(DATA!$L:$L,DATA!$O:$O,$B592,DATA!$N:$N,$A592,DATA!$M:$M,'SALES BY SYSTEM'!$O$1)</f>
        <v>0</v>
      </c>
      <c r="N589" s="182">
        <v>0</v>
      </c>
      <c r="O589" s="180" t="str">
        <f t="shared" si="97"/>
        <v/>
      </c>
      <c r="P589" s="218">
        <f>SUMIFS(DATA!$L:$L,DATA!$O:$O,$B592,DATA!$N:$N,$A592,DATA!$M:$M,'SALES BY SYSTEM'!$O$2)</f>
        <v>0</v>
      </c>
      <c r="Q589" s="182">
        <v>0</v>
      </c>
      <c r="R589" s="180" t="str">
        <f t="shared" si="98"/>
        <v/>
      </c>
      <c r="S589" s="218">
        <f>SUMIFS(DATA!$L:$L,DATA!$O:$O,$B592,DATA!$N:$N,$A592,DATA!$M:$M,'SALES BY SYSTEM'!$O$4)</f>
        <v>0</v>
      </c>
      <c r="T589" s="182">
        <v>0</v>
      </c>
      <c r="U589" s="180" t="str">
        <f t="shared" si="99"/>
        <v/>
      </c>
      <c r="V589" s="218">
        <f>SUMIFS(DATA!$L:$L,DATA!$O:$O,$B592,DATA!$N:$N,$A592,DATA!$M:$M,'SALES BY SYSTEM'!$O$3)</f>
        <v>0</v>
      </c>
      <c r="W589" s="168"/>
    </row>
    <row r="590" spans="1:23" ht="15.75" customHeight="1" x14ac:dyDescent="0.25">
      <c r="A590" s="178" t="s">
        <v>1811</v>
      </c>
      <c r="B590" s="178" t="s">
        <v>1755</v>
      </c>
      <c r="C590" s="178" t="str">
        <f>VLOOKUP(A590,CUSTOMER!$A:$C,3,0)</f>
        <v>SATRA_F1032TN</v>
      </c>
      <c r="D590" s="178" t="s">
        <v>674</v>
      </c>
      <c r="E590" s="178" t="str">
        <f>VLOOKUP(A593,CUSTOMER!$A$2:$H$1094,5,0)</f>
        <v>VACANCY</v>
      </c>
      <c r="F590" s="178" t="str">
        <f>VLOOKUP(A593,CUSTOMER!$A$2:$I$1094,6,0)</f>
        <v>VACANCY</v>
      </c>
      <c r="G590" s="178" t="s">
        <v>676</v>
      </c>
      <c r="H590" s="179">
        <f t="shared" si="91"/>
        <v>0</v>
      </c>
      <c r="I590" s="180" t="str">
        <f t="shared" si="92"/>
        <v/>
      </c>
      <c r="J590" s="181">
        <f t="shared" si="93"/>
        <v>0</v>
      </c>
      <c r="K590" s="182">
        <v>0</v>
      </c>
      <c r="L590" s="180" t="str">
        <f t="shared" si="100"/>
        <v/>
      </c>
      <c r="M590" s="218">
        <f>SUMIFS(DATA!$L:$L,DATA!$O:$O,$B593,DATA!$N:$N,$A593,DATA!$M:$M,'SALES BY SYSTEM'!$O$1)</f>
        <v>0</v>
      </c>
      <c r="N590" s="182">
        <v>0</v>
      </c>
      <c r="O590" s="180" t="str">
        <f t="shared" si="97"/>
        <v/>
      </c>
      <c r="P590" s="218">
        <f>SUMIFS(DATA!$L:$L,DATA!$O:$O,$B593,DATA!$N:$N,$A593,DATA!$M:$M,'SALES BY SYSTEM'!$O$2)</f>
        <v>0</v>
      </c>
      <c r="Q590" s="182">
        <v>0</v>
      </c>
      <c r="R590" s="180" t="str">
        <f t="shared" si="98"/>
        <v/>
      </c>
      <c r="S590" s="218">
        <f>SUMIFS(DATA!$L:$L,DATA!$O:$O,$B593,DATA!$N:$N,$A593,DATA!$M:$M,'SALES BY SYSTEM'!$O$4)</f>
        <v>0</v>
      </c>
      <c r="T590" s="182">
        <v>0</v>
      </c>
      <c r="U590" s="180" t="str">
        <f t="shared" si="99"/>
        <v/>
      </c>
      <c r="V590" s="218">
        <f>SUMIFS(DATA!$L:$L,DATA!$O:$O,$B593,DATA!$N:$N,$A593,DATA!$M:$M,'SALES BY SYSTEM'!$O$3)</f>
        <v>0</v>
      </c>
      <c r="W590" s="168"/>
    </row>
    <row r="591" spans="1:23" ht="15.75" customHeight="1" x14ac:dyDescent="0.25">
      <c r="A591" s="178" t="s">
        <v>1813</v>
      </c>
      <c r="B591" s="178" t="s">
        <v>1755</v>
      </c>
      <c r="C591" s="178" t="str">
        <f>VLOOKUP(A591,CUSTOMER!$A:$C,3,0)</f>
        <v>SATRA_F1033CDS</v>
      </c>
      <c r="D591" s="178" t="s">
        <v>674</v>
      </c>
      <c r="E591" s="178" t="str">
        <f>VLOOKUP(A594,CUSTOMER!$A$2:$H$1094,5,0)</f>
        <v>VACANCY</v>
      </c>
      <c r="F591" s="178" t="str">
        <f>VLOOKUP(A594,CUSTOMER!$A$2:$I$1094,6,0)</f>
        <v>VACANCY</v>
      </c>
      <c r="G591" s="178" t="s">
        <v>676</v>
      </c>
      <c r="H591" s="179">
        <f t="shared" si="91"/>
        <v>0</v>
      </c>
      <c r="I591" s="180" t="str">
        <f t="shared" si="92"/>
        <v/>
      </c>
      <c r="J591" s="181">
        <f t="shared" si="93"/>
        <v>0</v>
      </c>
      <c r="K591" s="182">
        <v>0</v>
      </c>
      <c r="L591" s="180" t="str">
        <f t="shared" si="100"/>
        <v/>
      </c>
      <c r="M591" s="218">
        <f>SUMIFS(DATA!$L:$L,DATA!$O:$O,$B594,DATA!$N:$N,$A594,DATA!$M:$M,'SALES BY SYSTEM'!$O$1)</f>
        <v>0</v>
      </c>
      <c r="N591" s="182">
        <v>0</v>
      </c>
      <c r="O591" s="180" t="str">
        <f t="shared" si="97"/>
        <v/>
      </c>
      <c r="P591" s="218">
        <f>SUMIFS(DATA!$L:$L,DATA!$O:$O,$B594,DATA!$N:$N,$A594,DATA!$M:$M,'SALES BY SYSTEM'!$O$2)</f>
        <v>0</v>
      </c>
      <c r="Q591" s="182">
        <v>0</v>
      </c>
      <c r="R591" s="180" t="str">
        <f t="shared" si="98"/>
        <v/>
      </c>
      <c r="S591" s="218">
        <f>SUMIFS(DATA!$L:$L,DATA!$O:$O,$B594,DATA!$N:$N,$A594,DATA!$M:$M,'SALES BY SYSTEM'!$O$4)</f>
        <v>0</v>
      </c>
      <c r="T591" s="182">
        <v>0</v>
      </c>
      <c r="U591" s="180" t="str">
        <f t="shared" si="99"/>
        <v/>
      </c>
      <c r="V591" s="218">
        <f>SUMIFS(DATA!$L:$L,DATA!$O:$O,$B594,DATA!$N:$N,$A594,DATA!$M:$M,'SALES BY SYSTEM'!$O$3)</f>
        <v>0</v>
      </c>
      <c r="W591" s="168"/>
    </row>
    <row r="592" spans="1:23" ht="15.75" customHeight="1" x14ac:dyDescent="0.25">
      <c r="A592" s="178" t="s">
        <v>1815</v>
      </c>
      <c r="B592" s="178" t="s">
        <v>1755</v>
      </c>
      <c r="C592" s="178" t="str">
        <f>VLOOKUP(A592,CUSTOMER!$A:$C,3,0)</f>
        <v>SATRA_F1034NVL</v>
      </c>
      <c r="D592" s="178" t="s">
        <v>674</v>
      </c>
      <c r="E592" s="178" t="str">
        <f>VLOOKUP(A595,CUSTOMER!$A$2:$H$1094,5,0)</f>
        <v>VACANCY</v>
      </c>
      <c r="F592" s="178" t="str">
        <f>VLOOKUP(A595,CUSTOMER!$A$2:$I$1094,6,0)</f>
        <v>VACANCY</v>
      </c>
      <c r="G592" s="178" t="s">
        <v>676</v>
      </c>
      <c r="H592" s="179">
        <f t="shared" si="91"/>
        <v>0</v>
      </c>
      <c r="I592" s="180" t="str">
        <f t="shared" si="92"/>
        <v/>
      </c>
      <c r="J592" s="181">
        <f t="shared" si="93"/>
        <v>0</v>
      </c>
      <c r="K592" s="182">
        <v>0</v>
      </c>
      <c r="L592" s="180" t="str">
        <f t="shared" si="100"/>
        <v/>
      </c>
      <c r="M592" s="218">
        <f>SUMIFS(DATA!$L:$L,DATA!$O:$O,$B595,DATA!$N:$N,$A595,DATA!$M:$M,'SALES BY SYSTEM'!$O$1)</f>
        <v>0</v>
      </c>
      <c r="N592" s="182">
        <v>0</v>
      </c>
      <c r="O592" s="180" t="str">
        <f t="shared" si="97"/>
        <v/>
      </c>
      <c r="P592" s="218">
        <f>SUMIFS(DATA!$L:$L,DATA!$O:$O,$B595,DATA!$N:$N,$A595,DATA!$M:$M,'SALES BY SYSTEM'!$O$2)</f>
        <v>0</v>
      </c>
      <c r="Q592" s="182">
        <v>0</v>
      </c>
      <c r="R592" s="180" t="str">
        <f t="shared" si="98"/>
        <v/>
      </c>
      <c r="S592" s="218">
        <f>SUMIFS(DATA!$L:$L,DATA!$O:$O,$B595,DATA!$N:$N,$A595,DATA!$M:$M,'SALES BY SYSTEM'!$O$4)</f>
        <v>0</v>
      </c>
      <c r="T592" s="182">
        <v>0</v>
      </c>
      <c r="U592" s="180" t="str">
        <f t="shared" si="99"/>
        <v/>
      </c>
      <c r="V592" s="218">
        <f>SUMIFS(DATA!$L:$L,DATA!$O:$O,$B595,DATA!$N:$N,$A595,DATA!$M:$M,'SALES BY SYSTEM'!$O$3)</f>
        <v>0</v>
      </c>
      <c r="W592" s="168"/>
    </row>
    <row r="593" spans="1:23" ht="15.75" customHeight="1" x14ac:dyDescent="0.25">
      <c r="A593" s="178" t="s">
        <v>1817</v>
      </c>
      <c r="B593" s="178" t="s">
        <v>1755</v>
      </c>
      <c r="C593" s="178" t="str">
        <f>VLOOKUP(A593,CUSTOMER!$A:$C,3,0)</f>
        <v>SATRA_F1035NTL</v>
      </c>
      <c r="D593" s="178" t="s">
        <v>674</v>
      </c>
      <c r="E593" s="178" t="str">
        <f>VLOOKUP(A596,CUSTOMER!$A$2:$H$1094,5,0)</f>
        <v>VACANCY</v>
      </c>
      <c r="F593" s="178" t="str">
        <f>VLOOKUP(A596,CUSTOMER!$A$2:$I$1094,6,0)</f>
        <v>VACANCY</v>
      </c>
      <c r="G593" s="178" t="s">
        <v>676</v>
      </c>
      <c r="H593" s="179">
        <f t="shared" si="91"/>
        <v>0</v>
      </c>
      <c r="I593" s="180" t="str">
        <f t="shared" si="92"/>
        <v/>
      </c>
      <c r="J593" s="181">
        <f t="shared" si="93"/>
        <v>0</v>
      </c>
      <c r="K593" s="182">
        <v>0</v>
      </c>
      <c r="L593" s="180" t="str">
        <f t="shared" si="100"/>
        <v/>
      </c>
      <c r="M593" s="218">
        <f>SUMIFS(DATA!$L:$L,DATA!$O:$O,$B596,DATA!$N:$N,$A596,DATA!$M:$M,'SALES BY SYSTEM'!$O$1)</f>
        <v>0</v>
      </c>
      <c r="N593" s="182">
        <v>0</v>
      </c>
      <c r="O593" s="180" t="str">
        <f t="shared" si="97"/>
        <v/>
      </c>
      <c r="P593" s="218">
        <f>SUMIFS(DATA!$L:$L,DATA!$O:$O,$B596,DATA!$N:$N,$A596,DATA!$M:$M,'SALES BY SYSTEM'!$O$2)</f>
        <v>0</v>
      </c>
      <c r="Q593" s="182">
        <v>0</v>
      </c>
      <c r="R593" s="180" t="str">
        <f t="shared" si="98"/>
        <v/>
      </c>
      <c r="S593" s="218">
        <f>SUMIFS(DATA!$L:$L,DATA!$O:$O,$B596,DATA!$N:$N,$A596,DATA!$M:$M,'SALES BY SYSTEM'!$O$4)</f>
        <v>0</v>
      </c>
      <c r="T593" s="182">
        <v>0</v>
      </c>
      <c r="U593" s="180" t="str">
        <f t="shared" si="99"/>
        <v/>
      </c>
      <c r="V593" s="218">
        <f>SUMIFS(DATA!$L:$L,DATA!$O:$O,$B596,DATA!$N:$N,$A596,DATA!$M:$M,'SALES BY SYSTEM'!$O$3)</f>
        <v>0</v>
      </c>
      <c r="W593" s="168"/>
    </row>
    <row r="594" spans="1:23" ht="15.75" customHeight="1" x14ac:dyDescent="0.25">
      <c r="A594" s="178" t="s">
        <v>1819</v>
      </c>
      <c r="B594" s="178" t="s">
        <v>1755</v>
      </c>
      <c r="C594" s="178" t="str">
        <f>VLOOKUP(A594,CUSTOMER!$A:$C,3,0)</f>
        <v>SATRA_F1036D17</v>
      </c>
      <c r="D594" s="178" t="s">
        <v>674</v>
      </c>
      <c r="E594" s="178" t="str">
        <f>VLOOKUP(A597,CUSTOMER!$A$2:$H$1094,5,0)</f>
        <v>VACANCY</v>
      </c>
      <c r="F594" s="178" t="str">
        <f>VLOOKUP(A597,CUSTOMER!$A$2:$I$1094,6,0)</f>
        <v>VACANCY</v>
      </c>
      <c r="G594" s="178" t="s">
        <v>676</v>
      </c>
      <c r="H594" s="179">
        <f t="shared" si="91"/>
        <v>0</v>
      </c>
      <c r="I594" s="180" t="str">
        <f t="shared" si="92"/>
        <v/>
      </c>
      <c r="J594" s="181">
        <f t="shared" si="93"/>
        <v>0</v>
      </c>
      <c r="K594" s="182">
        <v>0</v>
      </c>
      <c r="L594" s="180" t="str">
        <f t="shared" si="100"/>
        <v/>
      </c>
      <c r="M594" s="218">
        <f>SUMIFS(DATA!$L:$L,DATA!$O:$O,$B597,DATA!$N:$N,$A597,DATA!$M:$M,'SALES BY SYSTEM'!$O$1)</f>
        <v>0</v>
      </c>
      <c r="N594" s="182">
        <v>0</v>
      </c>
      <c r="O594" s="180" t="str">
        <f t="shared" si="97"/>
        <v/>
      </c>
      <c r="P594" s="218">
        <f>SUMIFS(DATA!$L:$L,DATA!$O:$O,$B597,DATA!$N:$N,$A597,DATA!$M:$M,'SALES BY SYSTEM'!$O$2)</f>
        <v>0</v>
      </c>
      <c r="Q594" s="182">
        <v>0</v>
      </c>
      <c r="R594" s="180" t="str">
        <f t="shared" si="98"/>
        <v/>
      </c>
      <c r="S594" s="218">
        <f>SUMIFS(DATA!$L:$L,DATA!$O:$O,$B597,DATA!$N:$N,$A597,DATA!$M:$M,'SALES BY SYSTEM'!$O$4)</f>
        <v>0</v>
      </c>
      <c r="T594" s="182">
        <v>0</v>
      </c>
      <c r="U594" s="180" t="str">
        <f t="shared" si="99"/>
        <v/>
      </c>
      <c r="V594" s="218">
        <f>SUMIFS(DATA!$L:$L,DATA!$O:$O,$B597,DATA!$N:$N,$A597,DATA!$M:$M,'SALES BY SYSTEM'!$O$3)</f>
        <v>0</v>
      </c>
      <c r="W594" s="168"/>
    </row>
    <row r="595" spans="1:23" ht="15.75" customHeight="1" x14ac:dyDescent="0.25">
      <c r="A595" s="178" t="s">
        <v>1821</v>
      </c>
      <c r="B595" s="178" t="s">
        <v>1755</v>
      </c>
      <c r="C595" s="178" t="str">
        <f>VLOOKUP(A595,CUSTOMER!$A:$C,3,0)</f>
        <v>SATRA_F1037HTLO</v>
      </c>
      <c r="D595" s="178" t="s">
        <v>674</v>
      </c>
      <c r="E595" s="178" t="str">
        <f>VLOOKUP(A598,CUSTOMER!$A$2:$H$1094,5,0)</f>
        <v>VACANCY</v>
      </c>
      <c r="F595" s="178" t="str">
        <f>VLOOKUP(A598,CUSTOMER!$A$2:$I$1094,6,0)</f>
        <v>VACANCY</v>
      </c>
      <c r="G595" s="178" t="s">
        <v>676</v>
      </c>
      <c r="H595" s="179">
        <f t="shared" si="91"/>
        <v>0</v>
      </c>
      <c r="I595" s="180" t="str">
        <f t="shared" si="92"/>
        <v/>
      </c>
      <c r="J595" s="181">
        <f t="shared" si="93"/>
        <v>0</v>
      </c>
      <c r="K595" s="182">
        <v>0</v>
      </c>
      <c r="L595" s="180" t="str">
        <f t="shared" si="100"/>
        <v/>
      </c>
      <c r="M595" s="218">
        <f>SUMIFS(DATA!$L:$L,DATA!$O:$O,$B598,DATA!$N:$N,$A598,DATA!$M:$M,'SALES BY SYSTEM'!$O$1)</f>
        <v>0</v>
      </c>
      <c r="N595" s="182">
        <v>0</v>
      </c>
      <c r="O595" s="180" t="str">
        <f t="shared" si="97"/>
        <v/>
      </c>
      <c r="P595" s="218">
        <f>SUMIFS(DATA!$L:$L,DATA!$O:$O,$B598,DATA!$N:$N,$A598,DATA!$M:$M,'SALES BY SYSTEM'!$O$2)</f>
        <v>0</v>
      </c>
      <c r="Q595" s="182">
        <v>0</v>
      </c>
      <c r="R595" s="180" t="str">
        <f t="shared" si="98"/>
        <v/>
      </c>
      <c r="S595" s="218">
        <f>SUMIFS(DATA!$L:$L,DATA!$O:$O,$B598,DATA!$N:$N,$A598,DATA!$M:$M,'SALES BY SYSTEM'!$O$4)</f>
        <v>0</v>
      </c>
      <c r="T595" s="182">
        <v>0</v>
      </c>
      <c r="U595" s="180" t="str">
        <f t="shared" si="99"/>
        <v/>
      </c>
      <c r="V595" s="218">
        <f>SUMIFS(DATA!$L:$L,DATA!$O:$O,$B598,DATA!$N:$N,$A598,DATA!$M:$M,'SALES BY SYSTEM'!$O$3)</f>
        <v>0</v>
      </c>
      <c r="W595" s="168"/>
    </row>
    <row r="596" spans="1:23" ht="15.75" customHeight="1" x14ac:dyDescent="0.25">
      <c r="A596" s="178" t="s">
        <v>1823</v>
      </c>
      <c r="B596" s="178" t="s">
        <v>1755</v>
      </c>
      <c r="C596" s="178" t="str">
        <f>VLOOKUP(A596,CUSTOMER!$A:$C,3,0)</f>
        <v>SATRA_F1039LVK</v>
      </c>
      <c r="D596" s="178" t="s">
        <v>674</v>
      </c>
      <c r="E596" s="178" t="str">
        <f>VLOOKUP(A599,CUSTOMER!$A$2:$H$1094,5,0)</f>
        <v>VACANCY</v>
      </c>
      <c r="F596" s="178" t="str">
        <f>VLOOKUP(A599,CUSTOMER!$A$2:$I$1094,6,0)</f>
        <v>VACANCY</v>
      </c>
      <c r="G596" s="178" t="s">
        <v>676</v>
      </c>
      <c r="H596" s="179">
        <f t="shared" si="91"/>
        <v>0</v>
      </c>
      <c r="I596" s="180" t="str">
        <f t="shared" si="92"/>
        <v/>
      </c>
      <c r="J596" s="181">
        <f t="shared" si="93"/>
        <v>0</v>
      </c>
      <c r="K596" s="182">
        <v>0</v>
      </c>
      <c r="L596" s="180" t="str">
        <f t="shared" si="100"/>
        <v/>
      </c>
      <c r="M596" s="218">
        <f>SUMIFS(DATA!$L:$L,DATA!$O:$O,$B599,DATA!$N:$N,$A599,DATA!$M:$M,'SALES BY SYSTEM'!$O$1)</f>
        <v>0</v>
      </c>
      <c r="N596" s="182">
        <v>0</v>
      </c>
      <c r="O596" s="180" t="str">
        <f t="shared" si="97"/>
        <v/>
      </c>
      <c r="P596" s="218">
        <f>SUMIFS(DATA!$L:$L,DATA!$O:$O,$B599,DATA!$N:$N,$A599,DATA!$M:$M,'SALES BY SYSTEM'!$O$2)</f>
        <v>0</v>
      </c>
      <c r="Q596" s="182">
        <v>0</v>
      </c>
      <c r="R596" s="180" t="str">
        <f t="shared" si="98"/>
        <v/>
      </c>
      <c r="S596" s="218">
        <f>SUMIFS(DATA!$L:$L,DATA!$O:$O,$B599,DATA!$N:$N,$A599,DATA!$M:$M,'SALES BY SYSTEM'!$O$4)</f>
        <v>0</v>
      </c>
      <c r="T596" s="182">
        <v>0</v>
      </c>
      <c r="U596" s="180" t="str">
        <f t="shared" si="99"/>
        <v/>
      </c>
      <c r="V596" s="218">
        <f>SUMIFS(DATA!$L:$L,DATA!$O:$O,$B599,DATA!$N:$N,$A599,DATA!$M:$M,'SALES BY SYSTEM'!$O$3)</f>
        <v>0</v>
      </c>
      <c r="W596" s="168"/>
    </row>
    <row r="597" spans="1:23" ht="15.75" customHeight="1" x14ac:dyDescent="0.25">
      <c r="A597" s="178" t="s">
        <v>1825</v>
      </c>
      <c r="B597" s="178" t="s">
        <v>1755</v>
      </c>
      <c r="C597" s="178" t="str">
        <f>VLOOKUP(A597,CUSTOMER!$A:$C,3,0)</f>
        <v>SATRA_F1040LVL</v>
      </c>
      <c r="D597" s="178" t="s">
        <v>674</v>
      </c>
      <c r="E597" s="178" t="str">
        <f>VLOOKUP(A600,CUSTOMER!$A$2:$H$1094,5,0)</f>
        <v>VACANCY</v>
      </c>
      <c r="F597" s="178" t="str">
        <f>VLOOKUP(A600,CUSTOMER!$A$2:$I$1094,6,0)</f>
        <v>VACANCY</v>
      </c>
      <c r="G597" s="178" t="s">
        <v>676</v>
      </c>
      <c r="H597" s="179">
        <f t="shared" si="91"/>
        <v>0</v>
      </c>
      <c r="I597" s="180" t="str">
        <f t="shared" si="92"/>
        <v/>
      </c>
      <c r="J597" s="181">
        <f t="shared" si="93"/>
        <v>0</v>
      </c>
      <c r="K597" s="182">
        <v>0</v>
      </c>
      <c r="L597" s="180" t="str">
        <f t="shared" si="100"/>
        <v/>
      </c>
      <c r="M597" s="218">
        <f>SUMIFS(DATA!$L:$L,DATA!$O:$O,$B600,DATA!$N:$N,$A600,DATA!$M:$M,'SALES BY SYSTEM'!$O$1)</f>
        <v>0</v>
      </c>
      <c r="N597" s="182">
        <v>0</v>
      </c>
      <c r="O597" s="180" t="str">
        <f t="shared" si="97"/>
        <v/>
      </c>
      <c r="P597" s="218">
        <f>SUMIFS(DATA!$L:$L,DATA!$O:$O,$B600,DATA!$N:$N,$A600,DATA!$M:$M,'SALES BY SYSTEM'!$O$2)</f>
        <v>0</v>
      </c>
      <c r="Q597" s="182">
        <v>0</v>
      </c>
      <c r="R597" s="180" t="str">
        <f t="shared" si="98"/>
        <v/>
      </c>
      <c r="S597" s="218">
        <f>SUMIFS(DATA!$L:$L,DATA!$O:$O,$B600,DATA!$N:$N,$A600,DATA!$M:$M,'SALES BY SYSTEM'!$O$4)</f>
        <v>0</v>
      </c>
      <c r="T597" s="182">
        <v>0</v>
      </c>
      <c r="U597" s="180" t="str">
        <f t="shared" si="99"/>
        <v/>
      </c>
      <c r="V597" s="218">
        <f>SUMIFS(DATA!$L:$L,DATA!$O:$O,$B600,DATA!$N:$N,$A600,DATA!$M:$M,'SALES BY SYSTEM'!$O$3)</f>
        <v>0</v>
      </c>
      <c r="W597" s="168"/>
    </row>
    <row r="598" spans="1:23" ht="15.75" customHeight="1" x14ac:dyDescent="0.25">
      <c r="A598" s="178" t="s">
        <v>1827</v>
      </c>
      <c r="B598" s="178" t="s">
        <v>1755</v>
      </c>
      <c r="C598" s="178" t="str">
        <f>VLOOKUP(A598,CUSTOMER!$A:$C,3,0)</f>
        <v>SATRA_F1041DN</v>
      </c>
      <c r="D598" s="178" t="s">
        <v>674</v>
      </c>
      <c r="E598" s="178" t="str">
        <f>VLOOKUP(A601,CUSTOMER!$A$2:$H$1094,5,0)</f>
        <v>VACANCY</v>
      </c>
      <c r="F598" s="178" t="str">
        <f>VLOOKUP(A601,CUSTOMER!$A$2:$I$1094,6,0)</f>
        <v>VACANCY</v>
      </c>
      <c r="G598" s="178" t="s">
        <v>676</v>
      </c>
      <c r="H598" s="179">
        <f t="shared" si="91"/>
        <v>0</v>
      </c>
      <c r="I598" s="180" t="str">
        <f t="shared" si="92"/>
        <v/>
      </c>
      <c r="J598" s="181">
        <f t="shared" si="93"/>
        <v>0</v>
      </c>
      <c r="K598" s="182">
        <v>0</v>
      </c>
      <c r="L598" s="180" t="str">
        <f t="shared" si="100"/>
        <v/>
      </c>
      <c r="M598" s="218">
        <f>SUMIFS(DATA!$L:$L,DATA!$O:$O,$B601,DATA!$N:$N,$A601,DATA!$M:$M,'SALES BY SYSTEM'!$O$1)</f>
        <v>0</v>
      </c>
      <c r="N598" s="182">
        <v>0</v>
      </c>
      <c r="O598" s="180" t="str">
        <f t="shared" si="97"/>
        <v/>
      </c>
      <c r="P598" s="218">
        <f>SUMIFS(DATA!$L:$L,DATA!$O:$O,$B601,DATA!$N:$N,$A601,DATA!$M:$M,'SALES BY SYSTEM'!$O$2)</f>
        <v>0</v>
      </c>
      <c r="Q598" s="182">
        <v>0</v>
      </c>
      <c r="R598" s="180" t="str">
        <f t="shared" si="98"/>
        <v/>
      </c>
      <c r="S598" s="218">
        <f>SUMIFS(DATA!$L:$L,DATA!$O:$O,$B601,DATA!$N:$N,$A601,DATA!$M:$M,'SALES BY SYSTEM'!$O$4)</f>
        <v>0</v>
      </c>
      <c r="T598" s="182">
        <v>0</v>
      </c>
      <c r="U598" s="180" t="str">
        <f t="shared" si="99"/>
        <v/>
      </c>
      <c r="V598" s="218">
        <f>SUMIFS(DATA!$L:$L,DATA!$O:$O,$B601,DATA!$N:$N,$A601,DATA!$M:$M,'SALES BY SYSTEM'!$O$3)</f>
        <v>0</v>
      </c>
      <c r="W598" s="168"/>
    </row>
    <row r="599" spans="1:23" ht="15.75" customHeight="1" x14ac:dyDescent="0.25">
      <c r="A599" s="178" t="s">
        <v>1829</v>
      </c>
      <c r="B599" s="178" t="s">
        <v>1755</v>
      </c>
      <c r="C599" s="178" t="str">
        <f>VLOOKUP(A599,CUSTOMER!$A:$C,3,0)</f>
        <v>SATRA_F1042CVL</v>
      </c>
      <c r="D599" s="178" t="s">
        <v>674</v>
      </c>
      <c r="E599" s="178" t="str">
        <f>VLOOKUP(A602,CUSTOMER!$A$2:$H$1094,5,0)</f>
        <v>VACANCY</v>
      </c>
      <c r="F599" s="178" t="str">
        <f>VLOOKUP(A602,CUSTOMER!$A$2:$I$1094,6,0)</f>
        <v>VACANCY</v>
      </c>
      <c r="G599" s="178" t="s">
        <v>676</v>
      </c>
      <c r="H599" s="179">
        <f t="shared" si="91"/>
        <v>0</v>
      </c>
      <c r="I599" s="180" t="str">
        <f t="shared" si="92"/>
        <v/>
      </c>
      <c r="J599" s="181">
        <f t="shared" si="93"/>
        <v>0</v>
      </c>
      <c r="K599" s="182">
        <v>0</v>
      </c>
      <c r="L599" s="180" t="str">
        <f t="shared" si="100"/>
        <v/>
      </c>
      <c r="M599" s="218">
        <f>SUMIFS(DATA!$L:$L,DATA!$O:$O,$B602,DATA!$N:$N,$A602,DATA!$M:$M,'SALES BY SYSTEM'!$O$1)</f>
        <v>0</v>
      </c>
      <c r="N599" s="182">
        <v>0</v>
      </c>
      <c r="O599" s="180" t="str">
        <f t="shared" si="97"/>
        <v/>
      </c>
      <c r="P599" s="218">
        <f>SUMIFS(DATA!$L:$L,DATA!$O:$O,$B602,DATA!$N:$N,$A602,DATA!$M:$M,'SALES BY SYSTEM'!$O$2)</f>
        <v>0</v>
      </c>
      <c r="Q599" s="182">
        <v>0</v>
      </c>
      <c r="R599" s="180" t="str">
        <f t="shared" si="98"/>
        <v/>
      </c>
      <c r="S599" s="218">
        <f>SUMIFS(DATA!$L:$L,DATA!$O:$O,$B602,DATA!$N:$N,$A602,DATA!$M:$M,'SALES BY SYSTEM'!$O$4)</f>
        <v>0</v>
      </c>
      <c r="T599" s="182">
        <v>0</v>
      </c>
      <c r="U599" s="180" t="str">
        <f t="shared" si="99"/>
        <v/>
      </c>
      <c r="V599" s="218">
        <f>SUMIFS(DATA!$L:$L,DATA!$O:$O,$B602,DATA!$N:$N,$A602,DATA!$M:$M,'SALES BY SYSTEM'!$O$3)</f>
        <v>0</v>
      </c>
      <c r="W599" s="168"/>
    </row>
    <row r="600" spans="1:23" ht="15.75" customHeight="1" x14ac:dyDescent="0.25">
      <c r="A600" s="178" t="s">
        <v>1831</v>
      </c>
      <c r="B600" s="178" t="s">
        <v>1755</v>
      </c>
      <c r="C600" s="178" t="str">
        <f>VLOOKUP(A600,CUSTOMER!$A:$C,3,0)</f>
        <v>SATRA_F1043NH</v>
      </c>
      <c r="D600" s="178" t="s">
        <v>674</v>
      </c>
      <c r="E600" s="178" t="str">
        <f>VLOOKUP(A603,CUSTOMER!$A$2:$H$1094,5,0)</f>
        <v>VACANCY</v>
      </c>
      <c r="F600" s="178" t="str">
        <f>VLOOKUP(A603,CUSTOMER!$A$2:$I$1094,6,0)</f>
        <v>VACANCY</v>
      </c>
      <c r="G600" s="178" t="s">
        <v>676</v>
      </c>
      <c r="H600" s="179">
        <f t="shared" si="91"/>
        <v>0</v>
      </c>
      <c r="I600" s="180" t="str">
        <f t="shared" si="92"/>
        <v/>
      </c>
      <c r="J600" s="181">
        <f t="shared" si="93"/>
        <v>0</v>
      </c>
      <c r="K600" s="182">
        <v>0</v>
      </c>
      <c r="L600" s="180" t="str">
        <f t="shared" si="100"/>
        <v/>
      </c>
      <c r="M600" s="218">
        <f>SUMIFS(DATA!$L:$L,DATA!$O:$O,$B603,DATA!$N:$N,$A603,DATA!$M:$M,'SALES BY SYSTEM'!$O$1)</f>
        <v>0</v>
      </c>
      <c r="N600" s="182">
        <v>0</v>
      </c>
      <c r="O600" s="180" t="str">
        <f t="shared" si="97"/>
        <v/>
      </c>
      <c r="P600" s="218">
        <f>SUMIFS(DATA!$L:$L,DATA!$O:$O,$B603,DATA!$N:$N,$A603,DATA!$M:$M,'SALES BY SYSTEM'!$O$2)</f>
        <v>0</v>
      </c>
      <c r="Q600" s="182">
        <v>0</v>
      </c>
      <c r="R600" s="180" t="str">
        <f t="shared" si="98"/>
        <v/>
      </c>
      <c r="S600" s="218">
        <f>SUMIFS(DATA!$L:$L,DATA!$O:$O,$B603,DATA!$N:$N,$A603,DATA!$M:$M,'SALES BY SYSTEM'!$O$4)</f>
        <v>0</v>
      </c>
      <c r="T600" s="182">
        <v>0</v>
      </c>
      <c r="U600" s="180" t="str">
        <f t="shared" si="99"/>
        <v/>
      </c>
      <c r="V600" s="218">
        <f>SUMIFS(DATA!$L:$L,DATA!$O:$O,$B603,DATA!$N:$N,$A603,DATA!$M:$M,'SALES BY SYSTEM'!$O$3)</f>
        <v>0</v>
      </c>
      <c r="W600" s="168"/>
    </row>
    <row r="601" spans="1:23" ht="15.75" customHeight="1" x14ac:dyDescent="0.25">
      <c r="A601" s="178" t="s">
        <v>1833</v>
      </c>
      <c r="B601" s="178" t="s">
        <v>1755</v>
      </c>
      <c r="C601" s="178" t="str">
        <f>VLOOKUP(A601,CUSTOMER!$A:$C,3,0)</f>
        <v>SATRA_F1046NL</v>
      </c>
      <c r="D601" s="178" t="s">
        <v>674</v>
      </c>
      <c r="E601" s="178" t="str">
        <f>VLOOKUP(A604,CUSTOMER!$A$2:$H$1094,5,0)</f>
        <v>VACANCY</v>
      </c>
      <c r="F601" s="178" t="str">
        <f>VLOOKUP(A604,CUSTOMER!$A$2:$I$1094,6,0)</f>
        <v>VACANCY</v>
      </c>
      <c r="G601" s="178" t="s">
        <v>676</v>
      </c>
      <c r="H601" s="179">
        <f t="shared" si="91"/>
        <v>0</v>
      </c>
      <c r="I601" s="180" t="str">
        <f t="shared" si="92"/>
        <v/>
      </c>
      <c r="J601" s="181">
        <f t="shared" si="93"/>
        <v>0</v>
      </c>
      <c r="K601" s="182">
        <v>0</v>
      </c>
      <c r="L601" s="180" t="str">
        <f t="shared" si="100"/>
        <v/>
      </c>
      <c r="M601" s="218">
        <f>SUMIFS(DATA!$L:$L,DATA!$O:$O,$B604,DATA!$N:$N,$A604,DATA!$M:$M,'SALES BY SYSTEM'!$O$1)</f>
        <v>0</v>
      </c>
      <c r="N601" s="182">
        <v>0</v>
      </c>
      <c r="O601" s="180" t="str">
        <f t="shared" si="97"/>
        <v/>
      </c>
      <c r="P601" s="218">
        <f>SUMIFS(DATA!$L:$L,DATA!$O:$O,$B604,DATA!$N:$N,$A604,DATA!$M:$M,'SALES BY SYSTEM'!$O$2)</f>
        <v>0</v>
      </c>
      <c r="Q601" s="182">
        <v>0</v>
      </c>
      <c r="R601" s="180" t="str">
        <f t="shared" si="98"/>
        <v/>
      </c>
      <c r="S601" s="218">
        <f>SUMIFS(DATA!$L:$L,DATA!$O:$O,$B604,DATA!$N:$N,$A604,DATA!$M:$M,'SALES BY SYSTEM'!$O$4)</f>
        <v>0</v>
      </c>
      <c r="T601" s="182">
        <v>0</v>
      </c>
      <c r="U601" s="180" t="str">
        <f t="shared" si="99"/>
        <v/>
      </c>
      <c r="V601" s="218">
        <f>SUMIFS(DATA!$L:$L,DATA!$O:$O,$B604,DATA!$N:$N,$A604,DATA!$M:$M,'SALES BY SYSTEM'!$O$3)</f>
        <v>0</v>
      </c>
      <c r="W601" s="168"/>
    </row>
    <row r="602" spans="1:23" ht="15.75" customHeight="1" x14ac:dyDescent="0.25">
      <c r="A602" s="178" t="s">
        <v>1835</v>
      </c>
      <c r="B602" s="178" t="s">
        <v>1755</v>
      </c>
      <c r="C602" s="178" t="str">
        <f>VLOOKUP(A602,CUSTOMER!$A:$C,3,0)</f>
        <v>SATRA_F1047LHK</v>
      </c>
      <c r="D602" s="178" t="s">
        <v>674</v>
      </c>
      <c r="E602" s="178" t="str">
        <f>VLOOKUP(A605,CUSTOMER!$A$2:$H$1094,5,0)</f>
        <v>VACANCY</v>
      </c>
      <c r="F602" s="178" t="str">
        <f>VLOOKUP(A605,CUSTOMER!$A$2:$I$1094,6,0)</f>
        <v>VACANCY</v>
      </c>
      <c r="G602" s="178" t="s">
        <v>676</v>
      </c>
      <c r="H602" s="179">
        <f t="shared" si="91"/>
        <v>0</v>
      </c>
      <c r="I602" s="180" t="str">
        <f t="shared" si="92"/>
        <v/>
      </c>
      <c r="J602" s="181">
        <f t="shared" si="93"/>
        <v>0</v>
      </c>
      <c r="K602" s="182">
        <v>0</v>
      </c>
      <c r="L602" s="180" t="str">
        <f t="shared" si="100"/>
        <v/>
      </c>
      <c r="M602" s="218">
        <f>SUMIFS(DATA!$L:$L,DATA!$O:$O,$B605,DATA!$N:$N,$A605,DATA!$M:$M,'SALES BY SYSTEM'!$O$1)</f>
        <v>0</v>
      </c>
      <c r="N602" s="182">
        <v>0</v>
      </c>
      <c r="O602" s="180" t="str">
        <f t="shared" si="97"/>
        <v/>
      </c>
      <c r="P602" s="218">
        <f>SUMIFS(DATA!$L:$L,DATA!$O:$O,$B605,DATA!$N:$N,$A605,DATA!$M:$M,'SALES BY SYSTEM'!$O$2)</f>
        <v>0</v>
      </c>
      <c r="Q602" s="182">
        <v>0</v>
      </c>
      <c r="R602" s="180" t="str">
        <f t="shared" si="98"/>
        <v/>
      </c>
      <c r="S602" s="218">
        <f>SUMIFS(DATA!$L:$L,DATA!$O:$O,$B605,DATA!$N:$N,$A605,DATA!$M:$M,'SALES BY SYSTEM'!$O$4)</f>
        <v>0</v>
      </c>
      <c r="T602" s="182">
        <v>0</v>
      </c>
      <c r="U602" s="180" t="str">
        <f t="shared" si="99"/>
        <v/>
      </c>
      <c r="V602" s="218">
        <f>SUMIFS(DATA!$L:$L,DATA!$O:$O,$B605,DATA!$N:$N,$A605,DATA!$M:$M,'SALES BY SYSTEM'!$O$3)</f>
        <v>0</v>
      </c>
      <c r="W602" s="168"/>
    </row>
    <row r="603" spans="1:23" ht="15.75" customHeight="1" x14ac:dyDescent="0.25">
      <c r="A603" s="178" t="s">
        <v>1837</v>
      </c>
      <c r="B603" s="178" t="s">
        <v>1755</v>
      </c>
      <c r="C603" s="178" t="str">
        <f>VLOOKUP(A603,CUSTOMER!$A:$C,3,0)</f>
        <v>SATRA_F1048LTT</v>
      </c>
      <c r="D603" s="178" t="s">
        <v>674</v>
      </c>
      <c r="E603" s="178" t="str">
        <f>VLOOKUP(A606,CUSTOMER!$A$2:$H$1094,5,0)</f>
        <v>VACANCY</v>
      </c>
      <c r="F603" s="178" t="str">
        <f>VLOOKUP(A606,CUSTOMER!$A$2:$I$1094,6,0)</f>
        <v>VACANCY</v>
      </c>
      <c r="G603" s="178" t="s">
        <v>676</v>
      </c>
      <c r="H603" s="179">
        <f t="shared" ref="H603:H666" si="101">SUM(K603,N603,Q603,T603)</f>
        <v>0</v>
      </c>
      <c r="I603" s="180" t="str">
        <f t="shared" ref="I603:I666" si="102">IFERROR(J603/H603,"")</f>
        <v/>
      </c>
      <c r="J603" s="181">
        <f t="shared" ref="J603:J666" si="103">SUM(M603,P603,S603,V603)</f>
        <v>0</v>
      </c>
      <c r="K603" s="182">
        <v>0</v>
      </c>
      <c r="L603" s="180" t="str">
        <f t="shared" si="100"/>
        <v/>
      </c>
      <c r="M603" s="218">
        <f>SUMIFS(DATA!$L:$L,DATA!$O:$O,$B606,DATA!$N:$N,$A606,DATA!$M:$M,'SALES BY SYSTEM'!$O$1)</f>
        <v>0</v>
      </c>
      <c r="N603" s="182">
        <v>0</v>
      </c>
      <c r="O603" s="180" t="str">
        <f t="shared" si="97"/>
        <v/>
      </c>
      <c r="P603" s="218">
        <f>SUMIFS(DATA!$L:$L,DATA!$O:$O,$B606,DATA!$N:$N,$A606,DATA!$M:$M,'SALES BY SYSTEM'!$O$2)</f>
        <v>0</v>
      </c>
      <c r="Q603" s="182">
        <v>0</v>
      </c>
      <c r="R603" s="180" t="str">
        <f t="shared" si="98"/>
        <v/>
      </c>
      <c r="S603" s="218">
        <f>SUMIFS(DATA!$L:$L,DATA!$O:$O,$B606,DATA!$N:$N,$A606,DATA!$M:$M,'SALES BY SYSTEM'!$O$4)</f>
        <v>0</v>
      </c>
      <c r="T603" s="182">
        <v>0</v>
      </c>
      <c r="U603" s="180" t="str">
        <f t="shared" si="99"/>
        <v/>
      </c>
      <c r="V603" s="218">
        <f>SUMIFS(DATA!$L:$L,DATA!$O:$O,$B606,DATA!$N:$N,$A606,DATA!$M:$M,'SALES BY SYSTEM'!$O$3)</f>
        <v>0</v>
      </c>
      <c r="W603" s="168"/>
    </row>
    <row r="604" spans="1:23" ht="15.75" customHeight="1" x14ac:dyDescent="0.25">
      <c r="A604" s="178" t="s">
        <v>1839</v>
      </c>
      <c r="B604" s="178" t="s">
        <v>1755</v>
      </c>
      <c r="C604" s="178" t="str">
        <f>VLOOKUP(A604,CUSTOMER!$A:$C,3,0)</f>
        <v>SATRA_F1049HS</v>
      </c>
      <c r="D604" s="178" t="s">
        <v>674</v>
      </c>
      <c r="E604" s="178" t="str">
        <f>VLOOKUP(A607,CUSTOMER!$A$2:$H$1094,5,0)</f>
        <v>VACANCY</v>
      </c>
      <c r="F604" s="178" t="str">
        <f>VLOOKUP(A607,CUSTOMER!$A$2:$I$1094,6,0)</f>
        <v>VACANCY</v>
      </c>
      <c r="G604" s="178" t="s">
        <v>676</v>
      </c>
      <c r="H604" s="179">
        <f t="shared" si="101"/>
        <v>0</v>
      </c>
      <c r="I604" s="180" t="str">
        <f t="shared" si="102"/>
        <v/>
      </c>
      <c r="J604" s="181">
        <f t="shared" si="103"/>
        <v>0</v>
      </c>
      <c r="K604" s="182">
        <v>0</v>
      </c>
      <c r="L604" s="180" t="str">
        <f t="shared" si="100"/>
        <v/>
      </c>
      <c r="M604" s="218">
        <f>SUMIFS(DATA!$L:$L,DATA!$O:$O,$B607,DATA!$N:$N,$A607,DATA!$M:$M,'SALES BY SYSTEM'!$O$1)</f>
        <v>0</v>
      </c>
      <c r="N604" s="182">
        <v>0</v>
      </c>
      <c r="O604" s="180" t="str">
        <f t="shared" si="97"/>
        <v/>
      </c>
      <c r="P604" s="218">
        <f>SUMIFS(DATA!$L:$L,DATA!$O:$O,$B607,DATA!$N:$N,$A607,DATA!$M:$M,'SALES BY SYSTEM'!$O$2)</f>
        <v>0</v>
      </c>
      <c r="Q604" s="182">
        <v>0</v>
      </c>
      <c r="R604" s="180" t="str">
        <f t="shared" si="98"/>
        <v/>
      </c>
      <c r="S604" s="218">
        <f>SUMIFS(DATA!$L:$L,DATA!$O:$O,$B607,DATA!$N:$N,$A607,DATA!$M:$M,'SALES BY SYSTEM'!$O$4)</f>
        <v>0</v>
      </c>
      <c r="T604" s="182">
        <v>0</v>
      </c>
      <c r="U604" s="180" t="str">
        <f t="shared" si="99"/>
        <v/>
      </c>
      <c r="V604" s="218">
        <f>SUMIFS(DATA!$L:$L,DATA!$O:$O,$B607,DATA!$N:$N,$A607,DATA!$M:$M,'SALES BY SYSTEM'!$O$3)</f>
        <v>0</v>
      </c>
      <c r="W604" s="168"/>
    </row>
    <row r="605" spans="1:23" ht="15.75" customHeight="1" x14ac:dyDescent="0.25">
      <c r="A605" s="178" t="s">
        <v>1841</v>
      </c>
      <c r="B605" s="178" t="s">
        <v>1755</v>
      </c>
      <c r="C605" s="178" t="str">
        <f>VLOOKUP(A605,CUSTOMER!$A:$C,3,0)</f>
        <v>SATRA_F1050THD</v>
      </c>
      <c r="D605" s="178" t="s">
        <v>674</v>
      </c>
      <c r="E605" s="178" t="str">
        <f>VLOOKUP(A608,CUSTOMER!$A$2:$H$1094,5,0)</f>
        <v>VACANCY</v>
      </c>
      <c r="F605" s="178" t="str">
        <f>VLOOKUP(A608,CUSTOMER!$A$2:$I$1094,6,0)</f>
        <v>VACANCY</v>
      </c>
      <c r="G605" s="178" t="s">
        <v>676</v>
      </c>
      <c r="H605" s="179">
        <f t="shared" si="101"/>
        <v>0</v>
      </c>
      <c r="I605" s="180" t="str">
        <f t="shared" si="102"/>
        <v/>
      </c>
      <c r="J605" s="181">
        <f t="shared" si="103"/>
        <v>0</v>
      </c>
      <c r="K605" s="182">
        <v>0</v>
      </c>
      <c r="L605" s="180" t="str">
        <f t="shared" si="100"/>
        <v/>
      </c>
      <c r="M605" s="218">
        <f>SUMIFS(DATA!$L:$L,DATA!$O:$O,$B608,DATA!$N:$N,$A608,DATA!$M:$M,'SALES BY SYSTEM'!$O$1)</f>
        <v>0</v>
      </c>
      <c r="N605" s="182">
        <v>0</v>
      </c>
      <c r="O605" s="180" t="str">
        <f t="shared" si="97"/>
        <v/>
      </c>
      <c r="P605" s="218">
        <f>SUMIFS(DATA!$L:$L,DATA!$O:$O,$B608,DATA!$N:$N,$A608,DATA!$M:$M,'SALES BY SYSTEM'!$O$2)</f>
        <v>0</v>
      </c>
      <c r="Q605" s="182">
        <v>0</v>
      </c>
      <c r="R605" s="180" t="str">
        <f t="shared" si="98"/>
        <v/>
      </c>
      <c r="S605" s="218">
        <f>SUMIFS(DATA!$L:$L,DATA!$O:$O,$B608,DATA!$N:$N,$A608,DATA!$M:$M,'SALES BY SYSTEM'!$O$4)</f>
        <v>0</v>
      </c>
      <c r="T605" s="182">
        <v>0</v>
      </c>
      <c r="U605" s="180" t="str">
        <f t="shared" si="99"/>
        <v/>
      </c>
      <c r="V605" s="218">
        <f>SUMIFS(DATA!$L:$L,DATA!$O:$O,$B608,DATA!$N:$N,$A608,DATA!$M:$M,'SALES BY SYSTEM'!$O$3)</f>
        <v>0</v>
      </c>
      <c r="W605" s="168"/>
    </row>
    <row r="606" spans="1:23" ht="15.75" customHeight="1" x14ac:dyDescent="0.25">
      <c r="A606" s="178" t="s">
        <v>1843</v>
      </c>
      <c r="B606" s="178" t="s">
        <v>1755</v>
      </c>
      <c r="C606" s="178" t="str">
        <f>VLOOKUP(A606,CUSTOMER!$A:$C,3,0)</f>
        <v>SATRA_F1051PCT</v>
      </c>
      <c r="D606" s="178" t="s">
        <v>674</v>
      </c>
      <c r="E606" s="178" t="str">
        <f>VLOOKUP(A609,CUSTOMER!$A$2:$H$1094,5,0)</f>
        <v>VACANCY</v>
      </c>
      <c r="F606" s="178" t="str">
        <f>VLOOKUP(A609,CUSTOMER!$A$2:$I$1094,6,0)</f>
        <v>VACANCY</v>
      </c>
      <c r="G606" s="178" t="s">
        <v>676</v>
      </c>
      <c r="H606" s="179">
        <f t="shared" si="101"/>
        <v>0</v>
      </c>
      <c r="I606" s="180" t="str">
        <f t="shared" si="102"/>
        <v/>
      </c>
      <c r="J606" s="181">
        <f t="shared" si="103"/>
        <v>0</v>
      </c>
      <c r="K606" s="182">
        <v>0</v>
      </c>
      <c r="L606" s="180" t="str">
        <f t="shared" si="100"/>
        <v/>
      </c>
      <c r="M606" s="218">
        <f>SUMIFS(DATA!$L:$L,DATA!$O:$O,$B609,DATA!$N:$N,$A609,DATA!$M:$M,'SALES BY SYSTEM'!$O$1)</f>
        <v>0</v>
      </c>
      <c r="N606" s="182">
        <v>0</v>
      </c>
      <c r="O606" s="180" t="str">
        <f t="shared" si="97"/>
        <v/>
      </c>
      <c r="P606" s="218">
        <f>SUMIFS(DATA!$L:$L,DATA!$O:$O,$B609,DATA!$N:$N,$A609,DATA!$M:$M,'SALES BY SYSTEM'!$O$2)</f>
        <v>0</v>
      </c>
      <c r="Q606" s="182">
        <v>0</v>
      </c>
      <c r="R606" s="180" t="str">
        <f t="shared" si="98"/>
        <v/>
      </c>
      <c r="S606" s="218">
        <f>SUMIFS(DATA!$L:$L,DATA!$O:$O,$B609,DATA!$N:$N,$A609,DATA!$M:$M,'SALES BY SYSTEM'!$O$4)</f>
        <v>0</v>
      </c>
      <c r="T606" s="182">
        <v>0</v>
      </c>
      <c r="U606" s="180" t="str">
        <f t="shared" si="99"/>
        <v/>
      </c>
      <c r="V606" s="218">
        <f>SUMIFS(DATA!$L:$L,DATA!$O:$O,$B609,DATA!$N:$N,$A609,DATA!$M:$M,'SALES BY SYSTEM'!$O$3)</f>
        <v>0</v>
      </c>
      <c r="W606" s="168"/>
    </row>
    <row r="607" spans="1:23" ht="15.75" customHeight="1" x14ac:dyDescent="0.25">
      <c r="A607" s="178" t="s">
        <v>1845</v>
      </c>
      <c r="B607" s="178" t="s">
        <v>1755</v>
      </c>
      <c r="C607" s="178" t="str">
        <f>VLOOKUP(A607,CUSTOMER!$A:$C,3,0)</f>
        <v>SATRA_F1052CC</v>
      </c>
      <c r="D607" s="178" t="s">
        <v>674</v>
      </c>
      <c r="E607" s="178" t="str">
        <f>VLOOKUP(A610,CUSTOMER!$A$2:$H$1094,5,0)</f>
        <v>VACANCY</v>
      </c>
      <c r="F607" s="178" t="str">
        <f>VLOOKUP(A610,CUSTOMER!$A$2:$I$1094,6,0)</f>
        <v>VACANCY</v>
      </c>
      <c r="G607" s="178" t="s">
        <v>676</v>
      </c>
      <c r="H607" s="179">
        <f t="shared" si="101"/>
        <v>0</v>
      </c>
      <c r="I607" s="180" t="str">
        <f t="shared" si="102"/>
        <v/>
      </c>
      <c r="J607" s="181">
        <f t="shared" si="103"/>
        <v>0</v>
      </c>
      <c r="K607" s="182">
        <v>0</v>
      </c>
      <c r="L607" s="180" t="str">
        <f t="shared" si="100"/>
        <v/>
      </c>
      <c r="M607" s="218">
        <f>SUMIFS(DATA!$L:$L,DATA!$O:$O,$B610,DATA!$N:$N,$A610,DATA!$M:$M,'SALES BY SYSTEM'!$O$1)</f>
        <v>0</v>
      </c>
      <c r="N607" s="182">
        <v>0</v>
      </c>
      <c r="O607" s="180" t="str">
        <f t="shared" si="97"/>
        <v/>
      </c>
      <c r="P607" s="218">
        <f>SUMIFS(DATA!$L:$L,DATA!$O:$O,$B610,DATA!$N:$N,$A610,DATA!$M:$M,'SALES BY SYSTEM'!$O$2)</f>
        <v>0</v>
      </c>
      <c r="Q607" s="182">
        <v>0</v>
      </c>
      <c r="R607" s="180" t="str">
        <f t="shared" si="98"/>
        <v/>
      </c>
      <c r="S607" s="218">
        <f>SUMIFS(DATA!$L:$L,DATA!$O:$O,$B610,DATA!$N:$N,$A610,DATA!$M:$M,'SALES BY SYSTEM'!$O$4)</f>
        <v>0</v>
      </c>
      <c r="T607" s="182">
        <v>0</v>
      </c>
      <c r="U607" s="180" t="str">
        <f t="shared" si="99"/>
        <v/>
      </c>
      <c r="V607" s="218">
        <f>SUMIFS(DATA!$L:$L,DATA!$O:$O,$B610,DATA!$N:$N,$A610,DATA!$M:$M,'SALES BY SYSTEM'!$O$3)</f>
        <v>0</v>
      </c>
      <c r="W607" s="168"/>
    </row>
    <row r="608" spans="1:23" ht="15.75" customHeight="1" x14ac:dyDescent="0.25">
      <c r="A608" s="178" t="s">
        <v>1847</v>
      </c>
      <c r="B608" s="178" t="s">
        <v>1755</v>
      </c>
      <c r="C608" s="178" t="str">
        <f>VLOOKUP(A608,CUSTOMER!$A:$C,3,0)</f>
        <v>SATRA_F1053NVC</v>
      </c>
      <c r="D608" s="178" t="s">
        <v>674</v>
      </c>
      <c r="E608" s="178" t="str">
        <f>VLOOKUP(A611,CUSTOMER!$A$2:$H$1094,5,0)</f>
        <v>VACANCY</v>
      </c>
      <c r="F608" s="178" t="str">
        <f>VLOOKUP(A611,CUSTOMER!$A$2:$I$1094,6,0)</f>
        <v>VACANCY</v>
      </c>
      <c r="G608" s="178" t="s">
        <v>676</v>
      </c>
      <c r="H608" s="179">
        <f t="shared" si="101"/>
        <v>0</v>
      </c>
      <c r="I608" s="180" t="str">
        <f t="shared" si="102"/>
        <v/>
      </c>
      <c r="J608" s="181">
        <f t="shared" si="103"/>
        <v>0</v>
      </c>
      <c r="K608" s="182">
        <v>0</v>
      </c>
      <c r="L608" s="180" t="str">
        <f t="shared" si="100"/>
        <v/>
      </c>
      <c r="M608" s="218">
        <f>SUMIFS(DATA!$L:$L,DATA!$O:$O,$B611,DATA!$N:$N,$A611,DATA!$M:$M,'SALES BY SYSTEM'!$O$1)</f>
        <v>0</v>
      </c>
      <c r="N608" s="182">
        <v>0</v>
      </c>
      <c r="O608" s="180" t="str">
        <f t="shared" si="97"/>
        <v/>
      </c>
      <c r="P608" s="218">
        <f>SUMIFS(DATA!$L:$L,DATA!$O:$O,$B611,DATA!$N:$N,$A611,DATA!$M:$M,'SALES BY SYSTEM'!$O$2)</f>
        <v>0</v>
      </c>
      <c r="Q608" s="182">
        <v>0</v>
      </c>
      <c r="R608" s="180" t="str">
        <f t="shared" si="98"/>
        <v/>
      </c>
      <c r="S608" s="218">
        <f>SUMIFS(DATA!$L:$L,DATA!$O:$O,$B611,DATA!$N:$N,$A611,DATA!$M:$M,'SALES BY SYSTEM'!$O$4)</f>
        <v>0</v>
      </c>
      <c r="T608" s="182">
        <v>0</v>
      </c>
      <c r="U608" s="180" t="str">
        <f t="shared" si="99"/>
        <v/>
      </c>
      <c r="V608" s="218">
        <f>SUMIFS(DATA!$L:$L,DATA!$O:$O,$B611,DATA!$N:$N,$A611,DATA!$M:$M,'SALES BY SYSTEM'!$O$3)</f>
        <v>0</v>
      </c>
      <c r="W608" s="168"/>
    </row>
    <row r="609" spans="1:23" ht="15.75" customHeight="1" x14ac:dyDescent="0.25">
      <c r="A609" s="178" t="s">
        <v>1849</v>
      </c>
      <c r="B609" s="178" t="s">
        <v>1755</v>
      </c>
      <c r="C609" s="178" t="str">
        <f>VLOOKUP(A609,CUSTOMER!$A:$C,3,0)</f>
        <v>SATRA_F1054NVQ</v>
      </c>
      <c r="D609" s="178" t="s">
        <v>674</v>
      </c>
      <c r="E609" s="178" t="str">
        <f>VLOOKUP(A612,CUSTOMER!$A$2:$H$1094,5,0)</f>
        <v>VACANCY</v>
      </c>
      <c r="F609" s="178" t="str">
        <f>VLOOKUP(A612,CUSTOMER!$A$2:$I$1094,6,0)</f>
        <v>VACANCY</v>
      </c>
      <c r="G609" s="178" t="s">
        <v>676</v>
      </c>
      <c r="H609" s="179">
        <f t="shared" si="101"/>
        <v>0</v>
      </c>
      <c r="I609" s="180" t="str">
        <f t="shared" si="102"/>
        <v/>
      </c>
      <c r="J609" s="181">
        <f t="shared" si="103"/>
        <v>0</v>
      </c>
      <c r="K609" s="182">
        <v>0</v>
      </c>
      <c r="L609" s="180" t="str">
        <f t="shared" si="100"/>
        <v/>
      </c>
      <c r="M609" s="218">
        <f>SUMIFS(DATA!$L:$L,DATA!$O:$O,$B612,DATA!$N:$N,$A612,DATA!$M:$M,'SALES BY SYSTEM'!$O$1)</f>
        <v>0</v>
      </c>
      <c r="N609" s="182">
        <v>0</v>
      </c>
      <c r="O609" s="180" t="str">
        <f t="shared" si="97"/>
        <v/>
      </c>
      <c r="P609" s="218">
        <f>SUMIFS(DATA!$L:$L,DATA!$O:$O,$B612,DATA!$N:$N,$A612,DATA!$M:$M,'SALES BY SYSTEM'!$O$2)</f>
        <v>0</v>
      </c>
      <c r="Q609" s="182">
        <v>0</v>
      </c>
      <c r="R609" s="180" t="str">
        <f t="shared" si="98"/>
        <v/>
      </c>
      <c r="S609" s="218">
        <f>SUMIFS(DATA!$L:$L,DATA!$O:$O,$B612,DATA!$N:$N,$A612,DATA!$M:$M,'SALES BY SYSTEM'!$O$4)</f>
        <v>0</v>
      </c>
      <c r="T609" s="182">
        <v>0</v>
      </c>
      <c r="U609" s="180" t="str">
        <f t="shared" si="99"/>
        <v/>
      </c>
      <c r="V609" s="218">
        <f>SUMIFS(DATA!$L:$L,DATA!$O:$O,$B612,DATA!$N:$N,$A612,DATA!$M:$M,'SALES BY SYSTEM'!$O$3)</f>
        <v>0</v>
      </c>
      <c r="W609" s="168"/>
    </row>
    <row r="610" spans="1:23" ht="15.75" customHeight="1" x14ac:dyDescent="0.25">
      <c r="A610" s="178" t="s">
        <v>1851</v>
      </c>
      <c r="B610" s="178" t="s">
        <v>1755</v>
      </c>
      <c r="C610" s="178" t="str">
        <f>VLOOKUP(A610,CUSTOMER!$A:$C,3,0)</f>
        <v>SATRA_F1055NDT</v>
      </c>
      <c r="D610" s="178" t="s">
        <v>674</v>
      </c>
      <c r="E610" s="178" t="str">
        <f>VLOOKUP(A613,CUSTOMER!$A$2:$H$1094,5,0)</f>
        <v>VACANCY</v>
      </c>
      <c r="F610" s="178" t="str">
        <f>VLOOKUP(A613,CUSTOMER!$A$2:$I$1094,6,0)</f>
        <v>VACANCY</v>
      </c>
      <c r="G610" s="178" t="s">
        <v>676</v>
      </c>
      <c r="H610" s="179">
        <f t="shared" si="101"/>
        <v>0</v>
      </c>
      <c r="I610" s="180" t="str">
        <f t="shared" si="102"/>
        <v/>
      </c>
      <c r="J610" s="181">
        <f t="shared" si="103"/>
        <v>0</v>
      </c>
      <c r="K610" s="182">
        <v>0</v>
      </c>
      <c r="L610" s="180" t="str">
        <f t="shared" si="100"/>
        <v/>
      </c>
      <c r="M610" s="218">
        <f>SUMIFS(DATA!$L:$L,DATA!$O:$O,$B613,DATA!$N:$N,$A613,DATA!$M:$M,'SALES BY SYSTEM'!$O$1)</f>
        <v>0</v>
      </c>
      <c r="N610" s="182">
        <v>0</v>
      </c>
      <c r="O610" s="180" t="str">
        <f t="shared" si="97"/>
        <v/>
      </c>
      <c r="P610" s="218">
        <f>SUMIFS(DATA!$L:$L,DATA!$O:$O,$B613,DATA!$N:$N,$A613,DATA!$M:$M,'SALES BY SYSTEM'!$O$2)</f>
        <v>0</v>
      </c>
      <c r="Q610" s="182">
        <v>0</v>
      </c>
      <c r="R610" s="180" t="str">
        <f t="shared" si="98"/>
        <v/>
      </c>
      <c r="S610" s="218">
        <f>SUMIFS(DATA!$L:$L,DATA!$O:$O,$B613,DATA!$N:$N,$A613,DATA!$M:$M,'SALES BY SYSTEM'!$O$4)</f>
        <v>0</v>
      </c>
      <c r="T610" s="182">
        <v>0</v>
      </c>
      <c r="U610" s="180" t="str">
        <f t="shared" si="99"/>
        <v/>
      </c>
      <c r="V610" s="218">
        <f>SUMIFS(DATA!$L:$L,DATA!$O:$O,$B613,DATA!$N:$N,$A613,DATA!$M:$M,'SALES BY SYSTEM'!$O$3)</f>
        <v>0</v>
      </c>
      <c r="W610" s="168"/>
    </row>
    <row r="611" spans="1:23" ht="15.75" customHeight="1" x14ac:dyDescent="0.25">
      <c r="A611" s="178" t="s">
        <v>1853</v>
      </c>
      <c r="B611" s="178" t="s">
        <v>1755</v>
      </c>
      <c r="C611" s="178" t="str">
        <f>VLOOKUP(A611,CUSTOMER!$A:$C,3,0)</f>
        <v>SATRA_F1056LDT</v>
      </c>
      <c r="D611" s="178" t="s">
        <v>674</v>
      </c>
      <c r="E611" s="178" t="str">
        <f>VLOOKUP(A614,CUSTOMER!$A$2:$H$1094,5,0)</f>
        <v>VACANCY</v>
      </c>
      <c r="F611" s="178" t="str">
        <f>VLOOKUP(A614,CUSTOMER!$A$2:$I$1094,6,0)</f>
        <v>VACANCY</v>
      </c>
      <c r="G611" s="178" t="s">
        <v>676</v>
      </c>
      <c r="H611" s="179">
        <f t="shared" si="101"/>
        <v>0</v>
      </c>
      <c r="I611" s="180" t="str">
        <f t="shared" si="102"/>
        <v/>
      </c>
      <c r="J611" s="181">
        <f t="shared" si="103"/>
        <v>0</v>
      </c>
      <c r="K611" s="182">
        <v>0</v>
      </c>
      <c r="L611" s="180" t="str">
        <f t="shared" si="100"/>
        <v/>
      </c>
      <c r="M611" s="218">
        <f>SUMIFS(DATA!$L:$L,DATA!$O:$O,$B614,DATA!$N:$N,$A614,DATA!$M:$M,'SALES BY SYSTEM'!$O$1)</f>
        <v>0</v>
      </c>
      <c r="N611" s="182">
        <v>0</v>
      </c>
      <c r="O611" s="180" t="str">
        <f t="shared" si="97"/>
        <v/>
      </c>
      <c r="P611" s="218">
        <f>SUMIFS(DATA!$L:$L,DATA!$O:$O,$B614,DATA!$N:$N,$A614,DATA!$M:$M,'SALES BY SYSTEM'!$O$2)</f>
        <v>0</v>
      </c>
      <c r="Q611" s="182">
        <v>0</v>
      </c>
      <c r="R611" s="180" t="str">
        <f t="shared" si="98"/>
        <v/>
      </c>
      <c r="S611" s="218">
        <f>SUMIFS(DATA!$L:$L,DATA!$O:$O,$B614,DATA!$N:$N,$A614,DATA!$M:$M,'SALES BY SYSTEM'!$O$4)</f>
        <v>0</v>
      </c>
      <c r="T611" s="182">
        <v>0</v>
      </c>
      <c r="U611" s="180" t="str">
        <f t="shared" si="99"/>
        <v/>
      </c>
      <c r="V611" s="218">
        <f>SUMIFS(DATA!$L:$L,DATA!$O:$O,$B614,DATA!$N:$N,$A614,DATA!$M:$M,'SALES BY SYSTEM'!$O$3)</f>
        <v>0</v>
      </c>
      <c r="W611" s="168"/>
    </row>
    <row r="612" spans="1:23" ht="15.75" customHeight="1" x14ac:dyDescent="0.25">
      <c r="A612" s="178" t="s">
        <v>1855</v>
      </c>
      <c r="B612" s="178" t="s">
        <v>1755</v>
      </c>
      <c r="C612" s="178" t="str">
        <f>VLOOKUP(A612,CUSTOMER!$A:$C,3,0)</f>
        <v>SATRA_F1057BT</v>
      </c>
      <c r="D612" s="178" t="s">
        <v>674</v>
      </c>
      <c r="E612" s="178" t="str">
        <f>VLOOKUP(A615,CUSTOMER!$A$2:$H$1094,5,0)</f>
        <v>VACANCY</v>
      </c>
      <c r="F612" s="178" t="str">
        <f>VLOOKUP(A615,CUSTOMER!$A$2:$I$1094,6,0)</f>
        <v>VACANCY</v>
      </c>
      <c r="G612" s="178" t="s">
        <v>676</v>
      </c>
      <c r="H612" s="179">
        <f t="shared" si="101"/>
        <v>0</v>
      </c>
      <c r="I612" s="180" t="str">
        <f t="shared" si="102"/>
        <v/>
      </c>
      <c r="J612" s="181">
        <f t="shared" si="103"/>
        <v>0</v>
      </c>
      <c r="K612" s="182">
        <v>0</v>
      </c>
      <c r="L612" s="180" t="str">
        <f t="shared" si="100"/>
        <v/>
      </c>
      <c r="M612" s="218">
        <f>SUMIFS(DATA!$L:$L,DATA!$O:$O,$B615,DATA!$N:$N,$A615,DATA!$M:$M,'SALES BY SYSTEM'!$O$1)</f>
        <v>0</v>
      </c>
      <c r="N612" s="182">
        <v>0</v>
      </c>
      <c r="O612" s="180" t="str">
        <f t="shared" si="97"/>
        <v/>
      </c>
      <c r="P612" s="218">
        <f>SUMIFS(DATA!$L:$L,DATA!$O:$O,$B615,DATA!$N:$N,$A615,DATA!$M:$M,'SALES BY SYSTEM'!$O$2)</f>
        <v>0</v>
      </c>
      <c r="Q612" s="182">
        <v>0</v>
      </c>
      <c r="R612" s="180" t="str">
        <f t="shared" si="98"/>
        <v/>
      </c>
      <c r="S612" s="218">
        <f>SUMIFS(DATA!$L:$L,DATA!$O:$O,$B615,DATA!$N:$N,$A615,DATA!$M:$M,'SALES BY SYSTEM'!$O$4)</f>
        <v>0</v>
      </c>
      <c r="T612" s="182">
        <v>0</v>
      </c>
      <c r="U612" s="180" t="str">
        <f t="shared" si="99"/>
        <v/>
      </c>
      <c r="V612" s="218">
        <f>SUMIFS(DATA!$L:$L,DATA!$O:$O,$B615,DATA!$N:$N,$A615,DATA!$M:$M,'SALES BY SYSTEM'!$O$3)</f>
        <v>0</v>
      </c>
      <c r="W612" s="168"/>
    </row>
    <row r="613" spans="1:23" ht="15.75" customHeight="1" x14ac:dyDescent="0.25">
      <c r="A613" s="178" t="s">
        <v>1857</v>
      </c>
      <c r="B613" s="178" t="s">
        <v>1755</v>
      </c>
      <c r="C613" s="178" t="str">
        <f>VLOOKUP(A613,CUSTOMER!$A:$C,3,0)</f>
        <v>SATRA_F1058DS1</v>
      </c>
      <c r="D613" s="178" t="s">
        <v>674</v>
      </c>
      <c r="E613" s="178" t="str">
        <f>VLOOKUP(A616,CUSTOMER!$A$2:$H$1094,5,0)</f>
        <v>VACANCY</v>
      </c>
      <c r="F613" s="178" t="str">
        <f>VLOOKUP(A616,CUSTOMER!$A$2:$I$1094,6,0)</f>
        <v>VACANCY</v>
      </c>
      <c r="G613" s="178" t="s">
        <v>676</v>
      </c>
      <c r="H613" s="179">
        <f t="shared" si="101"/>
        <v>0</v>
      </c>
      <c r="I613" s="180" t="str">
        <f t="shared" si="102"/>
        <v/>
      </c>
      <c r="J613" s="181">
        <f t="shared" si="103"/>
        <v>0</v>
      </c>
      <c r="K613" s="182">
        <v>0</v>
      </c>
      <c r="L613" s="180" t="str">
        <f t="shared" si="100"/>
        <v/>
      </c>
      <c r="M613" s="218">
        <f>SUMIFS(DATA!$L:$L,DATA!$O:$O,$B616,DATA!$N:$N,$A616,DATA!$M:$M,'SALES BY SYSTEM'!$O$1)</f>
        <v>0</v>
      </c>
      <c r="N613" s="182">
        <v>0</v>
      </c>
      <c r="O613" s="180" t="str">
        <f t="shared" si="97"/>
        <v/>
      </c>
      <c r="P613" s="218">
        <f>SUMIFS(DATA!$L:$L,DATA!$O:$O,$B616,DATA!$N:$N,$A616,DATA!$M:$M,'SALES BY SYSTEM'!$O$2)</f>
        <v>0</v>
      </c>
      <c r="Q613" s="182">
        <v>0</v>
      </c>
      <c r="R613" s="180" t="str">
        <f t="shared" si="98"/>
        <v/>
      </c>
      <c r="S613" s="218">
        <f>SUMIFS(DATA!$L:$L,DATA!$O:$O,$B616,DATA!$N:$N,$A616,DATA!$M:$M,'SALES BY SYSTEM'!$O$4)</f>
        <v>0</v>
      </c>
      <c r="T613" s="182">
        <v>0</v>
      </c>
      <c r="U613" s="180" t="str">
        <f t="shared" si="99"/>
        <v/>
      </c>
      <c r="V613" s="218">
        <f>SUMIFS(DATA!$L:$L,DATA!$O:$O,$B616,DATA!$N:$N,$A616,DATA!$M:$M,'SALES BY SYSTEM'!$O$3)</f>
        <v>0</v>
      </c>
      <c r="W613" s="168"/>
    </row>
    <row r="614" spans="1:23" ht="15.75" customHeight="1" x14ac:dyDescent="0.25">
      <c r="A614" s="178" t="s">
        <v>1859</v>
      </c>
      <c r="B614" s="178" t="s">
        <v>1755</v>
      </c>
      <c r="C614" s="178" t="str">
        <f>VLOOKUP(A614,CUSTOMER!$A:$C,3,0)</f>
        <v>SATRA_F1059LVL</v>
      </c>
      <c r="D614" s="178" t="s">
        <v>674</v>
      </c>
      <c r="E614" s="178" t="str">
        <f>VLOOKUP(A617,CUSTOMER!$A$2:$H$1094,5,0)</f>
        <v>VACANCY</v>
      </c>
      <c r="F614" s="178" t="str">
        <f>VLOOKUP(A617,CUSTOMER!$A$2:$I$1094,6,0)</f>
        <v>VACANCY</v>
      </c>
      <c r="G614" s="178" t="s">
        <v>676</v>
      </c>
      <c r="H614" s="179">
        <f t="shared" si="101"/>
        <v>0</v>
      </c>
      <c r="I614" s="180" t="str">
        <f t="shared" si="102"/>
        <v/>
      </c>
      <c r="J614" s="181">
        <f t="shared" si="103"/>
        <v>0</v>
      </c>
      <c r="K614" s="182">
        <v>0</v>
      </c>
      <c r="L614" s="180" t="str">
        <f t="shared" si="100"/>
        <v/>
      </c>
      <c r="M614" s="218">
        <f>SUMIFS(DATA!$L:$L,DATA!$O:$O,$B617,DATA!$N:$N,$A617,DATA!$M:$M,'SALES BY SYSTEM'!$O$1)</f>
        <v>0</v>
      </c>
      <c r="N614" s="182">
        <v>0</v>
      </c>
      <c r="O614" s="180" t="str">
        <f t="shared" si="97"/>
        <v/>
      </c>
      <c r="P614" s="218">
        <f>SUMIFS(DATA!$L:$L,DATA!$O:$O,$B617,DATA!$N:$N,$A617,DATA!$M:$M,'SALES BY SYSTEM'!$O$2)</f>
        <v>0</v>
      </c>
      <c r="Q614" s="182">
        <v>0</v>
      </c>
      <c r="R614" s="180" t="str">
        <f t="shared" si="98"/>
        <v/>
      </c>
      <c r="S614" s="218">
        <f>SUMIFS(DATA!$L:$L,DATA!$O:$O,$B617,DATA!$N:$N,$A617,DATA!$M:$M,'SALES BY SYSTEM'!$O$4)</f>
        <v>0</v>
      </c>
      <c r="T614" s="182">
        <v>0</v>
      </c>
      <c r="U614" s="180" t="str">
        <f t="shared" si="99"/>
        <v/>
      </c>
      <c r="V614" s="218">
        <f>SUMIFS(DATA!$L:$L,DATA!$O:$O,$B617,DATA!$N:$N,$A617,DATA!$M:$M,'SALES BY SYSTEM'!$O$3)</f>
        <v>0</v>
      </c>
      <c r="W614" s="168"/>
    </row>
    <row r="615" spans="1:23" ht="15.75" customHeight="1" x14ac:dyDescent="0.25">
      <c r="A615" s="178" t="s">
        <v>1861</v>
      </c>
      <c r="B615" s="178" t="s">
        <v>1755</v>
      </c>
      <c r="C615" s="178" t="str">
        <f>VLOOKUP(A615,CUSTOMER!$A:$C,3,0)</f>
        <v>SATRA_F1060LVV</v>
      </c>
      <c r="D615" s="178" t="s">
        <v>674</v>
      </c>
      <c r="E615" s="178" t="str">
        <f>VLOOKUP(A618,CUSTOMER!$A$2:$H$1094,5,0)</f>
        <v>VACANCY</v>
      </c>
      <c r="F615" s="178" t="str">
        <f>VLOOKUP(A618,CUSTOMER!$A$2:$I$1094,6,0)</f>
        <v>VACANCY</v>
      </c>
      <c r="G615" s="178" t="s">
        <v>676</v>
      </c>
      <c r="H615" s="179">
        <f t="shared" si="101"/>
        <v>0</v>
      </c>
      <c r="I615" s="180" t="str">
        <f t="shared" si="102"/>
        <v/>
      </c>
      <c r="J615" s="181">
        <f t="shared" si="103"/>
        <v>0</v>
      </c>
      <c r="K615" s="182">
        <v>0</v>
      </c>
      <c r="L615" s="180" t="str">
        <f t="shared" si="100"/>
        <v/>
      </c>
      <c r="M615" s="218">
        <f>SUMIFS(DATA!$L:$L,DATA!$O:$O,$B618,DATA!$N:$N,$A618,DATA!$M:$M,'SALES BY SYSTEM'!$O$1)</f>
        <v>0</v>
      </c>
      <c r="N615" s="182">
        <v>0</v>
      </c>
      <c r="O615" s="180" t="str">
        <f t="shared" ref="O615:O678" si="104">IFERROR(P618/N618,"")</f>
        <v/>
      </c>
      <c r="P615" s="218">
        <f>SUMIFS(DATA!$L:$L,DATA!$O:$O,$B618,DATA!$N:$N,$A618,DATA!$M:$M,'SALES BY SYSTEM'!$O$2)</f>
        <v>0</v>
      </c>
      <c r="Q615" s="182">
        <v>0</v>
      </c>
      <c r="R615" s="180" t="str">
        <f t="shared" ref="R615:R678" si="105">IFERROR(S618/Q618,"")</f>
        <v/>
      </c>
      <c r="S615" s="218">
        <f>SUMIFS(DATA!$L:$L,DATA!$O:$O,$B618,DATA!$N:$N,$A618,DATA!$M:$M,'SALES BY SYSTEM'!$O$4)</f>
        <v>0</v>
      </c>
      <c r="T615" s="182">
        <v>0</v>
      </c>
      <c r="U615" s="180" t="str">
        <f t="shared" ref="U615:U678" si="106">IFERROR(V618/T618,"")</f>
        <v/>
      </c>
      <c r="V615" s="218">
        <f>SUMIFS(DATA!$L:$L,DATA!$O:$O,$B618,DATA!$N:$N,$A618,DATA!$M:$M,'SALES BY SYSTEM'!$O$3)</f>
        <v>0</v>
      </c>
      <c r="W615" s="168"/>
    </row>
    <row r="616" spans="1:23" ht="15.75" customHeight="1" x14ac:dyDescent="0.25">
      <c r="A616" s="178" t="s">
        <v>1863</v>
      </c>
      <c r="B616" s="178" t="s">
        <v>1755</v>
      </c>
      <c r="C616" s="178" t="str">
        <f>VLOOKUP(A616,CUSTOMER!$A:$C,3,0)</f>
        <v>SATRA_F1061VL</v>
      </c>
      <c r="D616" s="178" t="s">
        <v>674</v>
      </c>
      <c r="E616" s="178" t="str">
        <f>VLOOKUP(A619,CUSTOMER!$A$2:$H$1094,5,0)</f>
        <v>VACANCY</v>
      </c>
      <c r="F616" s="178" t="str">
        <f>VLOOKUP(A619,CUSTOMER!$A$2:$I$1094,6,0)</f>
        <v>VACANCY</v>
      </c>
      <c r="G616" s="178" t="s">
        <v>676</v>
      </c>
      <c r="H616" s="179">
        <f t="shared" si="101"/>
        <v>0</v>
      </c>
      <c r="I616" s="180" t="str">
        <f t="shared" si="102"/>
        <v/>
      </c>
      <c r="J616" s="181">
        <f t="shared" si="103"/>
        <v>0</v>
      </c>
      <c r="K616" s="182">
        <v>0</v>
      </c>
      <c r="L616" s="180" t="str">
        <f t="shared" si="100"/>
        <v/>
      </c>
      <c r="M616" s="218">
        <f>SUMIFS(DATA!$L:$L,DATA!$O:$O,$B619,DATA!$N:$N,$A619,DATA!$M:$M,'SALES BY SYSTEM'!$O$1)</f>
        <v>0</v>
      </c>
      <c r="N616" s="182">
        <v>0</v>
      </c>
      <c r="O616" s="180" t="str">
        <f t="shared" si="104"/>
        <v/>
      </c>
      <c r="P616" s="218">
        <f>SUMIFS(DATA!$L:$L,DATA!$O:$O,$B619,DATA!$N:$N,$A619,DATA!$M:$M,'SALES BY SYSTEM'!$O$2)</f>
        <v>0</v>
      </c>
      <c r="Q616" s="182">
        <v>0</v>
      </c>
      <c r="R616" s="180" t="str">
        <f t="shared" si="105"/>
        <v/>
      </c>
      <c r="S616" s="218">
        <f>SUMIFS(DATA!$L:$L,DATA!$O:$O,$B619,DATA!$N:$N,$A619,DATA!$M:$M,'SALES BY SYSTEM'!$O$4)</f>
        <v>0</v>
      </c>
      <c r="T616" s="182">
        <v>0</v>
      </c>
      <c r="U616" s="180" t="str">
        <f t="shared" si="106"/>
        <v/>
      </c>
      <c r="V616" s="218">
        <f>SUMIFS(DATA!$L:$L,DATA!$O:$O,$B619,DATA!$N:$N,$A619,DATA!$M:$M,'SALES BY SYSTEM'!$O$3)</f>
        <v>0</v>
      </c>
      <c r="W616" s="168"/>
    </row>
    <row r="617" spans="1:23" ht="15.75" customHeight="1" x14ac:dyDescent="0.25">
      <c r="A617" s="178" t="s">
        <v>1865</v>
      </c>
      <c r="B617" s="178" t="s">
        <v>1755</v>
      </c>
      <c r="C617" s="178" t="str">
        <f>VLOOKUP(A617,CUSTOMER!$A:$C,3,0)</f>
        <v>SATRA_F1063UVK</v>
      </c>
      <c r="D617" s="178" t="s">
        <v>674</v>
      </c>
      <c r="E617" s="178" t="str">
        <f>VLOOKUP(A620,CUSTOMER!$A$2:$H$1094,5,0)</f>
        <v>VACANCY</v>
      </c>
      <c r="F617" s="178" t="str">
        <f>VLOOKUP(A620,CUSTOMER!$A$2:$I$1094,6,0)</f>
        <v>VACANCY</v>
      </c>
      <c r="G617" s="178" t="s">
        <v>676</v>
      </c>
      <c r="H617" s="179">
        <f t="shared" si="101"/>
        <v>0</v>
      </c>
      <c r="I617" s="180" t="str">
        <f t="shared" si="102"/>
        <v/>
      </c>
      <c r="J617" s="181">
        <f t="shared" si="103"/>
        <v>0</v>
      </c>
      <c r="K617" s="182">
        <v>0</v>
      </c>
      <c r="L617" s="180" t="str">
        <f t="shared" si="100"/>
        <v/>
      </c>
      <c r="M617" s="218">
        <f>SUMIFS(DATA!$L:$L,DATA!$O:$O,$B620,DATA!$N:$N,$A620,DATA!$M:$M,'SALES BY SYSTEM'!$O$1)</f>
        <v>0</v>
      </c>
      <c r="N617" s="182">
        <v>0</v>
      </c>
      <c r="O617" s="180" t="str">
        <f t="shared" si="104"/>
        <v/>
      </c>
      <c r="P617" s="218">
        <f>SUMIFS(DATA!$L:$L,DATA!$O:$O,$B620,DATA!$N:$N,$A620,DATA!$M:$M,'SALES BY SYSTEM'!$O$2)</f>
        <v>0</v>
      </c>
      <c r="Q617" s="182">
        <v>0</v>
      </c>
      <c r="R617" s="180" t="str">
        <f t="shared" si="105"/>
        <v/>
      </c>
      <c r="S617" s="218">
        <f>SUMIFS(DATA!$L:$L,DATA!$O:$O,$B620,DATA!$N:$N,$A620,DATA!$M:$M,'SALES BY SYSTEM'!$O$4)</f>
        <v>0</v>
      </c>
      <c r="T617" s="182">
        <v>0</v>
      </c>
      <c r="U617" s="180" t="str">
        <f t="shared" si="106"/>
        <v/>
      </c>
      <c r="V617" s="218">
        <f>SUMIFS(DATA!$L:$L,DATA!$O:$O,$B620,DATA!$N:$N,$A620,DATA!$M:$M,'SALES BY SYSTEM'!$O$3)</f>
        <v>0</v>
      </c>
      <c r="W617" s="168"/>
    </row>
    <row r="618" spans="1:23" ht="15.75" customHeight="1" x14ac:dyDescent="0.25">
      <c r="A618" s="178" t="s">
        <v>1867</v>
      </c>
      <c r="B618" s="178" t="s">
        <v>1755</v>
      </c>
      <c r="C618" s="178" t="str">
        <f>VLOOKUP(A618,CUSTOMER!$A:$C,3,0)</f>
        <v>SATRA_F1064HVT</v>
      </c>
      <c r="D618" s="178" t="s">
        <v>674</v>
      </c>
      <c r="E618" s="178" t="str">
        <f>VLOOKUP(A621,CUSTOMER!$A$2:$H$1094,5,0)</f>
        <v>VACANCY</v>
      </c>
      <c r="F618" s="178" t="str">
        <f>VLOOKUP(A621,CUSTOMER!$A$2:$I$1094,6,0)</f>
        <v>VACANCY</v>
      </c>
      <c r="G618" s="178" t="s">
        <v>676</v>
      </c>
      <c r="H618" s="179">
        <f t="shared" si="101"/>
        <v>0</v>
      </c>
      <c r="I618" s="180" t="str">
        <f t="shared" si="102"/>
        <v/>
      </c>
      <c r="J618" s="181">
        <f t="shared" si="103"/>
        <v>0</v>
      </c>
      <c r="K618" s="182">
        <v>0</v>
      </c>
      <c r="L618" s="180" t="str">
        <f t="shared" si="100"/>
        <v/>
      </c>
      <c r="M618" s="218">
        <f>SUMIFS(DATA!$L:$L,DATA!$O:$O,$B621,DATA!$N:$N,$A621,DATA!$M:$M,'SALES BY SYSTEM'!$O$1)</f>
        <v>0</v>
      </c>
      <c r="N618" s="182">
        <v>0</v>
      </c>
      <c r="O618" s="180" t="str">
        <f t="shared" si="104"/>
        <v/>
      </c>
      <c r="P618" s="218">
        <f>SUMIFS(DATA!$L:$L,DATA!$O:$O,$B621,DATA!$N:$N,$A621,DATA!$M:$M,'SALES BY SYSTEM'!$O$2)</f>
        <v>0</v>
      </c>
      <c r="Q618" s="182">
        <v>0</v>
      </c>
      <c r="R618" s="180" t="str">
        <f t="shared" si="105"/>
        <v/>
      </c>
      <c r="S618" s="218">
        <f>SUMIFS(DATA!$L:$L,DATA!$O:$O,$B621,DATA!$N:$N,$A621,DATA!$M:$M,'SALES BY SYSTEM'!$O$4)</f>
        <v>0</v>
      </c>
      <c r="T618" s="182">
        <v>0</v>
      </c>
      <c r="U618" s="180" t="str">
        <f t="shared" si="106"/>
        <v/>
      </c>
      <c r="V618" s="218">
        <f>SUMIFS(DATA!$L:$L,DATA!$O:$O,$B621,DATA!$N:$N,$A621,DATA!$M:$M,'SALES BY SYSTEM'!$O$3)</f>
        <v>0</v>
      </c>
      <c r="W618" s="168"/>
    </row>
    <row r="619" spans="1:23" ht="15.75" customHeight="1" x14ac:dyDescent="0.25">
      <c r="A619" s="178" t="s">
        <v>1869</v>
      </c>
      <c r="B619" s="178" t="s">
        <v>1755</v>
      </c>
      <c r="C619" s="178" t="str">
        <f>VLOOKUP(A619,CUSTOMER!$A:$C,3,0)</f>
        <v>SATRA_F1065LTK</v>
      </c>
      <c r="D619" s="178" t="s">
        <v>674</v>
      </c>
      <c r="E619" s="178" t="str">
        <f>VLOOKUP(A622,CUSTOMER!$A$2:$H$1094,5,0)</f>
        <v>VACANCY</v>
      </c>
      <c r="F619" s="178" t="str">
        <f>VLOOKUP(A622,CUSTOMER!$A$2:$I$1094,6,0)</f>
        <v>VACANCY</v>
      </c>
      <c r="G619" s="178" t="s">
        <v>676</v>
      </c>
      <c r="H619" s="179">
        <f t="shared" si="101"/>
        <v>0</v>
      </c>
      <c r="I619" s="180" t="str">
        <f t="shared" si="102"/>
        <v/>
      </c>
      <c r="J619" s="181">
        <f t="shared" si="103"/>
        <v>0</v>
      </c>
      <c r="K619" s="182">
        <v>0</v>
      </c>
      <c r="L619" s="180" t="str">
        <f t="shared" si="100"/>
        <v/>
      </c>
      <c r="M619" s="218">
        <f>SUMIFS(DATA!$L:$L,DATA!$O:$O,$B622,DATA!$N:$N,$A622,DATA!$M:$M,'SALES BY SYSTEM'!$O$1)</f>
        <v>0</v>
      </c>
      <c r="N619" s="182">
        <v>0</v>
      </c>
      <c r="O619" s="180" t="str">
        <f t="shared" si="104"/>
        <v/>
      </c>
      <c r="P619" s="218">
        <f>SUMIFS(DATA!$L:$L,DATA!$O:$O,$B622,DATA!$N:$N,$A622,DATA!$M:$M,'SALES BY SYSTEM'!$O$2)</f>
        <v>0</v>
      </c>
      <c r="Q619" s="182">
        <v>0</v>
      </c>
      <c r="R619" s="180" t="str">
        <f t="shared" si="105"/>
        <v/>
      </c>
      <c r="S619" s="218">
        <f>SUMIFS(DATA!$L:$L,DATA!$O:$O,$B622,DATA!$N:$N,$A622,DATA!$M:$M,'SALES BY SYSTEM'!$O$4)</f>
        <v>0</v>
      </c>
      <c r="T619" s="182">
        <v>0</v>
      </c>
      <c r="U619" s="180" t="str">
        <f t="shared" si="106"/>
        <v/>
      </c>
      <c r="V619" s="218">
        <f>SUMIFS(DATA!$L:$L,DATA!$O:$O,$B622,DATA!$N:$N,$A622,DATA!$M:$M,'SALES BY SYSTEM'!$O$3)</f>
        <v>0</v>
      </c>
      <c r="W619" s="168"/>
    </row>
    <row r="620" spans="1:23" ht="15.75" customHeight="1" x14ac:dyDescent="0.25">
      <c r="A620" s="178" t="s">
        <v>1871</v>
      </c>
      <c r="B620" s="178" t="s">
        <v>1755</v>
      </c>
      <c r="C620" s="178" t="str">
        <f>VLOOKUP(A620,CUSTOMER!$A:$C,3,0)</f>
        <v>SATRA_F1066PDP</v>
      </c>
      <c r="D620" s="178" t="s">
        <v>674</v>
      </c>
      <c r="E620" s="178" t="str">
        <f>VLOOKUP(A623,CUSTOMER!$A$2:$H$1094,5,0)</f>
        <v>VACANCY</v>
      </c>
      <c r="F620" s="178" t="str">
        <f>VLOOKUP(A623,CUSTOMER!$A$2:$I$1094,6,0)</f>
        <v>VACANCY</v>
      </c>
      <c r="G620" s="178" t="s">
        <v>676</v>
      </c>
      <c r="H620" s="179">
        <f t="shared" si="101"/>
        <v>0</v>
      </c>
      <c r="I620" s="180" t="str">
        <f t="shared" si="102"/>
        <v/>
      </c>
      <c r="J620" s="181">
        <f t="shared" si="103"/>
        <v>0</v>
      </c>
      <c r="K620" s="182">
        <v>0</v>
      </c>
      <c r="L620" s="180" t="str">
        <f t="shared" ref="L620:L683" si="107">IFERROR(M623/K623,"")</f>
        <v/>
      </c>
      <c r="M620" s="218">
        <f>SUMIFS(DATA!$L:$L,DATA!$O:$O,$B623,DATA!$N:$N,$A623,DATA!$M:$M,'SALES BY SYSTEM'!$O$1)</f>
        <v>0</v>
      </c>
      <c r="N620" s="182">
        <v>0</v>
      </c>
      <c r="O620" s="180" t="str">
        <f t="shared" si="104"/>
        <v/>
      </c>
      <c r="P620" s="218">
        <f>SUMIFS(DATA!$L:$L,DATA!$O:$O,$B623,DATA!$N:$N,$A623,DATA!$M:$M,'SALES BY SYSTEM'!$O$2)</f>
        <v>0</v>
      </c>
      <c r="Q620" s="182">
        <v>0</v>
      </c>
      <c r="R620" s="180" t="str">
        <f t="shared" si="105"/>
        <v/>
      </c>
      <c r="S620" s="218">
        <f>SUMIFS(DATA!$L:$L,DATA!$O:$O,$B623,DATA!$N:$N,$A623,DATA!$M:$M,'SALES BY SYSTEM'!$O$4)</f>
        <v>0</v>
      </c>
      <c r="T620" s="182">
        <v>0</v>
      </c>
      <c r="U620" s="180" t="str">
        <f t="shared" si="106"/>
        <v/>
      </c>
      <c r="V620" s="218">
        <f>SUMIFS(DATA!$L:$L,DATA!$O:$O,$B623,DATA!$N:$N,$A623,DATA!$M:$M,'SALES BY SYSTEM'!$O$3)</f>
        <v>0</v>
      </c>
      <c r="W620" s="168"/>
    </row>
    <row r="621" spans="1:23" ht="15.75" customHeight="1" x14ac:dyDescent="0.25">
      <c r="A621" s="178" t="s">
        <v>1873</v>
      </c>
      <c r="B621" s="178" t="s">
        <v>1755</v>
      </c>
      <c r="C621" s="178" t="str">
        <f>VLOOKUP(A621,CUSTOMER!$A:$C,3,0)</f>
        <v>SATRA_F1067PTH</v>
      </c>
      <c r="D621" s="178" t="s">
        <v>674</v>
      </c>
      <c r="E621" s="178" t="str">
        <f>VLOOKUP(A624,CUSTOMER!$A$2:$H$1094,5,0)</f>
        <v>VACANCY</v>
      </c>
      <c r="F621" s="178" t="str">
        <f>VLOOKUP(A624,CUSTOMER!$A$2:$I$1094,6,0)</f>
        <v>VACANCY</v>
      </c>
      <c r="G621" s="178" t="s">
        <v>676</v>
      </c>
      <c r="H621" s="179">
        <f t="shared" si="101"/>
        <v>0</v>
      </c>
      <c r="I621" s="180" t="str">
        <f t="shared" si="102"/>
        <v/>
      </c>
      <c r="J621" s="181">
        <f t="shared" si="103"/>
        <v>0</v>
      </c>
      <c r="K621" s="182">
        <v>0</v>
      </c>
      <c r="L621" s="180" t="str">
        <f t="shared" si="107"/>
        <v/>
      </c>
      <c r="M621" s="218">
        <f>SUMIFS(DATA!$L:$L,DATA!$O:$O,$B624,DATA!$N:$N,$A624,DATA!$M:$M,'SALES BY SYSTEM'!$O$1)</f>
        <v>0</v>
      </c>
      <c r="N621" s="182">
        <v>0</v>
      </c>
      <c r="O621" s="180" t="str">
        <f t="shared" si="104"/>
        <v/>
      </c>
      <c r="P621" s="218">
        <f>SUMIFS(DATA!$L:$L,DATA!$O:$O,$B624,DATA!$N:$N,$A624,DATA!$M:$M,'SALES BY SYSTEM'!$O$2)</f>
        <v>0</v>
      </c>
      <c r="Q621" s="182">
        <v>0</v>
      </c>
      <c r="R621" s="180" t="str">
        <f t="shared" si="105"/>
        <v/>
      </c>
      <c r="S621" s="218">
        <f>SUMIFS(DATA!$L:$L,DATA!$O:$O,$B624,DATA!$N:$N,$A624,DATA!$M:$M,'SALES BY SYSTEM'!$O$4)</f>
        <v>0</v>
      </c>
      <c r="T621" s="182">
        <v>0</v>
      </c>
      <c r="U621" s="180" t="str">
        <f t="shared" si="106"/>
        <v/>
      </c>
      <c r="V621" s="218">
        <f>SUMIFS(DATA!$L:$L,DATA!$O:$O,$B624,DATA!$N:$N,$A624,DATA!$M:$M,'SALES BY SYSTEM'!$O$3)</f>
        <v>0</v>
      </c>
      <c r="W621" s="168"/>
    </row>
    <row r="622" spans="1:23" ht="15.75" customHeight="1" x14ac:dyDescent="0.25">
      <c r="A622" s="178" t="s">
        <v>1875</v>
      </c>
      <c r="B622" s="178" t="s">
        <v>1755</v>
      </c>
      <c r="C622" s="178" t="str">
        <f>VLOOKUP(A622,CUSTOMER!$A:$C,3,0)</f>
        <v>SATRA_F1068TK</v>
      </c>
      <c r="D622" s="178" t="s">
        <v>674</v>
      </c>
      <c r="E622" s="178" t="str">
        <f>VLOOKUP(A625,CUSTOMER!$A$2:$H$1094,5,0)</f>
        <v>VACANCY</v>
      </c>
      <c r="F622" s="178" t="str">
        <f>VLOOKUP(A625,CUSTOMER!$A$2:$I$1094,6,0)</f>
        <v>VACANCY</v>
      </c>
      <c r="G622" s="178" t="s">
        <v>676</v>
      </c>
      <c r="H622" s="179">
        <f t="shared" si="101"/>
        <v>0</v>
      </c>
      <c r="I622" s="180" t="str">
        <f t="shared" si="102"/>
        <v/>
      </c>
      <c r="J622" s="181">
        <f t="shared" si="103"/>
        <v>0</v>
      </c>
      <c r="K622" s="182">
        <v>0</v>
      </c>
      <c r="L622" s="180" t="str">
        <f t="shared" si="107"/>
        <v/>
      </c>
      <c r="M622" s="218">
        <f>SUMIFS(DATA!$L:$L,DATA!$O:$O,$B625,DATA!$N:$N,$A625,DATA!$M:$M,'SALES BY SYSTEM'!$O$1)</f>
        <v>0</v>
      </c>
      <c r="N622" s="182">
        <v>0</v>
      </c>
      <c r="O622" s="180" t="str">
        <f t="shared" si="104"/>
        <v/>
      </c>
      <c r="P622" s="218">
        <f>SUMIFS(DATA!$L:$L,DATA!$O:$O,$B625,DATA!$N:$N,$A625,DATA!$M:$M,'SALES BY SYSTEM'!$O$2)</f>
        <v>0</v>
      </c>
      <c r="Q622" s="182">
        <v>0</v>
      </c>
      <c r="R622" s="180" t="str">
        <f t="shared" si="105"/>
        <v/>
      </c>
      <c r="S622" s="218">
        <f>SUMIFS(DATA!$L:$L,DATA!$O:$O,$B625,DATA!$N:$N,$A625,DATA!$M:$M,'SALES BY SYSTEM'!$O$4)</f>
        <v>0</v>
      </c>
      <c r="T622" s="182">
        <v>0</v>
      </c>
      <c r="U622" s="180" t="str">
        <f t="shared" si="106"/>
        <v/>
      </c>
      <c r="V622" s="218">
        <f>SUMIFS(DATA!$L:$L,DATA!$O:$O,$B625,DATA!$N:$N,$A625,DATA!$M:$M,'SALES BY SYSTEM'!$O$3)</f>
        <v>0</v>
      </c>
      <c r="W622" s="168"/>
    </row>
    <row r="623" spans="1:23" ht="15.75" customHeight="1" x14ac:dyDescent="0.25">
      <c r="A623" s="178" t="s">
        <v>1877</v>
      </c>
      <c r="B623" s="178" t="s">
        <v>1755</v>
      </c>
      <c r="C623" s="178" t="str">
        <f>VLOOKUP(A623,CUSTOMER!$A:$C,3,0)</f>
        <v>SATRA_F1069NTD</v>
      </c>
      <c r="D623" s="178" t="s">
        <v>674</v>
      </c>
      <c r="E623" s="178" t="str">
        <f>VLOOKUP(A626,CUSTOMER!$A$2:$H$1094,5,0)</f>
        <v>VACANCY</v>
      </c>
      <c r="F623" s="178" t="str">
        <f>VLOOKUP(A626,CUSTOMER!$A$2:$I$1094,6,0)</f>
        <v>VACANCY</v>
      </c>
      <c r="G623" s="178" t="s">
        <v>676</v>
      </c>
      <c r="H623" s="179">
        <f t="shared" si="101"/>
        <v>0</v>
      </c>
      <c r="I623" s="180" t="str">
        <f t="shared" si="102"/>
        <v/>
      </c>
      <c r="J623" s="181">
        <f t="shared" si="103"/>
        <v>0</v>
      </c>
      <c r="K623" s="182">
        <v>0</v>
      </c>
      <c r="L623" s="180" t="str">
        <f t="shared" si="107"/>
        <v/>
      </c>
      <c r="M623" s="218">
        <f>SUMIFS(DATA!$L:$L,DATA!$O:$O,$B626,DATA!$N:$N,$A626,DATA!$M:$M,'SALES BY SYSTEM'!$O$1)</f>
        <v>0</v>
      </c>
      <c r="N623" s="182">
        <v>0</v>
      </c>
      <c r="O623" s="180" t="str">
        <f t="shared" si="104"/>
        <v/>
      </c>
      <c r="P623" s="218">
        <f>SUMIFS(DATA!$L:$L,DATA!$O:$O,$B626,DATA!$N:$N,$A626,DATA!$M:$M,'SALES BY SYSTEM'!$O$2)</f>
        <v>0</v>
      </c>
      <c r="Q623" s="182">
        <v>0</v>
      </c>
      <c r="R623" s="180" t="str">
        <f t="shared" si="105"/>
        <v/>
      </c>
      <c r="S623" s="218">
        <f>SUMIFS(DATA!$L:$L,DATA!$O:$O,$B626,DATA!$N:$N,$A626,DATA!$M:$M,'SALES BY SYSTEM'!$O$4)</f>
        <v>0</v>
      </c>
      <c r="T623" s="182">
        <v>0</v>
      </c>
      <c r="U623" s="180" t="str">
        <f t="shared" si="106"/>
        <v/>
      </c>
      <c r="V623" s="218">
        <f>SUMIFS(DATA!$L:$L,DATA!$O:$O,$B626,DATA!$N:$N,$A626,DATA!$M:$M,'SALES BY SYSTEM'!$O$3)</f>
        <v>0</v>
      </c>
      <c r="W623" s="168"/>
    </row>
    <row r="624" spans="1:23" ht="15.75" customHeight="1" x14ac:dyDescent="0.25">
      <c r="A624" s="178" t="s">
        <v>1879</v>
      </c>
      <c r="B624" s="178" t="s">
        <v>1755</v>
      </c>
      <c r="C624" s="178" t="str">
        <f>VLOOKUP(A624,CUSTOMER!$A:$C,3,0)</f>
        <v>SATRA_F1070CC2</v>
      </c>
      <c r="D624" s="178" t="s">
        <v>674</v>
      </c>
      <c r="E624" s="178" t="str">
        <f>VLOOKUP(A627,CUSTOMER!$A$2:$H$1094,5,0)</f>
        <v>VACANCY</v>
      </c>
      <c r="F624" s="178" t="str">
        <f>VLOOKUP(A627,CUSTOMER!$A$2:$I$1094,6,0)</f>
        <v>VACANCY</v>
      </c>
      <c r="G624" s="178" t="s">
        <v>676</v>
      </c>
      <c r="H624" s="179">
        <f t="shared" si="101"/>
        <v>0</v>
      </c>
      <c r="I624" s="180" t="str">
        <f t="shared" si="102"/>
        <v/>
      </c>
      <c r="J624" s="181">
        <f t="shared" si="103"/>
        <v>0</v>
      </c>
      <c r="K624" s="182">
        <v>0</v>
      </c>
      <c r="L624" s="180" t="str">
        <f t="shared" si="107"/>
        <v/>
      </c>
      <c r="M624" s="218">
        <f>SUMIFS(DATA!$L:$L,DATA!$O:$O,$B627,DATA!$N:$N,$A627,DATA!$M:$M,'SALES BY SYSTEM'!$O$1)</f>
        <v>0</v>
      </c>
      <c r="N624" s="182">
        <v>0</v>
      </c>
      <c r="O624" s="180" t="str">
        <f t="shared" si="104"/>
        <v/>
      </c>
      <c r="P624" s="218">
        <f>SUMIFS(DATA!$L:$L,DATA!$O:$O,$B627,DATA!$N:$N,$A627,DATA!$M:$M,'SALES BY SYSTEM'!$O$2)</f>
        <v>0</v>
      </c>
      <c r="Q624" s="182">
        <v>0</v>
      </c>
      <c r="R624" s="180" t="str">
        <f t="shared" si="105"/>
        <v/>
      </c>
      <c r="S624" s="218">
        <f>SUMIFS(DATA!$L:$L,DATA!$O:$O,$B627,DATA!$N:$N,$A627,DATA!$M:$M,'SALES BY SYSTEM'!$O$4)</f>
        <v>0</v>
      </c>
      <c r="T624" s="182">
        <v>0</v>
      </c>
      <c r="U624" s="180" t="str">
        <f t="shared" si="106"/>
        <v/>
      </c>
      <c r="V624" s="218">
        <f>SUMIFS(DATA!$L:$L,DATA!$O:$O,$B627,DATA!$N:$N,$A627,DATA!$M:$M,'SALES BY SYSTEM'!$O$3)</f>
        <v>0</v>
      </c>
      <c r="W624" s="168"/>
    </row>
    <row r="625" spans="1:23" ht="15.75" customHeight="1" x14ac:dyDescent="0.25">
      <c r="A625" s="178" t="s">
        <v>1881</v>
      </c>
      <c r="B625" s="178" t="s">
        <v>1755</v>
      </c>
      <c r="C625" s="178" t="str">
        <f>VLOOKUP(A625,CUSTOMER!$A:$C,3,0)</f>
        <v>SATRA_F1071PVK</v>
      </c>
      <c r="D625" s="178" t="s">
        <v>674</v>
      </c>
      <c r="E625" s="178" t="str">
        <f>VLOOKUP(A628,CUSTOMER!$A$2:$H$1094,5,0)</f>
        <v>VACANCY</v>
      </c>
      <c r="F625" s="178" t="str">
        <f>VLOOKUP(A628,CUSTOMER!$A$2:$I$1094,6,0)</f>
        <v>VACANCY</v>
      </c>
      <c r="G625" s="178" t="s">
        <v>676</v>
      </c>
      <c r="H625" s="179">
        <f t="shared" si="101"/>
        <v>0</v>
      </c>
      <c r="I625" s="180" t="str">
        <f t="shared" si="102"/>
        <v/>
      </c>
      <c r="J625" s="181">
        <f t="shared" si="103"/>
        <v>0</v>
      </c>
      <c r="K625" s="182">
        <v>0</v>
      </c>
      <c r="L625" s="180" t="str">
        <f t="shared" si="107"/>
        <v/>
      </c>
      <c r="M625" s="218">
        <f>SUMIFS(DATA!$L:$L,DATA!$O:$O,$B628,DATA!$N:$N,$A628,DATA!$M:$M,'SALES BY SYSTEM'!$O$1)</f>
        <v>0</v>
      </c>
      <c r="N625" s="182">
        <v>0</v>
      </c>
      <c r="O625" s="180" t="str">
        <f t="shared" si="104"/>
        <v/>
      </c>
      <c r="P625" s="218">
        <f>SUMIFS(DATA!$L:$L,DATA!$O:$O,$B628,DATA!$N:$N,$A628,DATA!$M:$M,'SALES BY SYSTEM'!$O$2)</f>
        <v>0</v>
      </c>
      <c r="Q625" s="182">
        <v>0</v>
      </c>
      <c r="R625" s="180" t="str">
        <f t="shared" si="105"/>
        <v/>
      </c>
      <c r="S625" s="218">
        <f>SUMIFS(DATA!$L:$L,DATA!$O:$O,$B628,DATA!$N:$N,$A628,DATA!$M:$M,'SALES BY SYSTEM'!$O$4)</f>
        <v>0</v>
      </c>
      <c r="T625" s="182">
        <v>0</v>
      </c>
      <c r="U625" s="180" t="str">
        <f t="shared" si="106"/>
        <v/>
      </c>
      <c r="V625" s="218">
        <f>SUMIFS(DATA!$L:$L,DATA!$O:$O,$B628,DATA!$N:$N,$A628,DATA!$M:$M,'SALES BY SYSTEM'!$O$3)</f>
        <v>0</v>
      </c>
      <c r="W625" s="168"/>
    </row>
    <row r="626" spans="1:23" ht="15.75" customHeight="1" x14ac:dyDescent="0.25">
      <c r="A626" s="178" t="s">
        <v>1883</v>
      </c>
      <c r="B626" s="178" t="s">
        <v>1755</v>
      </c>
      <c r="C626" s="178" t="str">
        <f>VLOOKUP(A626,CUSTOMER!$A:$C,3,0)</f>
        <v>SATRA_F1072DTH</v>
      </c>
      <c r="D626" s="178" t="s">
        <v>674</v>
      </c>
      <c r="E626" s="178" t="str">
        <f>VLOOKUP(A629,CUSTOMER!$A$2:$H$1094,5,0)</f>
        <v>VACANCY</v>
      </c>
      <c r="F626" s="178" t="str">
        <f>VLOOKUP(A629,CUSTOMER!$A$2:$I$1094,6,0)</f>
        <v>VACANCY</v>
      </c>
      <c r="G626" s="178" t="s">
        <v>676</v>
      </c>
      <c r="H626" s="179">
        <f t="shared" si="101"/>
        <v>0</v>
      </c>
      <c r="I626" s="180" t="str">
        <f t="shared" si="102"/>
        <v/>
      </c>
      <c r="J626" s="181">
        <f t="shared" si="103"/>
        <v>0</v>
      </c>
      <c r="K626" s="182">
        <v>0</v>
      </c>
      <c r="L626" s="180" t="str">
        <f t="shared" si="107"/>
        <v/>
      </c>
      <c r="M626" s="218">
        <f>SUMIFS(DATA!$L:$L,DATA!$O:$O,$B629,DATA!$N:$N,$A629,DATA!$M:$M,'SALES BY SYSTEM'!$O$1)</f>
        <v>0</v>
      </c>
      <c r="N626" s="182">
        <v>0</v>
      </c>
      <c r="O626" s="180" t="str">
        <f t="shared" si="104"/>
        <v/>
      </c>
      <c r="P626" s="218">
        <f>SUMIFS(DATA!$L:$L,DATA!$O:$O,$B629,DATA!$N:$N,$A629,DATA!$M:$M,'SALES BY SYSTEM'!$O$2)</f>
        <v>0</v>
      </c>
      <c r="Q626" s="182">
        <v>0</v>
      </c>
      <c r="R626" s="180" t="str">
        <f t="shared" si="105"/>
        <v/>
      </c>
      <c r="S626" s="218">
        <f>SUMIFS(DATA!$L:$L,DATA!$O:$O,$B629,DATA!$N:$N,$A629,DATA!$M:$M,'SALES BY SYSTEM'!$O$4)</f>
        <v>0</v>
      </c>
      <c r="T626" s="182">
        <v>0</v>
      </c>
      <c r="U626" s="180" t="str">
        <f t="shared" si="106"/>
        <v/>
      </c>
      <c r="V626" s="218">
        <f>SUMIFS(DATA!$L:$L,DATA!$O:$O,$B629,DATA!$N:$N,$A629,DATA!$M:$M,'SALES BY SYSTEM'!$O$3)</f>
        <v>0</v>
      </c>
      <c r="W626" s="168"/>
    </row>
    <row r="627" spans="1:23" ht="15.75" customHeight="1" x14ac:dyDescent="0.25">
      <c r="A627" s="178" t="s">
        <v>1885</v>
      </c>
      <c r="B627" s="178" t="s">
        <v>1755</v>
      </c>
      <c r="C627" s="178" t="str">
        <f>VLOOKUP(A627,CUSTOMER!$A:$C,3,0)</f>
        <v>SATRA_F1074STAR</v>
      </c>
      <c r="D627" s="178" t="s">
        <v>674</v>
      </c>
      <c r="E627" s="178" t="str">
        <f>VLOOKUP(A630,CUSTOMER!$A$2:$H$1094,5,0)</f>
        <v>VACANCY</v>
      </c>
      <c r="F627" s="178" t="str">
        <f>VLOOKUP(A630,CUSTOMER!$A$2:$I$1094,6,0)</f>
        <v>VACANCY</v>
      </c>
      <c r="G627" s="178" t="s">
        <v>676</v>
      </c>
      <c r="H627" s="179">
        <f t="shared" si="101"/>
        <v>0</v>
      </c>
      <c r="I627" s="180" t="str">
        <f t="shared" si="102"/>
        <v/>
      </c>
      <c r="J627" s="181">
        <f t="shared" si="103"/>
        <v>0</v>
      </c>
      <c r="K627" s="182">
        <v>0</v>
      </c>
      <c r="L627" s="180" t="str">
        <f t="shared" si="107"/>
        <v/>
      </c>
      <c r="M627" s="218">
        <f>SUMIFS(DATA!$L:$L,DATA!$O:$O,$B630,DATA!$N:$N,$A630,DATA!$M:$M,'SALES BY SYSTEM'!$O$1)</f>
        <v>0</v>
      </c>
      <c r="N627" s="182">
        <v>0</v>
      </c>
      <c r="O627" s="180" t="str">
        <f t="shared" si="104"/>
        <v/>
      </c>
      <c r="P627" s="218">
        <f>SUMIFS(DATA!$L:$L,DATA!$O:$O,$B630,DATA!$N:$N,$A630,DATA!$M:$M,'SALES BY SYSTEM'!$O$2)</f>
        <v>0</v>
      </c>
      <c r="Q627" s="182">
        <v>0</v>
      </c>
      <c r="R627" s="180" t="str">
        <f t="shared" si="105"/>
        <v/>
      </c>
      <c r="S627" s="218">
        <f>SUMIFS(DATA!$L:$L,DATA!$O:$O,$B630,DATA!$N:$N,$A630,DATA!$M:$M,'SALES BY SYSTEM'!$O$4)</f>
        <v>0</v>
      </c>
      <c r="T627" s="182">
        <v>0</v>
      </c>
      <c r="U627" s="180" t="str">
        <f t="shared" si="106"/>
        <v/>
      </c>
      <c r="V627" s="218">
        <f>SUMIFS(DATA!$L:$L,DATA!$O:$O,$B630,DATA!$N:$N,$A630,DATA!$M:$M,'SALES BY SYSTEM'!$O$3)</f>
        <v>0</v>
      </c>
      <c r="W627" s="168"/>
    </row>
    <row r="628" spans="1:23" ht="15.75" customHeight="1" x14ac:dyDescent="0.25">
      <c r="A628" s="178" t="s">
        <v>1887</v>
      </c>
      <c r="B628" s="178" t="s">
        <v>1755</v>
      </c>
      <c r="C628" s="178" t="str">
        <f>VLOOKUP(A628,CUSTOMER!$A:$C,3,0)</f>
        <v>SATRA_F1075CC</v>
      </c>
      <c r="D628" s="178" t="s">
        <v>674</v>
      </c>
      <c r="E628" s="178" t="str">
        <f>VLOOKUP(A631,CUSTOMER!$A$2:$H$1094,5,0)</f>
        <v>VACANCY</v>
      </c>
      <c r="F628" s="178" t="str">
        <f>VLOOKUP(A631,CUSTOMER!$A$2:$I$1094,6,0)</f>
        <v>VACANCY</v>
      </c>
      <c r="G628" s="178" t="s">
        <v>676</v>
      </c>
      <c r="H628" s="179">
        <f t="shared" si="101"/>
        <v>0</v>
      </c>
      <c r="I628" s="180" t="str">
        <f t="shared" si="102"/>
        <v/>
      </c>
      <c r="J628" s="181">
        <f t="shared" si="103"/>
        <v>0</v>
      </c>
      <c r="K628" s="182">
        <v>0</v>
      </c>
      <c r="L628" s="180" t="str">
        <f t="shared" si="107"/>
        <v/>
      </c>
      <c r="M628" s="218">
        <f>SUMIFS(DATA!$L:$L,DATA!$O:$O,$B631,DATA!$N:$N,$A631,DATA!$M:$M,'SALES BY SYSTEM'!$O$1)</f>
        <v>0</v>
      </c>
      <c r="N628" s="182">
        <v>0</v>
      </c>
      <c r="O628" s="180" t="str">
        <f t="shared" si="104"/>
        <v/>
      </c>
      <c r="P628" s="218">
        <f>SUMIFS(DATA!$L:$L,DATA!$O:$O,$B631,DATA!$N:$N,$A631,DATA!$M:$M,'SALES BY SYSTEM'!$O$2)</f>
        <v>0</v>
      </c>
      <c r="Q628" s="182">
        <v>0</v>
      </c>
      <c r="R628" s="180" t="str">
        <f t="shared" si="105"/>
        <v/>
      </c>
      <c r="S628" s="218">
        <f>SUMIFS(DATA!$L:$L,DATA!$O:$O,$B631,DATA!$N:$N,$A631,DATA!$M:$M,'SALES BY SYSTEM'!$O$4)</f>
        <v>0</v>
      </c>
      <c r="T628" s="182">
        <v>0</v>
      </c>
      <c r="U628" s="180" t="str">
        <f t="shared" si="106"/>
        <v/>
      </c>
      <c r="V628" s="218">
        <f>SUMIFS(DATA!$L:$L,DATA!$O:$O,$B631,DATA!$N:$N,$A631,DATA!$M:$M,'SALES BY SYSTEM'!$O$3)</f>
        <v>0</v>
      </c>
      <c r="W628" s="168"/>
    </row>
    <row r="629" spans="1:23" ht="15.75" customHeight="1" x14ac:dyDescent="0.25">
      <c r="A629" s="178" t="s">
        <v>1889</v>
      </c>
      <c r="B629" s="178" t="s">
        <v>1755</v>
      </c>
      <c r="C629" s="178" t="str">
        <f>VLOOKUP(A629,CUSTOMER!$A:$C,3,0)</f>
        <v>SATRA_F1076DS5</v>
      </c>
      <c r="D629" s="178" t="s">
        <v>674</v>
      </c>
      <c r="E629" s="178" t="str">
        <f>VLOOKUP(A632,CUSTOMER!$A$2:$H$1094,5,0)</f>
        <v>VACANCY</v>
      </c>
      <c r="F629" s="178" t="str">
        <f>VLOOKUP(A632,CUSTOMER!$A$2:$I$1094,6,0)</f>
        <v>VACANCY</v>
      </c>
      <c r="G629" s="178" t="s">
        <v>676</v>
      </c>
      <c r="H629" s="179">
        <f t="shared" si="101"/>
        <v>0</v>
      </c>
      <c r="I629" s="180" t="str">
        <f t="shared" si="102"/>
        <v/>
      </c>
      <c r="J629" s="181">
        <f t="shared" si="103"/>
        <v>0</v>
      </c>
      <c r="K629" s="182">
        <v>0</v>
      </c>
      <c r="L629" s="180" t="str">
        <f t="shared" si="107"/>
        <v/>
      </c>
      <c r="M629" s="218">
        <f>SUMIFS(DATA!$L:$L,DATA!$O:$O,$B632,DATA!$N:$N,$A632,DATA!$M:$M,'SALES BY SYSTEM'!$O$1)</f>
        <v>0</v>
      </c>
      <c r="N629" s="182">
        <v>0</v>
      </c>
      <c r="O629" s="180" t="str">
        <f t="shared" si="104"/>
        <v/>
      </c>
      <c r="P629" s="218">
        <f>SUMIFS(DATA!$L:$L,DATA!$O:$O,$B632,DATA!$N:$N,$A632,DATA!$M:$M,'SALES BY SYSTEM'!$O$2)</f>
        <v>0</v>
      </c>
      <c r="Q629" s="182">
        <v>0</v>
      </c>
      <c r="R629" s="180" t="str">
        <f t="shared" si="105"/>
        <v/>
      </c>
      <c r="S629" s="218">
        <f>SUMIFS(DATA!$L:$L,DATA!$O:$O,$B632,DATA!$N:$N,$A632,DATA!$M:$M,'SALES BY SYSTEM'!$O$4)</f>
        <v>0</v>
      </c>
      <c r="T629" s="182">
        <v>0</v>
      </c>
      <c r="U629" s="180" t="str">
        <f t="shared" si="106"/>
        <v/>
      </c>
      <c r="V629" s="218">
        <f>SUMIFS(DATA!$L:$L,DATA!$O:$O,$B632,DATA!$N:$N,$A632,DATA!$M:$M,'SALES BY SYSTEM'!$O$3)</f>
        <v>0</v>
      </c>
      <c r="W629" s="168"/>
    </row>
    <row r="630" spans="1:23" ht="15.75" customHeight="1" x14ac:dyDescent="0.25">
      <c r="A630" s="178" t="s">
        <v>1891</v>
      </c>
      <c r="B630" s="178" t="s">
        <v>1755</v>
      </c>
      <c r="C630" s="178" t="str">
        <f>VLOOKUP(A630,CUSTOMER!$A:$C,3,0)</f>
        <v>SATRA_F1077TM</v>
      </c>
      <c r="D630" s="178" t="s">
        <v>674</v>
      </c>
      <c r="E630" s="178" t="str">
        <f>VLOOKUP(A633,CUSTOMER!$A$2:$H$1094,5,0)</f>
        <v>VACANCY</v>
      </c>
      <c r="F630" s="178" t="str">
        <f>VLOOKUP(A633,CUSTOMER!$A$2:$I$1094,6,0)</f>
        <v>VACANCY</v>
      </c>
      <c r="G630" s="178" t="s">
        <v>676</v>
      </c>
      <c r="H630" s="179">
        <f t="shared" si="101"/>
        <v>0</v>
      </c>
      <c r="I630" s="180" t="str">
        <f t="shared" si="102"/>
        <v/>
      </c>
      <c r="J630" s="181">
        <f t="shared" si="103"/>
        <v>0</v>
      </c>
      <c r="K630" s="182">
        <v>0</v>
      </c>
      <c r="L630" s="180" t="str">
        <f t="shared" si="107"/>
        <v/>
      </c>
      <c r="M630" s="218">
        <f>SUMIFS(DATA!$L:$L,DATA!$O:$O,$B633,DATA!$N:$N,$A633,DATA!$M:$M,'SALES BY SYSTEM'!$O$1)</f>
        <v>0</v>
      </c>
      <c r="N630" s="182">
        <v>0</v>
      </c>
      <c r="O630" s="180" t="str">
        <f t="shared" si="104"/>
        <v/>
      </c>
      <c r="P630" s="218">
        <f>SUMIFS(DATA!$L:$L,DATA!$O:$O,$B633,DATA!$N:$N,$A633,DATA!$M:$M,'SALES BY SYSTEM'!$O$2)</f>
        <v>0</v>
      </c>
      <c r="Q630" s="182">
        <v>0</v>
      </c>
      <c r="R630" s="180" t="str">
        <f t="shared" si="105"/>
        <v/>
      </c>
      <c r="S630" s="218">
        <f>SUMIFS(DATA!$L:$L,DATA!$O:$O,$B633,DATA!$N:$N,$A633,DATA!$M:$M,'SALES BY SYSTEM'!$O$4)</f>
        <v>0</v>
      </c>
      <c r="T630" s="182">
        <v>0</v>
      </c>
      <c r="U630" s="180" t="str">
        <f t="shared" si="106"/>
        <v/>
      </c>
      <c r="V630" s="218">
        <f>SUMIFS(DATA!$L:$L,DATA!$O:$O,$B633,DATA!$N:$N,$A633,DATA!$M:$M,'SALES BY SYSTEM'!$O$3)</f>
        <v>0</v>
      </c>
      <c r="W630" s="168"/>
    </row>
    <row r="631" spans="1:23" ht="15.75" customHeight="1" x14ac:dyDescent="0.25">
      <c r="A631" s="178" t="s">
        <v>1893</v>
      </c>
      <c r="B631" s="178" t="s">
        <v>1755</v>
      </c>
      <c r="C631" s="178" t="str">
        <f>VLOOKUP(A631,CUSTOMER!$A:$C,3,0)</f>
        <v>SATRA_F1078DC</v>
      </c>
      <c r="D631" s="178" t="s">
        <v>674</v>
      </c>
      <c r="E631" s="178" t="str">
        <f>VLOOKUP(A634,CUSTOMER!$A$2:$H$1094,5,0)</f>
        <v>VACANCY</v>
      </c>
      <c r="F631" s="178" t="str">
        <f>VLOOKUP(A634,CUSTOMER!$A$2:$I$1094,6,0)</f>
        <v>VACANCY</v>
      </c>
      <c r="G631" s="178" t="s">
        <v>676</v>
      </c>
      <c r="H631" s="179">
        <f t="shared" si="101"/>
        <v>0</v>
      </c>
      <c r="I631" s="180" t="str">
        <f t="shared" si="102"/>
        <v/>
      </c>
      <c r="J631" s="181">
        <f t="shared" si="103"/>
        <v>0</v>
      </c>
      <c r="K631" s="182">
        <v>0</v>
      </c>
      <c r="L631" s="180" t="str">
        <f t="shared" si="107"/>
        <v/>
      </c>
      <c r="M631" s="218">
        <f>SUMIFS(DATA!$L:$L,DATA!$O:$O,$B634,DATA!$N:$N,$A634,DATA!$M:$M,'SALES BY SYSTEM'!$O$1)</f>
        <v>0</v>
      </c>
      <c r="N631" s="182">
        <v>0</v>
      </c>
      <c r="O631" s="180" t="str">
        <f t="shared" si="104"/>
        <v/>
      </c>
      <c r="P631" s="218">
        <f>SUMIFS(DATA!$L:$L,DATA!$O:$O,$B634,DATA!$N:$N,$A634,DATA!$M:$M,'SALES BY SYSTEM'!$O$2)</f>
        <v>0</v>
      </c>
      <c r="Q631" s="182">
        <v>0</v>
      </c>
      <c r="R631" s="180" t="str">
        <f t="shared" si="105"/>
        <v/>
      </c>
      <c r="S631" s="218">
        <f>SUMIFS(DATA!$L:$L,DATA!$O:$O,$B634,DATA!$N:$N,$A634,DATA!$M:$M,'SALES BY SYSTEM'!$O$4)</f>
        <v>0</v>
      </c>
      <c r="T631" s="182">
        <v>0</v>
      </c>
      <c r="U631" s="180" t="str">
        <f t="shared" si="106"/>
        <v/>
      </c>
      <c r="V631" s="218">
        <f>SUMIFS(DATA!$L:$L,DATA!$O:$O,$B634,DATA!$N:$N,$A634,DATA!$M:$M,'SALES BY SYSTEM'!$O$3)</f>
        <v>0</v>
      </c>
      <c r="W631" s="168"/>
    </row>
    <row r="632" spans="1:23" ht="15.75" customHeight="1" x14ac:dyDescent="0.25">
      <c r="A632" s="178" t="s">
        <v>1895</v>
      </c>
      <c r="B632" s="178" t="s">
        <v>1755</v>
      </c>
      <c r="C632" s="178" t="str">
        <f>VLOOKUP(A632,CUSTOMER!$A:$C,3,0)</f>
        <v>SATRA_F1079DXH</v>
      </c>
      <c r="D632" s="178" t="s">
        <v>674</v>
      </c>
      <c r="E632" s="178" t="str">
        <f>VLOOKUP(A635,CUSTOMER!$A$2:$H$1094,5,0)</f>
        <v>VACANCY</v>
      </c>
      <c r="F632" s="178" t="str">
        <f>VLOOKUP(A635,CUSTOMER!$A$2:$I$1094,6,0)</f>
        <v>VACANCY</v>
      </c>
      <c r="G632" s="178" t="s">
        <v>676</v>
      </c>
      <c r="H632" s="179">
        <f t="shared" si="101"/>
        <v>0</v>
      </c>
      <c r="I632" s="180" t="str">
        <f t="shared" si="102"/>
        <v/>
      </c>
      <c r="J632" s="181">
        <f t="shared" si="103"/>
        <v>0</v>
      </c>
      <c r="K632" s="182">
        <v>0</v>
      </c>
      <c r="L632" s="180" t="str">
        <f t="shared" si="107"/>
        <v/>
      </c>
      <c r="M632" s="218">
        <f>SUMIFS(DATA!$L:$L,DATA!$O:$O,$B635,DATA!$N:$N,$A635,DATA!$M:$M,'SALES BY SYSTEM'!$O$1)</f>
        <v>0</v>
      </c>
      <c r="N632" s="182">
        <v>0</v>
      </c>
      <c r="O632" s="180" t="str">
        <f t="shared" si="104"/>
        <v/>
      </c>
      <c r="P632" s="218">
        <f>SUMIFS(DATA!$L:$L,DATA!$O:$O,$B635,DATA!$N:$N,$A635,DATA!$M:$M,'SALES BY SYSTEM'!$O$2)</f>
        <v>0</v>
      </c>
      <c r="Q632" s="182">
        <v>0</v>
      </c>
      <c r="R632" s="180" t="str">
        <f t="shared" si="105"/>
        <v/>
      </c>
      <c r="S632" s="218">
        <f>SUMIFS(DATA!$L:$L,DATA!$O:$O,$B635,DATA!$N:$N,$A635,DATA!$M:$M,'SALES BY SYSTEM'!$O$4)</f>
        <v>0</v>
      </c>
      <c r="T632" s="182">
        <v>0</v>
      </c>
      <c r="U632" s="180" t="str">
        <f t="shared" si="106"/>
        <v/>
      </c>
      <c r="V632" s="218">
        <f>SUMIFS(DATA!$L:$L,DATA!$O:$O,$B635,DATA!$N:$N,$A635,DATA!$M:$M,'SALES BY SYSTEM'!$O$3)</f>
        <v>0</v>
      </c>
      <c r="W632" s="168"/>
    </row>
    <row r="633" spans="1:23" ht="15.75" customHeight="1" x14ac:dyDescent="0.25">
      <c r="A633" s="178" t="s">
        <v>1897</v>
      </c>
      <c r="B633" s="178" t="s">
        <v>1755</v>
      </c>
      <c r="C633" s="178" t="str">
        <f>VLOOKUP(A633,CUSTOMER!$A:$C,3,0)</f>
        <v>SATRA_F1080LDT</v>
      </c>
      <c r="D633" s="178" t="s">
        <v>674</v>
      </c>
      <c r="E633" s="178" t="str">
        <f>VLOOKUP(A636,CUSTOMER!$A$2:$H$1094,5,0)</f>
        <v>VACANCY</v>
      </c>
      <c r="F633" s="178" t="str">
        <f>VLOOKUP(A636,CUSTOMER!$A$2:$I$1094,6,0)</f>
        <v>VACANCY</v>
      </c>
      <c r="G633" s="178" t="s">
        <v>676</v>
      </c>
      <c r="H633" s="179">
        <f t="shared" si="101"/>
        <v>0</v>
      </c>
      <c r="I633" s="180" t="str">
        <f t="shared" si="102"/>
        <v/>
      </c>
      <c r="J633" s="181">
        <f t="shared" si="103"/>
        <v>0</v>
      </c>
      <c r="K633" s="182">
        <v>0</v>
      </c>
      <c r="L633" s="180" t="str">
        <f t="shared" si="107"/>
        <v/>
      </c>
      <c r="M633" s="218">
        <f>SUMIFS(DATA!$L:$L,DATA!$O:$O,$B636,DATA!$N:$N,$A636,DATA!$M:$M,'SALES BY SYSTEM'!$O$1)</f>
        <v>0</v>
      </c>
      <c r="N633" s="182">
        <v>0</v>
      </c>
      <c r="O633" s="180" t="str">
        <f t="shared" si="104"/>
        <v/>
      </c>
      <c r="P633" s="218">
        <f>SUMIFS(DATA!$L:$L,DATA!$O:$O,$B636,DATA!$N:$N,$A636,DATA!$M:$M,'SALES BY SYSTEM'!$O$2)</f>
        <v>0</v>
      </c>
      <c r="Q633" s="182">
        <v>0</v>
      </c>
      <c r="R633" s="180" t="str">
        <f t="shared" si="105"/>
        <v/>
      </c>
      <c r="S633" s="218">
        <f>SUMIFS(DATA!$L:$L,DATA!$O:$O,$B636,DATA!$N:$N,$A636,DATA!$M:$M,'SALES BY SYSTEM'!$O$4)</f>
        <v>0</v>
      </c>
      <c r="T633" s="182">
        <v>0</v>
      </c>
      <c r="U633" s="180" t="str">
        <f t="shared" si="106"/>
        <v/>
      </c>
      <c r="V633" s="218">
        <f>SUMIFS(DATA!$L:$L,DATA!$O:$O,$B636,DATA!$N:$N,$A636,DATA!$M:$M,'SALES BY SYSTEM'!$O$3)</f>
        <v>0</v>
      </c>
      <c r="W633" s="168"/>
    </row>
    <row r="634" spans="1:23" ht="15.75" customHeight="1" x14ac:dyDescent="0.25">
      <c r="A634" s="178" t="s">
        <v>1899</v>
      </c>
      <c r="B634" s="178" t="s">
        <v>1755</v>
      </c>
      <c r="C634" s="178" t="str">
        <f>VLOOKUP(A634,CUSTOMER!$A:$C,3,0)</f>
        <v>SATRA_F1081NO</v>
      </c>
      <c r="D634" s="178" t="s">
        <v>674</v>
      </c>
      <c r="E634" s="178" t="str">
        <f>VLOOKUP(A637,CUSTOMER!$A$2:$H$1094,5,0)</f>
        <v>VACANCY</v>
      </c>
      <c r="F634" s="178" t="str">
        <f>VLOOKUP(A637,CUSTOMER!$A$2:$I$1094,6,0)</f>
        <v>VACANCY</v>
      </c>
      <c r="G634" s="178" t="s">
        <v>676</v>
      </c>
      <c r="H634" s="179">
        <f t="shared" si="101"/>
        <v>0</v>
      </c>
      <c r="I634" s="180" t="str">
        <f t="shared" si="102"/>
        <v/>
      </c>
      <c r="J634" s="181">
        <f t="shared" si="103"/>
        <v>0</v>
      </c>
      <c r="K634" s="182">
        <v>0</v>
      </c>
      <c r="L634" s="180" t="str">
        <f t="shared" si="107"/>
        <v/>
      </c>
      <c r="M634" s="218">
        <f>SUMIFS(DATA!$L:$L,DATA!$O:$O,$B637,DATA!$N:$N,$A637,DATA!$M:$M,'SALES BY SYSTEM'!$O$1)</f>
        <v>0</v>
      </c>
      <c r="N634" s="182">
        <v>0</v>
      </c>
      <c r="O634" s="180" t="str">
        <f t="shared" si="104"/>
        <v/>
      </c>
      <c r="P634" s="218">
        <f>SUMIFS(DATA!$L:$L,DATA!$O:$O,$B637,DATA!$N:$N,$A637,DATA!$M:$M,'SALES BY SYSTEM'!$O$2)</f>
        <v>0</v>
      </c>
      <c r="Q634" s="182">
        <v>0</v>
      </c>
      <c r="R634" s="180" t="str">
        <f t="shared" si="105"/>
        <v/>
      </c>
      <c r="S634" s="218">
        <f>SUMIFS(DATA!$L:$L,DATA!$O:$O,$B637,DATA!$N:$N,$A637,DATA!$M:$M,'SALES BY SYSTEM'!$O$4)</f>
        <v>0</v>
      </c>
      <c r="T634" s="182">
        <v>0</v>
      </c>
      <c r="U634" s="180" t="str">
        <f t="shared" si="106"/>
        <v/>
      </c>
      <c r="V634" s="218">
        <f>SUMIFS(DATA!$L:$L,DATA!$O:$O,$B637,DATA!$N:$N,$A637,DATA!$M:$M,'SALES BY SYSTEM'!$O$3)</f>
        <v>0</v>
      </c>
      <c r="W634" s="168"/>
    </row>
    <row r="635" spans="1:23" ht="15.75" customHeight="1" x14ac:dyDescent="0.25">
      <c r="A635" s="178" t="s">
        <v>1901</v>
      </c>
      <c r="B635" s="178" t="s">
        <v>1755</v>
      </c>
      <c r="C635" s="178" t="str">
        <f>VLOOKUP(A635,CUSTOMER!$A:$C,3,0)</f>
        <v>SATRA_F1082NDT</v>
      </c>
      <c r="D635" s="178" t="s">
        <v>674</v>
      </c>
      <c r="E635" s="178" t="str">
        <f>VLOOKUP(A638,CUSTOMER!$A$2:$H$1094,5,0)</f>
        <v>VACANCY</v>
      </c>
      <c r="F635" s="178" t="str">
        <f>VLOOKUP(A638,CUSTOMER!$A$2:$I$1094,6,0)</f>
        <v>VACANCY</v>
      </c>
      <c r="G635" s="178" t="s">
        <v>676</v>
      </c>
      <c r="H635" s="179">
        <f t="shared" si="101"/>
        <v>0</v>
      </c>
      <c r="I635" s="180" t="str">
        <f t="shared" si="102"/>
        <v/>
      </c>
      <c r="J635" s="181">
        <f t="shared" si="103"/>
        <v>0</v>
      </c>
      <c r="K635" s="182">
        <v>0</v>
      </c>
      <c r="L635" s="180" t="str">
        <f t="shared" si="107"/>
        <v/>
      </c>
      <c r="M635" s="218">
        <f>SUMIFS(DATA!$L:$L,DATA!$O:$O,$B638,DATA!$N:$N,$A638,DATA!$M:$M,'SALES BY SYSTEM'!$O$1)</f>
        <v>0</v>
      </c>
      <c r="N635" s="182">
        <v>0</v>
      </c>
      <c r="O635" s="180" t="str">
        <f t="shared" si="104"/>
        <v/>
      </c>
      <c r="P635" s="218">
        <f>SUMIFS(DATA!$L:$L,DATA!$O:$O,$B638,DATA!$N:$N,$A638,DATA!$M:$M,'SALES BY SYSTEM'!$O$2)</f>
        <v>0</v>
      </c>
      <c r="Q635" s="182">
        <v>0</v>
      </c>
      <c r="R635" s="180" t="str">
        <f t="shared" si="105"/>
        <v/>
      </c>
      <c r="S635" s="218">
        <f>SUMIFS(DATA!$L:$L,DATA!$O:$O,$B638,DATA!$N:$N,$A638,DATA!$M:$M,'SALES BY SYSTEM'!$O$4)</f>
        <v>0</v>
      </c>
      <c r="T635" s="182">
        <v>0</v>
      </c>
      <c r="U635" s="180" t="str">
        <f t="shared" si="106"/>
        <v/>
      </c>
      <c r="V635" s="218">
        <f>SUMIFS(DATA!$L:$L,DATA!$O:$O,$B638,DATA!$N:$N,$A638,DATA!$M:$M,'SALES BY SYSTEM'!$O$3)</f>
        <v>0</v>
      </c>
      <c r="W635" s="168"/>
    </row>
    <row r="636" spans="1:23" ht="15.75" customHeight="1" x14ac:dyDescent="0.25">
      <c r="A636" s="178" t="s">
        <v>1903</v>
      </c>
      <c r="B636" s="178" t="s">
        <v>1755</v>
      </c>
      <c r="C636" s="178" t="str">
        <f>VLOOKUP(A636,CUSTOMER!$A:$C,3,0)</f>
        <v>SATRA_F1083NVD</v>
      </c>
      <c r="D636" s="178" t="s">
        <v>674</v>
      </c>
      <c r="E636" s="178" t="str">
        <f>VLOOKUP(A639,CUSTOMER!$A$2:$H$1094,5,0)</f>
        <v>VACANCY</v>
      </c>
      <c r="F636" s="178" t="str">
        <f>VLOOKUP(A639,CUSTOMER!$A$2:$I$1094,6,0)</f>
        <v>VACANCY</v>
      </c>
      <c r="G636" s="178" t="s">
        <v>676</v>
      </c>
      <c r="H636" s="179">
        <f t="shared" si="101"/>
        <v>0</v>
      </c>
      <c r="I636" s="180" t="str">
        <f t="shared" si="102"/>
        <v/>
      </c>
      <c r="J636" s="181">
        <f t="shared" si="103"/>
        <v>0</v>
      </c>
      <c r="K636" s="182">
        <v>0</v>
      </c>
      <c r="L636" s="180" t="str">
        <f t="shared" si="107"/>
        <v/>
      </c>
      <c r="M636" s="218">
        <f>SUMIFS(DATA!$L:$L,DATA!$O:$O,$B639,DATA!$N:$N,$A639,DATA!$M:$M,'SALES BY SYSTEM'!$O$1)</f>
        <v>0</v>
      </c>
      <c r="N636" s="182">
        <v>0</v>
      </c>
      <c r="O636" s="180" t="str">
        <f t="shared" si="104"/>
        <v/>
      </c>
      <c r="P636" s="218">
        <f>SUMIFS(DATA!$L:$L,DATA!$O:$O,$B639,DATA!$N:$N,$A639,DATA!$M:$M,'SALES BY SYSTEM'!$O$2)</f>
        <v>0</v>
      </c>
      <c r="Q636" s="182">
        <v>0</v>
      </c>
      <c r="R636" s="180" t="str">
        <f t="shared" si="105"/>
        <v/>
      </c>
      <c r="S636" s="218">
        <f>SUMIFS(DATA!$L:$L,DATA!$O:$O,$B639,DATA!$N:$N,$A639,DATA!$M:$M,'SALES BY SYSTEM'!$O$4)</f>
        <v>0</v>
      </c>
      <c r="T636" s="182">
        <v>0</v>
      </c>
      <c r="U636" s="180" t="str">
        <f t="shared" si="106"/>
        <v/>
      </c>
      <c r="V636" s="218">
        <f>SUMIFS(DATA!$L:$L,DATA!$O:$O,$B639,DATA!$N:$N,$A639,DATA!$M:$M,'SALES BY SYSTEM'!$O$3)</f>
        <v>0</v>
      </c>
      <c r="W636" s="168"/>
    </row>
    <row r="637" spans="1:23" ht="15.75" customHeight="1" x14ac:dyDescent="0.25">
      <c r="A637" s="178" t="s">
        <v>1905</v>
      </c>
      <c r="B637" s="178" t="s">
        <v>1755</v>
      </c>
      <c r="C637" s="178" t="str">
        <f>VLOOKUP(A637,CUSTOMER!$A:$C,3,0)</f>
        <v>SATRA_F1084DBP</v>
      </c>
      <c r="D637" s="178" t="s">
        <v>674</v>
      </c>
      <c r="E637" s="178" t="str">
        <f>VLOOKUP(A640,CUSTOMER!$A$2:$H$1094,5,0)</f>
        <v>VACANCY</v>
      </c>
      <c r="F637" s="178" t="str">
        <f>VLOOKUP(A640,CUSTOMER!$A$2:$I$1094,6,0)</f>
        <v>VACANCY</v>
      </c>
      <c r="G637" s="178" t="s">
        <v>676</v>
      </c>
      <c r="H637" s="179">
        <f t="shared" si="101"/>
        <v>0</v>
      </c>
      <c r="I637" s="180" t="str">
        <f t="shared" si="102"/>
        <v/>
      </c>
      <c r="J637" s="181">
        <f t="shared" si="103"/>
        <v>0</v>
      </c>
      <c r="K637" s="182">
        <v>0</v>
      </c>
      <c r="L637" s="180" t="str">
        <f t="shared" si="107"/>
        <v/>
      </c>
      <c r="M637" s="218">
        <f>SUMIFS(DATA!$L:$L,DATA!$O:$O,$B640,DATA!$N:$N,$A640,DATA!$M:$M,'SALES BY SYSTEM'!$O$1)</f>
        <v>0</v>
      </c>
      <c r="N637" s="182">
        <v>0</v>
      </c>
      <c r="O637" s="180" t="str">
        <f t="shared" si="104"/>
        <v/>
      </c>
      <c r="P637" s="218">
        <f>SUMIFS(DATA!$L:$L,DATA!$O:$O,$B640,DATA!$N:$N,$A640,DATA!$M:$M,'SALES BY SYSTEM'!$O$2)</f>
        <v>0</v>
      </c>
      <c r="Q637" s="182">
        <v>0</v>
      </c>
      <c r="R637" s="180" t="str">
        <f t="shared" si="105"/>
        <v/>
      </c>
      <c r="S637" s="218">
        <f>SUMIFS(DATA!$L:$L,DATA!$O:$O,$B640,DATA!$N:$N,$A640,DATA!$M:$M,'SALES BY SYSTEM'!$O$4)</f>
        <v>0</v>
      </c>
      <c r="T637" s="182">
        <v>0</v>
      </c>
      <c r="U637" s="180" t="str">
        <f t="shared" si="106"/>
        <v/>
      </c>
      <c r="V637" s="218">
        <f>SUMIFS(DATA!$L:$L,DATA!$O:$O,$B640,DATA!$N:$N,$A640,DATA!$M:$M,'SALES BY SYSTEM'!$O$3)</f>
        <v>0</v>
      </c>
      <c r="W637" s="168"/>
    </row>
    <row r="638" spans="1:23" ht="15.75" customHeight="1" x14ac:dyDescent="0.25">
      <c r="A638" s="178" t="s">
        <v>1907</v>
      </c>
      <c r="B638" s="178" t="s">
        <v>1755</v>
      </c>
      <c r="C638" s="178" t="str">
        <f>VLOOKUP(A638,CUSTOMER!$A:$C,3,0)</f>
        <v>SATRA_F1085CC</v>
      </c>
      <c r="D638" s="178" t="s">
        <v>674</v>
      </c>
      <c r="E638" s="178" t="str">
        <f>VLOOKUP(A641,CUSTOMER!$A$2:$H$1094,5,0)</f>
        <v>VACANCY</v>
      </c>
      <c r="F638" s="178" t="str">
        <f>VLOOKUP(A641,CUSTOMER!$A$2:$I$1094,6,0)</f>
        <v>VACANCY</v>
      </c>
      <c r="G638" s="178" t="s">
        <v>676</v>
      </c>
      <c r="H638" s="179">
        <f t="shared" si="101"/>
        <v>0</v>
      </c>
      <c r="I638" s="180" t="str">
        <f t="shared" si="102"/>
        <v/>
      </c>
      <c r="J638" s="181">
        <f t="shared" si="103"/>
        <v>0</v>
      </c>
      <c r="K638" s="182">
        <v>0</v>
      </c>
      <c r="L638" s="180" t="str">
        <f t="shared" si="107"/>
        <v/>
      </c>
      <c r="M638" s="218">
        <f>SUMIFS(DATA!$L:$L,DATA!$O:$O,$B641,DATA!$N:$N,$A641,DATA!$M:$M,'SALES BY SYSTEM'!$O$1)</f>
        <v>0</v>
      </c>
      <c r="N638" s="182">
        <v>0</v>
      </c>
      <c r="O638" s="180" t="str">
        <f t="shared" si="104"/>
        <v/>
      </c>
      <c r="P638" s="218">
        <f>SUMIFS(DATA!$L:$L,DATA!$O:$O,$B641,DATA!$N:$N,$A641,DATA!$M:$M,'SALES BY SYSTEM'!$O$2)</f>
        <v>0</v>
      </c>
      <c r="Q638" s="182">
        <v>0</v>
      </c>
      <c r="R638" s="180" t="str">
        <f t="shared" si="105"/>
        <v/>
      </c>
      <c r="S638" s="218">
        <f>SUMIFS(DATA!$L:$L,DATA!$O:$O,$B641,DATA!$N:$N,$A641,DATA!$M:$M,'SALES BY SYSTEM'!$O$4)</f>
        <v>0</v>
      </c>
      <c r="T638" s="182">
        <v>0</v>
      </c>
      <c r="U638" s="180" t="str">
        <f t="shared" si="106"/>
        <v/>
      </c>
      <c r="V638" s="218">
        <f>SUMIFS(DATA!$L:$L,DATA!$O:$O,$B641,DATA!$N:$N,$A641,DATA!$M:$M,'SALES BY SYSTEM'!$O$3)</f>
        <v>0</v>
      </c>
      <c r="W638" s="168"/>
    </row>
    <row r="639" spans="1:23" ht="15.75" customHeight="1" x14ac:dyDescent="0.25">
      <c r="A639" s="178" t="s">
        <v>1909</v>
      </c>
      <c r="B639" s="178" t="s">
        <v>1755</v>
      </c>
      <c r="C639" s="178" t="str">
        <f>VLOOKUP(A639,CUSTOMER!$A:$C,3,0)</f>
        <v>SATRA_F1086GX</v>
      </c>
      <c r="D639" s="178" t="s">
        <v>674</v>
      </c>
      <c r="E639" s="178" t="str">
        <f>VLOOKUP(A642,CUSTOMER!$A$2:$H$1094,5,0)</f>
        <v>VACANCY</v>
      </c>
      <c r="F639" s="178" t="str">
        <f>VLOOKUP(A642,CUSTOMER!$A$2:$I$1094,6,0)</f>
        <v>VACANCY</v>
      </c>
      <c r="G639" s="178" t="s">
        <v>676</v>
      </c>
      <c r="H639" s="179">
        <f t="shared" si="101"/>
        <v>0</v>
      </c>
      <c r="I639" s="180" t="str">
        <f t="shared" si="102"/>
        <v/>
      </c>
      <c r="J639" s="181">
        <f t="shared" si="103"/>
        <v>0</v>
      </c>
      <c r="K639" s="182">
        <v>0</v>
      </c>
      <c r="L639" s="180" t="str">
        <f t="shared" si="107"/>
        <v/>
      </c>
      <c r="M639" s="218">
        <f>SUMIFS(DATA!$L:$L,DATA!$O:$O,$B642,DATA!$N:$N,$A642,DATA!$M:$M,'SALES BY SYSTEM'!$O$1)</f>
        <v>0</v>
      </c>
      <c r="N639" s="182">
        <v>0</v>
      </c>
      <c r="O639" s="180" t="str">
        <f t="shared" si="104"/>
        <v/>
      </c>
      <c r="P639" s="218">
        <f>SUMIFS(DATA!$L:$L,DATA!$O:$O,$B642,DATA!$N:$N,$A642,DATA!$M:$M,'SALES BY SYSTEM'!$O$2)</f>
        <v>0</v>
      </c>
      <c r="Q639" s="182">
        <v>0</v>
      </c>
      <c r="R639" s="180" t="str">
        <f t="shared" si="105"/>
        <v/>
      </c>
      <c r="S639" s="218">
        <f>SUMIFS(DATA!$L:$L,DATA!$O:$O,$B642,DATA!$N:$N,$A642,DATA!$M:$M,'SALES BY SYSTEM'!$O$4)</f>
        <v>0</v>
      </c>
      <c r="T639" s="182">
        <v>0</v>
      </c>
      <c r="U639" s="180" t="str">
        <f t="shared" si="106"/>
        <v/>
      </c>
      <c r="V639" s="218">
        <f>SUMIFS(DATA!$L:$L,DATA!$O:$O,$B642,DATA!$N:$N,$A642,DATA!$M:$M,'SALES BY SYSTEM'!$O$3)</f>
        <v>0</v>
      </c>
      <c r="W639" s="168"/>
    </row>
    <row r="640" spans="1:23" ht="15.75" customHeight="1" x14ac:dyDescent="0.25">
      <c r="A640" s="178" t="s">
        <v>1911</v>
      </c>
      <c r="B640" s="178" t="s">
        <v>1755</v>
      </c>
      <c r="C640" s="178" t="str">
        <f>VLOOKUP(A640,CUSTOMER!$A:$C,3,0)</f>
        <v>SATRA_F1087TH</v>
      </c>
      <c r="D640" s="178" t="s">
        <v>674</v>
      </c>
      <c r="E640" s="178" t="str">
        <f>VLOOKUP(A643,CUSTOMER!$A$2:$H$1094,5,0)</f>
        <v>VACANCY</v>
      </c>
      <c r="F640" s="178" t="str">
        <f>VLOOKUP(A643,CUSTOMER!$A$2:$I$1094,6,0)</f>
        <v>VACANCY</v>
      </c>
      <c r="G640" s="178" t="s">
        <v>676</v>
      </c>
      <c r="H640" s="179">
        <f t="shared" si="101"/>
        <v>0</v>
      </c>
      <c r="I640" s="180" t="str">
        <f t="shared" si="102"/>
        <v/>
      </c>
      <c r="J640" s="181">
        <f t="shared" si="103"/>
        <v>0</v>
      </c>
      <c r="K640" s="182">
        <v>0</v>
      </c>
      <c r="L640" s="180" t="str">
        <f t="shared" si="107"/>
        <v/>
      </c>
      <c r="M640" s="218">
        <f>SUMIFS(DATA!$L:$L,DATA!$O:$O,$B643,DATA!$N:$N,$A643,DATA!$M:$M,'SALES BY SYSTEM'!$O$1)</f>
        <v>0</v>
      </c>
      <c r="N640" s="182">
        <v>0</v>
      </c>
      <c r="O640" s="180" t="str">
        <f t="shared" si="104"/>
        <v/>
      </c>
      <c r="P640" s="218">
        <f>SUMIFS(DATA!$L:$L,DATA!$O:$O,$B643,DATA!$N:$N,$A643,DATA!$M:$M,'SALES BY SYSTEM'!$O$2)</f>
        <v>0</v>
      </c>
      <c r="Q640" s="182">
        <v>0</v>
      </c>
      <c r="R640" s="180" t="str">
        <f t="shared" si="105"/>
        <v/>
      </c>
      <c r="S640" s="218">
        <f>SUMIFS(DATA!$L:$L,DATA!$O:$O,$B643,DATA!$N:$N,$A643,DATA!$M:$M,'SALES BY SYSTEM'!$O$4)</f>
        <v>0</v>
      </c>
      <c r="T640" s="182">
        <v>0</v>
      </c>
      <c r="U640" s="180" t="str">
        <f t="shared" si="106"/>
        <v/>
      </c>
      <c r="V640" s="218">
        <f>SUMIFS(DATA!$L:$L,DATA!$O:$O,$B643,DATA!$N:$N,$A643,DATA!$M:$M,'SALES BY SYSTEM'!$O$3)</f>
        <v>0</v>
      </c>
      <c r="W640" s="168"/>
    </row>
    <row r="641" spans="1:23" ht="15.75" customHeight="1" x14ac:dyDescent="0.25">
      <c r="A641" s="178" t="s">
        <v>1913</v>
      </c>
      <c r="B641" s="178" t="s">
        <v>1755</v>
      </c>
      <c r="C641" s="178" t="str">
        <f>VLOOKUP(A641,CUSTOMER!$A:$C,3,0)</f>
        <v>SATRA_F1088BD</v>
      </c>
      <c r="D641" s="178" t="s">
        <v>674</v>
      </c>
      <c r="E641" s="178" t="str">
        <f>VLOOKUP(A644,CUSTOMER!$A$2:$H$1094,5,0)</f>
        <v>VACANCY</v>
      </c>
      <c r="F641" s="178" t="str">
        <f>VLOOKUP(A644,CUSTOMER!$A$2:$I$1094,6,0)</f>
        <v>VACANCY</v>
      </c>
      <c r="G641" s="178" t="s">
        <v>676</v>
      </c>
      <c r="H641" s="179">
        <f t="shared" si="101"/>
        <v>0</v>
      </c>
      <c r="I641" s="180" t="str">
        <f t="shared" si="102"/>
        <v/>
      </c>
      <c r="J641" s="181">
        <f t="shared" si="103"/>
        <v>0</v>
      </c>
      <c r="K641" s="182">
        <v>0</v>
      </c>
      <c r="L641" s="180" t="str">
        <f t="shared" si="107"/>
        <v/>
      </c>
      <c r="M641" s="218">
        <f>SUMIFS(DATA!$L:$L,DATA!$O:$O,$B644,DATA!$N:$N,$A644,DATA!$M:$M,'SALES BY SYSTEM'!$O$1)</f>
        <v>0</v>
      </c>
      <c r="N641" s="182">
        <v>0</v>
      </c>
      <c r="O641" s="180" t="str">
        <f t="shared" si="104"/>
        <v/>
      </c>
      <c r="P641" s="218">
        <f>SUMIFS(DATA!$L:$L,DATA!$O:$O,$B644,DATA!$N:$N,$A644,DATA!$M:$M,'SALES BY SYSTEM'!$O$2)</f>
        <v>0</v>
      </c>
      <c r="Q641" s="182">
        <v>0</v>
      </c>
      <c r="R641" s="180" t="str">
        <f t="shared" si="105"/>
        <v/>
      </c>
      <c r="S641" s="218">
        <f>SUMIFS(DATA!$L:$L,DATA!$O:$O,$B644,DATA!$N:$N,$A644,DATA!$M:$M,'SALES BY SYSTEM'!$O$4)</f>
        <v>0</v>
      </c>
      <c r="T641" s="182">
        <v>0</v>
      </c>
      <c r="U641" s="180" t="str">
        <f t="shared" si="106"/>
        <v/>
      </c>
      <c r="V641" s="218">
        <f>SUMIFS(DATA!$L:$L,DATA!$O:$O,$B644,DATA!$N:$N,$A644,DATA!$M:$M,'SALES BY SYSTEM'!$O$3)</f>
        <v>0</v>
      </c>
      <c r="W641" s="168"/>
    </row>
    <row r="642" spans="1:23" ht="15.75" customHeight="1" x14ac:dyDescent="0.25">
      <c r="A642" s="178" t="s">
        <v>1915</v>
      </c>
      <c r="B642" s="178" t="s">
        <v>1755</v>
      </c>
      <c r="C642" s="178" t="str">
        <f>VLOOKUP(A642,CUSTOMER!$A:$C,3,0)</f>
        <v>SATRA_F1089DVB</v>
      </c>
      <c r="D642" s="178" t="s">
        <v>674</v>
      </c>
      <c r="E642" s="178" t="str">
        <f>VLOOKUP(A645,CUSTOMER!$A$2:$H$1094,5,0)</f>
        <v>VACANCY</v>
      </c>
      <c r="F642" s="178" t="str">
        <f>VLOOKUP(A645,CUSTOMER!$A$2:$I$1094,6,0)</f>
        <v>VACANCY</v>
      </c>
      <c r="G642" s="178" t="s">
        <v>676</v>
      </c>
      <c r="H642" s="179">
        <f t="shared" si="101"/>
        <v>0</v>
      </c>
      <c r="I642" s="180" t="str">
        <f t="shared" si="102"/>
        <v/>
      </c>
      <c r="J642" s="181">
        <f t="shared" si="103"/>
        <v>0</v>
      </c>
      <c r="K642" s="182">
        <v>0</v>
      </c>
      <c r="L642" s="180" t="str">
        <f t="shared" si="107"/>
        <v/>
      </c>
      <c r="M642" s="218">
        <f>SUMIFS(DATA!$L:$L,DATA!$O:$O,$B645,DATA!$N:$N,$A645,DATA!$M:$M,'SALES BY SYSTEM'!$O$1)</f>
        <v>0</v>
      </c>
      <c r="N642" s="182">
        <v>0</v>
      </c>
      <c r="O642" s="180" t="str">
        <f t="shared" si="104"/>
        <v/>
      </c>
      <c r="P642" s="218">
        <f>SUMIFS(DATA!$L:$L,DATA!$O:$O,$B645,DATA!$N:$N,$A645,DATA!$M:$M,'SALES BY SYSTEM'!$O$2)</f>
        <v>0</v>
      </c>
      <c r="Q642" s="182">
        <v>0</v>
      </c>
      <c r="R642" s="180" t="str">
        <f t="shared" si="105"/>
        <v/>
      </c>
      <c r="S642" s="218">
        <f>SUMIFS(DATA!$L:$L,DATA!$O:$O,$B645,DATA!$N:$N,$A645,DATA!$M:$M,'SALES BY SYSTEM'!$O$4)</f>
        <v>0</v>
      </c>
      <c r="T642" s="182">
        <v>0</v>
      </c>
      <c r="U642" s="180" t="str">
        <f t="shared" si="106"/>
        <v/>
      </c>
      <c r="V642" s="218">
        <f>SUMIFS(DATA!$L:$L,DATA!$O:$O,$B645,DATA!$N:$N,$A645,DATA!$M:$M,'SALES BY SYSTEM'!$O$3)</f>
        <v>0</v>
      </c>
      <c r="W642" s="168"/>
    </row>
    <row r="643" spans="1:23" ht="15.75" customHeight="1" x14ac:dyDescent="0.25">
      <c r="A643" s="178" t="s">
        <v>1917</v>
      </c>
      <c r="B643" s="178" t="s">
        <v>1755</v>
      </c>
      <c r="C643" s="178" t="str">
        <f>VLOOKUP(A643,CUSTOMER!$A:$C,3,0)</f>
        <v>SATRA_F1090TNV</v>
      </c>
      <c r="D643" s="178" t="s">
        <v>674</v>
      </c>
      <c r="E643" s="178" t="str">
        <f>VLOOKUP(A646,CUSTOMER!$A$2:$H$1094,5,0)</f>
        <v>VACANCY</v>
      </c>
      <c r="F643" s="178" t="str">
        <f>VLOOKUP(A646,CUSTOMER!$A$2:$I$1094,6,0)</f>
        <v>VACANCY</v>
      </c>
      <c r="G643" s="178" t="s">
        <v>676</v>
      </c>
      <c r="H643" s="179">
        <f t="shared" si="101"/>
        <v>0</v>
      </c>
      <c r="I643" s="180" t="str">
        <f t="shared" si="102"/>
        <v/>
      </c>
      <c r="J643" s="181">
        <f t="shared" si="103"/>
        <v>0</v>
      </c>
      <c r="K643" s="182">
        <v>0</v>
      </c>
      <c r="L643" s="180" t="str">
        <f t="shared" si="107"/>
        <v/>
      </c>
      <c r="M643" s="218">
        <f>SUMIFS(DATA!$L:$L,DATA!$O:$O,$B646,DATA!$N:$N,$A646,DATA!$M:$M,'SALES BY SYSTEM'!$O$1)</f>
        <v>0</v>
      </c>
      <c r="N643" s="182">
        <v>0</v>
      </c>
      <c r="O643" s="180" t="str">
        <f t="shared" si="104"/>
        <v/>
      </c>
      <c r="P643" s="218">
        <f>SUMIFS(DATA!$L:$L,DATA!$O:$O,$B646,DATA!$N:$N,$A646,DATA!$M:$M,'SALES BY SYSTEM'!$O$2)</f>
        <v>0</v>
      </c>
      <c r="Q643" s="182">
        <v>0</v>
      </c>
      <c r="R643" s="180" t="str">
        <f t="shared" si="105"/>
        <v/>
      </c>
      <c r="S643" s="218">
        <f>SUMIFS(DATA!$L:$L,DATA!$O:$O,$B646,DATA!$N:$N,$A646,DATA!$M:$M,'SALES BY SYSTEM'!$O$4)</f>
        <v>0</v>
      </c>
      <c r="T643" s="182">
        <v>0</v>
      </c>
      <c r="U643" s="180" t="str">
        <f t="shared" si="106"/>
        <v/>
      </c>
      <c r="V643" s="218">
        <f>SUMIFS(DATA!$L:$L,DATA!$O:$O,$B646,DATA!$N:$N,$A646,DATA!$M:$M,'SALES BY SYSTEM'!$O$3)</f>
        <v>0</v>
      </c>
      <c r="W643" s="168"/>
    </row>
    <row r="644" spans="1:23" ht="15.75" customHeight="1" x14ac:dyDescent="0.25">
      <c r="A644" s="178" t="s">
        <v>1919</v>
      </c>
      <c r="B644" s="178" t="s">
        <v>1755</v>
      </c>
      <c r="C644" s="178" t="str">
        <f>VLOOKUP(A644,CUSTOMER!$A:$C,3,0)</f>
        <v>SATRA_F1091ADV</v>
      </c>
      <c r="D644" s="178" t="s">
        <v>674</v>
      </c>
      <c r="E644" s="178" t="str">
        <f>VLOOKUP(A647,CUSTOMER!$A$2:$H$1094,5,0)</f>
        <v>VACANCY</v>
      </c>
      <c r="F644" s="178" t="str">
        <f>VLOOKUP(A647,CUSTOMER!$A$2:$I$1094,6,0)</f>
        <v>VACANCY</v>
      </c>
      <c r="G644" s="178" t="s">
        <v>676</v>
      </c>
      <c r="H644" s="179">
        <f t="shared" si="101"/>
        <v>0</v>
      </c>
      <c r="I644" s="180" t="str">
        <f t="shared" si="102"/>
        <v/>
      </c>
      <c r="J644" s="181">
        <f t="shared" si="103"/>
        <v>0</v>
      </c>
      <c r="K644" s="182">
        <v>0</v>
      </c>
      <c r="L644" s="180" t="str">
        <f t="shared" si="107"/>
        <v/>
      </c>
      <c r="M644" s="218">
        <f>SUMIFS(DATA!$L:$L,DATA!$O:$O,$B647,DATA!$N:$N,$A647,DATA!$M:$M,'SALES BY SYSTEM'!$O$1)</f>
        <v>0</v>
      </c>
      <c r="N644" s="182">
        <v>0</v>
      </c>
      <c r="O644" s="180" t="str">
        <f t="shared" si="104"/>
        <v/>
      </c>
      <c r="P644" s="218">
        <f>SUMIFS(DATA!$L:$L,DATA!$O:$O,$B647,DATA!$N:$N,$A647,DATA!$M:$M,'SALES BY SYSTEM'!$O$2)</f>
        <v>0</v>
      </c>
      <c r="Q644" s="182">
        <v>0</v>
      </c>
      <c r="R644" s="180" t="str">
        <f t="shared" si="105"/>
        <v/>
      </c>
      <c r="S644" s="218">
        <f>SUMIFS(DATA!$L:$L,DATA!$O:$O,$B647,DATA!$N:$N,$A647,DATA!$M:$M,'SALES BY SYSTEM'!$O$4)</f>
        <v>0</v>
      </c>
      <c r="T644" s="182">
        <v>0</v>
      </c>
      <c r="U644" s="180" t="str">
        <f t="shared" si="106"/>
        <v/>
      </c>
      <c r="V644" s="218">
        <f>SUMIFS(DATA!$L:$L,DATA!$O:$O,$B647,DATA!$N:$N,$A647,DATA!$M:$M,'SALES BY SYSTEM'!$O$3)</f>
        <v>0</v>
      </c>
      <c r="W644" s="168"/>
    </row>
    <row r="645" spans="1:23" ht="15.75" customHeight="1" x14ac:dyDescent="0.25">
      <c r="A645" s="178" t="s">
        <v>1921</v>
      </c>
      <c r="B645" s="178" t="s">
        <v>1755</v>
      </c>
      <c r="C645" s="178" t="str">
        <f>VLOOKUP(A645,CUSTOMER!$A:$C,3,0)</f>
        <v>SATRA_F1092HHT</v>
      </c>
      <c r="D645" s="178" t="s">
        <v>674</v>
      </c>
      <c r="E645" s="178" t="str">
        <f>VLOOKUP(A648,CUSTOMER!$A$2:$H$1094,5,0)</f>
        <v>VACANCY</v>
      </c>
      <c r="F645" s="178" t="str">
        <f>VLOOKUP(A648,CUSTOMER!$A$2:$I$1094,6,0)</f>
        <v>VACANCY</v>
      </c>
      <c r="G645" s="178" t="s">
        <v>676</v>
      </c>
      <c r="H645" s="179">
        <f t="shared" si="101"/>
        <v>0</v>
      </c>
      <c r="I645" s="180" t="str">
        <f t="shared" si="102"/>
        <v/>
      </c>
      <c r="J645" s="181">
        <f t="shared" si="103"/>
        <v>0</v>
      </c>
      <c r="K645" s="182">
        <v>0</v>
      </c>
      <c r="L645" s="180" t="str">
        <f t="shared" si="107"/>
        <v/>
      </c>
      <c r="M645" s="218">
        <f>SUMIFS(DATA!$L:$L,DATA!$O:$O,$B648,DATA!$N:$N,$A648,DATA!$M:$M,'SALES BY SYSTEM'!$O$1)</f>
        <v>0</v>
      </c>
      <c r="N645" s="182">
        <v>0</v>
      </c>
      <c r="O645" s="180" t="str">
        <f t="shared" si="104"/>
        <v/>
      </c>
      <c r="P645" s="218">
        <f>SUMIFS(DATA!$L:$L,DATA!$O:$O,$B648,DATA!$N:$N,$A648,DATA!$M:$M,'SALES BY SYSTEM'!$O$2)</f>
        <v>0</v>
      </c>
      <c r="Q645" s="182">
        <v>0</v>
      </c>
      <c r="R645" s="180" t="str">
        <f t="shared" si="105"/>
        <v/>
      </c>
      <c r="S645" s="218">
        <f>SUMIFS(DATA!$L:$L,DATA!$O:$O,$B648,DATA!$N:$N,$A648,DATA!$M:$M,'SALES BY SYSTEM'!$O$4)</f>
        <v>0</v>
      </c>
      <c r="T645" s="182">
        <v>0</v>
      </c>
      <c r="U645" s="180" t="str">
        <f t="shared" si="106"/>
        <v/>
      </c>
      <c r="V645" s="218">
        <f>SUMIFS(DATA!$L:$L,DATA!$O:$O,$B648,DATA!$N:$N,$A648,DATA!$M:$M,'SALES BY SYSTEM'!$O$3)</f>
        <v>0</v>
      </c>
      <c r="W645" s="168"/>
    </row>
    <row r="646" spans="1:23" ht="15.75" customHeight="1" x14ac:dyDescent="0.25">
      <c r="A646" s="178" t="s">
        <v>1923</v>
      </c>
      <c r="B646" s="178" t="s">
        <v>1755</v>
      </c>
      <c r="C646" s="178" t="str">
        <f>VLOOKUP(A646,CUSTOMER!$A:$C,3,0)</f>
        <v>SATRA_F1093THOA</v>
      </c>
      <c r="D646" s="178" t="s">
        <v>674</v>
      </c>
      <c r="E646" s="178" t="str">
        <f>VLOOKUP(A649,CUSTOMER!$A$2:$H$1094,5,0)</f>
        <v>VACANCY</v>
      </c>
      <c r="F646" s="178" t="str">
        <f>VLOOKUP(A649,CUSTOMER!$A$2:$I$1094,6,0)</f>
        <v>VACANCY</v>
      </c>
      <c r="G646" s="178" t="s">
        <v>676</v>
      </c>
      <c r="H646" s="179">
        <f t="shared" si="101"/>
        <v>0</v>
      </c>
      <c r="I646" s="180" t="str">
        <f t="shared" si="102"/>
        <v/>
      </c>
      <c r="J646" s="181">
        <f t="shared" si="103"/>
        <v>0</v>
      </c>
      <c r="K646" s="182">
        <v>0</v>
      </c>
      <c r="L646" s="180" t="str">
        <f t="shared" si="107"/>
        <v/>
      </c>
      <c r="M646" s="218">
        <f>SUMIFS(DATA!$L:$L,DATA!$O:$O,$B649,DATA!$N:$N,$A649,DATA!$M:$M,'SALES BY SYSTEM'!$O$1)</f>
        <v>0</v>
      </c>
      <c r="N646" s="182">
        <v>0</v>
      </c>
      <c r="O646" s="180" t="str">
        <f t="shared" si="104"/>
        <v/>
      </c>
      <c r="P646" s="218">
        <f>SUMIFS(DATA!$L:$L,DATA!$O:$O,$B649,DATA!$N:$N,$A649,DATA!$M:$M,'SALES BY SYSTEM'!$O$2)</f>
        <v>0</v>
      </c>
      <c r="Q646" s="182">
        <v>0</v>
      </c>
      <c r="R646" s="180" t="str">
        <f t="shared" si="105"/>
        <v/>
      </c>
      <c r="S646" s="218">
        <f>SUMIFS(DATA!$L:$L,DATA!$O:$O,$B649,DATA!$N:$N,$A649,DATA!$M:$M,'SALES BY SYSTEM'!$O$4)</f>
        <v>0</v>
      </c>
      <c r="T646" s="182">
        <v>0</v>
      </c>
      <c r="U646" s="180" t="str">
        <f t="shared" si="106"/>
        <v/>
      </c>
      <c r="V646" s="218">
        <f>SUMIFS(DATA!$L:$L,DATA!$O:$O,$B649,DATA!$N:$N,$A649,DATA!$M:$M,'SALES BY SYSTEM'!$O$3)</f>
        <v>0</v>
      </c>
      <c r="W646" s="168"/>
    </row>
    <row r="647" spans="1:23" ht="15.75" customHeight="1" x14ac:dyDescent="0.25">
      <c r="A647" s="178" t="s">
        <v>1925</v>
      </c>
      <c r="B647" s="178" t="s">
        <v>1755</v>
      </c>
      <c r="C647" s="178" t="str">
        <f>VLOOKUP(A647,CUSTOMER!$A:$C,3,0)</f>
        <v>SATRA_F1094NVQ</v>
      </c>
      <c r="D647" s="178" t="s">
        <v>674</v>
      </c>
      <c r="E647" s="178" t="str">
        <f>VLOOKUP(A650,CUSTOMER!$A$2:$H$1094,5,0)</f>
        <v>VACANCY</v>
      </c>
      <c r="F647" s="178" t="str">
        <f>VLOOKUP(A650,CUSTOMER!$A$2:$I$1094,6,0)</f>
        <v>VACANCY</v>
      </c>
      <c r="G647" s="178" t="s">
        <v>676</v>
      </c>
      <c r="H647" s="179">
        <f t="shared" si="101"/>
        <v>0</v>
      </c>
      <c r="I647" s="180" t="str">
        <f t="shared" si="102"/>
        <v/>
      </c>
      <c r="J647" s="181">
        <f t="shared" si="103"/>
        <v>0</v>
      </c>
      <c r="K647" s="182">
        <v>0</v>
      </c>
      <c r="L647" s="180" t="str">
        <f t="shared" si="107"/>
        <v/>
      </c>
      <c r="M647" s="218">
        <f>SUMIFS(DATA!$L:$L,DATA!$O:$O,$B650,DATA!$N:$N,$A650,DATA!$M:$M,'SALES BY SYSTEM'!$O$1)</f>
        <v>0</v>
      </c>
      <c r="N647" s="182">
        <v>0</v>
      </c>
      <c r="O647" s="180" t="str">
        <f t="shared" si="104"/>
        <v/>
      </c>
      <c r="P647" s="218">
        <f>SUMIFS(DATA!$L:$L,DATA!$O:$O,$B650,DATA!$N:$N,$A650,DATA!$M:$M,'SALES BY SYSTEM'!$O$2)</f>
        <v>0</v>
      </c>
      <c r="Q647" s="182">
        <v>0</v>
      </c>
      <c r="R647" s="180" t="str">
        <f t="shared" si="105"/>
        <v/>
      </c>
      <c r="S647" s="218">
        <f>SUMIFS(DATA!$L:$L,DATA!$O:$O,$B650,DATA!$N:$N,$A650,DATA!$M:$M,'SALES BY SYSTEM'!$O$4)</f>
        <v>0</v>
      </c>
      <c r="T647" s="182">
        <v>0</v>
      </c>
      <c r="U647" s="180" t="str">
        <f t="shared" si="106"/>
        <v/>
      </c>
      <c r="V647" s="218">
        <f>SUMIFS(DATA!$L:$L,DATA!$O:$O,$B650,DATA!$N:$N,$A650,DATA!$M:$M,'SALES BY SYSTEM'!$O$3)</f>
        <v>0</v>
      </c>
      <c r="W647" s="168"/>
    </row>
    <row r="648" spans="1:23" ht="15.75" customHeight="1" x14ac:dyDescent="0.25">
      <c r="A648" s="178" t="s">
        <v>1927</v>
      </c>
      <c r="B648" s="178" t="s">
        <v>1755</v>
      </c>
      <c r="C648" s="178" t="str">
        <f>VLOOKUP(A648,CUSTOMER!$A:$C,3,0)</f>
        <v>SATRA_F1095DDT</v>
      </c>
      <c r="D648" s="178" t="s">
        <v>674</v>
      </c>
      <c r="E648" s="178" t="str">
        <f>VLOOKUP(A651,CUSTOMER!$A$2:$H$1094,5,0)</f>
        <v>VACANCY</v>
      </c>
      <c r="F648" s="178" t="str">
        <f>VLOOKUP(A651,CUSTOMER!$A$2:$I$1094,6,0)</f>
        <v>VACANCY</v>
      </c>
      <c r="G648" s="178" t="s">
        <v>676</v>
      </c>
      <c r="H648" s="179">
        <f t="shared" si="101"/>
        <v>0</v>
      </c>
      <c r="I648" s="180" t="str">
        <f t="shared" si="102"/>
        <v/>
      </c>
      <c r="J648" s="181">
        <f t="shared" si="103"/>
        <v>0</v>
      </c>
      <c r="K648" s="182">
        <v>0</v>
      </c>
      <c r="L648" s="180" t="str">
        <f t="shared" si="107"/>
        <v/>
      </c>
      <c r="M648" s="218">
        <f>SUMIFS(DATA!$L:$L,DATA!$O:$O,$B651,DATA!$N:$N,$A651,DATA!$M:$M,'SALES BY SYSTEM'!$O$1)</f>
        <v>0</v>
      </c>
      <c r="N648" s="182">
        <v>0</v>
      </c>
      <c r="O648" s="180" t="str">
        <f t="shared" si="104"/>
        <v/>
      </c>
      <c r="P648" s="218">
        <f>SUMIFS(DATA!$L:$L,DATA!$O:$O,$B651,DATA!$N:$N,$A651,DATA!$M:$M,'SALES BY SYSTEM'!$O$2)</f>
        <v>0</v>
      </c>
      <c r="Q648" s="182">
        <v>0</v>
      </c>
      <c r="R648" s="180" t="str">
        <f t="shared" si="105"/>
        <v/>
      </c>
      <c r="S648" s="218">
        <f>SUMIFS(DATA!$L:$L,DATA!$O:$O,$B651,DATA!$N:$N,$A651,DATA!$M:$M,'SALES BY SYSTEM'!$O$4)</f>
        <v>0</v>
      </c>
      <c r="T648" s="182">
        <v>0</v>
      </c>
      <c r="U648" s="180" t="str">
        <f t="shared" si="106"/>
        <v/>
      </c>
      <c r="V648" s="218">
        <f>SUMIFS(DATA!$L:$L,DATA!$O:$O,$B651,DATA!$N:$N,$A651,DATA!$M:$M,'SALES BY SYSTEM'!$O$3)</f>
        <v>0</v>
      </c>
      <c r="W648" s="168"/>
    </row>
    <row r="649" spans="1:23" ht="15.75" customHeight="1" x14ac:dyDescent="0.25">
      <c r="A649" s="178" t="s">
        <v>1929</v>
      </c>
      <c r="B649" s="178" t="s">
        <v>1755</v>
      </c>
      <c r="C649" s="178" t="str">
        <f>VLOOKUP(A649,CUSTOMER!$A:$C,3,0)</f>
        <v>SATRA_F1096NAT</v>
      </c>
      <c r="D649" s="178" t="s">
        <v>674</v>
      </c>
      <c r="E649" s="178" t="str">
        <f>VLOOKUP(A652,CUSTOMER!$A$2:$H$1094,5,0)</f>
        <v>VACANCY</v>
      </c>
      <c r="F649" s="178" t="str">
        <f>VLOOKUP(A652,CUSTOMER!$A$2:$I$1094,6,0)</f>
        <v>VACANCY</v>
      </c>
      <c r="G649" s="178" t="s">
        <v>676</v>
      </c>
      <c r="H649" s="179">
        <f t="shared" si="101"/>
        <v>0</v>
      </c>
      <c r="I649" s="180" t="str">
        <f t="shared" si="102"/>
        <v/>
      </c>
      <c r="J649" s="181">
        <f t="shared" si="103"/>
        <v>0</v>
      </c>
      <c r="K649" s="182">
        <v>0</v>
      </c>
      <c r="L649" s="180" t="str">
        <f t="shared" si="107"/>
        <v/>
      </c>
      <c r="M649" s="218">
        <f>SUMIFS(DATA!$L:$L,DATA!$O:$O,$B652,DATA!$N:$N,$A652,DATA!$M:$M,'SALES BY SYSTEM'!$O$1)</f>
        <v>0</v>
      </c>
      <c r="N649" s="182">
        <v>0</v>
      </c>
      <c r="O649" s="180" t="str">
        <f t="shared" si="104"/>
        <v/>
      </c>
      <c r="P649" s="218">
        <f>SUMIFS(DATA!$L:$L,DATA!$O:$O,$B652,DATA!$N:$N,$A652,DATA!$M:$M,'SALES BY SYSTEM'!$O$2)</f>
        <v>0</v>
      </c>
      <c r="Q649" s="182">
        <v>0</v>
      </c>
      <c r="R649" s="180" t="str">
        <f t="shared" si="105"/>
        <v/>
      </c>
      <c r="S649" s="218">
        <f>SUMIFS(DATA!$L:$L,DATA!$O:$O,$B652,DATA!$N:$N,$A652,DATA!$M:$M,'SALES BY SYSTEM'!$O$4)</f>
        <v>0</v>
      </c>
      <c r="T649" s="182">
        <v>0</v>
      </c>
      <c r="U649" s="180" t="str">
        <f t="shared" si="106"/>
        <v/>
      </c>
      <c r="V649" s="218">
        <f>SUMIFS(DATA!$L:$L,DATA!$O:$O,$B652,DATA!$N:$N,$A652,DATA!$M:$M,'SALES BY SYSTEM'!$O$3)</f>
        <v>0</v>
      </c>
      <c r="W649" s="168"/>
    </row>
    <row r="650" spans="1:23" ht="15.75" customHeight="1" x14ac:dyDescent="0.25">
      <c r="A650" s="178" t="s">
        <v>1931</v>
      </c>
      <c r="B650" s="178" t="s">
        <v>1755</v>
      </c>
      <c r="C650" s="178" t="str">
        <f>VLOOKUP(A650,CUSTOMER!$A:$C,3,0)</f>
        <v>SATRA_F1097HBD</v>
      </c>
      <c r="D650" s="178" t="s">
        <v>674</v>
      </c>
      <c r="E650" s="178" t="str">
        <f>VLOOKUP(A653,CUSTOMER!$A$2:$H$1094,5,0)</f>
        <v>VACANCY</v>
      </c>
      <c r="F650" s="178" t="str">
        <f>VLOOKUP(A653,CUSTOMER!$A$2:$I$1094,6,0)</f>
        <v>VACANCY</v>
      </c>
      <c r="G650" s="178" t="s">
        <v>676</v>
      </c>
      <c r="H650" s="179">
        <f t="shared" si="101"/>
        <v>0</v>
      </c>
      <c r="I650" s="180" t="str">
        <f t="shared" si="102"/>
        <v/>
      </c>
      <c r="J650" s="181">
        <f t="shared" si="103"/>
        <v>0</v>
      </c>
      <c r="K650" s="182">
        <v>0</v>
      </c>
      <c r="L650" s="180" t="str">
        <f t="shared" si="107"/>
        <v/>
      </c>
      <c r="M650" s="218">
        <f>SUMIFS(DATA!$L:$L,DATA!$O:$O,$B653,DATA!$N:$N,$A653,DATA!$M:$M,'SALES BY SYSTEM'!$O$1)</f>
        <v>0</v>
      </c>
      <c r="N650" s="182">
        <v>0</v>
      </c>
      <c r="O650" s="180" t="str">
        <f t="shared" si="104"/>
        <v/>
      </c>
      <c r="P650" s="218">
        <f>SUMIFS(DATA!$L:$L,DATA!$O:$O,$B653,DATA!$N:$N,$A653,DATA!$M:$M,'SALES BY SYSTEM'!$O$2)</f>
        <v>0</v>
      </c>
      <c r="Q650" s="182">
        <v>0</v>
      </c>
      <c r="R650" s="180" t="str">
        <f t="shared" si="105"/>
        <v/>
      </c>
      <c r="S650" s="218">
        <f>SUMIFS(DATA!$L:$L,DATA!$O:$O,$B653,DATA!$N:$N,$A653,DATA!$M:$M,'SALES BY SYSTEM'!$O$4)</f>
        <v>0</v>
      </c>
      <c r="T650" s="182">
        <v>0</v>
      </c>
      <c r="U650" s="180" t="str">
        <f t="shared" si="106"/>
        <v/>
      </c>
      <c r="V650" s="218">
        <f>SUMIFS(DATA!$L:$L,DATA!$O:$O,$B653,DATA!$N:$N,$A653,DATA!$M:$M,'SALES BY SYSTEM'!$O$3)</f>
        <v>0</v>
      </c>
      <c r="W650" s="168"/>
    </row>
    <row r="651" spans="1:23" ht="15.75" customHeight="1" x14ac:dyDescent="0.25">
      <c r="A651" s="178" t="s">
        <v>1933</v>
      </c>
      <c r="B651" s="178" t="s">
        <v>1755</v>
      </c>
      <c r="C651" s="178" t="str">
        <f>VLOOKUP(A651,CUSTOMER!$A:$C,3,0)</f>
        <v>SATRA_F1099LVH</v>
      </c>
      <c r="D651" s="178" t="s">
        <v>674</v>
      </c>
      <c r="E651" s="178" t="str">
        <f>VLOOKUP(A654,CUSTOMER!$A$2:$H$1094,5,0)</f>
        <v>VACANCY</v>
      </c>
      <c r="F651" s="178" t="str">
        <f>VLOOKUP(A654,CUSTOMER!$A$2:$I$1094,6,0)</f>
        <v>VACANCY</v>
      </c>
      <c r="G651" s="178" t="s">
        <v>676</v>
      </c>
      <c r="H651" s="179">
        <f t="shared" si="101"/>
        <v>0</v>
      </c>
      <c r="I651" s="180" t="str">
        <f t="shared" si="102"/>
        <v/>
      </c>
      <c r="J651" s="181">
        <f t="shared" si="103"/>
        <v>0</v>
      </c>
      <c r="K651" s="182">
        <v>0</v>
      </c>
      <c r="L651" s="180" t="str">
        <f t="shared" si="107"/>
        <v/>
      </c>
      <c r="M651" s="218">
        <f>SUMIFS(DATA!$L:$L,DATA!$O:$O,$B654,DATA!$N:$N,$A654,DATA!$M:$M,'SALES BY SYSTEM'!$O$1)</f>
        <v>0</v>
      </c>
      <c r="N651" s="182">
        <v>0</v>
      </c>
      <c r="O651" s="180" t="str">
        <f t="shared" si="104"/>
        <v/>
      </c>
      <c r="P651" s="218">
        <f>SUMIFS(DATA!$L:$L,DATA!$O:$O,$B654,DATA!$N:$N,$A654,DATA!$M:$M,'SALES BY SYSTEM'!$O$2)</f>
        <v>0</v>
      </c>
      <c r="Q651" s="182">
        <v>0</v>
      </c>
      <c r="R651" s="180" t="str">
        <f t="shared" si="105"/>
        <v/>
      </c>
      <c r="S651" s="218">
        <f>SUMIFS(DATA!$L:$L,DATA!$O:$O,$B654,DATA!$N:$N,$A654,DATA!$M:$M,'SALES BY SYSTEM'!$O$4)</f>
        <v>0</v>
      </c>
      <c r="T651" s="182">
        <v>0</v>
      </c>
      <c r="U651" s="180" t="str">
        <f t="shared" si="106"/>
        <v/>
      </c>
      <c r="V651" s="218">
        <f>SUMIFS(DATA!$L:$L,DATA!$O:$O,$B654,DATA!$N:$N,$A654,DATA!$M:$M,'SALES BY SYSTEM'!$O$3)</f>
        <v>0</v>
      </c>
      <c r="W651" s="168"/>
    </row>
    <row r="652" spans="1:23" ht="15.75" customHeight="1" x14ac:dyDescent="0.25">
      <c r="A652" s="178" t="s">
        <v>1935</v>
      </c>
      <c r="B652" s="178" t="s">
        <v>1755</v>
      </c>
      <c r="C652" s="178" t="str">
        <f>VLOOKUP(A652,CUSTOMER!$A:$C,3,0)</f>
        <v>SATRA_F1100DBL</v>
      </c>
      <c r="D652" s="178" t="s">
        <v>674</v>
      </c>
      <c r="E652" s="178" t="str">
        <f>VLOOKUP(A655,CUSTOMER!$A$2:$H$1094,5,0)</f>
        <v>VACANCY</v>
      </c>
      <c r="F652" s="178" t="str">
        <f>VLOOKUP(A655,CUSTOMER!$A$2:$I$1094,6,0)</f>
        <v>VACANCY</v>
      </c>
      <c r="G652" s="178" t="s">
        <v>676</v>
      </c>
      <c r="H652" s="179">
        <f t="shared" si="101"/>
        <v>0</v>
      </c>
      <c r="I652" s="180" t="str">
        <f t="shared" si="102"/>
        <v/>
      </c>
      <c r="J652" s="181">
        <f t="shared" si="103"/>
        <v>0</v>
      </c>
      <c r="K652" s="182">
        <v>0</v>
      </c>
      <c r="L652" s="180" t="str">
        <f t="shared" si="107"/>
        <v/>
      </c>
      <c r="M652" s="218">
        <f>SUMIFS(DATA!$L:$L,DATA!$O:$O,$B655,DATA!$N:$N,$A655,DATA!$M:$M,'SALES BY SYSTEM'!$O$1)</f>
        <v>0</v>
      </c>
      <c r="N652" s="182">
        <v>0</v>
      </c>
      <c r="O652" s="180" t="str">
        <f t="shared" si="104"/>
        <v/>
      </c>
      <c r="P652" s="218">
        <f>SUMIFS(DATA!$L:$L,DATA!$O:$O,$B655,DATA!$N:$N,$A655,DATA!$M:$M,'SALES BY SYSTEM'!$O$2)</f>
        <v>0</v>
      </c>
      <c r="Q652" s="182">
        <v>0</v>
      </c>
      <c r="R652" s="180" t="str">
        <f t="shared" si="105"/>
        <v/>
      </c>
      <c r="S652" s="218">
        <f>SUMIFS(DATA!$L:$L,DATA!$O:$O,$B655,DATA!$N:$N,$A655,DATA!$M:$M,'SALES BY SYSTEM'!$O$4)</f>
        <v>0</v>
      </c>
      <c r="T652" s="182">
        <v>0</v>
      </c>
      <c r="U652" s="180" t="str">
        <f t="shared" si="106"/>
        <v/>
      </c>
      <c r="V652" s="218">
        <f>SUMIFS(DATA!$L:$L,DATA!$O:$O,$B655,DATA!$N:$N,$A655,DATA!$M:$M,'SALES BY SYSTEM'!$O$3)</f>
        <v>0</v>
      </c>
      <c r="W652" s="168"/>
    </row>
    <row r="653" spans="1:23" ht="15.75" customHeight="1" x14ac:dyDescent="0.25">
      <c r="A653" s="178" t="s">
        <v>1937</v>
      </c>
      <c r="B653" s="178" t="s">
        <v>1755</v>
      </c>
      <c r="C653" s="178" t="str">
        <f>VLOOKUP(A653,CUSTOMER!$A:$C,3,0)</f>
        <v>SATRA_F1101PTH</v>
      </c>
      <c r="D653" s="178" t="s">
        <v>674</v>
      </c>
      <c r="E653" s="178" t="str">
        <f>VLOOKUP(A656,CUSTOMER!$A$2:$H$1094,5,0)</f>
        <v>VACANCY</v>
      </c>
      <c r="F653" s="178" t="str">
        <f>VLOOKUP(A656,CUSTOMER!$A$2:$I$1094,6,0)</f>
        <v>VACANCY</v>
      </c>
      <c r="G653" s="178" t="s">
        <v>676</v>
      </c>
      <c r="H653" s="179">
        <f t="shared" si="101"/>
        <v>0</v>
      </c>
      <c r="I653" s="180" t="str">
        <f t="shared" si="102"/>
        <v/>
      </c>
      <c r="J653" s="181">
        <f t="shared" si="103"/>
        <v>0</v>
      </c>
      <c r="K653" s="182">
        <v>0</v>
      </c>
      <c r="L653" s="180" t="str">
        <f t="shared" si="107"/>
        <v/>
      </c>
      <c r="M653" s="218">
        <f>SUMIFS(DATA!$L:$L,DATA!$O:$O,$B656,DATA!$N:$N,$A656,DATA!$M:$M,'SALES BY SYSTEM'!$O$1)</f>
        <v>0</v>
      </c>
      <c r="N653" s="182">
        <v>0</v>
      </c>
      <c r="O653" s="180" t="str">
        <f t="shared" si="104"/>
        <v/>
      </c>
      <c r="P653" s="218">
        <f>SUMIFS(DATA!$L:$L,DATA!$O:$O,$B656,DATA!$N:$N,$A656,DATA!$M:$M,'SALES BY SYSTEM'!$O$2)</f>
        <v>0</v>
      </c>
      <c r="Q653" s="182">
        <v>0</v>
      </c>
      <c r="R653" s="180" t="str">
        <f t="shared" si="105"/>
        <v/>
      </c>
      <c r="S653" s="218">
        <f>SUMIFS(DATA!$L:$L,DATA!$O:$O,$B656,DATA!$N:$N,$A656,DATA!$M:$M,'SALES BY SYSTEM'!$O$4)</f>
        <v>0</v>
      </c>
      <c r="T653" s="182">
        <v>0</v>
      </c>
      <c r="U653" s="180" t="str">
        <f t="shared" si="106"/>
        <v/>
      </c>
      <c r="V653" s="218">
        <f>SUMIFS(DATA!$L:$L,DATA!$O:$O,$B656,DATA!$N:$N,$A656,DATA!$M:$M,'SALES BY SYSTEM'!$O$3)</f>
        <v>0</v>
      </c>
      <c r="W653" s="168"/>
    </row>
    <row r="654" spans="1:23" ht="15.75" customHeight="1" x14ac:dyDescent="0.25">
      <c r="A654" s="178" t="s">
        <v>1939</v>
      </c>
      <c r="B654" s="178" t="s">
        <v>1755</v>
      </c>
      <c r="C654" s="178" t="str">
        <f>VLOOKUP(A654,CUSTOMER!$A:$C,3,0)</f>
        <v>SATRA_F1102PVB</v>
      </c>
      <c r="D654" s="178" t="s">
        <v>674</v>
      </c>
      <c r="E654" s="178" t="str">
        <f>VLOOKUP(A657,CUSTOMER!$A$2:$H$1094,5,0)</f>
        <v>VACANCY</v>
      </c>
      <c r="F654" s="178" t="str">
        <f>VLOOKUP(A657,CUSTOMER!$A$2:$I$1094,6,0)</f>
        <v>VACANCY</v>
      </c>
      <c r="G654" s="178" t="s">
        <v>676</v>
      </c>
      <c r="H654" s="179">
        <f t="shared" si="101"/>
        <v>0</v>
      </c>
      <c r="I654" s="180" t="str">
        <f t="shared" si="102"/>
        <v/>
      </c>
      <c r="J654" s="181">
        <f t="shared" si="103"/>
        <v>0</v>
      </c>
      <c r="K654" s="182">
        <v>0</v>
      </c>
      <c r="L654" s="180" t="str">
        <f t="shared" si="107"/>
        <v/>
      </c>
      <c r="M654" s="218">
        <f>SUMIFS(DATA!$L:$L,DATA!$O:$O,$B657,DATA!$N:$N,$A657,DATA!$M:$M,'SALES BY SYSTEM'!$O$1)</f>
        <v>0</v>
      </c>
      <c r="N654" s="182">
        <v>0</v>
      </c>
      <c r="O654" s="180" t="str">
        <f t="shared" si="104"/>
        <v/>
      </c>
      <c r="P654" s="218">
        <f>SUMIFS(DATA!$L:$L,DATA!$O:$O,$B657,DATA!$N:$N,$A657,DATA!$M:$M,'SALES BY SYSTEM'!$O$2)</f>
        <v>0</v>
      </c>
      <c r="Q654" s="182">
        <v>0</v>
      </c>
      <c r="R654" s="180" t="str">
        <f t="shared" si="105"/>
        <v/>
      </c>
      <c r="S654" s="218">
        <f>SUMIFS(DATA!$L:$L,DATA!$O:$O,$B657,DATA!$N:$N,$A657,DATA!$M:$M,'SALES BY SYSTEM'!$O$4)</f>
        <v>0</v>
      </c>
      <c r="T654" s="182">
        <v>0</v>
      </c>
      <c r="U654" s="180" t="str">
        <f t="shared" si="106"/>
        <v/>
      </c>
      <c r="V654" s="218">
        <f>SUMIFS(DATA!$L:$L,DATA!$O:$O,$B657,DATA!$N:$N,$A657,DATA!$M:$M,'SALES BY SYSTEM'!$O$3)</f>
        <v>0</v>
      </c>
      <c r="W654" s="168"/>
    </row>
    <row r="655" spans="1:23" ht="15.75" customHeight="1" x14ac:dyDescent="0.25">
      <c r="A655" s="178" t="s">
        <v>1941</v>
      </c>
      <c r="B655" s="178" t="s">
        <v>1755</v>
      </c>
      <c r="C655" s="178" t="str">
        <f>VLOOKUP(A655,CUSTOMER!$A:$C,3,0)</f>
        <v>SATRA_F1103DDH</v>
      </c>
      <c r="D655" s="178" t="s">
        <v>674</v>
      </c>
      <c r="E655" s="178" t="str">
        <f>VLOOKUP(A658,CUSTOMER!$A$2:$H$1094,5,0)</f>
        <v>VACANCY</v>
      </c>
      <c r="F655" s="178" t="str">
        <f>VLOOKUP(A658,CUSTOMER!$A$2:$I$1094,6,0)</f>
        <v>VACANCY</v>
      </c>
      <c r="G655" s="178" t="s">
        <v>676</v>
      </c>
      <c r="H655" s="179">
        <f t="shared" si="101"/>
        <v>0</v>
      </c>
      <c r="I655" s="180" t="str">
        <f t="shared" si="102"/>
        <v/>
      </c>
      <c r="J655" s="181">
        <f t="shared" si="103"/>
        <v>0</v>
      </c>
      <c r="K655" s="182">
        <v>0</v>
      </c>
      <c r="L655" s="180" t="str">
        <f t="shared" si="107"/>
        <v/>
      </c>
      <c r="M655" s="218">
        <f>SUMIFS(DATA!$L:$L,DATA!$O:$O,$B658,DATA!$N:$N,$A658,DATA!$M:$M,'SALES BY SYSTEM'!$O$1)</f>
        <v>0</v>
      </c>
      <c r="N655" s="182">
        <v>0</v>
      </c>
      <c r="O655" s="180" t="str">
        <f t="shared" si="104"/>
        <v/>
      </c>
      <c r="P655" s="218">
        <f>SUMIFS(DATA!$L:$L,DATA!$O:$O,$B658,DATA!$N:$N,$A658,DATA!$M:$M,'SALES BY SYSTEM'!$O$2)</f>
        <v>0</v>
      </c>
      <c r="Q655" s="182">
        <v>0</v>
      </c>
      <c r="R655" s="180" t="str">
        <f t="shared" si="105"/>
        <v/>
      </c>
      <c r="S655" s="218">
        <f>SUMIFS(DATA!$L:$L,DATA!$O:$O,$B658,DATA!$N:$N,$A658,DATA!$M:$M,'SALES BY SYSTEM'!$O$4)</f>
        <v>0</v>
      </c>
      <c r="T655" s="182">
        <v>0</v>
      </c>
      <c r="U655" s="180" t="str">
        <f t="shared" si="106"/>
        <v/>
      </c>
      <c r="V655" s="218">
        <f>SUMIFS(DATA!$L:$L,DATA!$O:$O,$B658,DATA!$N:$N,$A658,DATA!$M:$M,'SALES BY SYSTEM'!$O$3)</f>
        <v>0</v>
      </c>
      <c r="W655" s="168"/>
    </row>
    <row r="656" spans="1:23" ht="15.75" customHeight="1" x14ac:dyDescent="0.25">
      <c r="A656" s="178" t="s">
        <v>1943</v>
      </c>
      <c r="B656" s="178" t="s">
        <v>1755</v>
      </c>
      <c r="C656" s="178" t="str">
        <f>VLOOKUP(A656,CUSTOMER!$A:$C,3,0)</f>
        <v>SATRA_F1104DS1</v>
      </c>
      <c r="D656" s="178" t="s">
        <v>674</v>
      </c>
      <c r="E656" s="178" t="str">
        <f>VLOOKUP(A659,CUSTOMER!$A$2:$H$1094,5,0)</f>
        <v>VACANCY</v>
      </c>
      <c r="F656" s="178" t="str">
        <f>VLOOKUP(A659,CUSTOMER!$A$2:$I$1094,6,0)</f>
        <v>VACANCY</v>
      </c>
      <c r="G656" s="178" t="s">
        <v>676</v>
      </c>
      <c r="H656" s="179">
        <f t="shared" si="101"/>
        <v>0</v>
      </c>
      <c r="I656" s="180" t="str">
        <f t="shared" si="102"/>
        <v/>
      </c>
      <c r="J656" s="181">
        <f t="shared" si="103"/>
        <v>0</v>
      </c>
      <c r="K656" s="182">
        <v>0</v>
      </c>
      <c r="L656" s="180" t="str">
        <f t="shared" si="107"/>
        <v/>
      </c>
      <c r="M656" s="218">
        <f>SUMIFS(DATA!$L:$L,DATA!$O:$O,$B659,DATA!$N:$N,$A659,DATA!$M:$M,'SALES BY SYSTEM'!$O$1)</f>
        <v>0</v>
      </c>
      <c r="N656" s="182">
        <v>0</v>
      </c>
      <c r="O656" s="180" t="str">
        <f t="shared" si="104"/>
        <v/>
      </c>
      <c r="P656" s="218">
        <f>SUMIFS(DATA!$L:$L,DATA!$O:$O,$B659,DATA!$N:$N,$A659,DATA!$M:$M,'SALES BY SYSTEM'!$O$2)</f>
        <v>0</v>
      </c>
      <c r="Q656" s="182">
        <v>0</v>
      </c>
      <c r="R656" s="180" t="str">
        <f t="shared" si="105"/>
        <v/>
      </c>
      <c r="S656" s="218">
        <f>SUMIFS(DATA!$L:$L,DATA!$O:$O,$B659,DATA!$N:$N,$A659,DATA!$M:$M,'SALES BY SYSTEM'!$O$4)</f>
        <v>0</v>
      </c>
      <c r="T656" s="182">
        <v>0</v>
      </c>
      <c r="U656" s="180" t="str">
        <f t="shared" si="106"/>
        <v/>
      </c>
      <c r="V656" s="218">
        <f>SUMIFS(DATA!$L:$L,DATA!$O:$O,$B659,DATA!$N:$N,$A659,DATA!$M:$M,'SALES BY SYSTEM'!$O$3)</f>
        <v>0</v>
      </c>
      <c r="W656" s="168"/>
    </row>
    <row r="657" spans="1:23" ht="15.75" customHeight="1" x14ac:dyDescent="0.25">
      <c r="A657" s="178" t="s">
        <v>1945</v>
      </c>
      <c r="B657" s="178" t="s">
        <v>1755</v>
      </c>
      <c r="C657" s="178" t="str">
        <f>VLOOKUP(A657,CUSTOMER!$A:$C,3,0)</f>
        <v>SATRA_F1105LVQ</v>
      </c>
      <c r="D657" s="178" t="s">
        <v>674</v>
      </c>
      <c r="E657" s="178" t="str">
        <f>VLOOKUP(A660,CUSTOMER!$A$2:$H$1094,5,0)</f>
        <v>VACANCY</v>
      </c>
      <c r="F657" s="178" t="str">
        <f>VLOOKUP(A660,CUSTOMER!$A$2:$I$1094,6,0)</f>
        <v>VACANCY</v>
      </c>
      <c r="G657" s="178" t="s">
        <v>676</v>
      </c>
      <c r="H657" s="179">
        <f t="shared" si="101"/>
        <v>0</v>
      </c>
      <c r="I657" s="180" t="str">
        <f t="shared" si="102"/>
        <v/>
      </c>
      <c r="J657" s="181">
        <f t="shared" si="103"/>
        <v>0</v>
      </c>
      <c r="K657" s="182">
        <v>0</v>
      </c>
      <c r="L657" s="180" t="str">
        <f t="shared" si="107"/>
        <v/>
      </c>
      <c r="M657" s="218">
        <f>SUMIFS(DATA!$L:$L,DATA!$O:$O,$B660,DATA!$N:$N,$A660,DATA!$M:$M,'SALES BY SYSTEM'!$O$1)</f>
        <v>0</v>
      </c>
      <c r="N657" s="182">
        <v>0</v>
      </c>
      <c r="O657" s="180" t="str">
        <f t="shared" si="104"/>
        <v/>
      </c>
      <c r="P657" s="218">
        <f>SUMIFS(DATA!$L:$L,DATA!$O:$O,$B660,DATA!$N:$N,$A660,DATA!$M:$M,'SALES BY SYSTEM'!$O$2)</f>
        <v>0</v>
      </c>
      <c r="Q657" s="182">
        <v>0</v>
      </c>
      <c r="R657" s="180" t="str">
        <f t="shared" si="105"/>
        <v/>
      </c>
      <c r="S657" s="218">
        <f>SUMIFS(DATA!$L:$L,DATA!$O:$O,$B660,DATA!$N:$N,$A660,DATA!$M:$M,'SALES BY SYSTEM'!$O$4)</f>
        <v>0</v>
      </c>
      <c r="T657" s="182">
        <v>0</v>
      </c>
      <c r="U657" s="180" t="str">
        <f t="shared" si="106"/>
        <v/>
      </c>
      <c r="V657" s="218">
        <f>SUMIFS(DATA!$L:$L,DATA!$O:$O,$B660,DATA!$N:$N,$A660,DATA!$M:$M,'SALES BY SYSTEM'!$O$3)</f>
        <v>0</v>
      </c>
      <c r="W657" s="168"/>
    </row>
    <row r="658" spans="1:23" ht="15.75" customHeight="1" x14ac:dyDescent="0.25">
      <c r="A658" s="178" t="s">
        <v>1947</v>
      </c>
      <c r="B658" s="178" t="s">
        <v>1755</v>
      </c>
      <c r="C658" s="178" t="str">
        <f>VLOOKUP(A658,CUSTOMER!$A:$C,3,0)</f>
        <v>SATRA_F1106NVD</v>
      </c>
      <c r="D658" s="178" t="s">
        <v>674</v>
      </c>
      <c r="E658" s="178" t="str">
        <f>VLOOKUP(A661,CUSTOMER!$A$2:$H$1094,5,0)</f>
        <v>VACANCY</v>
      </c>
      <c r="F658" s="178" t="str">
        <f>VLOOKUP(A661,CUSTOMER!$A$2:$I$1094,6,0)</f>
        <v>VACANCY</v>
      </c>
      <c r="G658" s="178" t="s">
        <v>676</v>
      </c>
      <c r="H658" s="179">
        <f t="shared" si="101"/>
        <v>0</v>
      </c>
      <c r="I658" s="180" t="str">
        <f t="shared" si="102"/>
        <v/>
      </c>
      <c r="J658" s="181">
        <f t="shared" si="103"/>
        <v>0</v>
      </c>
      <c r="K658" s="182">
        <v>0</v>
      </c>
      <c r="L658" s="180" t="str">
        <f t="shared" si="107"/>
        <v/>
      </c>
      <c r="M658" s="218">
        <f>SUMIFS(DATA!$L:$L,DATA!$O:$O,$B661,DATA!$N:$N,$A661,DATA!$M:$M,'SALES BY SYSTEM'!$O$1)</f>
        <v>0</v>
      </c>
      <c r="N658" s="182">
        <v>0</v>
      </c>
      <c r="O658" s="180" t="str">
        <f t="shared" si="104"/>
        <v/>
      </c>
      <c r="P658" s="218">
        <f>SUMIFS(DATA!$L:$L,DATA!$O:$O,$B661,DATA!$N:$N,$A661,DATA!$M:$M,'SALES BY SYSTEM'!$O$2)</f>
        <v>0</v>
      </c>
      <c r="Q658" s="182">
        <v>0</v>
      </c>
      <c r="R658" s="180" t="str">
        <f t="shared" si="105"/>
        <v/>
      </c>
      <c r="S658" s="218">
        <f>SUMIFS(DATA!$L:$L,DATA!$O:$O,$B661,DATA!$N:$N,$A661,DATA!$M:$M,'SALES BY SYSTEM'!$O$4)</f>
        <v>0</v>
      </c>
      <c r="T658" s="182">
        <v>0</v>
      </c>
      <c r="U658" s="180" t="str">
        <f t="shared" si="106"/>
        <v/>
      </c>
      <c r="V658" s="218">
        <f>SUMIFS(DATA!$L:$L,DATA!$O:$O,$B661,DATA!$N:$N,$A661,DATA!$M:$M,'SALES BY SYSTEM'!$O$3)</f>
        <v>0</v>
      </c>
      <c r="W658" s="168"/>
    </row>
    <row r="659" spans="1:23" ht="15.75" customHeight="1" x14ac:dyDescent="0.25">
      <c r="A659" s="178" t="s">
        <v>1949</v>
      </c>
      <c r="B659" s="178" t="s">
        <v>1755</v>
      </c>
      <c r="C659" s="178" t="str">
        <f>VLOOKUP(A659,CUSTOMER!$A:$C,3,0)</f>
        <v>SATRA_F1107PL</v>
      </c>
      <c r="D659" s="178" t="s">
        <v>674</v>
      </c>
      <c r="E659" s="178" t="str">
        <f>VLOOKUP(A662,CUSTOMER!$A$2:$H$1094,5,0)</f>
        <v>VACANCY</v>
      </c>
      <c r="F659" s="178" t="str">
        <f>VLOOKUP(A662,CUSTOMER!$A$2:$I$1094,6,0)</f>
        <v>VACANCY</v>
      </c>
      <c r="G659" s="178" t="s">
        <v>676</v>
      </c>
      <c r="H659" s="179">
        <f t="shared" si="101"/>
        <v>0</v>
      </c>
      <c r="I659" s="180" t="str">
        <f t="shared" si="102"/>
        <v/>
      </c>
      <c r="J659" s="181">
        <f t="shared" si="103"/>
        <v>0</v>
      </c>
      <c r="K659" s="182">
        <v>0</v>
      </c>
      <c r="L659" s="180" t="str">
        <f t="shared" si="107"/>
        <v/>
      </c>
      <c r="M659" s="218">
        <f>SUMIFS(DATA!$L:$L,DATA!$O:$O,$B662,DATA!$N:$N,$A662,DATA!$M:$M,'SALES BY SYSTEM'!$O$1)</f>
        <v>0</v>
      </c>
      <c r="N659" s="182">
        <v>0</v>
      </c>
      <c r="O659" s="180" t="str">
        <f t="shared" si="104"/>
        <v/>
      </c>
      <c r="P659" s="218">
        <f>SUMIFS(DATA!$L:$L,DATA!$O:$O,$B662,DATA!$N:$N,$A662,DATA!$M:$M,'SALES BY SYSTEM'!$O$2)</f>
        <v>0</v>
      </c>
      <c r="Q659" s="182">
        <v>0</v>
      </c>
      <c r="R659" s="180" t="str">
        <f t="shared" si="105"/>
        <v/>
      </c>
      <c r="S659" s="218">
        <f>SUMIFS(DATA!$L:$L,DATA!$O:$O,$B662,DATA!$N:$N,$A662,DATA!$M:$M,'SALES BY SYSTEM'!$O$4)</f>
        <v>0</v>
      </c>
      <c r="T659" s="182">
        <v>0</v>
      </c>
      <c r="U659" s="180" t="str">
        <f t="shared" si="106"/>
        <v/>
      </c>
      <c r="V659" s="218">
        <f>SUMIFS(DATA!$L:$L,DATA!$O:$O,$B662,DATA!$N:$N,$A662,DATA!$M:$M,'SALES BY SYSTEM'!$O$3)</f>
        <v>0</v>
      </c>
      <c r="W659" s="168"/>
    </row>
    <row r="660" spans="1:23" ht="15.75" customHeight="1" x14ac:dyDescent="0.25">
      <c r="A660" s="178" t="s">
        <v>1951</v>
      </c>
      <c r="B660" s="178" t="s">
        <v>1755</v>
      </c>
      <c r="C660" s="178" t="str">
        <f>VLOOKUP(A660,CUSTOMER!$A:$C,3,0)</f>
        <v>SATRA_F1108NTD</v>
      </c>
      <c r="D660" s="178" t="s">
        <v>674</v>
      </c>
      <c r="E660" s="178" t="str">
        <f>VLOOKUP(A663,CUSTOMER!$A$2:$H$1094,5,0)</f>
        <v>VACANCY</v>
      </c>
      <c r="F660" s="178" t="str">
        <f>VLOOKUP(A663,CUSTOMER!$A$2:$I$1094,6,0)</f>
        <v>VACANCY</v>
      </c>
      <c r="G660" s="178" t="s">
        <v>676</v>
      </c>
      <c r="H660" s="179">
        <f t="shared" si="101"/>
        <v>0</v>
      </c>
      <c r="I660" s="180" t="str">
        <f t="shared" si="102"/>
        <v/>
      </c>
      <c r="J660" s="181">
        <f t="shared" si="103"/>
        <v>0</v>
      </c>
      <c r="K660" s="182">
        <v>0</v>
      </c>
      <c r="L660" s="180" t="str">
        <f t="shared" si="107"/>
        <v/>
      </c>
      <c r="M660" s="218">
        <f>SUMIFS(DATA!$L:$L,DATA!$O:$O,$B663,DATA!$N:$N,$A663,DATA!$M:$M,'SALES BY SYSTEM'!$O$1)</f>
        <v>0</v>
      </c>
      <c r="N660" s="182">
        <v>0</v>
      </c>
      <c r="O660" s="180" t="str">
        <f t="shared" si="104"/>
        <v/>
      </c>
      <c r="P660" s="218">
        <f>SUMIFS(DATA!$L:$L,DATA!$O:$O,$B663,DATA!$N:$N,$A663,DATA!$M:$M,'SALES BY SYSTEM'!$O$2)</f>
        <v>0</v>
      </c>
      <c r="Q660" s="182">
        <v>0</v>
      </c>
      <c r="R660" s="180" t="str">
        <f t="shared" si="105"/>
        <v/>
      </c>
      <c r="S660" s="218">
        <f>SUMIFS(DATA!$L:$L,DATA!$O:$O,$B663,DATA!$N:$N,$A663,DATA!$M:$M,'SALES BY SYSTEM'!$O$4)</f>
        <v>0</v>
      </c>
      <c r="T660" s="182">
        <v>0</v>
      </c>
      <c r="U660" s="180" t="str">
        <f t="shared" si="106"/>
        <v/>
      </c>
      <c r="V660" s="218">
        <f>SUMIFS(DATA!$L:$L,DATA!$O:$O,$B663,DATA!$N:$N,$A663,DATA!$M:$M,'SALES BY SYSTEM'!$O$3)</f>
        <v>0</v>
      </c>
      <c r="W660" s="168"/>
    </row>
    <row r="661" spans="1:23" ht="15.75" customHeight="1" x14ac:dyDescent="0.25">
      <c r="A661" s="178" t="s">
        <v>1953</v>
      </c>
      <c r="B661" s="178" t="s">
        <v>1755</v>
      </c>
      <c r="C661" s="178" t="str">
        <f>VLOOKUP(A661,CUSTOMER!$A:$C,3,0)</f>
        <v>SATRA_F1109NTH</v>
      </c>
      <c r="D661" s="178" t="s">
        <v>674</v>
      </c>
      <c r="E661" s="178" t="str">
        <f>VLOOKUP(A664,CUSTOMER!$A$2:$H$1094,5,0)</f>
        <v>VACANCY</v>
      </c>
      <c r="F661" s="178" t="str">
        <f>VLOOKUP(A664,CUSTOMER!$A$2:$I$1094,6,0)</f>
        <v>VACANCY</v>
      </c>
      <c r="G661" s="178" t="s">
        <v>676</v>
      </c>
      <c r="H661" s="179">
        <f t="shared" si="101"/>
        <v>0</v>
      </c>
      <c r="I661" s="180" t="str">
        <f t="shared" si="102"/>
        <v/>
      </c>
      <c r="J661" s="181">
        <f t="shared" si="103"/>
        <v>0</v>
      </c>
      <c r="K661" s="182">
        <v>0</v>
      </c>
      <c r="L661" s="180" t="str">
        <f t="shared" si="107"/>
        <v/>
      </c>
      <c r="M661" s="218">
        <f>SUMIFS(DATA!$L:$L,DATA!$O:$O,$B664,DATA!$N:$N,$A664,DATA!$M:$M,'SALES BY SYSTEM'!$O$1)</f>
        <v>0</v>
      </c>
      <c r="N661" s="182">
        <v>0</v>
      </c>
      <c r="O661" s="180" t="str">
        <f t="shared" si="104"/>
        <v/>
      </c>
      <c r="P661" s="218">
        <f>SUMIFS(DATA!$L:$L,DATA!$O:$O,$B664,DATA!$N:$N,$A664,DATA!$M:$M,'SALES BY SYSTEM'!$O$2)</f>
        <v>0</v>
      </c>
      <c r="Q661" s="182">
        <v>0</v>
      </c>
      <c r="R661" s="180" t="str">
        <f t="shared" si="105"/>
        <v/>
      </c>
      <c r="S661" s="218">
        <f>SUMIFS(DATA!$L:$L,DATA!$O:$O,$B664,DATA!$N:$N,$A664,DATA!$M:$M,'SALES BY SYSTEM'!$O$4)</f>
        <v>0</v>
      </c>
      <c r="T661" s="182">
        <v>0</v>
      </c>
      <c r="U661" s="180" t="str">
        <f t="shared" si="106"/>
        <v/>
      </c>
      <c r="V661" s="218">
        <f>SUMIFS(DATA!$L:$L,DATA!$O:$O,$B664,DATA!$N:$N,$A664,DATA!$M:$M,'SALES BY SYSTEM'!$O$3)</f>
        <v>0</v>
      </c>
      <c r="W661" s="168"/>
    </row>
    <row r="662" spans="1:23" ht="15.75" customHeight="1" x14ac:dyDescent="0.25">
      <c r="A662" s="178" t="s">
        <v>1955</v>
      </c>
      <c r="B662" s="178" t="s">
        <v>1755</v>
      </c>
      <c r="C662" s="178" t="str">
        <f>VLOOKUP(A662,CUSTOMER!$A:$C,3,0)</f>
        <v>SATRA_F1110NXK</v>
      </c>
      <c r="D662" s="178" t="s">
        <v>674</v>
      </c>
      <c r="E662" s="178" t="str">
        <f>VLOOKUP(A665,CUSTOMER!$A$2:$H$1094,5,0)</f>
        <v>VACANCY</v>
      </c>
      <c r="F662" s="178" t="str">
        <f>VLOOKUP(A665,CUSTOMER!$A$2:$I$1094,6,0)</f>
        <v>VACANCY</v>
      </c>
      <c r="G662" s="178" t="s">
        <v>676</v>
      </c>
      <c r="H662" s="179">
        <f t="shared" si="101"/>
        <v>0</v>
      </c>
      <c r="I662" s="180" t="str">
        <f t="shared" si="102"/>
        <v/>
      </c>
      <c r="J662" s="181">
        <f t="shared" si="103"/>
        <v>0</v>
      </c>
      <c r="K662" s="182">
        <v>0</v>
      </c>
      <c r="L662" s="180" t="str">
        <f t="shared" si="107"/>
        <v/>
      </c>
      <c r="M662" s="218">
        <f>SUMIFS(DATA!$L:$L,DATA!$O:$O,$B665,DATA!$N:$N,$A665,DATA!$M:$M,'SALES BY SYSTEM'!$O$1)</f>
        <v>0</v>
      </c>
      <c r="N662" s="182">
        <v>0</v>
      </c>
      <c r="O662" s="180" t="str">
        <f t="shared" si="104"/>
        <v/>
      </c>
      <c r="P662" s="218">
        <f>SUMIFS(DATA!$L:$L,DATA!$O:$O,$B665,DATA!$N:$N,$A665,DATA!$M:$M,'SALES BY SYSTEM'!$O$2)</f>
        <v>0</v>
      </c>
      <c r="Q662" s="182">
        <v>0</v>
      </c>
      <c r="R662" s="180" t="str">
        <f t="shared" si="105"/>
        <v/>
      </c>
      <c r="S662" s="218">
        <f>SUMIFS(DATA!$L:$L,DATA!$O:$O,$B665,DATA!$N:$N,$A665,DATA!$M:$M,'SALES BY SYSTEM'!$O$4)</f>
        <v>0</v>
      </c>
      <c r="T662" s="182">
        <v>0</v>
      </c>
      <c r="U662" s="180" t="str">
        <f t="shared" si="106"/>
        <v/>
      </c>
      <c r="V662" s="218">
        <f>SUMIFS(DATA!$L:$L,DATA!$O:$O,$B665,DATA!$N:$N,$A665,DATA!$M:$M,'SALES BY SYSTEM'!$O$3)</f>
        <v>0</v>
      </c>
      <c r="W662" s="168"/>
    </row>
    <row r="663" spans="1:23" ht="15.75" customHeight="1" x14ac:dyDescent="0.25">
      <c r="A663" s="178" t="s">
        <v>1957</v>
      </c>
      <c r="B663" s="178" t="s">
        <v>1755</v>
      </c>
      <c r="C663" s="178" t="str">
        <f>VLOOKUP(A663,CUSTOMER!$A:$C,3,0)</f>
        <v>SATRA_F1111QL50</v>
      </c>
      <c r="D663" s="178" t="s">
        <v>674</v>
      </c>
      <c r="E663" s="178" t="str">
        <f>VLOOKUP(A666,CUSTOMER!$A$2:$H$1094,5,0)</f>
        <v>VACANCY</v>
      </c>
      <c r="F663" s="178" t="str">
        <f>VLOOKUP(A666,CUSTOMER!$A$2:$I$1094,6,0)</f>
        <v>VACANCY</v>
      </c>
      <c r="G663" s="178" t="s">
        <v>676</v>
      </c>
      <c r="H663" s="179">
        <f t="shared" si="101"/>
        <v>0</v>
      </c>
      <c r="I663" s="180" t="str">
        <f t="shared" si="102"/>
        <v/>
      </c>
      <c r="J663" s="181">
        <f t="shared" si="103"/>
        <v>0</v>
      </c>
      <c r="K663" s="182">
        <v>0</v>
      </c>
      <c r="L663" s="180" t="str">
        <f t="shared" si="107"/>
        <v/>
      </c>
      <c r="M663" s="218">
        <f>SUMIFS(DATA!$L:$L,DATA!$O:$O,$B666,DATA!$N:$N,$A666,DATA!$M:$M,'SALES BY SYSTEM'!$O$1)</f>
        <v>0</v>
      </c>
      <c r="N663" s="182">
        <v>0</v>
      </c>
      <c r="O663" s="180" t="str">
        <f t="shared" si="104"/>
        <v/>
      </c>
      <c r="P663" s="218">
        <f>SUMIFS(DATA!$L:$L,DATA!$O:$O,$B666,DATA!$N:$N,$A666,DATA!$M:$M,'SALES BY SYSTEM'!$O$2)</f>
        <v>0</v>
      </c>
      <c r="Q663" s="182">
        <v>0</v>
      </c>
      <c r="R663" s="180" t="str">
        <f t="shared" si="105"/>
        <v/>
      </c>
      <c r="S663" s="218">
        <f>SUMIFS(DATA!$L:$L,DATA!$O:$O,$B666,DATA!$N:$N,$A666,DATA!$M:$M,'SALES BY SYSTEM'!$O$4)</f>
        <v>0</v>
      </c>
      <c r="T663" s="182">
        <v>0</v>
      </c>
      <c r="U663" s="180" t="str">
        <f t="shared" si="106"/>
        <v/>
      </c>
      <c r="V663" s="218">
        <f>SUMIFS(DATA!$L:$L,DATA!$O:$O,$B666,DATA!$N:$N,$A666,DATA!$M:$M,'SALES BY SYSTEM'!$O$3)</f>
        <v>0</v>
      </c>
      <c r="W663" s="168"/>
    </row>
    <row r="664" spans="1:23" ht="15.75" customHeight="1" x14ac:dyDescent="0.25">
      <c r="A664" s="178" t="s">
        <v>1959</v>
      </c>
      <c r="B664" s="178" t="s">
        <v>1755</v>
      </c>
      <c r="C664" s="178" t="str">
        <f>VLOOKUP(A664,CUSTOMER!$A:$C,3,0)</f>
        <v>SATRA_F1112NTK</v>
      </c>
      <c r="D664" s="178" t="s">
        <v>674</v>
      </c>
      <c r="E664" s="178" t="str">
        <f>VLOOKUP(A667,CUSTOMER!$A$2:$H$1094,5,0)</f>
        <v>VACANCY</v>
      </c>
      <c r="F664" s="178" t="str">
        <f>VLOOKUP(A667,CUSTOMER!$A$2:$I$1094,6,0)</f>
        <v>VACANCY</v>
      </c>
      <c r="G664" s="178" t="s">
        <v>676</v>
      </c>
      <c r="H664" s="179">
        <f t="shared" si="101"/>
        <v>0</v>
      </c>
      <c r="I664" s="180" t="str">
        <f t="shared" si="102"/>
        <v/>
      </c>
      <c r="J664" s="181">
        <f t="shared" si="103"/>
        <v>0</v>
      </c>
      <c r="K664" s="182">
        <v>0</v>
      </c>
      <c r="L664" s="180" t="str">
        <f t="shared" si="107"/>
        <v/>
      </c>
      <c r="M664" s="218">
        <f>SUMIFS(DATA!$L:$L,DATA!$O:$O,$B667,DATA!$N:$N,$A667,DATA!$M:$M,'SALES BY SYSTEM'!$O$1)</f>
        <v>0</v>
      </c>
      <c r="N664" s="182">
        <v>0</v>
      </c>
      <c r="O664" s="180" t="str">
        <f t="shared" si="104"/>
        <v/>
      </c>
      <c r="P664" s="218">
        <f>SUMIFS(DATA!$L:$L,DATA!$O:$O,$B667,DATA!$N:$N,$A667,DATA!$M:$M,'SALES BY SYSTEM'!$O$2)</f>
        <v>0</v>
      </c>
      <c r="Q664" s="182">
        <v>0</v>
      </c>
      <c r="R664" s="180" t="str">
        <f t="shared" si="105"/>
        <v/>
      </c>
      <c r="S664" s="218">
        <f>SUMIFS(DATA!$L:$L,DATA!$O:$O,$B667,DATA!$N:$N,$A667,DATA!$M:$M,'SALES BY SYSTEM'!$O$4)</f>
        <v>0</v>
      </c>
      <c r="T664" s="182">
        <v>0</v>
      </c>
      <c r="U664" s="180" t="str">
        <f t="shared" si="106"/>
        <v/>
      </c>
      <c r="V664" s="218">
        <f>SUMIFS(DATA!$L:$L,DATA!$O:$O,$B667,DATA!$N:$N,$A667,DATA!$M:$M,'SALES BY SYSTEM'!$O$3)</f>
        <v>0</v>
      </c>
      <c r="W664" s="168"/>
    </row>
    <row r="665" spans="1:23" ht="15.75" customHeight="1" x14ac:dyDescent="0.25">
      <c r="A665" s="178" t="s">
        <v>1961</v>
      </c>
      <c r="B665" s="178" t="s">
        <v>1755</v>
      </c>
      <c r="C665" s="178" t="str">
        <f>VLOOKUP(A665,CUSTOMER!$A:$C,3,0)</f>
        <v>SATRA_F1113PVC</v>
      </c>
      <c r="D665" s="178" t="s">
        <v>674</v>
      </c>
      <c r="E665" s="178" t="str">
        <f>VLOOKUP(A668,CUSTOMER!$A$2:$H$1094,5,0)</f>
        <v>VACANCY</v>
      </c>
      <c r="F665" s="178" t="str">
        <f>VLOOKUP(A668,CUSTOMER!$A$2:$I$1094,6,0)</f>
        <v>VACANCY</v>
      </c>
      <c r="G665" s="178" t="s">
        <v>676</v>
      </c>
      <c r="H665" s="179">
        <f t="shared" si="101"/>
        <v>0</v>
      </c>
      <c r="I665" s="180" t="str">
        <f t="shared" si="102"/>
        <v/>
      </c>
      <c r="J665" s="181">
        <f t="shared" si="103"/>
        <v>0</v>
      </c>
      <c r="K665" s="182">
        <v>0</v>
      </c>
      <c r="L665" s="180" t="str">
        <f t="shared" si="107"/>
        <v/>
      </c>
      <c r="M665" s="218">
        <f>SUMIFS(DATA!$L:$L,DATA!$O:$O,$B668,DATA!$N:$N,$A668,DATA!$M:$M,'SALES BY SYSTEM'!$O$1)</f>
        <v>0</v>
      </c>
      <c r="N665" s="182">
        <v>0</v>
      </c>
      <c r="O665" s="180" t="str">
        <f t="shared" si="104"/>
        <v/>
      </c>
      <c r="P665" s="218">
        <f>SUMIFS(DATA!$L:$L,DATA!$O:$O,$B668,DATA!$N:$N,$A668,DATA!$M:$M,'SALES BY SYSTEM'!$O$2)</f>
        <v>0</v>
      </c>
      <c r="Q665" s="182">
        <v>0</v>
      </c>
      <c r="R665" s="180" t="str">
        <f t="shared" si="105"/>
        <v/>
      </c>
      <c r="S665" s="218">
        <f>SUMIFS(DATA!$L:$L,DATA!$O:$O,$B668,DATA!$N:$N,$A668,DATA!$M:$M,'SALES BY SYSTEM'!$O$4)</f>
        <v>0</v>
      </c>
      <c r="T665" s="182">
        <v>0</v>
      </c>
      <c r="U665" s="180" t="str">
        <f t="shared" si="106"/>
        <v/>
      </c>
      <c r="V665" s="218">
        <f>SUMIFS(DATA!$L:$L,DATA!$O:$O,$B668,DATA!$N:$N,$A668,DATA!$M:$M,'SALES BY SYSTEM'!$O$3)</f>
        <v>0</v>
      </c>
      <c r="W665" s="168"/>
    </row>
    <row r="666" spans="1:23" ht="15.75" customHeight="1" x14ac:dyDescent="0.25">
      <c r="A666" s="178" t="s">
        <v>1963</v>
      </c>
      <c r="B666" s="178" t="s">
        <v>1755</v>
      </c>
      <c r="C666" s="178" t="str">
        <f>VLOOKUP(A666,CUSTOMER!$A:$C,3,0)</f>
        <v>SATRA_F1114LTH</v>
      </c>
      <c r="D666" s="178" t="s">
        <v>674</v>
      </c>
      <c r="E666" s="178" t="str">
        <f>VLOOKUP(A669,CUSTOMER!$A$2:$H$1094,5,0)</f>
        <v>VACANCY</v>
      </c>
      <c r="F666" s="178" t="str">
        <f>VLOOKUP(A669,CUSTOMER!$A$2:$I$1094,6,0)</f>
        <v>VACANCY</v>
      </c>
      <c r="G666" s="178" t="s">
        <v>676</v>
      </c>
      <c r="H666" s="179">
        <f t="shared" si="101"/>
        <v>0</v>
      </c>
      <c r="I666" s="180" t="str">
        <f t="shared" si="102"/>
        <v/>
      </c>
      <c r="J666" s="181">
        <f t="shared" si="103"/>
        <v>0</v>
      </c>
      <c r="K666" s="182">
        <v>0</v>
      </c>
      <c r="L666" s="180" t="str">
        <f t="shared" si="107"/>
        <v/>
      </c>
      <c r="M666" s="218">
        <f>SUMIFS(DATA!$L:$L,DATA!$O:$O,$B669,DATA!$N:$N,$A669,DATA!$M:$M,'SALES BY SYSTEM'!$O$1)</f>
        <v>0</v>
      </c>
      <c r="N666" s="182">
        <v>0</v>
      </c>
      <c r="O666" s="180" t="str">
        <f t="shared" si="104"/>
        <v/>
      </c>
      <c r="P666" s="218">
        <f>SUMIFS(DATA!$L:$L,DATA!$O:$O,$B669,DATA!$N:$N,$A669,DATA!$M:$M,'SALES BY SYSTEM'!$O$2)</f>
        <v>0</v>
      </c>
      <c r="Q666" s="182">
        <v>0</v>
      </c>
      <c r="R666" s="180" t="str">
        <f t="shared" si="105"/>
        <v/>
      </c>
      <c r="S666" s="218">
        <f>SUMIFS(DATA!$L:$L,DATA!$O:$O,$B669,DATA!$N:$N,$A669,DATA!$M:$M,'SALES BY SYSTEM'!$O$4)</f>
        <v>0</v>
      </c>
      <c r="T666" s="182">
        <v>0</v>
      </c>
      <c r="U666" s="180" t="str">
        <f t="shared" si="106"/>
        <v/>
      </c>
      <c r="V666" s="218">
        <f>SUMIFS(DATA!$L:$L,DATA!$O:$O,$B669,DATA!$N:$N,$A669,DATA!$M:$M,'SALES BY SYSTEM'!$O$3)</f>
        <v>0</v>
      </c>
      <c r="W666" s="168"/>
    </row>
    <row r="667" spans="1:23" ht="15.75" customHeight="1" x14ac:dyDescent="0.25">
      <c r="A667" s="178" t="s">
        <v>1965</v>
      </c>
      <c r="B667" s="178" t="s">
        <v>1755</v>
      </c>
      <c r="C667" s="178" t="str">
        <f>VLOOKUP(A667,CUSTOMER!$A:$C,3,0)</f>
        <v>SATRA_F1116DTV</v>
      </c>
      <c r="D667" s="178" t="s">
        <v>674</v>
      </c>
      <c r="E667" s="178" t="str">
        <f>VLOOKUP(A670,CUSTOMER!$A$2:$H$1094,5,0)</f>
        <v>VACANCY</v>
      </c>
      <c r="F667" s="178" t="str">
        <f>VLOOKUP(A670,CUSTOMER!$A$2:$I$1094,6,0)</f>
        <v>VACANCY</v>
      </c>
      <c r="G667" s="178" t="s">
        <v>676</v>
      </c>
      <c r="H667" s="179">
        <f t="shared" ref="H667:H730" si="108">SUM(K667,N667,Q667,T667)</f>
        <v>0</v>
      </c>
      <c r="I667" s="180" t="str">
        <f t="shared" ref="I667:I730" si="109">IFERROR(J667/H667,"")</f>
        <v/>
      </c>
      <c r="J667" s="181">
        <f t="shared" ref="J667:J730" si="110">SUM(M667,P667,S667,V667)</f>
        <v>0</v>
      </c>
      <c r="K667" s="182">
        <v>0</v>
      </c>
      <c r="L667" s="180" t="str">
        <f t="shared" si="107"/>
        <v/>
      </c>
      <c r="M667" s="218">
        <f>SUMIFS(DATA!$L:$L,DATA!$O:$O,$B670,DATA!$N:$N,$A670,DATA!$M:$M,'SALES BY SYSTEM'!$O$1)</f>
        <v>0</v>
      </c>
      <c r="N667" s="182">
        <v>0</v>
      </c>
      <c r="O667" s="180" t="str">
        <f t="shared" si="104"/>
        <v/>
      </c>
      <c r="P667" s="218">
        <f>SUMIFS(DATA!$L:$L,DATA!$O:$O,$B670,DATA!$N:$N,$A670,DATA!$M:$M,'SALES BY SYSTEM'!$O$2)</f>
        <v>0</v>
      </c>
      <c r="Q667" s="182">
        <v>0</v>
      </c>
      <c r="R667" s="180" t="str">
        <f t="shared" si="105"/>
        <v/>
      </c>
      <c r="S667" s="218">
        <f>SUMIFS(DATA!$L:$L,DATA!$O:$O,$B670,DATA!$N:$N,$A670,DATA!$M:$M,'SALES BY SYSTEM'!$O$4)</f>
        <v>0</v>
      </c>
      <c r="T667" s="182">
        <v>0</v>
      </c>
      <c r="U667" s="180" t="str">
        <f t="shared" si="106"/>
        <v/>
      </c>
      <c r="V667" s="218">
        <f>SUMIFS(DATA!$L:$L,DATA!$O:$O,$B670,DATA!$N:$N,$A670,DATA!$M:$M,'SALES BY SYSTEM'!$O$3)</f>
        <v>0</v>
      </c>
      <c r="W667" s="168"/>
    </row>
    <row r="668" spans="1:23" ht="15.75" customHeight="1" x14ac:dyDescent="0.25">
      <c r="A668" s="178" t="s">
        <v>1967</v>
      </c>
      <c r="B668" s="178" t="s">
        <v>1755</v>
      </c>
      <c r="C668" s="178" t="str">
        <f>VLOOKUP(A668,CUSTOMER!$A:$C,3,0)</f>
        <v>SATRA_F1117NVK</v>
      </c>
      <c r="D668" s="178" t="s">
        <v>674</v>
      </c>
      <c r="E668" s="178" t="str">
        <f>VLOOKUP(A671,CUSTOMER!$A$2:$H$1094,5,0)</f>
        <v>VACANCY</v>
      </c>
      <c r="F668" s="178" t="str">
        <f>VLOOKUP(A671,CUSTOMER!$A$2:$I$1094,6,0)</f>
        <v>VACANCY</v>
      </c>
      <c r="G668" s="178" t="s">
        <v>676</v>
      </c>
      <c r="H668" s="179">
        <f t="shared" si="108"/>
        <v>0</v>
      </c>
      <c r="I668" s="180" t="str">
        <f t="shared" si="109"/>
        <v/>
      </c>
      <c r="J668" s="181">
        <f t="shared" si="110"/>
        <v>0</v>
      </c>
      <c r="K668" s="182">
        <v>0</v>
      </c>
      <c r="L668" s="180" t="str">
        <f t="shared" si="107"/>
        <v/>
      </c>
      <c r="M668" s="218">
        <f>SUMIFS(DATA!$L:$L,DATA!$O:$O,$B671,DATA!$N:$N,$A671,DATA!$M:$M,'SALES BY SYSTEM'!$O$1)</f>
        <v>0</v>
      </c>
      <c r="N668" s="182">
        <v>0</v>
      </c>
      <c r="O668" s="180" t="str">
        <f t="shared" si="104"/>
        <v/>
      </c>
      <c r="P668" s="218">
        <f>SUMIFS(DATA!$L:$L,DATA!$O:$O,$B671,DATA!$N:$N,$A671,DATA!$M:$M,'SALES BY SYSTEM'!$O$2)</f>
        <v>0</v>
      </c>
      <c r="Q668" s="182">
        <v>0</v>
      </c>
      <c r="R668" s="180" t="str">
        <f t="shared" si="105"/>
        <v/>
      </c>
      <c r="S668" s="218">
        <f>SUMIFS(DATA!$L:$L,DATA!$O:$O,$B671,DATA!$N:$N,$A671,DATA!$M:$M,'SALES BY SYSTEM'!$O$4)</f>
        <v>0</v>
      </c>
      <c r="T668" s="182">
        <v>0</v>
      </c>
      <c r="U668" s="180" t="str">
        <f t="shared" si="106"/>
        <v/>
      </c>
      <c r="V668" s="218">
        <f>SUMIFS(DATA!$L:$L,DATA!$O:$O,$B671,DATA!$N:$N,$A671,DATA!$M:$M,'SALES BY SYSTEM'!$O$3)</f>
        <v>0</v>
      </c>
      <c r="W668" s="168"/>
    </row>
    <row r="669" spans="1:23" ht="15.75" customHeight="1" x14ac:dyDescent="0.25">
      <c r="A669" s="178" t="s">
        <v>1969</v>
      </c>
      <c r="B669" s="178" t="s">
        <v>1755</v>
      </c>
      <c r="C669" s="178" t="str">
        <f>VLOOKUP(A669,CUSTOMER!$A:$C,3,0)</f>
        <v>SATRA_F1118NTT</v>
      </c>
      <c r="D669" s="178" t="s">
        <v>674</v>
      </c>
      <c r="E669" s="178" t="str">
        <f>VLOOKUP(A672,CUSTOMER!$A$2:$H$1094,5,0)</f>
        <v>VACANCY</v>
      </c>
      <c r="F669" s="178" t="str">
        <f>VLOOKUP(A672,CUSTOMER!$A$2:$I$1094,6,0)</f>
        <v>VACANCY</v>
      </c>
      <c r="G669" s="178" t="s">
        <v>676</v>
      </c>
      <c r="H669" s="179">
        <f t="shared" si="108"/>
        <v>0</v>
      </c>
      <c r="I669" s="180" t="str">
        <f t="shared" si="109"/>
        <v/>
      </c>
      <c r="J669" s="181">
        <f t="shared" si="110"/>
        <v>0</v>
      </c>
      <c r="K669" s="182">
        <v>0</v>
      </c>
      <c r="L669" s="180" t="str">
        <f t="shared" si="107"/>
        <v/>
      </c>
      <c r="M669" s="218">
        <f>SUMIFS(DATA!$L:$L,DATA!$O:$O,$B672,DATA!$N:$N,$A672,DATA!$M:$M,'SALES BY SYSTEM'!$O$1)</f>
        <v>0</v>
      </c>
      <c r="N669" s="182">
        <v>0</v>
      </c>
      <c r="O669" s="180" t="str">
        <f t="shared" si="104"/>
        <v/>
      </c>
      <c r="P669" s="218">
        <f>SUMIFS(DATA!$L:$L,DATA!$O:$O,$B672,DATA!$N:$N,$A672,DATA!$M:$M,'SALES BY SYSTEM'!$O$2)</f>
        <v>0</v>
      </c>
      <c r="Q669" s="182">
        <v>0</v>
      </c>
      <c r="R669" s="180" t="str">
        <f t="shared" si="105"/>
        <v/>
      </c>
      <c r="S669" s="218">
        <f>SUMIFS(DATA!$L:$L,DATA!$O:$O,$B672,DATA!$N:$N,$A672,DATA!$M:$M,'SALES BY SYSTEM'!$O$4)</f>
        <v>0</v>
      </c>
      <c r="T669" s="182">
        <v>0</v>
      </c>
      <c r="U669" s="180" t="str">
        <f t="shared" si="106"/>
        <v/>
      </c>
      <c r="V669" s="218">
        <f>SUMIFS(DATA!$L:$L,DATA!$O:$O,$B672,DATA!$N:$N,$A672,DATA!$M:$M,'SALES BY SYSTEM'!$O$3)</f>
        <v>0</v>
      </c>
      <c r="W669" s="168"/>
    </row>
    <row r="670" spans="1:23" ht="15.75" customHeight="1" x14ac:dyDescent="0.25">
      <c r="A670" s="178" t="s">
        <v>1971</v>
      </c>
      <c r="B670" s="178" t="s">
        <v>1755</v>
      </c>
      <c r="C670" s="178" t="str">
        <f>VLOOKUP(A670,CUSTOMER!$A:$C,3,0)</f>
        <v>SATRA_F1119TTC</v>
      </c>
      <c r="D670" s="178" t="s">
        <v>674</v>
      </c>
      <c r="E670" s="178" t="str">
        <f>VLOOKUP(A673,CUSTOMER!$A$2:$H$1094,5,0)</f>
        <v>VACANCY</v>
      </c>
      <c r="F670" s="178" t="str">
        <f>VLOOKUP(A673,CUSTOMER!$A$2:$I$1094,6,0)</f>
        <v>VACANCY</v>
      </c>
      <c r="G670" s="178" t="s">
        <v>676</v>
      </c>
      <c r="H670" s="179">
        <f t="shared" si="108"/>
        <v>0</v>
      </c>
      <c r="I670" s="180" t="str">
        <f t="shared" si="109"/>
        <v/>
      </c>
      <c r="J670" s="181">
        <f t="shared" si="110"/>
        <v>0</v>
      </c>
      <c r="K670" s="182">
        <v>0</v>
      </c>
      <c r="L670" s="180" t="str">
        <f t="shared" si="107"/>
        <v/>
      </c>
      <c r="M670" s="218">
        <f>SUMIFS(DATA!$L:$L,DATA!$O:$O,$B673,DATA!$N:$N,$A673,DATA!$M:$M,'SALES BY SYSTEM'!$O$1)</f>
        <v>0</v>
      </c>
      <c r="N670" s="182">
        <v>0</v>
      </c>
      <c r="O670" s="180" t="str">
        <f t="shared" si="104"/>
        <v/>
      </c>
      <c r="P670" s="218">
        <f>SUMIFS(DATA!$L:$L,DATA!$O:$O,$B673,DATA!$N:$N,$A673,DATA!$M:$M,'SALES BY SYSTEM'!$O$2)</f>
        <v>0</v>
      </c>
      <c r="Q670" s="182">
        <v>0</v>
      </c>
      <c r="R670" s="180" t="str">
        <f t="shared" si="105"/>
        <v/>
      </c>
      <c r="S670" s="218">
        <f>SUMIFS(DATA!$L:$L,DATA!$O:$O,$B673,DATA!$N:$N,$A673,DATA!$M:$M,'SALES BY SYSTEM'!$O$4)</f>
        <v>0</v>
      </c>
      <c r="T670" s="182">
        <v>0</v>
      </c>
      <c r="U670" s="180" t="str">
        <f t="shared" si="106"/>
        <v/>
      </c>
      <c r="V670" s="218">
        <f>SUMIFS(DATA!$L:$L,DATA!$O:$O,$B673,DATA!$N:$N,$A673,DATA!$M:$M,'SALES BY SYSTEM'!$O$3)</f>
        <v>0</v>
      </c>
      <c r="W670" s="168"/>
    </row>
    <row r="671" spans="1:23" ht="15.75" customHeight="1" x14ac:dyDescent="0.25">
      <c r="A671" s="178" t="s">
        <v>1973</v>
      </c>
      <c r="B671" s="178" t="s">
        <v>1755</v>
      </c>
      <c r="C671" s="178" t="str">
        <f>VLOOKUP(A671,CUSTOMER!$A:$C,3,0)</f>
        <v>SATRA_F1120TVM</v>
      </c>
      <c r="D671" s="178" t="s">
        <v>674</v>
      </c>
      <c r="E671" s="178" t="str">
        <f>VLOOKUP(A674,CUSTOMER!$A$2:$H$1094,5,0)</f>
        <v>VACANCY</v>
      </c>
      <c r="F671" s="178" t="str">
        <f>VLOOKUP(A674,CUSTOMER!$A$2:$I$1094,6,0)</f>
        <v>VACANCY</v>
      </c>
      <c r="G671" s="178" t="s">
        <v>676</v>
      </c>
      <c r="H671" s="179">
        <f t="shared" si="108"/>
        <v>0</v>
      </c>
      <c r="I671" s="180" t="str">
        <f t="shared" si="109"/>
        <v/>
      </c>
      <c r="J671" s="181">
        <f t="shared" si="110"/>
        <v>0</v>
      </c>
      <c r="K671" s="182">
        <v>0</v>
      </c>
      <c r="L671" s="180" t="str">
        <f t="shared" si="107"/>
        <v/>
      </c>
      <c r="M671" s="218">
        <f>SUMIFS(DATA!$L:$L,DATA!$O:$O,$B674,DATA!$N:$N,$A674,DATA!$M:$M,'SALES BY SYSTEM'!$O$1)</f>
        <v>0</v>
      </c>
      <c r="N671" s="182">
        <v>0</v>
      </c>
      <c r="O671" s="180" t="str">
        <f t="shared" si="104"/>
        <v/>
      </c>
      <c r="P671" s="218">
        <f>SUMIFS(DATA!$L:$L,DATA!$O:$O,$B674,DATA!$N:$N,$A674,DATA!$M:$M,'SALES BY SYSTEM'!$O$2)</f>
        <v>0</v>
      </c>
      <c r="Q671" s="182">
        <v>0</v>
      </c>
      <c r="R671" s="180" t="str">
        <f t="shared" si="105"/>
        <v/>
      </c>
      <c r="S671" s="218">
        <f>SUMIFS(DATA!$L:$L,DATA!$O:$O,$B674,DATA!$N:$N,$A674,DATA!$M:$M,'SALES BY SYSTEM'!$O$4)</f>
        <v>0</v>
      </c>
      <c r="T671" s="182">
        <v>0</v>
      </c>
      <c r="U671" s="180" t="str">
        <f t="shared" si="106"/>
        <v/>
      </c>
      <c r="V671" s="218">
        <f>SUMIFS(DATA!$L:$L,DATA!$O:$O,$B674,DATA!$N:$N,$A674,DATA!$M:$M,'SALES BY SYSTEM'!$O$3)</f>
        <v>0</v>
      </c>
      <c r="W671" s="168"/>
    </row>
    <row r="672" spans="1:23" ht="15.75" customHeight="1" x14ac:dyDescent="0.25">
      <c r="A672" s="178" t="s">
        <v>1975</v>
      </c>
      <c r="B672" s="178" t="s">
        <v>1755</v>
      </c>
      <c r="C672" s="178" t="str">
        <f>VLOOKUP(A672,CUSTOMER!$A:$C,3,0)</f>
        <v>SATRA_F1121TQD</v>
      </c>
      <c r="D672" s="178" t="s">
        <v>674</v>
      </c>
      <c r="E672" s="178" t="str">
        <f>VLOOKUP(A675,CUSTOMER!$A$2:$H$1094,5,0)</f>
        <v>VACANCY</v>
      </c>
      <c r="F672" s="178" t="str">
        <f>VLOOKUP(A675,CUSTOMER!$A$2:$I$1094,6,0)</f>
        <v>VACANCY</v>
      </c>
      <c r="G672" s="178" t="s">
        <v>676</v>
      </c>
      <c r="H672" s="179">
        <f t="shared" si="108"/>
        <v>0</v>
      </c>
      <c r="I672" s="180" t="str">
        <f t="shared" si="109"/>
        <v/>
      </c>
      <c r="J672" s="181">
        <f t="shared" si="110"/>
        <v>0</v>
      </c>
      <c r="K672" s="182">
        <v>0</v>
      </c>
      <c r="L672" s="180" t="str">
        <f t="shared" si="107"/>
        <v/>
      </c>
      <c r="M672" s="218">
        <f>SUMIFS(DATA!$L:$L,DATA!$O:$O,$B675,DATA!$N:$N,$A675,DATA!$M:$M,'SALES BY SYSTEM'!$O$1)</f>
        <v>0</v>
      </c>
      <c r="N672" s="182">
        <v>0</v>
      </c>
      <c r="O672" s="180" t="str">
        <f t="shared" si="104"/>
        <v/>
      </c>
      <c r="P672" s="218">
        <f>SUMIFS(DATA!$L:$L,DATA!$O:$O,$B675,DATA!$N:$N,$A675,DATA!$M:$M,'SALES BY SYSTEM'!$O$2)</f>
        <v>0</v>
      </c>
      <c r="Q672" s="182">
        <v>0</v>
      </c>
      <c r="R672" s="180" t="str">
        <f t="shared" si="105"/>
        <v/>
      </c>
      <c r="S672" s="218">
        <f>SUMIFS(DATA!$L:$L,DATA!$O:$O,$B675,DATA!$N:$N,$A675,DATA!$M:$M,'SALES BY SYSTEM'!$O$4)</f>
        <v>0</v>
      </c>
      <c r="T672" s="182">
        <v>0</v>
      </c>
      <c r="U672" s="180" t="str">
        <f t="shared" si="106"/>
        <v/>
      </c>
      <c r="V672" s="218">
        <f>SUMIFS(DATA!$L:$L,DATA!$O:$O,$B675,DATA!$N:$N,$A675,DATA!$M:$M,'SALES BY SYSTEM'!$O$3)</f>
        <v>0</v>
      </c>
      <c r="W672" s="168"/>
    </row>
    <row r="673" spans="1:23" ht="15.75" customHeight="1" x14ac:dyDescent="0.25">
      <c r="A673" s="178" t="s">
        <v>1977</v>
      </c>
      <c r="B673" s="178" t="s">
        <v>1755</v>
      </c>
      <c r="C673" s="178" t="str">
        <f>VLOOKUP(A673,CUSTOMER!$A:$C,3,0)</f>
        <v>SATRA_F1123HHG</v>
      </c>
      <c r="D673" s="178" t="s">
        <v>674</v>
      </c>
      <c r="E673" s="178" t="str">
        <f>VLOOKUP(A676,CUSTOMER!$A$2:$H$1094,5,0)</f>
        <v>VACANCY</v>
      </c>
      <c r="F673" s="178" t="str">
        <f>VLOOKUP(A676,CUSTOMER!$A$2:$I$1094,6,0)</f>
        <v>VACANCY</v>
      </c>
      <c r="G673" s="178" t="s">
        <v>676</v>
      </c>
      <c r="H673" s="179">
        <f t="shared" si="108"/>
        <v>0</v>
      </c>
      <c r="I673" s="180" t="str">
        <f t="shared" si="109"/>
        <v/>
      </c>
      <c r="J673" s="181">
        <f t="shared" si="110"/>
        <v>0</v>
      </c>
      <c r="K673" s="182">
        <v>0</v>
      </c>
      <c r="L673" s="180" t="str">
        <f t="shared" si="107"/>
        <v/>
      </c>
      <c r="M673" s="218">
        <f>SUMIFS(DATA!$L:$L,DATA!$O:$O,$B676,DATA!$N:$N,$A676,DATA!$M:$M,'SALES BY SYSTEM'!$O$1)</f>
        <v>0</v>
      </c>
      <c r="N673" s="182">
        <v>0</v>
      </c>
      <c r="O673" s="180" t="str">
        <f t="shared" si="104"/>
        <v/>
      </c>
      <c r="P673" s="218">
        <f>SUMIFS(DATA!$L:$L,DATA!$O:$O,$B676,DATA!$N:$N,$A676,DATA!$M:$M,'SALES BY SYSTEM'!$O$2)</f>
        <v>0</v>
      </c>
      <c r="Q673" s="182">
        <v>0</v>
      </c>
      <c r="R673" s="180" t="str">
        <f t="shared" si="105"/>
        <v/>
      </c>
      <c r="S673" s="218">
        <f>SUMIFS(DATA!$L:$L,DATA!$O:$O,$B676,DATA!$N:$N,$A676,DATA!$M:$M,'SALES BY SYSTEM'!$O$4)</f>
        <v>0</v>
      </c>
      <c r="T673" s="182">
        <v>0</v>
      </c>
      <c r="U673" s="180" t="str">
        <f t="shared" si="106"/>
        <v/>
      </c>
      <c r="V673" s="218">
        <f>SUMIFS(DATA!$L:$L,DATA!$O:$O,$B676,DATA!$N:$N,$A676,DATA!$M:$M,'SALES BY SYSTEM'!$O$3)</f>
        <v>0</v>
      </c>
      <c r="W673" s="168"/>
    </row>
    <row r="674" spans="1:23" ht="15.75" customHeight="1" x14ac:dyDescent="0.25">
      <c r="A674" s="178" t="s">
        <v>1979</v>
      </c>
      <c r="B674" s="178" t="s">
        <v>1755</v>
      </c>
      <c r="C674" s="178" t="str">
        <f>VLOOKUP(A674,CUSTOMER!$A:$C,3,0)</f>
        <v>SATRA_F1124HL2</v>
      </c>
      <c r="D674" s="178" t="s">
        <v>674</v>
      </c>
      <c r="E674" s="178" t="str">
        <f>VLOOKUP(A677,CUSTOMER!$A$2:$H$1094,5,0)</f>
        <v>VACANCY</v>
      </c>
      <c r="F674" s="178" t="str">
        <f>VLOOKUP(A677,CUSTOMER!$A$2:$I$1094,6,0)</f>
        <v>VACANCY</v>
      </c>
      <c r="G674" s="178" t="s">
        <v>676</v>
      </c>
      <c r="H674" s="179">
        <f t="shared" si="108"/>
        <v>0</v>
      </c>
      <c r="I674" s="180" t="str">
        <f t="shared" si="109"/>
        <v/>
      </c>
      <c r="J674" s="181">
        <f t="shared" si="110"/>
        <v>0</v>
      </c>
      <c r="K674" s="182">
        <v>0</v>
      </c>
      <c r="L674" s="180" t="str">
        <f t="shared" si="107"/>
        <v/>
      </c>
      <c r="M674" s="218">
        <f>SUMIFS(DATA!$L:$L,DATA!$O:$O,$B677,DATA!$N:$N,$A677,DATA!$M:$M,'SALES BY SYSTEM'!$O$1)</f>
        <v>0</v>
      </c>
      <c r="N674" s="182">
        <v>0</v>
      </c>
      <c r="O674" s="180" t="str">
        <f t="shared" si="104"/>
        <v/>
      </c>
      <c r="P674" s="218">
        <f>SUMIFS(DATA!$L:$L,DATA!$O:$O,$B677,DATA!$N:$N,$A677,DATA!$M:$M,'SALES BY SYSTEM'!$O$2)</f>
        <v>0</v>
      </c>
      <c r="Q674" s="182">
        <v>0</v>
      </c>
      <c r="R674" s="180" t="str">
        <f t="shared" si="105"/>
        <v/>
      </c>
      <c r="S674" s="218">
        <f>SUMIFS(DATA!$L:$L,DATA!$O:$O,$B677,DATA!$N:$N,$A677,DATA!$M:$M,'SALES BY SYSTEM'!$O$4)</f>
        <v>0</v>
      </c>
      <c r="T674" s="182">
        <v>0</v>
      </c>
      <c r="U674" s="180" t="str">
        <f t="shared" si="106"/>
        <v/>
      </c>
      <c r="V674" s="218">
        <f>SUMIFS(DATA!$L:$L,DATA!$O:$O,$B677,DATA!$N:$N,$A677,DATA!$M:$M,'SALES BY SYSTEM'!$O$3)</f>
        <v>0</v>
      </c>
      <c r="W674" s="168"/>
    </row>
    <row r="675" spans="1:23" ht="15.75" customHeight="1" x14ac:dyDescent="0.25">
      <c r="A675" s="178" t="s">
        <v>1981</v>
      </c>
      <c r="B675" s="178" t="s">
        <v>1755</v>
      </c>
      <c r="C675" s="178" t="str">
        <f>VLOOKUP(A675,CUSTOMER!$A:$C,3,0)</f>
        <v>SATRA_F1125TNH</v>
      </c>
      <c r="D675" s="178" t="s">
        <v>674</v>
      </c>
      <c r="E675" s="178" t="str">
        <f>VLOOKUP(A678,CUSTOMER!$A$2:$H$1094,5,0)</f>
        <v>VACANCY</v>
      </c>
      <c r="F675" s="178" t="str">
        <f>VLOOKUP(A678,CUSTOMER!$A$2:$I$1094,6,0)</f>
        <v>VACANCY</v>
      </c>
      <c r="G675" s="178" t="s">
        <v>676</v>
      </c>
      <c r="H675" s="179">
        <f t="shared" si="108"/>
        <v>0</v>
      </c>
      <c r="I675" s="180" t="str">
        <f t="shared" si="109"/>
        <v/>
      </c>
      <c r="J675" s="181">
        <f t="shared" si="110"/>
        <v>0</v>
      </c>
      <c r="K675" s="182">
        <v>0</v>
      </c>
      <c r="L675" s="180" t="str">
        <f t="shared" si="107"/>
        <v/>
      </c>
      <c r="M675" s="218">
        <f>SUMIFS(DATA!$L:$L,DATA!$O:$O,$B678,DATA!$N:$N,$A678,DATA!$M:$M,'SALES BY SYSTEM'!$O$1)</f>
        <v>0</v>
      </c>
      <c r="N675" s="182">
        <v>0</v>
      </c>
      <c r="O675" s="180" t="str">
        <f t="shared" si="104"/>
        <v/>
      </c>
      <c r="P675" s="218">
        <f>SUMIFS(DATA!$L:$L,DATA!$O:$O,$B678,DATA!$N:$N,$A678,DATA!$M:$M,'SALES BY SYSTEM'!$O$2)</f>
        <v>0</v>
      </c>
      <c r="Q675" s="182">
        <v>0</v>
      </c>
      <c r="R675" s="180" t="str">
        <f t="shared" si="105"/>
        <v/>
      </c>
      <c r="S675" s="218">
        <f>SUMIFS(DATA!$L:$L,DATA!$O:$O,$B678,DATA!$N:$N,$A678,DATA!$M:$M,'SALES BY SYSTEM'!$O$4)</f>
        <v>0</v>
      </c>
      <c r="T675" s="182">
        <v>0</v>
      </c>
      <c r="U675" s="180" t="str">
        <f t="shared" si="106"/>
        <v/>
      </c>
      <c r="V675" s="218">
        <f>SUMIFS(DATA!$L:$L,DATA!$O:$O,$B678,DATA!$N:$N,$A678,DATA!$M:$M,'SALES BY SYSTEM'!$O$3)</f>
        <v>0</v>
      </c>
      <c r="W675" s="168"/>
    </row>
    <row r="676" spans="1:23" ht="15.75" customHeight="1" x14ac:dyDescent="0.25">
      <c r="A676" s="178" t="s">
        <v>1983</v>
      </c>
      <c r="B676" s="178" t="s">
        <v>1755</v>
      </c>
      <c r="C676" s="178" t="str">
        <f>VLOOKUP(A676,CUSTOMER!$A:$C,3,0)</f>
        <v>SATRA_F1126QL22</v>
      </c>
      <c r="D676" s="178" t="s">
        <v>674</v>
      </c>
      <c r="E676" s="178" t="str">
        <f>VLOOKUP(A679,CUSTOMER!$A$2:$H$1094,5,0)</f>
        <v>VACANCY</v>
      </c>
      <c r="F676" s="178" t="str">
        <f>VLOOKUP(A679,CUSTOMER!$A$2:$I$1094,6,0)</f>
        <v>VACANCY</v>
      </c>
      <c r="G676" s="178" t="s">
        <v>676</v>
      </c>
      <c r="H676" s="179">
        <f t="shared" si="108"/>
        <v>0</v>
      </c>
      <c r="I676" s="180" t="str">
        <f t="shared" si="109"/>
        <v/>
      </c>
      <c r="J676" s="181">
        <f t="shared" si="110"/>
        <v>0</v>
      </c>
      <c r="K676" s="182">
        <v>0</v>
      </c>
      <c r="L676" s="180" t="str">
        <f t="shared" si="107"/>
        <v/>
      </c>
      <c r="M676" s="218">
        <f>SUMIFS(DATA!$L:$L,DATA!$O:$O,$B679,DATA!$N:$N,$A679,DATA!$M:$M,'SALES BY SYSTEM'!$O$1)</f>
        <v>0</v>
      </c>
      <c r="N676" s="182">
        <v>0</v>
      </c>
      <c r="O676" s="180" t="str">
        <f t="shared" si="104"/>
        <v/>
      </c>
      <c r="P676" s="218">
        <f>SUMIFS(DATA!$L:$L,DATA!$O:$O,$B679,DATA!$N:$N,$A679,DATA!$M:$M,'SALES BY SYSTEM'!$O$2)</f>
        <v>0</v>
      </c>
      <c r="Q676" s="182">
        <v>0</v>
      </c>
      <c r="R676" s="180" t="str">
        <f t="shared" si="105"/>
        <v/>
      </c>
      <c r="S676" s="218">
        <f>SUMIFS(DATA!$L:$L,DATA!$O:$O,$B679,DATA!$N:$N,$A679,DATA!$M:$M,'SALES BY SYSTEM'!$O$4)</f>
        <v>0</v>
      </c>
      <c r="T676" s="182">
        <v>0</v>
      </c>
      <c r="U676" s="180" t="str">
        <f t="shared" si="106"/>
        <v/>
      </c>
      <c r="V676" s="218">
        <f>SUMIFS(DATA!$L:$L,DATA!$O:$O,$B679,DATA!$N:$N,$A679,DATA!$M:$M,'SALES BY SYSTEM'!$O$3)</f>
        <v>0</v>
      </c>
      <c r="W676" s="168"/>
    </row>
    <row r="677" spans="1:23" ht="15.75" customHeight="1" x14ac:dyDescent="0.25">
      <c r="A677" s="178" t="s">
        <v>1985</v>
      </c>
      <c r="B677" s="178" t="s">
        <v>1755</v>
      </c>
      <c r="C677" s="178" t="str">
        <f>VLOOKUP(A677,CUSTOMER!$A:$C,3,0)</f>
        <v>SATRA_F1127NVK2</v>
      </c>
      <c r="D677" s="178" t="s">
        <v>674</v>
      </c>
      <c r="E677" s="178" t="str">
        <f>VLOOKUP(A680,CUSTOMER!$A$2:$H$1094,5,0)</f>
        <v>VACANCY</v>
      </c>
      <c r="F677" s="178" t="str">
        <f>VLOOKUP(A680,CUSTOMER!$A$2:$I$1094,6,0)</f>
        <v>VACANCY</v>
      </c>
      <c r="G677" s="178" t="s">
        <v>676</v>
      </c>
      <c r="H677" s="179">
        <f t="shared" si="108"/>
        <v>0</v>
      </c>
      <c r="I677" s="180" t="str">
        <f t="shared" si="109"/>
        <v/>
      </c>
      <c r="J677" s="181">
        <f t="shared" si="110"/>
        <v>0</v>
      </c>
      <c r="K677" s="182">
        <v>0</v>
      </c>
      <c r="L677" s="180" t="str">
        <f t="shared" si="107"/>
        <v/>
      </c>
      <c r="M677" s="218">
        <f>SUMIFS(DATA!$L:$L,DATA!$O:$O,$B680,DATA!$N:$N,$A680,DATA!$M:$M,'SALES BY SYSTEM'!$O$1)</f>
        <v>0</v>
      </c>
      <c r="N677" s="182">
        <v>0</v>
      </c>
      <c r="O677" s="180" t="str">
        <f t="shared" si="104"/>
        <v/>
      </c>
      <c r="P677" s="218">
        <f>SUMIFS(DATA!$L:$L,DATA!$O:$O,$B680,DATA!$N:$N,$A680,DATA!$M:$M,'SALES BY SYSTEM'!$O$2)</f>
        <v>0</v>
      </c>
      <c r="Q677" s="182">
        <v>0</v>
      </c>
      <c r="R677" s="180" t="str">
        <f t="shared" si="105"/>
        <v/>
      </c>
      <c r="S677" s="218">
        <f>SUMIFS(DATA!$L:$L,DATA!$O:$O,$B680,DATA!$N:$N,$A680,DATA!$M:$M,'SALES BY SYSTEM'!$O$4)</f>
        <v>0</v>
      </c>
      <c r="T677" s="182">
        <v>0</v>
      </c>
      <c r="U677" s="180" t="str">
        <f t="shared" si="106"/>
        <v/>
      </c>
      <c r="V677" s="218">
        <f>SUMIFS(DATA!$L:$L,DATA!$O:$O,$B680,DATA!$N:$N,$A680,DATA!$M:$M,'SALES BY SYSTEM'!$O$3)</f>
        <v>0</v>
      </c>
      <c r="W677" s="168"/>
    </row>
    <row r="678" spans="1:23" ht="15.75" customHeight="1" x14ac:dyDescent="0.25">
      <c r="A678" s="178" t="s">
        <v>1987</v>
      </c>
      <c r="B678" s="178" t="s">
        <v>1755</v>
      </c>
      <c r="C678" s="178" t="str">
        <f>VLOOKUP(A678,CUSTOMER!$A:$C,3,0)</f>
        <v>SATRA_F1128NVN</v>
      </c>
      <c r="D678" s="178" t="s">
        <v>674</v>
      </c>
      <c r="E678" s="178" t="str">
        <f>VLOOKUP(A681,CUSTOMER!$A$2:$H$1094,5,0)</f>
        <v>VACANCY</v>
      </c>
      <c r="F678" s="178" t="str">
        <f>VLOOKUP(A681,CUSTOMER!$A$2:$I$1094,6,0)</f>
        <v>VACANCY</v>
      </c>
      <c r="G678" s="178" t="s">
        <v>676</v>
      </c>
      <c r="H678" s="179">
        <f t="shared" si="108"/>
        <v>0</v>
      </c>
      <c r="I678" s="180" t="str">
        <f t="shared" si="109"/>
        <v/>
      </c>
      <c r="J678" s="181">
        <f t="shared" si="110"/>
        <v>0</v>
      </c>
      <c r="K678" s="182">
        <v>0</v>
      </c>
      <c r="L678" s="180" t="str">
        <f t="shared" si="107"/>
        <v/>
      </c>
      <c r="M678" s="218">
        <f>SUMIFS(DATA!$L:$L,DATA!$O:$O,$B681,DATA!$N:$N,$A681,DATA!$M:$M,'SALES BY SYSTEM'!$O$1)</f>
        <v>0</v>
      </c>
      <c r="N678" s="182">
        <v>0</v>
      </c>
      <c r="O678" s="180" t="str">
        <f t="shared" si="104"/>
        <v/>
      </c>
      <c r="P678" s="218">
        <f>SUMIFS(DATA!$L:$L,DATA!$O:$O,$B681,DATA!$N:$N,$A681,DATA!$M:$M,'SALES BY SYSTEM'!$O$2)</f>
        <v>0</v>
      </c>
      <c r="Q678" s="182">
        <v>0</v>
      </c>
      <c r="R678" s="180" t="str">
        <f t="shared" si="105"/>
        <v/>
      </c>
      <c r="S678" s="218">
        <f>SUMIFS(DATA!$L:$L,DATA!$O:$O,$B681,DATA!$N:$N,$A681,DATA!$M:$M,'SALES BY SYSTEM'!$O$4)</f>
        <v>0</v>
      </c>
      <c r="T678" s="182">
        <v>0</v>
      </c>
      <c r="U678" s="180" t="str">
        <f t="shared" si="106"/>
        <v/>
      </c>
      <c r="V678" s="218">
        <f>SUMIFS(DATA!$L:$L,DATA!$O:$O,$B681,DATA!$N:$N,$A681,DATA!$M:$M,'SALES BY SYSTEM'!$O$3)</f>
        <v>0</v>
      </c>
      <c r="W678" s="168"/>
    </row>
    <row r="679" spans="1:23" ht="15.75" customHeight="1" x14ac:dyDescent="0.25">
      <c r="A679" s="178" t="s">
        <v>1989</v>
      </c>
      <c r="B679" s="178" t="s">
        <v>1755</v>
      </c>
      <c r="C679" s="178" t="str">
        <f>VLOOKUP(A679,CUSTOMER!$A:$C,3,0)</f>
        <v>SATRA_F1129DPP</v>
      </c>
      <c r="D679" s="178" t="s">
        <v>674</v>
      </c>
      <c r="E679" s="178" t="str">
        <f>VLOOKUP(A682,CUSTOMER!$A$2:$H$1094,5,0)</f>
        <v>VACANCY</v>
      </c>
      <c r="F679" s="178" t="str">
        <f>VLOOKUP(A682,CUSTOMER!$A$2:$I$1094,6,0)</f>
        <v>VACANCY</v>
      </c>
      <c r="G679" s="178" t="s">
        <v>676</v>
      </c>
      <c r="H679" s="179">
        <f t="shared" si="108"/>
        <v>0</v>
      </c>
      <c r="I679" s="180" t="str">
        <f t="shared" si="109"/>
        <v/>
      </c>
      <c r="J679" s="181">
        <f t="shared" si="110"/>
        <v>0</v>
      </c>
      <c r="K679" s="182">
        <v>0</v>
      </c>
      <c r="L679" s="180" t="str">
        <f t="shared" si="107"/>
        <v/>
      </c>
      <c r="M679" s="218">
        <f>SUMIFS(DATA!$L:$L,DATA!$O:$O,$B682,DATA!$N:$N,$A682,DATA!$M:$M,'SALES BY SYSTEM'!$O$1)</f>
        <v>0</v>
      </c>
      <c r="N679" s="182">
        <v>0</v>
      </c>
      <c r="O679" s="180" t="str">
        <f t="shared" ref="O679:O742" si="111">IFERROR(P682/N682,"")</f>
        <v/>
      </c>
      <c r="P679" s="218">
        <f>SUMIFS(DATA!$L:$L,DATA!$O:$O,$B682,DATA!$N:$N,$A682,DATA!$M:$M,'SALES BY SYSTEM'!$O$2)</f>
        <v>0</v>
      </c>
      <c r="Q679" s="182">
        <v>0</v>
      </c>
      <c r="R679" s="180" t="str">
        <f t="shared" ref="R679:R742" si="112">IFERROR(S682/Q682,"")</f>
        <v/>
      </c>
      <c r="S679" s="218">
        <f>SUMIFS(DATA!$L:$L,DATA!$O:$O,$B682,DATA!$N:$N,$A682,DATA!$M:$M,'SALES BY SYSTEM'!$O$4)</f>
        <v>0</v>
      </c>
      <c r="T679" s="182">
        <v>0</v>
      </c>
      <c r="U679" s="180" t="str">
        <f t="shared" ref="U679:U742" si="113">IFERROR(V682/T682,"")</f>
        <v/>
      </c>
      <c r="V679" s="218">
        <f>SUMIFS(DATA!$L:$L,DATA!$O:$O,$B682,DATA!$N:$N,$A682,DATA!$M:$M,'SALES BY SYSTEM'!$O$3)</f>
        <v>0</v>
      </c>
      <c r="W679" s="168"/>
    </row>
    <row r="680" spans="1:23" ht="15.75" customHeight="1" x14ac:dyDescent="0.25">
      <c r="A680" s="178" t="s">
        <v>1991</v>
      </c>
      <c r="B680" s="178" t="s">
        <v>1755</v>
      </c>
      <c r="C680" s="178" t="str">
        <f>VLOOKUP(A680,CUSTOMER!$A:$C,3,0)</f>
        <v>SATRA_F1130DDH</v>
      </c>
      <c r="D680" s="178" t="s">
        <v>674</v>
      </c>
      <c r="E680" s="178" t="str">
        <f>VLOOKUP(A683,CUSTOMER!$A$2:$H$1094,5,0)</f>
        <v>VACANCY</v>
      </c>
      <c r="F680" s="178" t="str">
        <f>VLOOKUP(A683,CUSTOMER!$A$2:$I$1094,6,0)</f>
        <v>VACANCY</v>
      </c>
      <c r="G680" s="178" t="s">
        <v>676</v>
      </c>
      <c r="H680" s="179">
        <f t="shared" si="108"/>
        <v>0</v>
      </c>
      <c r="I680" s="180" t="str">
        <f t="shared" si="109"/>
        <v/>
      </c>
      <c r="J680" s="181">
        <f t="shared" si="110"/>
        <v>0</v>
      </c>
      <c r="K680" s="182">
        <v>0</v>
      </c>
      <c r="L680" s="180" t="str">
        <f t="shared" si="107"/>
        <v/>
      </c>
      <c r="M680" s="218">
        <f>SUMIFS(DATA!$L:$L,DATA!$O:$O,$B683,DATA!$N:$N,$A683,DATA!$M:$M,'SALES BY SYSTEM'!$O$1)</f>
        <v>0</v>
      </c>
      <c r="N680" s="182">
        <v>0</v>
      </c>
      <c r="O680" s="180" t="str">
        <f t="shared" si="111"/>
        <v/>
      </c>
      <c r="P680" s="218">
        <f>SUMIFS(DATA!$L:$L,DATA!$O:$O,$B683,DATA!$N:$N,$A683,DATA!$M:$M,'SALES BY SYSTEM'!$O$2)</f>
        <v>0</v>
      </c>
      <c r="Q680" s="182">
        <v>0</v>
      </c>
      <c r="R680" s="180" t="str">
        <f t="shared" si="112"/>
        <v/>
      </c>
      <c r="S680" s="218">
        <f>SUMIFS(DATA!$L:$L,DATA!$O:$O,$B683,DATA!$N:$N,$A683,DATA!$M:$M,'SALES BY SYSTEM'!$O$4)</f>
        <v>0</v>
      </c>
      <c r="T680" s="182">
        <v>0</v>
      </c>
      <c r="U680" s="180" t="str">
        <f t="shared" si="113"/>
        <v/>
      </c>
      <c r="V680" s="218">
        <f>SUMIFS(DATA!$L:$L,DATA!$O:$O,$B683,DATA!$N:$N,$A683,DATA!$M:$M,'SALES BY SYSTEM'!$O$3)</f>
        <v>0</v>
      </c>
      <c r="W680" s="168"/>
    </row>
    <row r="681" spans="1:23" ht="15.75" customHeight="1" x14ac:dyDescent="0.25">
      <c r="A681" s="178" t="s">
        <v>1993</v>
      </c>
      <c r="B681" s="178" t="s">
        <v>1755</v>
      </c>
      <c r="C681" s="178" t="str">
        <f>VLOOKUP(A681,CUSTOMER!$A:$C,3,0)</f>
        <v>SATRA_F1131NTK</v>
      </c>
      <c r="D681" s="178" t="s">
        <v>674</v>
      </c>
      <c r="E681" s="178" t="str">
        <f>VLOOKUP(A684,CUSTOMER!$A$2:$H$1094,5,0)</f>
        <v>VACANCY</v>
      </c>
      <c r="F681" s="178" t="str">
        <f>VLOOKUP(A684,CUSTOMER!$A$2:$I$1094,6,0)</f>
        <v>VACANCY</v>
      </c>
      <c r="G681" s="178" t="s">
        <v>676</v>
      </c>
      <c r="H681" s="179">
        <f t="shared" si="108"/>
        <v>0</v>
      </c>
      <c r="I681" s="180" t="str">
        <f t="shared" si="109"/>
        <v/>
      </c>
      <c r="J681" s="181">
        <f t="shared" si="110"/>
        <v>0</v>
      </c>
      <c r="K681" s="182">
        <v>0</v>
      </c>
      <c r="L681" s="180" t="str">
        <f t="shared" si="107"/>
        <v/>
      </c>
      <c r="M681" s="218">
        <f>SUMIFS(DATA!$L:$L,DATA!$O:$O,$B684,DATA!$N:$N,$A684,DATA!$M:$M,'SALES BY SYSTEM'!$O$1)</f>
        <v>0</v>
      </c>
      <c r="N681" s="182">
        <v>0</v>
      </c>
      <c r="O681" s="180" t="str">
        <f t="shared" si="111"/>
        <v/>
      </c>
      <c r="P681" s="218">
        <f>SUMIFS(DATA!$L:$L,DATA!$O:$O,$B684,DATA!$N:$N,$A684,DATA!$M:$M,'SALES BY SYSTEM'!$O$2)</f>
        <v>0</v>
      </c>
      <c r="Q681" s="182">
        <v>0</v>
      </c>
      <c r="R681" s="180" t="str">
        <f t="shared" si="112"/>
        <v/>
      </c>
      <c r="S681" s="218">
        <f>SUMIFS(DATA!$L:$L,DATA!$O:$O,$B684,DATA!$N:$N,$A684,DATA!$M:$M,'SALES BY SYSTEM'!$O$4)</f>
        <v>0</v>
      </c>
      <c r="T681" s="182">
        <v>0</v>
      </c>
      <c r="U681" s="180" t="str">
        <f t="shared" si="113"/>
        <v/>
      </c>
      <c r="V681" s="218">
        <f>SUMIFS(DATA!$L:$L,DATA!$O:$O,$B684,DATA!$N:$N,$A684,DATA!$M:$M,'SALES BY SYSTEM'!$O$3)</f>
        <v>0</v>
      </c>
      <c r="W681" s="168"/>
    </row>
    <row r="682" spans="1:23" ht="15.75" customHeight="1" x14ac:dyDescent="0.25">
      <c r="A682" s="178" t="s">
        <v>1995</v>
      </c>
      <c r="B682" s="178" t="s">
        <v>1755</v>
      </c>
      <c r="C682" s="178" t="str">
        <f>VLOOKUP(A682,CUSTOMER!$A:$C,3,0)</f>
        <v>SATRA_F1132D5C</v>
      </c>
      <c r="D682" s="178" t="s">
        <v>674</v>
      </c>
      <c r="E682" s="178" t="str">
        <f>VLOOKUP(A685,CUSTOMER!$A$2:$H$1094,5,0)</f>
        <v>VACANCY</v>
      </c>
      <c r="F682" s="178" t="str">
        <f>VLOOKUP(A685,CUSTOMER!$A$2:$I$1094,6,0)</f>
        <v>VACANCY</v>
      </c>
      <c r="G682" s="178" t="s">
        <v>676</v>
      </c>
      <c r="H682" s="179">
        <f t="shared" si="108"/>
        <v>0</v>
      </c>
      <c r="I682" s="180" t="str">
        <f t="shared" si="109"/>
        <v/>
      </c>
      <c r="J682" s="181">
        <f t="shared" si="110"/>
        <v>0</v>
      </c>
      <c r="K682" s="182">
        <v>0</v>
      </c>
      <c r="L682" s="180" t="str">
        <f t="shared" si="107"/>
        <v/>
      </c>
      <c r="M682" s="218">
        <f>SUMIFS(DATA!$L:$L,DATA!$O:$O,$B685,DATA!$N:$N,$A685,DATA!$M:$M,'SALES BY SYSTEM'!$O$1)</f>
        <v>0</v>
      </c>
      <c r="N682" s="182">
        <v>0</v>
      </c>
      <c r="O682" s="180" t="str">
        <f t="shared" si="111"/>
        <v/>
      </c>
      <c r="P682" s="218">
        <f>SUMIFS(DATA!$L:$L,DATA!$O:$O,$B685,DATA!$N:$N,$A685,DATA!$M:$M,'SALES BY SYSTEM'!$O$2)</f>
        <v>0</v>
      </c>
      <c r="Q682" s="182">
        <v>0</v>
      </c>
      <c r="R682" s="180" t="str">
        <f t="shared" si="112"/>
        <v/>
      </c>
      <c r="S682" s="218">
        <f>SUMIFS(DATA!$L:$L,DATA!$O:$O,$B685,DATA!$N:$N,$A685,DATA!$M:$M,'SALES BY SYSTEM'!$O$4)</f>
        <v>0</v>
      </c>
      <c r="T682" s="182">
        <v>0</v>
      </c>
      <c r="U682" s="180" t="str">
        <f t="shared" si="113"/>
        <v/>
      </c>
      <c r="V682" s="218">
        <f>SUMIFS(DATA!$L:$L,DATA!$O:$O,$B685,DATA!$N:$N,$A685,DATA!$M:$M,'SALES BY SYSTEM'!$O$3)</f>
        <v>0</v>
      </c>
      <c r="W682" s="168"/>
    </row>
    <row r="683" spans="1:23" ht="15.75" customHeight="1" x14ac:dyDescent="0.25">
      <c r="A683" s="178" t="s">
        <v>1997</v>
      </c>
      <c r="B683" s="178" t="s">
        <v>1755</v>
      </c>
      <c r="C683" s="178" t="str">
        <f>VLOOKUP(A683,CUSTOMER!$A:$C,3,0)</f>
        <v>SATRA_F1133TNT</v>
      </c>
      <c r="D683" s="178" t="s">
        <v>674</v>
      </c>
      <c r="E683" s="178" t="str">
        <f>VLOOKUP(A686,CUSTOMER!$A$2:$H$1094,5,0)</f>
        <v>VACANCY</v>
      </c>
      <c r="F683" s="178" t="str">
        <f>VLOOKUP(A686,CUSTOMER!$A$2:$I$1094,6,0)</f>
        <v>VACANCY</v>
      </c>
      <c r="G683" s="178" t="s">
        <v>676</v>
      </c>
      <c r="H683" s="179">
        <f t="shared" si="108"/>
        <v>0</v>
      </c>
      <c r="I683" s="180" t="str">
        <f t="shared" si="109"/>
        <v/>
      </c>
      <c r="J683" s="181">
        <f t="shared" si="110"/>
        <v>0</v>
      </c>
      <c r="K683" s="182">
        <v>0</v>
      </c>
      <c r="L683" s="180" t="str">
        <f t="shared" si="107"/>
        <v/>
      </c>
      <c r="M683" s="218">
        <f>SUMIFS(DATA!$L:$L,DATA!$O:$O,$B686,DATA!$N:$N,$A686,DATA!$M:$M,'SALES BY SYSTEM'!$O$1)</f>
        <v>0</v>
      </c>
      <c r="N683" s="182">
        <v>0</v>
      </c>
      <c r="O683" s="180" t="str">
        <f t="shared" si="111"/>
        <v/>
      </c>
      <c r="P683" s="218">
        <f>SUMIFS(DATA!$L:$L,DATA!$O:$O,$B686,DATA!$N:$N,$A686,DATA!$M:$M,'SALES BY SYSTEM'!$O$2)</f>
        <v>0</v>
      </c>
      <c r="Q683" s="182">
        <v>0</v>
      </c>
      <c r="R683" s="180" t="str">
        <f t="shared" si="112"/>
        <v/>
      </c>
      <c r="S683" s="218">
        <f>SUMIFS(DATA!$L:$L,DATA!$O:$O,$B686,DATA!$N:$N,$A686,DATA!$M:$M,'SALES BY SYSTEM'!$O$4)</f>
        <v>0</v>
      </c>
      <c r="T683" s="182">
        <v>0</v>
      </c>
      <c r="U683" s="180" t="str">
        <f t="shared" si="113"/>
        <v/>
      </c>
      <c r="V683" s="218">
        <f>SUMIFS(DATA!$L:$L,DATA!$O:$O,$B686,DATA!$N:$N,$A686,DATA!$M:$M,'SALES BY SYSTEM'!$O$3)</f>
        <v>0</v>
      </c>
      <c r="W683" s="168"/>
    </row>
    <row r="684" spans="1:23" ht="15.75" customHeight="1" x14ac:dyDescent="0.25">
      <c r="A684" s="178" t="s">
        <v>1999</v>
      </c>
      <c r="B684" s="178" t="s">
        <v>1755</v>
      </c>
      <c r="C684" s="178" t="str">
        <f>VLOOKUP(A684,CUSTOMER!$A:$C,3,0)</f>
        <v>SATRA_F1134PVT</v>
      </c>
      <c r="D684" s="178" t="s">
        <v>674</v>
      </c>
      <c r="E684" s="178" t="str">
        <f>VLOOKUP(A687,CUSTOMER!$A$2:$H$1094,5,0)</f>
        <v>VACANCY</v>
      </c>
      <c r="F684" s="178" t="str">
        <f>VLOOKUP(A687,CUSTOMER!$A$2:$I$1094,6,0)</f>
        <v>VACANCY</v>
      </c>
      <c r="G684" s="178" t="s">
        <v>676</v>
      </c>
      <c r="H684" s="179">
        <f t="shared" si="108"/>
        <v>0</v>
      </c>
      <c r="I684" s="180" t="str">
        <f t="shared" si="109"/>
        <v/>
      </c>
      <c r="J684" s="181">
        <f t="shared" si="110"/>
        <v>0</v>
      </c>
      <c r="K684" s="182">
        <v>0</v>
      </c>
      <c r="L684" s="180" t="str">
        <f t="shared" ref="L684:L747" si="114">IFERROR(M687/K687,"")</f>
        <v/>
      </c>
      <c r="M684" s="218">
        <f>SUMIFS(DATA!$L:$L,DATA!$O:$O,$B687,DATA!$N:$N,$A687,DATA!$M:$M,'SALES BY SYSTEM'!$O$1)</f>
        <v>0</v>
      </c>
      <c r="N684" s="182">
        <v>0</v>
      </c>
      <c r="O684" s="180" t="str">
        <f t="shared" si="111"/>
        <v/>
      </c>
      <c r="P684" s="218">
        <f>SUMIFS(DATA!$L:$L,DATA!$O:$O,$B687,DATA!$N:$N,$A687,DATA!$M:$M,'SALES BY SYSTEM'!$O$2)</f>
        <v>0</v>
      </c>
      <c r="Q684" s="182">
        <v>0</v>
      </c>
      <c r="R684" s="180" t="str">
        <f t="shared" si="112"/>
        <v/>
      </c>
      <c r="S684" s="218">
        <f>SUMIFS(DATA!$L:$L,DATA!$O:$O,$B687,DATA!$N:$N,$A687,DATA!$M:$M,'SALES BY SYSTEM'!$O$4)</f>
        <v>0</v>
      </c>
      <c r="T684" s="182">
        <v>0</v>
      </c>
      <c r="U684" s="180" t="str">
        <f t="shared" si="113"/>
        <v/>
      </c>
      <c r="V684" s="218">
        <f>SUMIFS(DATA!$L:$L,DATA!$O:$O,$B687,DATA!$N:$N,$A687,DATA!$M:$M,'SALES BY SYSTEM'!$O$3)</f>
        <v>0</v>
      </c>
      <c r="W684" s="168"/>
    </row>
    <row r="685" spans="1:23" ht="15.75" customHeight="1" x14ac:dyDescent="0.25">
      <c r="A685" s="178" t="s">
        <v>2001</v>
      </c>
      <c r="B685" s="178" t="s">
        <v>1755</v>
      </c>
      <c r="C685" s="178" t="str">
        <f>VLOOKUP(A685,CUSTOMER!$A:$C,3,0)</f>
        <v>SATRA_F1135NHT</v>
      </c>
      <c r="D685" s="178" t="s">
        <v>674</v>
      </c>
      <c r="E685" s="178" t="str">
        <f>VLOOKUP(A688,CUSTOMER!$A$2:$H$1094,5,0)</f>
        <v>VACANCY</v>
      </c>
      <c r="F685" s="178" t="str">
        <f>VLOOKUP(A688,CUSTOMER!$A$2:$I$1094,6,0)</f>
        <v>VACANCY</v>
      </c>
      <c r="G685" s="178" t="s">
        <v>676</v>
      </c>
      <c r="H685" s="179">
        <f t="shared" si="108"/>
        <v>0</v>
      </c>
      <c r="I685" s="180" t="str">
        <f t="shared" si="109"/>
        <v/>
      </c>
      <c r="J685" s="181">
        <f t="shared" si="110"/>
        <v>0</v>
      </c>
      <c r="K685" s="182">
        <v>0</v>
      </c>
      <c r="L685" s="180" t="str">
        <f t="shared" si="114"/>
        <v/>
      </c>
      <c r="M685" s="218">
        <f>SUMIFS(DATA!$L:$L,DATA!$O:$O,$B688,DATA!$N:$N,$A688,DATA!$M:$M,'SALES BY SYSTEM'!$O$1)</f>
        <v>0</v>
      </c>
      <c r="N685" s="182">
        <v>0</v>
      </c>
      <c r="O685" s="180" t="str">
        <f t="shared" si="111"/>
        <v/>
      </c>
      <c r="P685" s="218">
        <f>SUMIFS(DATA!$L:$L,DATA!$O:$O,$B688,DATA!$N:$N,$A688,DATA!$M:$M,'SALES BY SYSTEM'!$O$2)</f>
        <v>0</v>
      </c>
      <c r="Q685" s="182">
        <v>0</v>
      </c>
      <c r="R685" s="180" t="str">
        <f t="shared" si="112"/>
        <v/>
      </c>
      <c r="S685" s="218">
        <f>SUMIFS(DATA!$L:$L,DATA!$O:$O,$B688,DATA!$N:$N,$A688,DATA!$M:$M,'SALES BY SYSTEM'!$O$4)</f>
        <v>0</v>
      </c>
      <c r="T685" s="182">
        <v>0</v>
      </c>
      <c r="U685" s="180" t="str">
        <f t="shared" si="113"/>
        <v/>
      </c>
      <c r="V685" s="218">
        <f>SUMIFS(DATA!$L:$L,DATA!$O:$O,$B688,DATA!$N:$N,$A688,DATA!$M:$M,'SALES BY SYSTEM'!$O$3)</f>
        <v>0</v>
      </c>
      <c r="W685" s="168"/>
    </row>
    <row r="686" spans="1:23" ht="15.75" customHeight="1" x14ac:dyDescent="0.25">
      <c r="A686" s="178" t="s">
        <v>2003</v>
      </c>
      <c r="B686" s="178" t="s">
        <v>1755</v>
      </c>
      <c r="C686" s="178" t="str">
        <f>VLOOKUP(A686,CUSTOMER!$A:$C,3,0)</f>
        <v>SATRA_F1136DS8</v>
      </c>
      <c r="D686" s="178" t="s">
        <v>674</v>
      </c>
      <c r="E686" s="178" t="str">
        <f>VLOOKUP(A689,CUSTOMER!$A$2:$H$1094,5,0)</f>
        <v>VACANCY</v>
      </c>
      <c r="F686" s="178" t="str">
        <f>VLOOKUP(A689,CUSTOMER!$A$2:$I$1094,6,0)</f>
        <v>VACANCY</v>
      </c>
      <c r="G686" s="178" t="s">
        <v>676</v>
      </c>
      <c r="H686" s="179">
        <f t="shared" si="108"/>
        <v>0</v>
      </c>
      <c r="I686" s="180" t="str">
        <f t="shared" si="109"/>
        <v/>
      </c>
      <c r="J686" s="181">
        <f t="shared" si="110"/>
        <v>0</v>
      </c>
      <c r="K686" s="182">
        <v>0</v>
      </c>
      <c r="L686" s="180" t="str">
        <f t="shared" si="114"/>
        <v/>
      </c>
      <c r="M686" s="218">
        <f>SUMIFS(DATA!$L:$L,DATA!$O:$O,$B689,DATA!$N:$N,$A689,DATA!$M:$M,'SALES BY SYSTEM'!$O$1)</f>
        <v>0</v>
      </c>
      <c r="N686" s="182">
        <v>0</v>
      </c>
      <c r="O686" s="180" t="str">
        <f t="shared" si="111"/>
        <v/>
      </c>
      <c r="P686" s="218">
        <f>SUMIFS(DATA!$L:$L,DATA!$O:$O,$B689,DATA!$N:$N,$A689,DATA!$M:$M,'SALES BY SYSTEM'!$O$2)</f>
        <v>0</v>
      </c>
      <c r="Q686" s="182">
        <v>0</v>
      </c>
      <c r="R686" s="180" t="str">
        <f t="shared" si="112"/>
        <v/>
      </c>
      <c r="S686" s="218">
        <f>SUMIFS(DATA!$L:$L,DATA!$O:$O,$B689,DATA!$N:$N,$A689,DATA!$M:$M,'SALES BY SYSTEM'!$O$4)</f>
        <v>0</v>
      </c>
      <c r="T686" s="182">
        <v>0</v>
      </c>
      <c r="U686" s="180" t="str">
        <f t="shared" si="113"/>
        <v/>
      </c>
      <c r="V686" s="218">
        <f>SUMIFS(DATA!$L:$L,DATA!$O:$O,$B689,DATA!$N:$N,$A689,DATA!$M:$M,'SALES BY SYSTEM'!$O$3)</f>
        <v>0</v>
      </c>
      <c r="W686" s="168"/>
    </row>
    <row r="687" spans="1:23" ht="15.75" customHeight="1" x14ac:dyDescent="0.25">
      <c r="A687" s="178" t="s">
        <v>2005</v>
      </c>
      <c r="B687" s="178" t="s">
        <v>1755</v>
      </c>
      <c r="C687" s="178" t="str">
        <f>VLOOKUP(A687,CUSTOMER!$A:$C,3,0)</f>
        <v>SATRA_F1137TL8</v>
      </c>
      <c r="D687" s="178" t="s">
        <v>674</v>
      </c>
      <c r="E687" s="178" t="str">
        <f>VLOOKUP(A690,CUSTOMER!$A$2:$H$1094,5,0)</f>
        <v>VACANCY</v>
      </c>
      <c r="F687" s="178" t="str">
        <f>VLOOKUP(A690,CUSTOMER!$A$2:$I$1094,6,0)</f>
        <v>VACANCY</v>
      </c>
      <c r="G687" s="178" t="s">
        <v>676</v>
      </c>
      <c r="H687" s="179">
        <f t="shared" si="108"/>
        <v>0</v>
      </c>
      <c r="I687" s="180" t="str">
        <f t="shared" si="109"/>
        <v/>
      </c>
      <c r="J687" s="181">
        <f t="shared" si="110"/>
        <v>0</v>
      </c>
      <c r="K687" s="182">
        <v>0</v>
      </c>
      <c r="L687" s="180" t="str">
        <f t="shared" si="114"/>
        <v/>
      </c>
      <c r="M687" s="218">
        <f>SUMIFS(DATA!$L:$L,DATA!$O:$O,$B690,DATA!$N:$N,$A690,DATA!$M:$M,'SALES BY SYSTEM'!$O$1)</f>
        <v>0</v>
      </c>
      <c r="N687" s="182">
        <v>0</v>
      </c>
      <c r="O687" s="180" t="str">
        <f t="shared" si="111"/>
        <v/>
      </c>
      <c r="P687" s="218">
        <f>SUMIFS(DATA!$L:$L,DATA!$O:$O,$B690,DATA!$N:$N,$A690,DATA!$M:$M,'SALES BY SYSTEM'!$O$2)</f>
        <v>0</v>
      </c>
      <c r="Q687" s="182">
        <v>0</v>
      </c>
      <c r="R687" s="180" t="str">
        <f t="shared" si="112"/>
        <v/>
      </c>
      <c r="S687" s="218">
        <f>SUMIFS(DATA!$L:$L,DATA!$O:$O,$B690,DATA!$N:$N,$A690,DATA!$M:$M,'SALES BY SYSTEM'!$O$4)</f>
        <v>0</v>
      </c>
      <c r="T687" s="182">
        <v>0</v>
      </c>
      <c r="U687" s="180" t="str">
        <f t="shared" si="113"/>
        <v/>
      </c>
      <c r="V687" s="218">
        <f>SUMIFS(DATA!$L:$L,DATA!$O:$O,$B690,DATA!$N:$N,$A690,DATA!$M:$M,'SALES BY SYSTEM'!$O$3)</f>
        <v>0</v>
      </c>
      <c r="W687" s="168"/>
    </row>
    <row r="688" spans="1:23" ht="15.75" customHeight="1" x14ac:dyDescent="0.25">
      <c r="A688" s="178" t="s">
        <v>2007</v>
      </c>
      <c r="B688" s="178" t="s">
        <v>1755</v>
      </c>
      <c r="C688" s="178" t="str">
        <f>VLOOKUP(A688,CUSTOMER!$A:$C,3,0)</f>
        <v>SATRA_F1138LBH</v>
      </c>
      <c r="D688" s="178" t="s">
        <v>674</v>
      </c>
      <c r="E688" s="178" t="str">
        <f>VLOOKUP(A691,CUSTOMER!$A$2:$H$1094,5,0)</f>
        <v>VACANCY</v>
      </c>
      <c r="F688" s="178" t="str">
        <f>VLOOKUP(A691,CUSTOMER!$A$2:$I$1094,6,0)</f>
        <v>VACANCY</v>
      </c>
      <c r="G688" s="178" t="s">
        <v>676</v>
      </c>
      <c r="H688" s="179">
        <f t="shared" si="108"/>
        <v>0</v>
      </c>
      <c r="I688" s="180" t="str">
        <f t="shared" si="109"/>
        <v/>
      </c>
      <c r="J688" s="181">
        <f t="shared" si="110"/>
        <v>0</v>
      </c>
      <c r="K688" s="182">
        <v>0</v>
      </c>
      <c r="L688" s="180" t="str">
        <f t="shared" si="114"/>
        <v/>
      </c>
      <c r="M688" s="218">
        <f>SUMIFS(DATA!$L:$L,DATA!$O:$O,$B691,DATA!$N:$N,$A691,DATA!$M:$M,'SALES BY SYSTEM'!$O$1)</f>
        <v>0</v>
      </c>
      <c r="N688" s="182">
        <v>0</v>
      </c>
      <c r="O688" s="180" t="str">
        <f t="shared" si="111"/>
        <v/>
      </c>
      <c r="P688" s="218">
        <f>SUMIFS(DATA!$L:$L,DATA!$O:$O,$B691,DATA!$N:$N,$A691,DATA!$M:$M,'SALES BY SYSTEM'!$O$2)</f>
        <v>0</v>
      </c>
      <c r="Q688" s="182">
        <v>0</v>
      </c>
      <c r="R688" s="180" t="str">
        <f t="shared" si="112"/>
        <v/>
      </c>
      <c r="S688" s="218">
        <f>SUMIFS(DATA!$L:$L,DATA!$O:$O,$B691,DATA!$N:$N,$A691,DATA!$M:$M,'SALES BY SYSTEM'!$O$4)</f>
        <v>0</v>
      </c>
      <c r="T688" s="182">
        <v>0</v>
      </c>
      <c r="U688" s="180" t="str">
        <f t="shared" si="113"/>
        <v/>
      </c>
      <c r="V688" s="218">
        <f>SUMIFS(DATA!$L:$L,DATA!$O:$O,$B691,DATA!$N:$N,$A691,DATA!$M:$M,'SALES BY SYSTEM'!$O$3)</f>
        <v>0</v>
      </c>
      <c r="W688" s="168"/>
    </row>
    <row r="689" spans="1:23" ht="15.75" customHeight="1" x14ac:dyDescent="0.25">
      <c r="A689" s="178" t="s">
        <v>2009</v>
      </c>
      <c r="B689" s="178" t="s">
        <v>1755</v>
      </c>
      <c r="C689" s="178" t="str">
        <f>VLOOKUP(A689,CUSTOMER!$A:$C,3,0)</f>
        <v>SATRA_F1139DS2</v>
      </c>
      <c r="D689" s="178" t="s">
        <v>674</v>
      </c>
      <c r="E689" s="178" t="str">
        <f>VLOOKUP(A692,CUSTOMER!$A$2:$H$1094,5,0)</f>
        <v>VACANCY</v>
      </c>
      <c r="F689" s="178" t="str">
        <f>VLOOKUP(A692,CUSTOMER!$A$2:$I$1094,6,0)</f>
        <v>VACANCY</v>
      </c>
      <c r="G689" s="178" t="s">
        <v>676</v>
      </c>
      <c r="H689" s="179">
        <f t="shared" si="108"/>
        <v>0</v>
      </c>
      <c r="I689" s="180" t="str">
        <f t="shared" si="109"/>
        <v/>
      </c>
      <c r="J689" s="181">
        <f t="shared" si="110"/>
        <v>0</v>
      </c>
      <c r="K689" s="182">
        <v>0</v>
      </c>
      <c r="L689" s="180" t="str">
        <f t="shared" si="114"/>
        <v/>
      </c>
      <c r="M689" s="218">
        <f>SUMIFS(DATA!$L:$L,DATA!$O:$O,$B692,DATA!$N:$N,$A692,DATA!$M:$M,'SALES BY SYSTEM'!$O$1)</f>
        <v>0</v>
      </c>
      <c r="N689" s="182">
        <v>0</v>
      </c>
      <c r="O689" s="180" t="str">
        <f t="shared" si="111"/>
        <v/>
      </c>
      <c r="P689" s="218">
        <f>SUMIFS(DATA!$L:$L,DATA!$O:$O,$B692,DATA!$N:$N,$A692,DATA!$M:$M,'SALES BY SYSTEM'!$O$2)</f>
        <v>0</v>
      </c>
      <c r="Q689" s="182">
        <v>0</v>
      </c>
      <c r="R689" s="180" t="str">
        <f t="shared" si="112"/>
        <v/>
      </c>
      <c r="S689" s="218">
        <f>SUMIFS(DATA!$L:$L,DATA!$O:$O,$B692,DATA!$N:$N,$A692,DATA!$M:$M,'SALES BY SYSTEM'!$O$4)</f>
        <v>0</v>
      </c>
      <c r="T689" s="182">
        <v>0</v>
      </c>
      <c r="U689" s="180" t="str">
        <f t="shared" si="113"/>
        <v/>
      </c>
      <c r="V689" s="218">
        <f>SUMIFS(DATA!$L:$L,DATA!$O:$O,$B692,DATA!$N:$N,$A692,DATA!$M:$M,'SALES BY SYSTEM'!$O$3)</f>
        <v>0</v>
      </c>
      <c r="W689" s="168"/>
    </row>
    <row r="690" spans="1:23" ht="15.75" customHeight="1" x14ac:dyDescent="0.25">
      <c r="A690" s="178" t="s">
        <v>2011</v>
      </c>
      <c r="B690" s="178" t="s">
        <v>1755</v>
      </c>
      <c r="C690" s="178" t="str">
        <f>VLOOKUP(A690,CUSTOMER!$A:$C,3,0)</f>
        <v>SATRA_F1140TVD</v>
      </c>
      <c r="D690" s="178" t="s">
        <v>674</v>
      </c>
      <c r="E690" s="178" t="str">
        <f>VLOOKUP(A693,CUSTOMER!$A$2:$H$1094,5,0)</f>
        <v>VACANCY</v>
      </c>
      <c r="F690" s="178" t="str">
        <f>VLOOKUP(A693,CUSTOMER!$A$2:$I$1094,6,0)</f>
        <v>VACANCY</v>
      </c>
      <c r="G690" s="178" t="s">
        <v>676</v>
      </c>
      <c r="H690" s="179">
        <f t="shared" si="108"/>
        <v>0</v>
      </c>
      <c r="I690" s="180" t="str">
        <f t="shared" si="109"/>
        <v/>
      </c>
      <c r="J690" s="181">
        <f t="shared" si="110"/>
        <v>0</v>
      </c>
      <c r="K690" s="182">
        <v>0</v>
      </c>
      <c r="L690" s="180" t="str">
        <f t="shared" si="114"/>
        <v/>
      </c>
      <c r="M690" s="218">
        <f>SUMIFS(DATA!$L:$L,DATA!$O:$O,$B693,DATA!$N:$N,$A693,DATA!$M:$M,'SALES BY SYSTEM'!$O$1)</f>
        <v>0</v>
      </c>
      <c r="N690" s="182">
        <v>0</v>
      </c>
      <c r="O690" s="180" t="str">
        <f t="shared" si="111"/>
        <v/>
      </c>
      <c r="P690" s="218">
        <f>SUMIFS(DATA!$L:$L,DATA!$O:$O,$B693,DATA!$N:$N,$A693,DATA!$M:$M,'SALES BY SYSTEM'!$O$2)</f>
        <v>0</v>
      </c>
      <c r="Q690" s="182">
        <v>0</v>
      </c>
      <c r="R690" s="180" t="str">
        <f t="shared" si="112"/>
        <v/>
      </c>
      <c r="S690" s="218">
        <f>SUMIFS(DATA!$L:$L,DATA!$O:$O,$B693,DATA!$N:$N,$A693,DATA!$M:$M,'SALES BY SYSTEM'!$O$4)</f>
        <v>0</v>
      </c>
      <c r="T690" s="182">
        <v>0</v>
      </c>
      <c r="U690" s="180" t="str">
        <f t="shared" si="113"/>
        <v/>
      </c>
      <c r="V690" s="218">
        <f>SUMIFS(DATA!$L:$L,DATA!$O:$O,$B693,DATA!$N:$N,$A693,DATA!$M:$M,'SALES BY SYSTEM'!$O$3)</f>
        <v>0</v>
      </c>
      <c r="W690" s="168"/>
    </row>
    <row r="691" spans="1:23" ht="15.75" customHeight="1" x14ac:dyDescent="0.25">
      <c r="A691" s="178" t="s">
        <v>2013</v>
      </c>
      <c r="B691" s="178" t="s">
        <v>1755</v>
      </c>
      <c r="C691" s="178" t="str">
        <f>VLOOKUP(A691,CUSTOMER!$A:$C,3,0)</f>
        <v>SATRA_F1141TCH</v>
      </c>
      <c r="D691" s="178" t="s">
        <v>674</v>
      </c>
      <c r="E691" s="178" t="str">
        <f>VLOOKUP(A694,CUSTOMER!$A$2:$H$1094,5,0)</f>
        <v>VACANCY</v>
      </c>
      <c r="F691" s="178" t="str">
        <f>VLOOKUP(A694,CUSTOMER!$A$2:$I$1094,6,0)</f>
        <v>VACANCY</v>
      </c>
      <c r="G691" s="178" t="s">
        <v>676</v>
      </c>
      <c r="H691" s="179">
        <f t="shared" si="108"/>
        <v>0</v>
      </c>
      <c r="I691" s="180" t="str">
        <f t="shared" si="109"/>
        <v/>
      </c>
      <c r="J691" s="181">
        <f t="shared" si="110"/>
        <v>0</v>
      </c>
      <c r="K691" s="182">
        <v>0</v>
      </c>
      <c r="L691" s="180" t="str">
        <f t="shared" si="114"/>
        <v/>
      </c>
      <c r="M691" s="218">
        <f>SUMIFS(DATA!$L:$L,DATA!$O:$O,$B694,DATA!$N:$N,$A694,DATA!$M:$M,'SALES BY SYSTEM'!$O$1)</f>
        <v>0</v>
      </c>
      <c r="N691" s="182">
        <v>0</v>
      </c>
      <c r="O691" s="180" t="str">
        <f t="shared" si="111"/>
        <v/>
      </c>
      <c r="P691" s="218">
        <f>SUMIFS(DATA!$L:$L,DATA!$O:$O,$B694,DATA!$N:$N,$A694,DATA!$M:$M,'SALES BY SYSTEM'!$O$2)</f>
        <v>0</v>
      </c>
      <c r="Q691" s="182">
        <v>0</v>
      </c>
      <c r="R691" s="180" t="str">
        <f t="shared" si="112"/>
        <v/>
      </c>
      <c r="S691" s="218">
        <f>SUMIFS(DATA!$L:$L,DATA!$O:$O,$B694,DATA!$N:$N,$A694,DATA!$M:$M,'SALES BY SYSTEM'!$O$4)</f>
        <v>0</v>
      </c>
      <c r="T691" s="182">
        <v>0</v>
      </c>
      <c r="U691" s="180" t="str">
        <f t="shared" si="113"/>
        <v/>
      </c>
      <c r="V691" s="218">
        <f>SUMIFS(DATA!$L:$L,DATA!$O:$O,$B694,DATA!$N:$N,$A694,DATA!$M:$M,'SALES BY SYSTEM'!$O$3)</f>
        <v>0</v>
      </c>
      <c r="W691" s="168"/>
    </row>
    <row r="692" spans="1:23" ht="15.75" customHeight="1" x14ac:dyDescent="0.25">
      <c r="A692" s="178" t="s">
        <v>2015</v>
      </c>
      <c r="B692" s="178" t="s">
        <v>1755</v>
      </c>
      <c r="C692" s="178" t="str">
        <f>VLOOKUP(A692,CUSTOMER!$A:$C,3,0)</f>
        <v>SATRA_F1142BCT</v>
      </c>
      <c r="D692" s="178" t="s">
        <v>674</v>
      </c>
      <c r="E692" s="178" t="str">
        <f>VLOOKUP(A695,CUSTOMER!$A$2:$H$1094,5,0)</f>
        <v>VACANCY</v>
      </c>
      <c r="F692" s="178" t="str">
        <f>VLOOKUP(A695,CUSTOMER!$A$2:$I$1094,6,0)</f>
        <v>VACANCY</v>
      </c>
      <c r="G692" s="178" t="s">
        <v>676</v>
      </c>
      <c r="H692" s="179">
        <f t="shared" si="108"/>
        <v>0</v>
      </c>
      <c r="I692" s="180" t="str">
        <f t="shared" si="109"/>
        <v/>
      </c>
      <c r="J692" s="181">
        <f t="shared" si="110"/>
        <v>0</v>
      </c>
      <c r="K692" s="182">
        <v>0</v>
      </c>
      <c r="L692" s="180" t="str">
        <f t="shared" si="114"/>
        <v/>
      </c>
      <c r="M692" s="218">
        <f>SUMIFS(DATA!$L:$L,DATA!$O:$O,$B695,DATA!$N:$N,$A695,DATA!$M:$M,'SALES BY SYSTEM'!$O$1)</f>
        <v>0</v>
      </c>
      <c r="N692" s="182">
        <v>0</v>
      </c>
      <c r="O692" s="180" t="str">
        <f t="shared" si="111"/>
        <v/>
      </c>
      <c r="P692" s="218">
        <f>SUMIFS(DATA!$L:$L,DATA!$O:$O,$B695,DATA!$N:$N,$A695,DATA!$M:$M,'SALES BY SYSTEM'!$O$2)</f>
        <v>0</v>
      </c>
      <c r="Q692" s="182">
        <v>0</v>
      </c>
      <c r="R692" s="180" t="str">
        <f t="shared" si="112"/>
        <v/>
      </c>
      <c r="S692" s="218">
        <f>SUMIFS(DATA!$L:$L,DATA!$O:$O,$B695,DATA!$N:$N,$A695,DATA!$M:$M,'SALES BY SYSTEM'!$O$4)</f>
        <v>0</v>
      </c>
      <c r="T692" s="182">
        <v>0</v>
      </c>
      <c r="U692" s="180" t="str">
        <f t="shared" si="113"/>
        <v/>
      </c>
      <c r="V692" s="218">
        <f>SUMIFS(DATA!$L:$L,DATA!$O:$O,$B695,DATA!$N:$N,$A695,DATA!$M:$M,'SALES BY SYSTEM'!$O$3)</f>
        <v>0</v>
      </c>
      <c r="W692" s="168"/>
    </row>
    <row r="693" spans="1:23" ht="15.75" customHeight="1" x14ac:dyDescent="0.25">
      <c r="A693" s="178" t="s">
        <v>2017</v>
      </c>
      <c r="B693" s="178" t="s">
        <v>1755</v>
      </c>
      <c r="C693" s="178" t="str">
        <f>VLOOKUP(A693,CUSTOMER!$A:$C,3,0)</f>
        <v>SATRA_F1143CL</v>
      </c>
      <c r="D693" s="178" t="s">
        <v>674</v>
      </c>
      <c r="E693" s="178" t="str">
        <f>VLOOKUP(A696,CUSTOMER!$A$2:$H$1094,5,0)</f>
        <v>VACANCY</v>
      </c>
      <c r="F693" s="178" t="str">
        <f>VLOOKUP(A696,CUSTOMER!$A$2:$I$1094,6,0)</f>
        <v>VACANCY</v>
      </c>
      <c r="G693" s="178" t="s">
        <v>676</v>
      </c>
      <c r="H693" s="179">
        <f t="shared" si="108"/>
        <v>0</v>
      </c>
      <c r="I693" s="180" t="str">
        <f t="shared" si="109"/>
        <v/>
      </c>
      <c r="J693" s="181">
        <f t="shared" si="110"/>
        <v>0</v>
      </c>
      <c r="K693" s="182">
        <v>0</v>
      </c>
      <c r="L693" s="180" t="str">
        <f t="shared" si="114"/>
        <v/>
      </c>
      <c r="M693" s="218">
        <f>SUMIFS(DATA!$L:$L,DATA!$O:$O,$B696,DATA!$N:$N,$A696,DATA!$M:$M,'SALES BY SYSTEM'!$O$1)</f>
        <v>0</v>
      </c>
      <c r="N693" s="182">
        <v>0</v>
      </c>
      <c r="O693" s="180" t="str">
        <f t="shared" si="111"/>
        <v/>
      </c>
      <c r="P693" s="218">
        <f>SUMIFS(DATA!$L:$L,DATA!$O:$O,$B696,DATA!$N:$N,$A696,DATA!$M:$M,'SALES BY SYSTEM'!$O$2)</f>
        <v>0</v>
      </c>
      <c r="Q693" s="182">
        <v>0</v>
      </c>
      <c r="R693" s="180" t="str">
        <f t="shared" si="112"/>
        <v/>
      </c>
      <c r="S693" s="218">
        <f>SUMIFS(DATA!$L:$L,DATA!$O:$O,$B696,DATA!$N:$N,$A696,DATA!$M:$M,'SALES BY SYSTEM'!$O$4)</f>
        <v>0</v>
      </c>
      <c r="T693" s="182">
        <v>0</v>
      </c>
      <c r="U693" s="180" t="str">
        <f t="shared" si="113"/>
        <v/>
      </c>
      <c r="V693" s="218">
        <f>SUMIFS(DATA!$L:$L,DATA!$O:$O,$B696,DATA!$N:$N,$A696,DATA!$M:$M,'SALES BY SYSTEM'!$O$3)</f>
        <v>0</v>
      </c>
      <c r="W693" s="168"/>
    </row>
    <row r="694" spans="1:23" ht="15.75" customHeight="1" x14ac:dyDescent="0.25">
      <c r="A694" s="178" t="s">
        <v>2019</v>
      </c>
      <c r="B694" s="178" t="s">
        <v>1755</v>
      </c>
      <c r="C694" s="178" t="str">
        <f>VLOOKUP(A694,CUSTOMER!$A:$C,3,0)</f>
        <v>SATRA_F1144NB</v>
      </c>
      <c r="D694" s="178" t="s">
        <v>674</v>
      </c>
      <c r="E694" s="178" t="str">
        <f>VLOOKUP(A697,CUSTOMER!$A$2:$H$1094,5,0)</f>
        <v>VACANCY</v>
      </c>
      <c r="F694" s="178" t="str">
        <f>VLOOKUP(A697,CUSTOMER!$A$2:$I$1094,6,0)</f>
        <v>VACANCY</v>
      </c>
      <c r="G694" s="178" t="s">
        <v>676</v>
      </c>
      <c r="H694" s="179">
        <f t="shared" si="108"/>
        <v>0</v>
      </c>
      <c r="I694" s="180" t="str">
        <f t="shared" si="109"/>
        <v/>
      </c>
      <c r="J694" s="181">
        <f t="shared" si="110"/>
        <v>0</v>
      </c>
      <c r="K694" s="182">
        <v>0</v>
      </c>
      <c r="L694" s="180" t="str">
        <f t="shared" si="114"/>
        <v/>
      </c>
      <c r="M694" s="218">
        <f>SUMIFS(DATA!$L:$L,DATA!$O:$O,$B697,DATA!$N:$N,$A697,DATA!$M:$M,'SALES BY SYSTEM'!$O$1)</f>
        <v>0</v>
      </c>
      <c r="N694" s="182">
        <v>0</v>
      </c>
      <c r="O694" s="180" t="str">
        <f t="shared" si="111"/>
        <v/>
      </c>
      <c r="P694" s="218">
        <f>SUMIFS(DATA!$L:$L,DATA!$O:$O,$B697,DATA!$N:$N,$A697,DATA!$M:$M,'SALES BY SYSTEM'!$O$2)</f>
        <v>0</v>
      </c>
      <c r="Q694" s="182">
        <v>0</v>
      </c>
      <c r="R694" s="180" t="str">
        <f t="shared" si="112"/>
        <v/>
      </c>
      <c r="S694" s="218">
        <f>SUMIFS(DATA!$L:$L,DATA!$O:$O,$B697,DATA!$N:$N,$A697,DATA!$M:$M,'SALES BY SYSTEM'!$O$4)</f>
        <v>0</v>
      </c>
      <c r="T694" s="182">
        <v>0</v>
      </c>
      <c r="U694" s="180" t="str">
        <f t="shared" si="113"/>
        <v/>
      </c>
      <c r="V694" s="218">
        <f>SUMIFS(DATA!$L:$L,DATA!$O:$O,$B697,DATA!$N:$N,$A697,DATA!$M:$M,'SALES BY SYSTEM'!$O$3)</f>
        <v>0</v>
      </c>
      <c r="W694" s="168"/>
    </row>
    <row r="695" spans="1:23" ht="15.75" customHeight="1" x14ac:dyDescent="0.25">
      <c r="A695" s="178" t="s">
        <v>2021</v>
      </c>
      <c r="B695" s="178" t="s">
        <v>1755</v>
      </c>
      <c r="C695" s="178" t="str">
        <f>VLOOKUP(A695,CUSTOMER!$A:$C,3,0)</f>
        <v>SATRA_F1145LVB</v>
      </c>
      <c r="D695" s="178" t="s">
        <v>674</v>
      </c>
      <c r="E695" s="178" t="str">
        <f>VLOOKUP(A698,CUSTOMER!$A$2:$H$1094,5,0)</f>
        <v>VACANCY</v>
      </c>
      <c r="F695" s="178" t="str">
        <f>VLOOKUP(A698,CUSTOMER!$A$2:$I$1094,6,0)</f>
        <v>VACANCY</v>
      </c>
      <c r="G695" s="178" t="s">
        <v>676</v>
      </c>
      <c r="H695" s="179">
        <f t="shared" si="108"/>
        <v>0</v>
      </c>
      <c r="I695" s="180" t="str">
        <f t="shared" si="109"/>
        <v/>
      </c>
      <c r="J695" s="181">
        <f t="shared" si="110"/>
        <v>0</v>
      </c>
      <c r="K695" s="182">
        <v>0</v>
      </c>
      <c r="L695" s="180" t="str">
        <f t="shared" si="114"/>
        <v/>
      </c>
      <c r="M695" s="218">
        <f>SUMIFS(DATA!$L:$L,DATA!$O:$O,$B698,DATA!$N:$N,$A698,DATA!$M:$M,'SALES BY SYSTEM'!$O$1)</f>
        <v>0</v>
      </c>
      <c r="N695" s="182">
        <v>0</v>
      </c>
      <c r="O695" s="180" t="str">
        <f t="shared" si="111"/>
        <v/>
      </c>
      <c r="P695" s="218">
        <f>SUMIFS(DATA!$L:$L,DATA!$O:$O,$B698,DATA!$N:$N,$A698,DATA!$M:$M,'SALES BY SYSTEM'!$O$2)</f>
        <v>0</v>
      </c>
      <c r="Q695" s="182">
        <v>0</v>
      </c>
      <c r="R695" s="180" t="str">
        <f t="shared" si="112"/>
        <v/>
      </c>
      <c r="S695" s="218">
        <f>SUMIFS(DATA!$L:$L,DATA!$O:$O,$B698,DATA!$N:$N,$A698,DATA!$M:$M,'SALES BY SYSTEM'!$O$4)</f>
        <v>0</v>
      </c>
      <c r="T695" s="182">
        <v>0</v>
      </c>
      <c r="U695" s="180" t="str">
        <f t="shared" si="113"/>
        <v/>
      </c>
      <c r="V695" s="218">
        <f>SUMIFS(DATA!$L:$L,DATA!$O:$O,$B698,DATA!$N:$N,$A698,DATA!$M:$M,'SALES BY SYSTEM'!$O$3)</f>
        <v>0</v>
      </c>
      <c r="W695" s="168"/>
    </row>
    <row r="696" spans="1:23" ht="15.75" customHeight="1" x14ac:dyDescent="0.25">
      <c r="A696" s="178" t="s">
        <v>2023</v>
      </c>
      <c r="B696" s="178" t="s">
        <v>1755</v>
      </c>
      <c r="C696" s="178" t="str">
        <f>VLOOKUP(A696,CUSTOMER!$A:$C,3,0)</f>
        <v>SATRA_F1146ADV2</v>
      </c>
      <c r="D696" s="178" t="s">
        <v>674</v>
      </c>
      <c r="E696" s="178" t="str">
        <f>VLOOKUP(A699,CUSTOMER!$A$2:$H$1094,5,0)</f>
        <v>VACANCY</v>
      </c>
      <c r="F696" s="178" t="str">
        <f>VLOOKUP(A699,CUSTOMER!$A$2:$I$1094,6,0)</f>
        <v>VACANCY</v>
      </c>
      <c r="G696" s="178" t="s">
        <v>676</v>
      </c>
      <c r="H696" s="179">
        <f t="shared" si="108"/>
        <v>0</v>
      </c>
      <c r="I696" s="180" t="str">
        <f t="shared" si="109"/>
        <v/>
      </c>
      <c r="J696" s="181">
        <f t="shared" si="110"/>
        <v>0</v>
      </c>
      <c r="K696" s="182">
        <v>0</v>
      </c>
      <c r="L696" s="180" t="str">
        <f t="shared" si="114"/>
        <v/>
      </c>
      <c r="M696" s="218">
        <f>SUMIFS(DATA!$L:$L,DATA!$O:$O,$B699,DATA!$N:$N,$A699,DATA!$M:$M,'SALES BY SYSTEM'!$O$1)</f>
        <v>0</v>
      </c>
      <c r="N696" s="182">
        <v>0</v>
      </c>
      <c r="O696" s="180" t="str">
        <f t="shared" si="111"/>
        <v/>
      </c>
      <c r="P696" s="218">
        <f>SUMIFS(DATA!$L:$L,DATA!$O:$O,$B699,DATA!$N:$N,$A699,DATA!$M:$M,'SALES BY SYSTEM'!$O$2)</f>
        <v>0</v>
      </c>
      <c r="Q696" s="182">
        <v>0</v>
      </c>
      <c r="R696" s="180" t="str">
        <f t="shared" si="112"/>
        <v/>
      </c>
      <c r="S696" s="218">
        <f>SUMIFS(DATA!$L:$L,DATA!$O:$O,$B699,DATA!$N:$N,$A699,DATA!$M:$M,'SALES BY SYSTEM'!$O$4)</f>
        <v>0</v>
      </c>
      <c r="T696" s="182">
        <v>0</v>
      </c>
      <c r="U696" s="180" t="str">
        <f t="shared" si="113"/>
        <v/>
      </c>
      <c r="V696" s="218">
        <f>SUMIFS(DATA!$L:$L,DATA!$O:$O,$B699,DATA!$N:$N,$A699,DATA!$M:$M,'SALES BY SYSTEM'!$O$3)</f>
        <v>0</v>
      </c>
      <c r="W696" s="168"/>
    </row>
    <row r="697" spans="1:23" ht="15.75" customHeight="1" x14ac:dyDescent="0.25">
      <c r="A697" s="178" t="s">
        <v>2025</v>
      </c>
      <c r="B697" s="178" t="s">
        <v>1755</v>
      </c>
      <c r="C697" s="178" t="str">
        <f>VLOOKUP(A697,CUSTOMER!$A:$C,3,0)</f>
        <v>SATRA_F1147DCK</v>
      </c>
      <c r="D697" s="178" t="s">
        <v>674</v>
      </c>
      <c r="E697" s="178" t="str">
        <f>VLOOKUP(A700,CUSTOMER!$A$2:$H$1094,5,0)</f>
        <v>VACANCY</v>
      </c>
      <c r="F697" s="178" t="str">
        <f>VLOOKUP(A700,CUSTOMER!$A$2:$I$1094,6,0)</f>
        <v>VACANCY</v>
      </c>
      <c r="G697" s="178" t="s">
        <v>676</v>
      </c>
      <c r="H697" s="179">
        <f t="shared" si="108"/>
        <v>0</v>
      </c>
      <c r="I697" s="180" t="str">
        <f t="shared" si="109"/>
        <v/>
      </c>
      <c r="J697" s="181">
        <f t="shared" si="110"/>
        <v>0</v>
      </c>
      <c r="K697" s="182">
        <v>0</v>
      </c>
      <c r="L697" s="180" t="str">
        <f t="shared" si="114"/>
        <v/>
      </c>
      <c r="M697" s="218">
        <f>SUMIFS(DATA!$L:$L,DATA!$O:$O,$B700,DATA!$N:$N,$A700,DATA!$M:$M,'SALES BY SYSTEM'!$O$1)</f>
        <v>0</v>
      </c>
      <c r="N697" s="182">
        <v>0</v>
      </c>
      <c r="O697" s="180" t="str">
        <f t="shared" si="111"/>
        <v/>
      </c>
      <c r="P697" s="218">
        <f>SUMIFS(DATA!$L:$L,DATA!$O:$O,$B700,DATA!$N:$N,$A700,DATA!$M:$M,'SALES BY SYSTEM'!$O$2)</f>
        <v>0</v>
      </c>
      <c r="Q697" s="182">
        <v>0</v>
      </c>
      <c r="R697" s="180" t="str">
        <f t="shared" si="112"/>
        <v/>
      </c>
      <c r="S697" s="218">
        <f>SUMIFS(DATA!$L:$L,DATA!$O:$O,$B700,DATA!$N:$N,$A700,DATA!$M:$M,'SALES BY SYSTEM'!$O$4)</f>
        <v>0</v>
      </c>
      <c r="T697" s="182">
        <v>0</v>
      </c>
      <c r="U697" s="180" t="str">
        <f t="shared" si="113"/>
        <v/>
      </c>
      <c r="V697" s="218">
        <f>SUMIFS(DATA!$L:$L,DATA!$O:$O,$B700,DATA!$N:$N,$A700,DATA!$M:$M,'SALES BY SYSTEM'!$O$3)</f>
        <v>0</v>
      </c>
      <c r="W697" s="168"/>
    </row>
    <row r="698" spans="1:23" ht="15.75" customHeight="1" x14ac:dyDescent="0.25">
      <c r="A698" s="178" t="s">
        <v>2027</v>
      </c>
      <c r="B698" s="178" t="s">
        <v>1755</v>
      </c>
      <c r="C698" s="178" t="str">
        <f>VLOOKUP(A698,CUSTOMER!$A:$C,3,0)</f>
        <v>SATRA_F1148LLQ</v>
      </c>
      <c r="D698" s="178" t="s">
        <v>674</v>
      </c>
      <c r="E698" s="178" t="str">
        <f>VLOOKUP(A701,CUSTOMER!$A$2:$H$1094,5,0)</f>
        <v>VACANCY</v>
      </c>
      <c r="F698" s="178" t="str">
        <f>VLOOKUP(A701,CUSTOMER!$A$2:$I$1094,6,0)</f>
        <v>VACANCY</v>
      </c>
      <c r="G698" s="178" t="s">
        <v>676</v>
      </c>
      <c r="H698" s="179">
        <f t="shared" si="108"/>
        <v>0</v>
      </c>
      <c r="I698" s="180" t="str">
        <f t="shared" si="109"/>
        <v/>
      </c>
      <c r="J698" s="181">
        <f t="shared" si="110"/>
        <v>0</v>
      </c>
      <c r="K698" s="182">
        <v>0</v>
      </c>
      <c r="L698" s="180" t="str">
        <f t="shared" si="114"/>
        <v/>
      </c>
      <c r="M698" s="218">
        <f>SUMIFS(DATA!$L:$L,DATA!$O:$O,$B701,DATA!$N:$N,$A701,DATA!$M:$M,'SALES BY SYSTEM'!$O$1)</f>
        <v>0</v>
      </c>
      <c r="N698" s="182">
        <v>0</v>
      </c>
      <c r="O698" s="180" t="str">
        <f t="shared" si="111"/>
        <v/>
      </c>
      <c r="P698" s="218">
        <f>SUMIFS(DATA!$L:$L,DATA!$O:$O,$B701,DATA!$N:$N,$A701,DATA!$M:$M,'SALES BY SYSTEM'!$O$2)</f>
        <v>0</v>
      </c>
      <c r="Q698" s="182">
        <v>0</v>
      </c>
      <c r="R698" s="180" t="str">
        <f t="shared" si="112"/>
        <v/>
      </c>
      <c r="S698" s="218">
        <f>SUMIFS(DATA!$L:$L,DATA!$O:$O,$B701,DATA!$N:$N,$A701,DATA!$M:$M,'SALES BY SYSTEM'!$O$4)</f>
        <v>0</v>
      </c>
      <c r="T698" s="182">
        <v>0</v>
      </c>
      <c r="U698" s="180" t="str">
        <f t="shared" si="113"/>
        <v/>
      </c>
      <c r="V698" s="218">
        <f>SUMIFS(DATA!$L:$L,DATA!$O:$O,$B701,DATA!$N:$N,$A701,DATA!$M:$M,'SALES BY SYSTEM'!$O$3)</f>
        <v>0</v>
      </c>
      <c r="W698" s="168"/>
    </row>
    <row r="699" spans="1:23" ht="15.75" customHeight="1" x14ac:dyDescent="0.25">
      <c r="A699" s="178" t="s">
        <v>2029</v>
      </c>
      <c r="B699" s="178" t="s">
        <v>1755</v>
      </c>
      <c r="C699" s="178" t="str">
        <f>VLOOKUP(A699,CUSTOMER!$A:$C,3,0)</f>
        <v>SATRA_F1149NDT</v>
      </c>
      <c r="D699" s="178" t="s">
        <v>674</v>
      </c>
      <c r="E699" s="178" t="str">
        <f>VLOOKUP(A702,CUSTOMER!$A$2:$H$1094,5,0)</f>
        <v>VACANCY</v>
      </c>
      <c r="F699" s="178" t="str">
        <f>VLOOKUP(A702,CUSTOMER!$A$2:$I$1094,6,0)</f>
        <v>VACANCY</v>
      </c>
      <c r="G699" s="178" t="s">
        <v>676</v>
      </c>
      <c r="H699" s="179">
        <f t="shared" si="108"/>
        <v>0</v>
      </c>
      <c r="I699" s="180" t="str">
        <f t="shared" si="109"/>
        <v/>
      </c>
      <c r="J699" s="181">
        <f t="shared" si="110"/>
        <v>0</v>
      </c>
      <c r="K699" s="182">
        <v>0</v>
      </c>
      <c r="L699" s="180" t="str">
        <f t="shared" si="114"/>
        <v/>
      </c>
      <c r="M699" s="218">
        <f>SUMIFS(DATA!$L:$L,DATA!$O:$O,$B702,DATA!$N:$N,$A702,DATA!$M:$M,'SALES BY SYSTEM'!$O$1)</f>
        <v>0</v>
      </c>
      <c r="N699" s="182">
        <v>0</v>
      </c>
      <c r="O699" s="180" t="str">
        <f t="shared" si="111"/>
        <v/>
      </c>
      <c r="P699" s="218">
        <f>SUMIFS(DATA!$L:$L,DATA!$O:$O,$B702,DATA!$N:$N,$A702,DATA!$M:$M,'SALES BY SYSTEM'!$O$2)</f>
        <v>0</v>
      </c>
      <c r="Q699" s="182">
        <v>0</v>
      </c>
      <c r="R699" s="180" t="str">
        <f t="shared" si="112"/>
        <v/>
      </c>
      <c r="S699" s="218">
        <f>SUMIFS(DATA!$L:$L,DATA!$O:$O,$B702,DATA!$N:$N,$A702,DATA!$M:$M,'SALES BY SYSTEM'!$O$4)</f>
        <v>0</v>
      </c>
      <c r="T699" s="182">
        <v>0</v>
      </c>
      <c r="U699" s="180" t="str">
        <f t="shared" si="113"/>
        <v/>
      </c>
      <c r="V699" s="218">
        <f>SUMIFS(DATA!$L:$L,DATA!$O:$O,$B702,DATA!$N:$N,$A702,DATA!$M:$M,'SALES BY SYSTEM'!$O$3)</f>
        <v>0</v>
      </c>
      <c r="W699" s="168"/>
    </row>
    <row r="700" spans="1:23" ht="15.75" customHeight="1" x14ac:dyDescent="0.25">
      <c r="A700" s="178" t="s">
        <v>2031</v>
      </c>
      <c r="B700" s="178" t="s">
        <v>1755</v>
      </c>
      <c r="C700" s="178" t="str">
        <f>VLOOKUP(A700,CUSTOMER!$A:$C,3,0)</f>
        <v>SATRA_F1150NTD</v>
      </c>
      <c r="D700" s="178" t="s">
        <v>674</v>
      </c>
      <c r="E700" s="178" t="str">
        <f>VLOOKUP(A703,CUSTOMER!$A$2:$H$1094,5,0)</f>
        <v>VACANCY</v>
      </c>
      <c r="F700" s="178" t="str">
        <f>VLOOKUP(A703,CUSTOMER!$A$2:$I$1094,6,0)</f>
        <v>VACANCY</v>
      </c>
      <c r="G700" s="178" t="s">
        <v>676</v>
      </c>
      <c r="H700" s="179">
        <f t="shared" si="108"/>
        <v>0</v>
      </c>
      <c r="I700" s="180" t="str">
        <f t="shared" si="109"/>
        <v/>
      </c>
      <c r="J700" s="181">
        <f t="shared" si="110"/>
        <v>0</v>
      </c>
      <c r="K700" s="182">
        <v>0</v>
      </c>
      <c r="L700" s="180" t="str">
        <f t="shared" si="114"/>
        <v/>
      </c>
      <c r="M700" s="218">
        <f>SUMIFS(DATA!$L:$L,DATA!$O:$O,$B703,DATA!$N:$N,$A703,DATA!$M:$M,'SALES BY SYSTEM'!$O$1)</f>
        <v>0</v>
      </c>
      <c r="N700" s="182">
        <v>0</v>
      </c>
      <c r="O700" s="180" t="str">
        <f t="shared" si="111"/>
        <v/>
      </c>
      <c r="P700" s="218">
        <f>SUMIFS(DATA!$L:$L,DATA!$O:$O,$B703,DATA!$N:$N,$A703,DATA!$M:$M,'SALES BY SYSTEM'!$O$2)</f>
        <v>0</v>
      </c>
      <c r="Q700" s="182">
        <v>0</v>
      </c>
      <c r="R700" s="180" t="str">
        <f t="shared" si="112"/>
        <v/>
      </c>
      <c r="S700" s="218">
        <f>SUMIFS(DATA!$L:$L,DATA!$O:$O,$B703,DATA!$N:$N,$A703,DATA!$M:$M,'SALES BY SYSTEM'!$O$4)</f>
        <v>0</v>
      </c>
      <c r="T700" s="182">
        <v>0</v>
      </c>
      <c r="U700" s="180" t="str">
        <f t="shared" si="113"/>
        <v/>
      </c>
      <c r="V700" s="218">
        <f>SUMIFS(DATA!$L:$L,DATA!$O:$O,$B703,DATA!$N:$N,$A703,DATA!$M:$M,'SALES BY SYSTEM'!$O$3)</f>
        <v>0</v>
      </c>
      <c r="W700" s="168"/>
    </row>
    <row r="701" spans="1:23" ht="15.75" customHeight="1" x14ac:dyDescent="0.25">
      <c r="A701" s="178" t="s">
        <v>2033</v>
      </c>
      <c r="B701" s="178" t="s">
        <v>1755</v>
      </c>
      <c r="C701" s="178" t="str">
        <f>VLOOKUP(A701,CUSTOMER!$A:$C,3,0)</f>
        <v>SATRA_F1151BHN</v>
      </c>
      <c r="D701" s="178" t="s">
        <v>674</v>
      </c>
      <c r="E701" s="178" t="str">
        <f>VLOOKUP(A704,CUSTOMER!$A$2:$H$1094,5,0)</f>
        <v>VACANCY</v>
      </c>
      <c r="F701" s="178" t="str">
        <f>VLOOKUP(A704,CUSTOMER!$A$2:$I$1094,6,0)</f>
        <v>VACANCY</v>
      </c>
      <c r="G701" s="178" t="s">
        <v>676</v>
      </c>
      <c r="H701" s="179">
        <f t="shared" si="108"/>
        <v>0</v>
      </c>
      <c r="I701" s="180" t="str">
        <f t="shared" si="109"/>
        <v/>
      </c>
      <c r="J701" s="181">
        <f t="shared" si="110"/>
        <v>0</v>
      </c>
      <c r="K701" s="182">
        <v>0</v>
      </c>
      <c r="L701" s="180" t="str">
        <f t="shared" si="114"/>
        <v/>
      </c>
      <c r="M701" s="218">
        <f>SUMIFS(DATA!$L:$L,DATA!$O:$O,$B704,DATA!$N:$N,$A704,DATA!$M:$M,'SALES BY SYSTEM'!$O$1)</f>
        <v>0</v>
      </c>
      <c r="N701" s="182">
        <v>0</v>
      </c>
      <c r="O701" s="180" t="str">
        <f t="shared" si="111"/>
        <v/>
      </c>
      <c r="P701" s="218">
        <f>SUMIFS(DATA!$L:$L,DATA!$O:$O,$B704,DATA!$N:$N,$A704,DATA!$M:$M,'SALES BY SYSTEM'!$O$2)</f>
        <v>0</v>
      </c>
      <c r="Q701" s="182">
        <v>0</v>
      </c>
      <c r="R701" s="180" t="str">
        <f t="shared" si="112"/>
        <v/>
      </c>
      <c r="S701" s="218">
        <f>SUMIFS(DATA!$L:$L,DATA!$O:$O,$B704,DATA!$N:$N,$A704,DATA!$M:$M,'SALES BY SYSTEM'!$O$4)</f>
        <v>0</v>
      </c>
      <c r="T701" s="182">
        <v>0</v>
      </c>
      <c r="U701" s="180" t="str">
        <f t="shared" si="113"/>
        <v/>
      </c>
      <c r="V701" s="218">
        <f>SUMIFS(DATA!$L:$L,DATA!$O:$O,$B704,DATA!$N:$N,$A704,DATA!$M:$M,'SALES BY SYSTEM'!$O$3)</f>
        <v>0</v>
      </c>
      <c r="W701" s="168"/>
    </row>
    <row r="702" spans="1:23" ht="15.75" customHeight="1" x14ac:dyDescent="0.25">
      <c r="A702" s="178" t="s">
        <v>2035</v>
      </c>
      <c r="B702" s="178" t="s">
        <v>1755</v>
      </c>
      <c r="C702" s="178" t="str">
        <f>VLOOKUP(A702,CUSTOMER!$A:$C,3,0)</f>
        <v>SATRA_F1152TL8</v>
      </c>
      <c r="D702" s="178" t="s">
        <v>674</v>
      </c>
      <c r="E702" s="178" t="str">
        <f>VLOOKUP(A705,CUSTOMER!$A$2:$H$1094,5,0)</f>
        <v>VACANCY</v>
      </c>
      <c r="F702" s="178" t="str">
        <f>VLOOKUP(A705,CUSTOMER!$A$2:$I$1094,6,0)</f>
        <v>VACANCY</v>
      </c>
      <c r="G702" s="178" t="s">
        <v>676</v>
      </c>
      <c r="H702" s="179">
        <f t="shared" si="108"/>
        <v>0</v>
      </c>
      <c r="I702" s="180" t="str">
        <f t="shared" si="109"/>
        <v/>
      </c>
      <c r="J702" s="181">
        <f t="shared" si="110"/>
        <v>0</v>
      </c>
      <c r="K702" s="182">
        <v>0</v>
      </c>
      <c r="L702" s="180" t="str">
        <f t="shared" si="114"/>
        <v/>
      </c>
      <c r="M702" s="218">
        <f>SUMIFS(DATA!$L:$L,DATA!$O:$O,$B705,DATA!$N:$N,$A705,DATA!$M:$M,'SALES BY SYSTEM'!$O$1)</f>
        <v>0</v>
      </c>
      <c r="N702" s="182">
        <v>0</v>
      </c>
      <c r="O702" s="180" t="str">
        <f t="shared" si="111"/>
        <v/>
      </c>
      <c r="P702" s="218">
        <f>SUMIFS(DATA!$L:$L,DATA!$O:$O,$B705,DATA!$N:$N,$A705,DATA!$M:$M,'SALES BY SYSTEM'!$O$2)</f>
        <v>0</v>
      </c>
      <c r="Q702" s="182">
        <v>0</v>
      </c>
      <c r="R702" s="180" t="str">
        <f t="shared" si="112"/>
        <v/>
      </c>
      <c r="S702" s="218">
        <f>SUMIFS(DATA!$L:$L,DATA!$O:$O,$B705,DATA!$N:$N,$A705,DATA!$M:$M,'SALES BY SYSTEM'!$O$4)</f>
        <v>0</v>
      </c>
      <c r="T702" s="182">
        <v>0</v>
      </c>
      <c r="U702" s="180" t="str">
        <f t="shared" si="113"/>
        <v/>
      </c>
      <c r="V702" s="218">
        <f>SUMIFS(DATA!$L:$L,DATA!$O:$O,$B705,DATA!$N:$N,$A705,DATA!$M:$M,'SALES BY SYSTEM'!$O$3)</f>
        <v>0</v>
      </c>
      <c r="W702" s="168"/>
    </row>
    <row r="703" spans="1:23" ht="15.75" customHeight="1" x14ac:dyDescent="0.25">
      <c r="A703" s="178" t="s">
        <v>2037</v>
      </c>
      <c r="B703" s="178" t="s">
        <v>1755</v>
      </c>
      <c r="C703" s="178" t="str">
        <f>VLOOKUP(A703,CUSTOMER!$A:$C,3,0)</f>
        <v>SATRA_F1153QL22</v>
      </c>
      <c r="D703" s="178" t="s">
        <v>674</v>
      </c>
      <c r="E703" s="178" t="str">
        <f>VLOOKUP(A706,CUSTOMER!$A$2:$H$1094,5,0)</f>
        <v>VACANCY</v>
      </c>
      <c r="F703" s="178" t="str">
        <f>VLOOKUP(A706,CUSTOMER!$A$2:$I$1094,6,0)</f>
        <v>VACANCY</v>
      </c>
      <c r="G703" s="178" t="s">
        <v>676</v>
      </c>
      <c r="H703" s="179">
        <f t="shared" si="108"/>
        <v>0</v>
      </c>
      <c r="I703" s="180" t="str">
        <f t="shared" si="109"/>
        <v/>
      </c>
      <c r="J703" s="181">
        <f t="shared" si="110"/>
        <v>0</v>
      </c>
      <c r="K703" s="182">
        <v>0</v>
      </c>
      <c r="L703" s="180" t="str">
        <f t="shared" si="114"/>
        <v/>
      </c>
      <c r="M703" s="218">
        <f>SUMIFS(DATA!$L:$L,DATA!$O:$O,$B706,DATA!$N:$N,$A706,DATA!$M:$M,'SALES BY SYSTEM'!$O$1)</f>
        <v>0</v>
      </c>
      <c r="N703" s="182">
        <v>0</v>
      </c>
      <c r="O703" s="180" t="str">
        <f t="shared" si="111"/>
        <v/>
      </c>
      <c r="P703" s="218">
        <f>SUMIFS(DATA!$L:$L,DATA!$O:$O,$B706,DATA!$N:$N,$A706,DATA!$M:$M,'SALES BY SYSTEM'!$O$2)</f>
        <v>0</v>
      </c>
      <c r="Q703" s="182">
        <v>0</v>
      </c>
      <c r="R703" s="180" t="str">
        <f t="shared" si="112"/>
        <v/>
      </c>
      <c r="S703" s="218">
        <f>SUMIFS(DATA!$L:$L,DATA!$O:$O,$B706,DATA!$N:$N,$A706,DATA!$M:$M,'SALES BY SYSTEM'!$O$4)</f>
        <v>0</v>
      </c>
      <c r="T703" s="182">
        <v>0</v>
      </c>
      <c r="U703" s="180" t="str">
        <f t="shared" si="113"/>
        <v/>
      </c>
      <c r="V703" s="218">
        <f>SUMIFS(DATA!$L:$L,DATA!$O:$O,$B706,DATA!$N:$N,$A706,DATA!$M:$M,'SALES BY SYSTEM'!$O$3)</f>
        <v>0</v>
      </c>
      <c r="W703" s="168"/>
    </row>
    <row r="704" spans="1:23" ht="15.75" customHeight="1" x14ac:dyDescent="0.25">
      <c r="A704" s="178" t="s">
        <v>2039</v>
      </c>
      <c r="B704" s="178" t="s">
        <v>1755</v>
      </c>
      <c r="C704" s="178" t="str">
        <f>VLOOKUP(A704,CUSTOMER!$A:$C,3,0)</f>
        <v>SATRA_F1154NK</v>
      </c>
      <c r="D704" s="178" t="s">
        <v>674</v>
      </c>
      <c r="E704" s="178" t="str">
        <f>VLOOKUP(A707,CUSTOMER!$A$2:$H$1094,5,0)</f>
        <v>VACANCY</v>
      </c>
      <c r="F704" s="178" t="str">
        <f>VLOOKUP(A707,CUSTOMER!$A$2:$I$1094,6,0)</f>
        <v>VACANCY</v>
      </c>
      <c r="G704" s="178" t="s">
        <v>676</v>
      </c>
      <c r="H704" s="179">
        <f t="shared" si="108"/>
        <v>0</v>
      </c>
      <c r="I704" s="180" t="str">
        <f t="shared" si="109"/>
        <v/>
      </c>
      <c r="J704" s="181">
        <f t="shared" si="110"/>
        <v>0</v>
      </c>
      <c r="K704" s="182">
        <v>0</v>
      </c>
      <c r="L704" s="180" t="str">
        <f t="shared" si="114"/>
        <v/>
      </c>
      <c r="M704" s="218">
        <f>SUMIFS(DATA!$L:$L,DATA!$O:$O,$B707,DATA!$N:$N,$A707,DATA!$M:$M,'SALES BY SYSTEM'!$O$1)</f>
        <v>0</v>
      </c>
      <c r="N704" s="182">
        <v>0</v>
      </c>
      <c r="O704" s="180" t="str">
        <f t="shared" si="111"/>
        <v/>
      </c>
      <c r="P704" s="218">
        <f>SUMIFS(DATA!$L:$L,DATA!$O:$O,$B707,DATA!$N:$N,$A707,DATA!$M:$M,'SALES BY SYSTEM'!$O$2)</f>
        <v>0</v>
      </c>
      <c r="Q704" s="182">
        <v>0</v>
      </c>
      <c r="R704" s="180" t="str">
        <f t="shared" si="112"/>
        <v/>
      </c>
      <c r="S704" s="218">
        <f>SUMIFS(DATA!$L:$L,DATA!$O:$O,$B707,DATA!$N:$N,$A707,DATA!$M:$M,'SALES BY SYSTEM'!$O$4)</f>
        <v>0</v>
      </c>
      <c r="T704" s="182">
        <v>0</v>
      </c>
      <c r="U704" s="180" t="str">
        <f t="shared" si="113"/>
        <v/>
      </c>
      <c r="V704" s="218">
        <f>SUMIFS(DATA!$L:$L,DATA!$O:$O,$B707,DATA!$N:$N,$A707,DATA!$M:$M,'SALES BY SYSTEM'!$O$3)</f>
        <v>0</v>
      </c>
      <c r="W704" s="168"/>
    </row>
    <row r="705" spans="1:23" ht="15.75" customHeight="1" x14ac:dyDescent="0.25">
      <c r="A705" s="178" t="s">
        <v>2041</v>
      </c>
      <c r="B705" s="178" t="s">
        <v>1755</v>
      </c>
      <c r="C705" s="178" t="str">
        <f>VLOOKUP(A705,CUSTOMER!$A:$C,3,0)</f>
        <v>SATRA_F1155VP</v>
      </c>
      <c r="D705" s="178" t="s">
        <v>674</v>
      </c>
      <c r="E705" s="178" t="str">
        <f>VLOOKUP(A708,CUSTOMER!$A$2:$H$1094,5,0)</f>
        <v>VACANCY</v>
      </c>
      <c r="F705" s="178" t="str">
        <f>VLOOKUP(A708,CUSTOMER!$A$2:$I$1094,6,0)</f>
        <v>VACANCY</v>
      </c>
      <c r="G705" s="178" t="s">
        <v>676</v>
      </c>
      <c r="H705" s="179">
        <f t="shared" si="108"/>
        <v>0</v>
      </c>
      <c r="I705" s="180" t="str">
        <f t="shared" si="109"/>
        <v/>
      </c>
      <c r="J705" s="181">
        <f t="shared" si="110"/>
        <v>0</v>
      </c>
      <c r="K705" s="182">
        <v>0</v>
      </c>
      <c r="L705" s="180" t="str">
        <f t="shared" si="114"/>
        <v/>
      </c>
      <c r="M705" s="218">
        <f>SUMIFS(DATA!$L:$L,DATA!$O:$O,$B708,DATA!$N:$N,$A708,DATA!$M:$M,'SALES BY SYSTEM'!$O$1)</f>
        <v>0</v>
      </c>
      <c r="N705" s="182">
        <v>0</v>
      </c>
      <c r="O705" s="180" t="str">
        <f t="shared" si="111"/>
        <v/>
      </c>
      <c r="P705" s="218">
        <f>SUMIFS(DATA!$L:$L,DATA!$O:$O,$B708,DATA!$N:$N,$A708,DATA!$M:$M,'SALES BY SYSTEM'!$O$2)</f>
        <v>0</v>
      </c>
      <c r="Q705" s="182">
        <v>0</v>
      </c>
      <c r="R705" s="180" t="str">
        <f t="shared" si="112"/>
        <v/>
      </c>
      <c r="S705" s="218">
        <f>SUMIFS(DATA!$L:$L,DATA!$O:$O,$B708,DATA!$N:$N,$A708,DATA!$M:$M,'SALES BY SYSTEM'!$O$4)</f>
        <v>0</v>
      </c>
      <c r="T705" s="182">
        <v>0</v>
      </c>
      <c r="U705" s="180" t="str">
        <f t="shared" si="113"/>
        <v/>
      </c>
      <c r="V705" s="218">
        <f>SUMIFS(DATA!$L:$L,DATA!$O:$O,$B708,DATA!$N:$N,$A708,DATA!$M:$M,'SALES BY SYSTEM'!$O$3)</f>
        <v>0</v>
      </c>
      <c r="W705" s="168"/>
    </row>
    <row r="706" spans="1:23" ht="15.75" customHeight="1" x14ac:dyDescent="0.25">
      <c r="A706" s="178" t="s">
        <v>2043</v>
      </c>
      <c r="B706" s="178" t="s">
        <v>1755</v>
      </c>
      <c r="C706" s="178" t="str">
        <f>VLOOKUP(A706,CUSTOMER!$A:$C,3,0)</f>
        <v>SATRA_F1156TH</v>
      </c>
      <c r="D706" s="178" t="s">
        <v>674</v>
      </c>
      <c r="E706" s="178" t="str">
        <f>VLOOKUP(A709,CUSTOMER!$A$2:$H$1094,5,0)</f>
        <v>VACANCY</v>
      </c>
      <c r="F706" s="178" t="str">
        <f>VLOOKUP(A709,CUSTOMER!$A$2:$I$1094,6,0)</f>
        <v>VACANCY</v>
      </c>
      <c r="G706" s="178" t="s">
        <v>676</v>
      </c>
      <c r="H706" s="179">
        <f t="shared" si="108"/>
        <v>0</v>
      </c>
      <c r="I706" s="180" t="str">
        <f t="shared" si="109"/>
        <v/>
      </c>
      <c r="J706" s="181">
        <f t="shared" si="110"/>
        <v>0</v>
      </c>
      <c r="K706" s="182">
        <v>0</v>
      </c>
      <c r="L706" s="180" t="str">
        <f t="shared" si="114"/>
        <v/>
      </c>
      <c r="M706" s="218">
        <f>SUMIFS(DATA!$L:$L,DATA!$O:$O,$B709,DATA!$N:$N,$A709,DATA!$M:$M,'SALES BY SYSTEM'!$O$1)</f>
        <v>0</v>
      </c>
      <c r="N706" s="182">
        <v>0</v>
      </c>
      <c r="O706" s="180" t="str">
        <f t="shared" si="111"/>
        <v/>
      </c>
      <c r="P706" s="218">
        <f>SUMIFS(DATA!$L:$L,DATA!$O:$O,$B709,DATA!$N:$N,$A709,DATA!$M:$M,'SALES BY SYSTEM'!$O$2)</f>
        <v>0</v>
      </c>
      <c r="Q706" s="182">
        <v>0</v>
      </c>
      <c r="R706" s="180" t="str">
        <f t="shared" si="112"/>
        <v/>
      </c>
      <c r="S706" s="218">
        <f>SUMIFS(DATA!$L:$L,DATA!$O:$O,$B709,DATA!$N:$N,$A709,DATA!$M:$M,'SALES BY SYSTEM'!$O$4)</f>
        <v>0</v>
      </c>
      <c r="T706" s="182">
        <v>0</v>
      </c>
      <c r="U706" s="180" t="str">
        <f t="shared" si="113"/>
        <v/>
      </c>
      <c r="V706" s="218">
        <f>SUMIFS(DATA!$L:$L,DATA!$O:$O,$B709,DATA!$N:$N,$A709,DATA!$M:$M,'SALES BY SYSTEM'!$O$3)</f>
        <v>0</v>
      </c>
      <c r="W706" s="168"/>
    </row>
    <row r="707" spans="1:23" ht="15.75" customHeight="1" x14ac:dyDescent="0.25">
      <c r="A707" s="178" t="s">
        <v>2045</v>
      </c>
      <c r="B707" s="178" t="s">
        <v>1755</v>
      </c>
      <c r="C707" s="178" t="str">
        <f>VLOOKUP(A707,CUSTOMER!$A:$C,3,0)</f>
        <v>SATRA_F1157BC8</v>
      </c>
      <c r="D707" s="178" t="s">
        <v>674</v>
      </c>
      <c r="E707" s="178" t="str">
        <f>VLOOKUP(A710,CUSTOMER!$A$2:$H$1094,5,0)</f>
        <v>VACANCY</v>
      </c>
      <c r="F707" s="178" t="str">
        <f>VLOOKUP(A710,CUSTOMER!$A$2:$I$1094,6,0)</f>
        <v>VACANCY</v>
      </c>
      <c r="G707" s="178" t="s">
        <v>676</v>
      </c>
      <c r="H707" s="179">
        <f t="shared" si="108"/>
        <v>0</v>
      </c>
      <c r="I707" s="180" t="str">
        <f t="shared" si="109"/>
        <v/>
      </c>
      <c r="J707" s="181">
        <f t="shared" si="110"/>
        <v>0</v>
      </c>
      <c r="K707" s="182">
        <v>0</v>
      </c>
      <c r="L707" s="180" t="str">
        <f t="shared" si="114"/>
        <v/>
      </c>
      <c r="M707" s="218">
        <f>SUMIFS(DATA!$L:$L,DATA!$O:$O,$B710,DATA!$N:$N,$A710,DATA!$M:$M,'SALES BY SYSTEM'!$O$1)</f>
        <v>0</v>
      </c>
      <c r="N707" s="182">
        <v>0</v>
      </c>
      <c r="O707" s="180" t="str">
        <f t="shared" si="111"/>
        <v/>
      </c>
      <c r="P707" s="218">
        <f>SUMIFS(DATA!$L:$L,DATA!$O:$O,$B710,DATA!$N:$N,$A710,DATA!$M:$M,'SALES BY SYSTEM'!$O$2)</f>
        <v>0</v>
      </c>
      <c r="Q707" s="182">
        <v>0</v>
      </c>
      <c r="R707" s="180" t="str">
        <f t="shared" si="112"/>
        <v/>
      </c>
      <c r="S707" s="218">
        <f>SUMIFS(DATA!$L:$L,DATA!$O:$O,$B710,DATA!$N:$N,$A710,DATA!$M:$M,'SALES BY SYSTEM'!$O$4)</f>
        <v>0</v>
      </c>
      <c r="T707" s="182">
        <v>0</v>
      </c>
      <c r="U707" s="180" t="str">
        <f t="shared" si="113"/>
        <v/>
      </c>
      <c r="V707" s="218">
        <f>SUMIFS(DATA!$L:$L,DATA!$O:$O,$B710,DATA!$N:$N,$A710,DATA!$M:$M,'SALES BY SYSTEM'!$O$3)</f>
        <v>0</v>
      </c>
      <c r="W707" s="168"/>
    </row>
    <row r="708" spans="1:23" ht="15.75" customHeight="1" x14ac:dyDescent="0.25">
      <c r="A708" s="178" t="s">
        <v>2047</v>
      </c>
      <c r="B708" s="178" t="s">
        <v>1755</v>
      </c>
      <c r="C708" s="178" t="str">
        <f>VLOOKUP(A708,CUSTOMER!$A:$C,3,0)</f>
        <v>SATRA_F1158DS6</v>
      </c>
      <c r="D708" s="178" t="s">
        <v>674</v>
      </c>
      <c r="E708" s="178" t="str">
        <f>VLOOKUP(A711,CUSTOMER!$A$2:$H$1094,5,0)</f>
        <v>VACANCY</v>
      </c>
      <c r="F708" s="178" t="str">
        <f>VLOOKUP(A711,CUSTOMER!$A$2:$I$1094,6,0)</f>
        <v>VACANCY</v>
      </c>
      <c r="G708" s="178" t="s">
        <v>676</v>
      </c>
      <c r="H708" s="179">
        <f t="shared" si="108"/>
        <v>0</v>
      </c>
      <c r="I708" s="180" t="str">
        <f t="shared" si="109"/>
        <v/>
      </c>
      <c r="J708" s="181">
        <f t="shared" si="110"/>
        <v>0</v>
      </c>
      <c r="K708" s="182">
        <v>0</v>
      </c>
      <c r="L708" s="180" t="str">
        <f t="shared" si="114"/>
        <v/>
      </c>
      <c r="M708" s="218">
        <f>SUMIFS(DATA!$L:$L,DATA!$O:$O,$B711,DATA!$N:$N,$A711,DATA!$M:$M,'SALES BY SYSTEM'!$O$1)</f>
        <v>0</v>
      </c>
      <c r="N708" s="182">
        <v>0</v>
      </c>
      <c r="O708" s="180" t="str">
        <f t="shared" si="111"/>
        <v/>
      </c>
      <c r="P708" s="218">
        <f>SUMIFS(DATA!$L:$L,DATA!$O:$O,$B711,DATA!$N:$N,$A711,DATA!$M:$M,'SALES BY SYSTEM'!$O$2)</f>
        <v>0</v>
      </c>
      <c r="Q708" s="182">
        <v>0</v>
      </c>
      <c r="R708" s="180" t="str">
        <f t="shared" si="112"/>
        <v/>
      </c>
      <c r="S708" s="218">
        <f>SUMIFS(DATA!$L:$L,DATA!$O:$O,$B711,DATA!$N:$N,$A711,DATA!$M:$M,'SALES BY SYSTEM'!$O$4)</f>
        <v>0</v>
      </c>
      <c r="T708" s="182">
        <v>0</v>
      </c>
      <c r="U708" s="180" t="str">
        <f t="shared" si="113"/>
        <v/>
      </c>
      <c r="V708" s="218">
        <f>SUMIFS(DATA!$L:$L,DATA!$O:$O,$B711,DATA!$N:$N,$A711,DATA!$M:$M,'SALES BY SYSTEM'!$O$3)</f>
        <v>0</v>
      </c>
      <c r="W708" s="168"/>
    </row>
    <row r="709" spans="1:23" ht="15.75" customHeight="1" x14ac:dyDescent="0.25">
      <c r="A709" s="178" t="s">
        <v>2049</v>
      </c>
      <c r="B709" s="178" t="s">
        <v>1755</v>
      </c>
      <c r="C709" s="178" t="str">
        <f>VLOOKUP(A709,CUSTOMER!$A:$C,3,0)</f>
        <v>SATRA_F1159NTH</v>
      </c>
      <c r="D709" s="178" t="s">
        <v>674</v>
      </c>
      <c r="E709" s="178" t="str">
        <f>VLOOKUP(A712,CUSTOMER!$A$2:$H$1094,5,0)</f>
        <v>VACANCY</v>
      </c>
      <c r="F709" s="178" t="str">
        <f>VLOOKUP(A712,CUSTOMER!$A$2:$I$1094,6,0)</f>
        <v>VACANCY</v>
      </c>
      <c r="G709" s="178" t="s">
        <v>676</v>
      </c>
      <c r="H709" s="179">
        <f t="shared" si="108"/>
        <v>0</v>
      </c>
      <c r="I709" s="180" t="str">
        <f t="shared" si="109"/>
        <v/>
      </c>
      <c r="J709" s="181">
        <f t="shared" si="110"/>
        <v>0</v>
      </c>
      <c r="K709" s="182">
        <v>0</v>
      </c>
      <c r="L709" s="180" t="str">
        <f t="shared" si="114"/>
        <v/>
      </c>
      <c r="M709" s="218">
        <f>SUMIFS(DATA!$L:$L,DATA!$O:$O,$B712,DATA!$N:$N,$A712,DATA!$M:$M,'SALES BY SYSTEM'!$O$1)</f>
        <v>0</v>
      </c>
      <c r="N709" s="182">
        <v>0</v>
      </c>
      <c r="O709" s="180" t="str">
        <f t="shared" si="111"/>
        <v/>
      </c>
      <c r="P709" s="218">
        <f>SUMIFS(DATA!$L:$L,DATA!$O:$O,$B712,DATA!$N:$N,$A712,DATA!$M:$M,'SALES BY SYSTEM'!$O$2)</f>
        <v>0</v>
      </c>
      <c r="Q709" s="182">
        <v>0</v>
      </c>
      <c r="R709" s="180" t="str">
        <f t="shared" si="112"/>
        <v/>
      </c>
      <c r="S709" s="218">
        <f>SUMIFS(DATA!$L:$L,DATA!$O:$O,$B712,DATA!$N:$N,$A712,DATA!$M:$M,'SALES BY SYSTEM'!$O$4)</f>
        <v>0</v>
      </c>
      <c r="T709" s="182">
        <v>0</v>
      </c>
      <c r="U709" s="180" t="str">
        <f t="shared" si="113"/>
        <v/>
      </c>
      <c r="V709" s="218">
        <f>SUMIFS(DATA!$L:$L,DATA!$O:$O,$B712,DATA!$N:$N,$A712,DATA!$M:$M,'SALES BY SYSTEM'!$O$3)</f>
        <v>0</v>
      </c>
      <c r="W709" s="168"/>
    </row>
    <row r="710" spans="1:23" ht="15.75" customHeight="1" x14ac:dyDescent="0.25">
      <c r="A710" s="178" t="s">
        <v>2051</v>
      </c>
      <c r="B710" s="178" t="s">
        <v>1755</v>
      </c>
      <c r="C710" s="178" t="str">
        <f>VLOOKUP(A710,CUSTOMER!$A:$C,3,0)</f>
        <v>SATRA_F1160QL22</v>
      </c>
      <c r="D710" s="178" t="s">
        <v>674</v>
      </c>
      <c r="E710" s="178" t="str">
        <f>VLOOKUP(A713,CUSTOMER!$A$2:$H$1094,5,0)</f>
        <v>VACANCY</v>
      </c>
      <c r="F710" s="178" t="str">
        <f>VLOOKUP(A713,CUSTOMER!$A$2:$I$1094,6,0)</f>
        <v>VACANCY</v>
      </c>
      <c r="G710" s="178" t="s">
        <v>676</v>
      </c>
      <c r="H710" s="179">
        <f t="shared" si="108"/>
        <v>0</v>
      </c>
      <c r="I710" s="180" t="str">
        <f t="shared" si="109"/>
        <v/>
      </c>
      <c r="J710" s="181">
        <f t="shared" si="110"/>
        <v>0</v>
      </c>
      <c r="K710" s="182">
        <v>0</v>
      </c>
      <c r="L710" s="180" t="str">
        <f t="shared" si="114"/>
        <v/>
      </c>
      <c r="M710" s="218">
        <f>SUMIFS(DATA!$L:$L,DATA!$O:$O,$B713,DATA!$N:$N,$A713,DATA!$M:$M,'SALES BY SYSTEM'!$O$1)</f>
        <v>0</v>
      </c>
      <c r="N710" s="182">
        <v>0</v>
      </c>
      <c r="O710" s="180" t="str">
        <f t="shared" si="111"/>
        <v/>
      </c>
      <c r="P710" s="218">
        <f>SUMIFS(DATA!$L:$L,DATA!$O:$O,$B713,DATA!$N:$N,$A713,DATA!$M:$M,'SALES BY SYSTEM'!$O$2)</f>
        <v>0</v>
      </c>
      <c r="Q710" s="182">
        <v>0</v>
      </c>
      <c r="R710" s="180" t="str">
        <f t="shared" si="112"/>
        <v/>
      </c>
      <c r="S710" s="218">
        <f>SUMIFS(DATA!$L:$L,DATA!$O:$O,$B713,DATA!$N:$N,$A713,DATA!$M:$M,'SALES BY SYSTEM'!$O$4)</f>
        <v>0</v>
      </c>
      <c r="T710" s="182">
        <v>0</v>
      </c>
      <c r="U710" s="180" t="str">
        <f t="shared" si="113"/>
        <v/>
      </c>
      <c r="V710" s="218">
        <f>SUMIFS(DATA!$L:$L,DATA!$O:$O,$B713,DATA!$N:$N,$A713,DATA!$M:$M,'SALES BY SYSTEM'!$O$3)</f>
        <v>0</v>
      </c>
      <c r="W710" s="168"/>
    </row>
    <row r="711" spans="1:23" ht="15.75" customHeight="1" x14ac:dyDescent="0.25">
      <c r="A711" s="178" t="s">
        <v>2053</v>
      </c>
      <c r="B711" s="178" t="s">
        <v>1755</v>
      </c>
      <c r="C711" s="178" t="str">
        <f>VLOOKUP(A711,CUSTOMER!$A:$C,3,0)</f>
        <v>SATRA_F1161A3TK</v>
      </c>
      <c r="D711" s="178" t="s">
        <v>674</v>
      </c>
      <c r="E711" s="178" t="str">
        <f>VLOOKUP(A714,CUSTOMER!$A$2:$H$1094,5,0)</f>
        <v>VACANCY</v>
      </c>
      <c r="F711" s="178" t="str">
        <f>VLOOKUP(A714,CUSTOMER!$A$2:$I$1094,6,0)</f>
        <v>VACANCY</v>
      </c>
      <c r="G711" s="178" t="s">
        <v>676</v>
      </c>
      <c r="H711" s="179">
        <f t="shared" si="108"/>
        <v>0</v>
      </c>
      <c r="I711" s="180" t="str">
        <f t="shared" si="109"/>
        <v/>
      </c>
      <c r="J711" s="181">
        <f t="shared" si="110"/>
        <v>0</v>
      </c>
      <c r="K711" s="182">
        <v>0</v>
      </c>
      <c r="L711" s="180" t="str">
        <f t="shared" si="114"/>
        <v/>
      </c>
      <c r="M711" s="218">
        <f>SUMIFS(DATA!$L:$L,DATA!$O:$O,$B714,DATA!$N:$N,$A714,DATA!$M:$M,'SALES BY SYSTEM'!$O$1)</f>
        <v>0</v>
      </c>
      <c r="N711" s="182">
        <v>0</v>
      </c>
      <c r="O711" s="180" t="str">
        <f t="shared" si="111"/>
        <v/>
      </c>
      <c r="P711" s="218">
        <f>SUMIFS(DATA!$L:$L,DATA!$O:$O,$B714,DATA!$N:$N,$A714,DATA!$M:$M,'SALES BY SYSTEM'!$O$2)</f>
        <v>0</v>
      </c>
      <c r="Q711" s="182">
        <v>0</v>
      </c>
      <c r="R711" s="180" t="str">
        <f t="shared" si="112"/>
        <v/>
      </c>
      <c r="S711" s="218">
        <f>SUMIFS(DATA!$L:$L,DATA!$O:$O,$B714,DATA!$N:$N,$A714,DATA!$M:$M,'SALES BY SYSTEM'!$O$4)</f>
        <v>0</v>
      </c>
      <c r="T711" s="182">
        <v>0</v>
      </c>
      <c r="U711" s="180" t="str">
        <f t="shared" si="113"/>
        <v/>
      </c>
      <c r="V711" s="218">
        <f>SUMIFS(DATA!$L:$L,DATA!$O:$O,$B714,DATA!$N:$N,$A714,DATA!$M:$M,'SALES BY SYSTEM'!$O$3)</f>
        <v>0</v>
      </c>
      <c r="W711" s="168"/>
    </row>
    <row r="712" spans="1:23" ht="15.75" customHeight="1" x14ac:dyDescent="0.25">
      <c r="A712" s="178" t="s">
        <v>2055</v>
      </c>
      <c r="B712" s="178" t="s">
        <v>1755</v>
      </c>
      <c r="C712" s="178" t="str">
        <f>VLOOKUP(A712,CUSTOMER!$A:$C,3,0)</f>
        <v>SATRA_F1162BL</v>
      </c>
      <c r="D712" s="178" t="s">
        <v>674</v>
      </c>
      <c r="E712" s="178" t="str">
        <f>VLOOKUP(A715,CUSTOMER!$A$2:$H$1094,5,0)</f>
        <v>VACANCY</v>
      </c>
      <c r="F712" s="178" t="str">
        <f>VLOOKUP(A715,CUSTOMER!$A$2:$I$1094,6,0)</f>
        <v>VACANCY</v>
      </c>
      <c r="G712" s="178" t="s">
        <v>676</v>
      </c>
      <c r="H712" s="179">
        <f t="shared" si="108"/>
        <v>0</v>
      </c>
      <c r="I712" s="180" t="str">
        <f t="shared" si="109"/>
        <v/>
      </c>
      <c r="J712" s="181">
        <f t="shared" si="110"/>
        <v>0</v>
      </c>
      <c r="K712" s="182">
        <v>0</v>
      </c>
      <c r="L712" s="180" t="str">
        <f t="shared" si="114"/>
        <v/>
      </c>
      <c r="M712" s="218">
        <f>SUMIFS(DATA!$L:$L,DATA!$O:$O,$B715,DATA!$N:$N,$A715,DATA!$M:$M,'SALES BY SYSTEM'!$O$1)</f>
        <v>0</v>
      </c>
      <c r="N712" s="182">
        <v>0</v>
      </c>
      <c r="O712" s="180" t="str">
        <f t="shared" si="111"/>
        <v/>
      </c>
      <c r="P712" s="218">
        <f>SUMIFS(DATA!$L:$L,DATA!$O:$O,$B715,DATA!$N:$N,$A715,DATA!$M:$M,'SALES BY SYSTEM'!$O$2)</f>
        <v>0</v>
      </c>
      <c r="Q712" s="182">
        <v>0</v>
      </c>
      <c r="R712" s="180" t="str">
        <f t="shared" si="112"/>
        <v/>
      </c>
      <c r="S712" s="218">
        <f>SUMIFS(DATA!$L:$L,DATA!$O:$O,$B715,DATA!$N:$N,$A715,DATA!$M:$M,'SALES BY SYSTEM'!$O$4)</f>
        <v>0</v>
      </c>
      <c r="T712" s="182">
        <v>0</v>
      </c>
      <c r="U712" s="180" t="str">
        <f t="shared" si="113"/>
        <v/>
      </c>
      <c r="V712" s="218">
        <f>SUMIFS(DATA!$L:$L,DATA!$O:$O,$B715,DATA!$N:$N,$A715,DATA!$M:$M,'SALES BY SYSTEM'!$O$3)</f>
        <v>0</v>
      </c>
      <c r="W712" s="168"/>
    </row>
    <row r="713" spans="1:23" ht="15.75" customHeight="1" x14ac:dyDescent="0.25">
      <c r="A713" s="178" t="s">
        <v>2057</v>
      </c>
      <c r="B713" s="178" t="s">
        <v>1755</v>
      </c>
      <c r="C713" s="178" t="str">
        <f>VLOOKUP(A713,CUSTOMER!$A:$C,3,0)</f>
        <v>SATRA_F1163VVV</v>
      </c>
      <c r="D713" s="178" t="s">
        <v>674</v>
      </c>
      <c r="E713" s="178" t="str">
        <f>VLOOKUP(A716,CUSTOMER!$A$2:$H$1094,5,0)</f>
        <v>VACANCY</v>
      </c>
      <c r="F713" s="178" t="str">
        <f>VLOOKUP(A716,CUSTOMER!$A$2:$I$1094,6,0)</f>
        <v>VACANCY</v>
      </c>
      <c r="G713" s="178" t="s">
        <v>676</v>
      </c>
      <c r="H713" s="179">
        <f t="shared" si="108"/>
        <v>0</v>
      </c>
      <c r="I713" s="180" t="str">
        <f t="shared" si="109"/>
        <v/>
      </c>
      <c r="J713" s="181">
        <f t="shared" si="110"/>
        <v>0</v>
      </c>
      <c r="K713" s="182">
        <v>0</v>
      </c>
      <c r="L713" s="180" t="str">
        <f t="shared" si="114"/>
        <v/>
      </c>
      <c r="M713" s="218">
        <f>SUMIFS(DATA!$L:$L,DATA!$O:$O,$B716,DATA!$N:$N,$A716,DATA!$M:$M,'SALES BY SYSTEM'!$O$1)</f>
        <v>0</v>
      </c>
      <c r="N713" s="182">
        <v>0</v>
      </c>
      <c r="O713" s="180" t="str">
        <f t="shared" si="111"/>
        <v/>
      </c>
      <c r="P713" s="218">
        <f>SUMIFS(DATA!$L:$L,DATA!$O:$O,$B716,DATA!$N:$N,$A716,DATA!$M:$M,'SALES BY SYSTEM'!$O$2)</f>
        <v>0</v>
      </c>
      <c r="Q713" s="182">
        <v>0</v>
      </c>
      <c r="R713" s="180" t="str">
        <f t="shared" si="112"/>
        <v/>
      </c>
      <c r="S713" s="218">
        <f>SUMIFS(DATA!$L:$L,DATA!$O:$O,$B716,DATA!$N:$N,$A716,DATA!$M:$M,'SALES BY SYSTEM'!$O$4)</f>
        <v>0</v>
      </c>
      <c r="T713" s="182">
        <v>0</v>
      </c>
      <c r="U713" s="180" t="str">
        <f t="shared" si="113"/>
        <v/>
      </c>
      <c r="V713" s="218">
        <f>SUMIFS(DATA!$L:$L,DATA!$O:$O,$B716,DATA!$N:$N,$A716,DATA!$M:$M,'SALES BY SYSTEM'!$O$3)</f>
        <v>0</v>
      </c>
      <c r="W713" s="168"/>
    </row>
    <row r="714" spans="1:23" ht="15.75" customHeight="1" x14ac:dyDescent="0.25">
      <c r="A714" s="178" t="s">
        <v>2059</v>
      </c>
      <c r="B714" s="178" t="s">
        <v>1755</v>
      </c>
      <c r="C714" s="178" t="str">
        <f>VLOOKUP(A714,CUSTOMER!$A:$C,3,0)</f>
        <v>SATRA_F1164QL50</v>
      </c>
      <c r="D714" s="178" t="s">
        <v>674</v>
      </c>
      <c r="E714" s="178" t="str">
        <f>VLOOKUP(A717,CUSTOMER!$A$2:$H$1094,5,0)</f>
        <v>VACANCY</v>
      </c>
      <c r="F714" s="178" t="str">
        <f>VLOOKUP(A717,CUSTOMER!$A$2:$I$1094,6,0)</f>
        <v>VACANCY</v>
      </c>
      <c r="G714" s="178" t="s">
        <v>676</v>
      </c>
      <c r="H714" s="179">
        <f t="shared" si="108"/>
        <v>0</v>
      </c>
      <c r="I714" s="180" t="str">
        <f t="shared" si="109"/>
        <v/>
      </c>
      <c r="J714" s="181">
        <f t="shared" si="110"/>
        <v>0</v>
      </c>
      <c r="K714" s="182">
        <v>0</v>
      </c>
      <c r="L714" s="180" t="str">
        <f t="shared" si="114"/>
        <v/>
      </c>
      <c r="M714" s="218">
        <f>SUMIFS(DATA!$L:$L,DATA!$O:$O,$B717,DATA!$N:$N,$A717,DATA!$M:$M,'SALES BY SYSTEM'!$O$1)</f>
        <v>0</v>
      </c>
      <c r="N714" s="182">
        <v>0</v>
      </c>
      <c r="O714" s="180" t="str">
        <f t="shared" si="111"/>
        <v/>
      </c>
      <c r="P714" s="218">
        <f>SUMIFS(DATA!$L:$L,DATA!$O:$O,$B717,DATA!$N:$N,$A717,DATA!$M:$M,'SALES BY SYSTEM'!$O$2)</f>
        <v>0</v>
      </c>
      <c r="Q714" s="182">
        <v>0</v>
      </c>
      <c r="R714" s="180" t="str">
        <f t="shared" si="112"/>
        <v/>
      </c>
      <c r="S714" s="218">
        <f>SUMIFS(DATA!$L:$L,DATA!$O:$O,$B717,DATA!$N:$N,$A717,DATA!$M:$M,'SALES BY SYSTEM'!$O$4)</f>
        <v>0</v>
      </c>
      <c r="T714" s="182">
        <v>0</v>
      </c>
      <c r="U714" s="180" t="str">
        <f t="shared" si="113"/>
        <v/>
      </c>
      <c r="V714" s="218">
        <f>SUMIFS(DATA!$L:$L,DATA!$O:$O,$B717,DATA!$N:$N,$A717,DATA!$M:$M,'SALES BY SYSTEM'!$O$3)</f>
        <v>0</v>
      </c>
      <c r="W714" s="168"/>
    </row>
    <row r="715" spans="1:23" ht="15.75" customHeight="1" x14ac:dyDescent="0.25">
      <c r="A715" s="178" t="s">
        <v>2061</v>
      </c>
      <c r="B715" s="178" t="s">
        <v>1755</v>
      </c>
      <c r="C715" s="178" t="str">
        <f>VLOOKUP(A715,CUSTOMER!$A:$C,3,0)</f>
        <v>SATRA_F1165TMN</v>
      </c>
      <c r="D715" s="178" t="s">
        <v>674</v>
      </c>
      <c r="E715" s="178" t="str">
        <f>VLOOKUP(A718,CUSTOMER!$A$2:$H$1094,5,0)</f>
        <v>VACANCY</v>
      </c>
      <c r="F715" s="178" t="str">
        <f>VLOOKUP(A718,CUSTOMER!$A$2:$I$1094,6,0)</f>
        <v>VACANCY</v>
      </c>
      <c r="G715" s="178" t="s">
        <v>676</v>
      </c>
      <c r="H715" s="179">
        <f t="shared" si="108"/>
        <v>0</v>
      </c>
      <c r="I715" s="180" t="str">
        <f t="shared" si="109"/>
        <v/>
      </c>
      <c r="J715" s="181">
        <f t="shared" si="110"/>
        <v>0</v>
      </c>
      <c r="K715" s="182">
        <v>0</v>
      </c>
      <c r="L715" s="180" t="str">
        <f t="shared" si="114"/>
        <v/>
      </c>
      <c r="M715" s="218">
        <f>SUMIFS(DATA!$L:$L,DATA!$O:$O,$B718,DATA!$N:$N,$A718,DATA!$M:$M,'SALES BY SYSTEM'!$O$1)</f>
        <v>0</v>
      </c>
      <c r="N715" s="182">
        <v>0</v>
      </c>
      <c r="O715" s="180" t="str">
        <f t="shared" si="111"/>
        <v/>
      </c>
      <c r="P715" s="218">
        <f>SUMIFS(DATA!$L:$L,DATA!$O:$O,$B718,DATA!$N:$N,$A718,DATA!$M:$M,'SALES BY SYSTEM'!$O$2)</f>
        <v>0</v>
      </c>
      <c r="Q715" s="182">
        <v>0</v>
      </c>
      <c r="R715" s="180" t="str">
        <f t="shared" si="112"/>
        <v/>
      </c>
      <c r="S715" s="218">
        <f>SUMIFS(DATA!$L:$L,DATA!$O:$O,$B718,DATA!$N:$N,$A718,DATA!$M:$M,'SALES BY SYSTEM'!$O$4)</f>
        <v>0</v>
      </c>
      <c r="T715" s="182">
        <v>0</v>
      </c>
      <c r="U715" s="180" t="str">
        <f t="shared" si="113"/>
        <v/>
      </c>
      <c r="V715" s="218">
        <f>SUMIFS(DATA!$L:$L,DATA!$O:$O,$B718,DATA!$N:$N,$A718,DATA!$M:$M,'SALES BY SYSTEM'!$O$3)</f>
        <v>0</v>
      </c>
      <c r="W715" s="168"/>
    </row>
    <row r="716" spans="1:23" ht="15.75" customHeight="1" x14ac:dyDescent="0.25">
      <c r="A716" s="178" t="s">
        <v>2063</v>
      </c>
      <c r="B716" s="178" t="s">
        <v>1755</v>
      </c>
      <c r="C716" s="178" t="str">
        <f>VLOOKUP(A716,CUSTOMER!$A:$C,3,0)</f>
        <v>SATRA_F1166CT</v>
      </c>
      <c r="D716" s="178" t="s">
        <v>674</v>
      </c>
      <c r="E716" s="178" t="str">
        <f>VLOOKUP(A719,CUSTOMER!$A$2:$H$1094,5,0)</f>
        <v>VACANCY</v>
      </c>
      <c r="F716" s="178" t="str">
        <f>VLOOKUP(A719,CUSTOMER!$A$2:$I$1094,6,0)</f>
        <v>VACANCY</v>
      </c>
      <c r="G716" s="178" t="s">
        <v>676</v>
      </c>
      <c r="H716" s="179">
        <f t="shared" si="108"/>
        <v>0</v>
      </c>
      <c r="I716" s="180" t="str">
        <f t="shared" si="109"/>
        <v/>
      </c>
      <c r="J716" s="181">
        <f t="shared" si="110"/>
        <v>0</v>
      </c>
      <c r="K716" s="182">
        <v>0</v>
      </c>
      <c r="L716" s="180" t="str">
        <f t="shared" si="114"/>
        <v/>
      </c>
      <c r="M716" s="218">
        <f>SUMIFS(DATA!$L:$L,DATA!$O:$O,$B719,DATA!$N:$N,$A719,DATA!$M:$M,'SALES BY SYSTEM'!$O$1)</f>
        <v>0</v>
      </c>
      <c r="N716" s="182">
        <v>0</v>
      </c>
      <c r="O716" s="180" t="str">
        <f t="shared" si="111"/>
        <v/>
      </c>
      <c r="P716" s="218">
        <f>SUMIFS(DATA!$L:$L,DATA!$O:$O,$B719,DATA!$N:$N,$A719,DATA!$M:$M,'SALES BY SYSTEM'!$O$2)</f>
        <v>0</v>
      </c>
      <c r="Q716" s="182">
        <v>0</v>
      </c>
      <c r="R716" s="180" t="str">
        <f t="shared" si="112"/>
        <v/>
      </c>
      <c r="S716" s="218">
        <f>SUMIFS(DATA!$L:$L,DATA!$O:$O,$B719,DATA!$N:$N,$A719,DATA!$M:$M,'SALES BY SYSTEM'!$O$4)</f>
        <v>0</v>
      </c>
      <c r="T716" s="182">
        <v>0</v>
      </c>
      <c r="U716" s="180" t="str">
        <f t="shared" si="113"/>
        <v/>
      </c>
      <c r="V716" s="218">
        <f>SUMIFS(DATA!$L:$L,DATA!$O:$O,$B719,DATA!$N:$N,$A719,DATA!$M:$M,'SALES BY SYSTEM'!$O$3)</f>
        <v>0</v>
      </c>
      <c r="W716" s="168"/>
    </row>
    <row r="717" spans="1:23" ht="15.75" customHeight="1" x14ac:dyDescent="0.25">
      <c r="A717" s="178" t="s">
        <v>2065</v>
      </c>
      <c r="B717" s="178" t="s">
        <v>1755</v>
      </c>
      <c r="C717" s="178" t="str">
        <f>VLOOKUP(A717,CUSTOMER!$A:$C,3,0)</f>
        <v>SATRA_F1167NVT</v>
      </c>
      <c r="D717" s="178" t="s">
        <v>674</v>
      </c>
      <c r="E717" s="178" t="str">
        <f>VLOOKUP(A720,CUSTOMER!$A$2:$H$1094,5,0)</f>
        <v>VACANCY</v>
      </c>
      <c r="F717" s="178" t="str">
        <f>VLOOKUP(A720,CUSTOMER!$A$2:$I$1094,6,0)</f>
        <v>VACANCY</v>
      </c>
      <c r="G717" s="178" t="s">
        <v>676</v>
      </c>
      <c r="H717" s="179">
        <f t="shared" si="108"/>
        <v>0</v>
      </c>
      <c r="I717" s="180" t="str">
        <f t="shared" si="109"/>
        <v/>
      </c>
      <c r="J717" s="181">
        <f t="shared" si="110"/>
        <v>0</v>
      </c>
      <c r="K717" s="182">
        <v>0</v>
      </c>
      <c r="L717" s="180" t="str">
        <f t="shared" si="114"/>
        <v/>
      </c>
      <c r="M717" s="218">
        <f>SUMIFS(DATA!$L:$L,DATA!$O:$O,$B720,DATA!$N:$N,$A720,DATA!$M:$M,'SALES BY SYSTEM'!$O$1)</f>
        <v>0</v>
      </c>
      <c r="N717" s="182">
        <v>0</v>
      </c>
      <c r="O717" s="180" t="str">
        <f t="shared" si="111"/>
        <v/>
      </c>
      <c r="P717" s="218">
        <f>SUMIFS(DATA!$L:$L,DATA!$O:$O,$B720,DATA!$N:$N,$A720,DATA!$M:$M,'SALES BY SYSTEM'!$O$2)</f>
        <v>0</v>
      </c>
      <c r="Q717" s="182">
        <v>0</v>
      </c>
      <c r="R717" s="180" t="str">
        <f t="shared" si="112"/>
        <v/>
      </c>
      <c r="S717" s="218">
        <f>SUMIFS(DATA!$L:$L,DATA!$O:$O,$B720,DATA!$N:$N,$A720,DATA!$M:$M,'SALES BY SYSTEM'!$O$4)</f>
        <v>0</v>
      </c>
      <c r="T717" s="182">
        <v>0</v>
      </c>
      <c r="U717" s="180" t="str">
        <f t="shared" si="113"/>
        <v/>
      </c>
      <c r="V717" s="218">
        <f>SUMIFS(DATA!$L:$L,DATA!$O:$O,$B720,DATA!$N:$N,$A720,DATA!$M:$M,'SALES BY SYSTEM'!$O$3)</f>
        <v>0</v>
      </c>
      <c r="W717" s="168"/>
    </row>
    <row r="718" spans="1:23" ht="15.75" customHeight="1" x14ac:dyDescent="0.25">
      <c r="A718" s="178" t="s">
        <v>2067</v>
      </c>
      <c r="B718" s="178" t="s">
        <v>1755</v>
      </c>
      <c r="C718" s="178" t="str">
        <f>VLOOKUP(A718,CUSTOMER!$A:$C,3,0)</f>
        <v>SATRA_F1169PVH</v>
      </c>
      <c r="D718" s="178" t="s">
        <v>674</v>
      </c>
      <c r="E718" s="178" t="str">
        <f>VLOOKUP(A721,CUSTOMER!$A$2:$H$1094,5,0)</f>
        <v>VACANCY</v>
      </c>
      <c r="F718" s="178" t="str">
        <f>VLOOKUP(A721,CUSTOMER!$A$2:$I$1094,6,0)</f>
        <v>VACANCY</v>
      </c>
      <c r="G718" s="178" t="s">
        <v>676</v>
      </c>
      <c r="H718" s="179">
        <f t="shared" si="108"/>
        <v>0</v>
      </c>
      <c r="I718" s="180" t="str">
        <f t="shared" si="109"/>
        <v/>
      </c>
      <c r="J718" s="181">
        <f t="shared" si="110"/>
        <v>0</v>
      </c>
      <c r="K718" s="182">
        <v>0</v>
      </c>
      <c r="L718" s="180" t="str">
        <f t="shared" si="114"/>
        <v/>
      </c>
      <c r="M718" s="218">
        <f>SUMIFS(DATA!$L:$L,DATA!$O:$O,$B721,DATA!$N:$N,$A721,DATA!$M:$M,'SALES BY SYSTEM'!$O$1)</f>
        <v>0</v>
      </c>
      <c r="N718" s="182">
        <v>0</v>
      </c>
      <c r="O718" s="180" t="str">
        <f t="shared" si="111"/>
        <v/>
      </c>
      <c r="P718" s="218">
        <f>SUMIFS(DATA!$L:$L,DATA!$O:$O,$B721,DATA!$N:$N,$A721,DATA!$M:$M,'SALES BY SYSTEM'!$O$2)</f>
        <v>0</v>
      </c>
      <c r="Q718" s="182">
        <v>0</v>
      </c>
      <c r="R718" s="180" t="str">
        <f t="shared" si="112"/>
        <v/>
      </c>
      <c r="S718" s="218">
        <f>SUMIFS(DATA!$L:$L,DATA!$O:$O,$B721,DATA!$N:$N,$A721,DATA!$M:$M,'SALES BY SYSTEM'!$O$4)</f>
        <v>0</v>
      </c>
      <c r="T718" s="182">
        <v>0</v>
      </c>
      <c r="U718" s="180" t="str">
        <f t="shared" si="113"/>
        <v/>
      </c>
      <c r="V718" s="218">
        <f>SUMIFS(DATA!$L:$L,DATA!$O:$O,$B721,DATA!$N:$N,$A721,DATA!$M:$M,'SALES BY SYSTEM'!$O$3)</f>
        <v>0</v>
      </c>
      <c r="W718" s="168"/>
    </row>
    <row r="719" spans="1:23" ht="15.75" customHeight="1" x14ac:dyDescent="0.25">
      <c r="A719" s="178" t="s">
        <v>2069</v>
      </c>
      <c r="B719" s="178" t="s">
        <v>1755</v>
      </c>
      <c r="C719" s="178" t="str">
        <f>VLOOKUP(A719,CUSTOMER!$A:$C,3,0)</f>
        <v>SATRA_F1170LTH</v>
      </c>
      <c r="D719" s="178" t="s">
        <v>674</v>
      </c>
      <c r="E719" s="178" t="str">
        <f>VLOOKUP(A722,CUSTOMER!$A$2:$H$1094,5,0)</f>
        <v>VACANCY</v>
      </c>
      <c r="F719" s="178" t="str">
        <f>VLOOKUP(A722,CUSTOMER!$A$2:$I$1094,6,0)</f>
        <v>VACANCY</v>
      </c>
      <c r="G719" s="178" t="s">
        <v>676</v>
      </c>
      <c r="H719" s="179">
        <f t="shared" si="108"/>
        <v>0</v>
      </c>
      <c r="I719" s="180" t="str">
        <f t="shared" si="109"/>
        <v/>
      </c>
      <c r="J719" s="181">
        <f t="shared" si="110"/>
        <v>0</v>
      </c>
      <c r="K719" s="182">
        <v>0</v>
      </c>
      <c r="L719" s="180" t="str">
        <f t="shared" si="114"/>
        <v/>
      </c>
      <c r="M719" s="218">
        <f>SUMIFS(DATA!$L:$L,DATA!$O:$O,$B722,DATA!$N:$N,$A722,DATA!$M:$M,'SALES BY SYSTEM'!$O$1)</f>
        <v>0</v>
      </c>
      <c r="N719" s="182">
        <v>0</v>
      </c>
      <c r="O719" s="180" t="str">
        <f t="shared" si="111"/>
        <v/>
      </c>
      <c r="P719" s="218">
        <f>SUMIFS(DATA!$L:$L,DATA!$O:$O,$B722,DATA!$N:$N,$A722,DATA!$M:$M,'SALES BY SYSTEM'!$O$2)</f>
        <v>0</v>
      </c>
      <c r="Q719" s="182">
        <v>0</v>
      </c>
      <c r="R719" s="180" t="str">
        <f t="shared" si="112"/>
        <v/>
      </c>
      <c r="S719" s="218">
        <f>SUMIFS(DATA!$L:$L,DATA!$O:$O,$B722,DATA!$N:$N,$A722,DATA!$M:$M,'SALES BY SYSTEM'!$O$4)</f>
        <v>0</v>
      </c>
      <c r="T719" s="182">
        <v>0</v>
      </c>
      <c r="U719" s="180" t="str">
        <f t="shared" si="113"/>
        <v/>
      </c>
      <c r="V719" s="218">
        <f>SUMIFS(DATA!$L:$L,DATA!$O:$O,$B722,DATA!$N:$N,$A722,DATA!$M:$M,'SALES BY SYSTEM'!$O$3)</f>
        <v>0</v>
      </c>
      <c r="W719" s="168"/>
    </row>
    <row r="720" spans="1:23" ht="15.75" customHeight="1" x14ac:dyDescent="0.25">
      <c r="A720" s="178" t="s">
        <v>2071</v>
      </c>
      <c r="B720" s="178" t="s">
        <v>1755</v>
      </c>
      <c r="C720" s="178" t="str">
        <f>VLOOKUP(A720,CUSTOMER!$A:$C,3,0)</f>
        <v>SATRA_F1171APT</v>
      </c>
      <c r="D720" s="178" t="s">
        <v>674</v>
      </c>
      <c r="E720" s="178" t="str">
        <f>VLOOKUP(A723,CUSTOMER!$A$2:$H$1094,5,0)</f>
        <v>VACANCY</v>
      </c>
      <c r="F720" s="178" t="str">
        <f>VLOOKUP(A723,CUSTOMER!$A$2:$I$1094,6,0)</f>
        <v>VACANCY</v>
      </c>
      <c r="G720" s="178" t="s">
        <v>676</v>
      </c>
      <c r="H720" s="179">
        <f t="shared" si="108"/>
        <v>0</v>
      </c>
      <c r="I720" s="180" t="str">
        <f t="shared" si="109"/>
        <v/>
      </c>
      <c r="J720" s="181">
        <f t="shared" si="110"/>
        <v>0</v>
      </c>
      <c r="K720" s="182">
        <v>0</v>
      </c>
      <c r="L720" s="180" t="str">
        <f t="shared" si="114"/>
        <v/>
      </c>
      <c r="M720" s="218">
        <f>SUMIFS(DATA!$L:$L,DATA!$O:$O,$B723,DATA!$N:$N,$A723,DATA!$M:$M,'SALES BY SYSTEM'!$O$1)</f>
        <v>0</v>
      </c>
      <c r="N720" s="182">
        <v>0</v>
      </c>
      <c r="O720" s="180" t="str">
        <f t="shared" si="111"/>
        <v/>
      </c>
      <c r="P720" s="218">
        <f>SUMIFS(DATA!$L:$L,DATA!$O:$O,$B723,DATA!$N:$N,$A723,DATA!$M:$M,'SALES BY SYSTEM'!$O$2)</f>
        <v>0</v>
      </c>
      <c r="Q720" s="182">
        <v>0</v>
      </c>
      <c r="R720" s="180" t="str">
        <f t="shared" si="112"/>
        <v/>
      </c>
      <c r="S720" s="218">
        <f>SUMIFS(DATA!$L:$L,DATA!$O:$O,$B723,DATA!$N:$N,$A723,DATA!$M:$M,'SALES BY SYSTEM'!$O$4)</f>
        <v>0</v>
      </c>
      <c r="T720" s="182">
        <v>0</v>
      </c>
      <c r="U720" s="180" t="str">
        <f t="shared" si="113"/>
        <v/>
      </c>
      <c r="V720" s="218">
        <f>SUMIFS(DATA!$L:$L,DATA!$O:$O,$B723,DATA!$N:$N,$A723,DATA!$M:$M,'SALES BY SYSTEM'!$O$3)</f>
        <v>0</v>
      </c>
      <c r="W720" s="168"/>
    </row>
    <row r="721" spans="1:23" ht="15.75" customHeight="1" x14ac:dyDescent="0.25">
      <c r="A721" s="178" t="s">
        <v>2073</v>
      </c>
      <c r="B721" s="178" t="s">
        <v>1755</v>
      </c>
      <c r="C721" s="178" t="str">
        <f>VLOOKUP(A721,CUSTOMER!$A:$C,3,0)</f>
        <v>SATRA_F1172ADV</v>
      </c>
      <c r="D721" s="178" t="s">
        <v>674</v>
      </c>
      <c r="E721" s="178" t="str">
        <f>VLOOKUP(A724,CUSTOMER!$A$2:$H$1094,5,0)</f>
        <v>VACANCY</v>
      </c>
      <c r="F721" s="178" t="str">
        <f>VLOOKUP(A724,CUSTOMER!$A$2:$I$1094,6,0)</f>
        <v>VACANCY</v>
      </c>
      <c r="G721" s="178" t="s">
        <v>676</v>
      </c>
      <c r="H721" s="179">
        <f t="shared" si="108"/>
        <v>0</v>
      </c>
      <c r="I721" s="180" t="str">
        <f t="shared" si="109"/>
        <v/>
      </c>
      <c r="J721" s="181">
        <f t="shared" si="110"/>
        <v>0</v>
      </c>
      <c r="K721" s="182">
        <v>0</v>
      </c>
      <c r="L721" s="180" t="str">
        <f t="shared" si="114"/>
        <v/>
      </c>
      <c r="M721" s="218">
        <f>SUMIFS(DATA!$L:$L,DATA!$O:$O,$B724,DATA!$N:$N,$A724,DATA!$M:$M,'SALES BY SYSTEM'!$O$1)</f>
        <v>0</v>
      </c>
      <c r="N721" s="182">
        <v>0</v>
      </c>
      <c r="O721" s="180" t="str">
        <f t="shared" si="111"/>
        <v/>
      </c>
      <c r="P721" s="218">
        <f>SUMIFS(DATA!$L:$L,DATA!$O:$O,$B724,DATA!$N:$N,$A724,DATA!$M:$M,'SALES BY SYSTEM'!$O$2)</f>
        <v>0</v>
      </c>
      <c r="Q721" s="182">
        <v>0</v>
      </c>
      <c r="R721" s="180" t="str">
        <f t="shared" si="112"/>
        <v/>
      </c>
      <c r="S721" s="218">
        <f>SUMIFS(DATA!$L:$L,DATA!$O:$O,$B724,DATA!$N:$N,$A724,DATA!$M:$M,'SALES BY SYSTEM'!$O$4)</f>
        <v>0</v>
      </c>
      <c r="T721" s="182">
        <v>0</v>
      </c>
      <c r="U721" s="180" t="str">
        <f t="shared" si="113"/>
        <v/>
      </c>
      <c r="V721" s="218">
        <f>SUMIFS(DATA!$L:$L,DATA!$O:$O,$B724,DATA!$N:$N,$A724,DATA!$M:$M,'SALES BY SYSTEM'!$O$3)</f>
        <v>0</v>
      </c>
      <c r="W721" s="168"/>
    </row>
    <row r="722" spans="1:23" ht="15.75" customHeight="1" x14ac:dyDescent="0.25">
      <c r="A722" s="178" t="s">
        <v>2075</v>
      </c>
      <c r="B722" s="178" t="s">
        <v>1755</v>
      </c>
      <c r="C722" s="178" t="str">
        <f>VLOOKUP(A722,CUSTOMER!$A:$C,3,0)</f>
        <v>SATRA_F1173HL2</v>
      </c>
      <c r="D722" s="178" t="s">
        <v>674</v>
      </c>
      <c r="E722" s="178" t="str">
        <f>VLOOKUP(A725,CUSTOMER!$A$2:$H$1094,5,0)</f>
        <v>VACANCY</v>
      </c>
      <c r="F722" s="178" t="str">
        <f>VLOOKUP(A725,CUSTOMER!$A$2:$I$1094,6,0)</f>
        <v>VACANCY</v>
      </c>
      <c r="G722" s="178" t="s">
        <v>676</v>
      </c>
      <c r="H722" s="179">
        <f t="shared" si="108"/>
        <v>0</v>
      </c>
      <c r="I722" s="180" t="str">
        <f t="shared" si="109"/>
        <v/>
      </c>
      <c r="J722" s="181">
        <f t="shared" si="110"/>
        <v>0</v>
      </c>
      <c r="K722" s="182">
        <v>0</v>
      </c>
      <c r="L722" s="180" t="str">
        <f t="shared" si="114"/>
        <v/>
      </c>
      <c r="M722" s="218">
        <f>SUMIFS(DATA!$L:$L,DATA!$O:$O,$B725,DATA!$N:$N,$A725,DATA!$M:$M,'SALES BY SYSTEM'!$O$1)</f>
        <v>0</v>
      </c>
      <c r="N722" s="182">
        <v>0</v>
      </c>
      <c r="O722" s="180" t="str">
        <f t="shared" si="111"/>
        <v/>
      </c>
      <c r="P722" s="218">
        <f>SUMIFS(DATA!$L:$L,DATA!$O:$O,$B725,DATA!$N:$N,$A725,DATA!$M:$M,'SALES BY SYSTEM'!$O$2)</f>
        <v>0</v>
      </c>
      <c r="Q722" s="182">
        <v>0</v>
      </c>
      <c r="R722" s="180" t="str">
        <f t="shared" si="112"/>
        <v/>
      </c>
      <c r="S722" s="218">
        <f>SUMIFS(DATA!$L:$L,DATA!$O:$O,$B725,DATA!$N:$N,$A725,DATA!$M:$M,'SALES BY SYSTEM'!$O$4)</f>
        <v>0</v>
      </c>
      <c r="T722" s="182">
        <v>0</v>
      </c>
      <c r="U722" s="180" t="str">
        <f t="shared" si="113"/>
        <v/>
      </c>
      <c r="V722" s="218">
        <f>SUMIFS(DATA!$L:$L,DATA!$O:$O,$B725,DATA!$N:$N,$A725,DATA!$M:$M,'SALES BY SYSTEM'!$O$3)</f>
        <v>0</v>
      </c>
      <c r="W722" s="168"/>
    </row>
    <row r="723" spans="1:23" ht="15.75" customHeight="1" x14ac:dyDescent="0.25">
      <c r="A723" s="178" t="s">
        <v>2077</v>
      </c>
      <c r="B723" s="178" t="s">
        <v>1755</v>
      </c>
      <c r="C723" s="178" t="str">
        <f>VLOOKUP(A723,CUSTOMER!$A:$C,3,0)</f>
        <v>SATRA_F1174HVL</v>
      </c>
      <c r="D723" s="178" t="s">
        <v>674</v>
      </c>
      <c r="E723" s="178" t="str">
        <f>VLOOKUP(A726,CUSTOMER!$A$2:$H$1094,5,0)</f>
        <v>VACANCY</v>
      </c>
      <c r="F723" s="178" t="str">
        <f>VLOOKUP(A726,CUSTOMER!$A$2:$I$1094,6,0)</f>
        <v>VACANCY</v>
      </c>
      <c r="G723" s="178" t="s">
        <v>676</v>
      </c>
      <c r="H723" s="179">
        <f t="shared" si="108"/>
        <v>0</v>
      </c>
      <c r="I723" s="180" t="str">
        <f t="shared" si="109"/>
        <v/>
      </c>
      <c r="J723" s="181">
        <f t="shared" si="110"/>
        <v>0</v>
      </c>
      <c r="K723" s="182">
        <v>0</v>
      </c>
      <c r="L723" s="180" t="str">
        <f t="shared" si="114"/>
        <v/>
      </c>
      <c r="M723" s="218">
        <f>SUMIFS(DATA!$L:$L,DATA!$O:$O,$B726,DATA!$N:$N,$A726,DATA!$M:$M,'SALES BY SYSTEM'!$O$1)</f>
        <v>0</v>
      </c>
      <c r="N723" s="182">
        <v>0</v>
      </c>
      <c r="O723" s="180" t="str">
        <f t="shared" si="111"/>
        <v/>
      </c>
      <c r="P723" s="218">
        <f>SUMIFS(DATA!$L:$L,DATA!$O:$O,$B726,DATA!$N:$N,$A726,DATA!$M:$M,'SALES BY SYSTEM'!$O$2)</f>
        <v>0</v>
      </c>
      <c r="Q723" s="182">
        <v>0</v>
      </c>
      <c r="R723" s="180" t="str">
        <f t="shared" si="112"/>
        <v/>
      </c>
      <c r="S723" s="218">
        <f>SUMIFS(DATA!$L:$L,DATA!$O:$O,$B726,DATA!$N:$N,$A726,DATA!$M:$M,'SALES BY SYSTEM'!$O$4)</f>
        <v>0</v>
      </c>
      <c r="T723" s="182">
        <v>0</v>
      </c>
      <c r="U723" s="180" t="str">
        <f t="shared" si="113"/>
        <v/>
      </c>
      <c r="V723" s="218">
        <f>SUMIFS(DATA!$L:$L,DATA!$O:$O,$B726,DATA!$N:$N,$A726,DATA!$M:$M,'SALES BY SYSTEM'!$O$3)</f>
        <v>0</v>
      </c>
      <c r="W723" s="168"/>
    </row>
    <row r="724" spans="1:23" ht="15.75" customHeight="1" x14ac:dyDescent="0.25">
      <c r="A724" s="178" t="s">
        <v>2079</v>
      </c>
      <c r="B724" s="178" t="s">
        <v>1755</v>
      </c>
      <c r="C724" s="178" t="str">
        <f>VLOOKUP(A724,CUSTOMER!$A:$C,3,0)</f>
        <v>SATRA_F1175LK56</v>
      </c>
      <c r="D724" s="178" t="s">
        <v>674</v>
      </c>
      <c r="E724" s="178" t="str">
        <f>VLOOKUP(A727,CUSTOMER!$A$2:$H$1094,5,0)</f>
        <v>VACANCY</v>
      </c>
      <c r="F724" s="178" t="str">
        <f>VLOOKUP(A727,CUSTOMER!$A$2:$I$1094,6,0)</f>
        <v>VACANCY</v>
      </c>
      <c r="G724" s="178" t="s">
        <v>676</v>
      </c>
      <c r="H724" s="179">
        <f t="shared" si="108"/>
        <v>0</v>
      </c>
      <c r="I724" s="180" t="str">
        <f t="shared" si="109"/>
        <v/>
      </c>
      <c r="J724" s="181">
        <f t="shared" si="110"/>
        <v>0</v>
      </c>
      <c r="K724" s="182">
        <v>0</v>
      </c>
      <c r="L724" s="180" t="str">
        <f t="shared" si="114"/>
        <v/>
      </c>
      <c r="M724" s="218">
        <f>SUMIFS(DATA!$L:$L,DATA!$O:$O,$B727,DATA!$N:$N,$A727,DATA!$M:$M,'SALES BY SYSTEM'!$O$1)</f>
        <v>0</v>
      </c>
      <c r="N724" s="182">
        <v>0</v>
      </c>
      <c r="O724" s="180" t="str">
        <f t="shared" si="111"/>
        <v/>
      </c>
      <c r="P724" s="218">
        <f>SUMIFS(DATA!$L:$L,DATA!$O:$O,$B727,DATA!$N:$N,$A727,DATA!$M:$M,'SALES BY SYSTEM'!$O$2)</f>
        <v>0</v>
      </c>
      <c r="Q724" s="182">
        <v>0</v>
      </c>
      <c r="R724" s="180" t="str">
        <f t="shared" si="112"/>
        <v/>
      </c>
      <c r="S724" s="218">
        <f>SUMIFS(DATA!$L:$L,DATA!$O:$O,$B727,DATA!$N:$N,$A727,DATA!$M:$M,'SALES BY SYSTEM'!$O$4)</f>
        <v>0</v>
      </c>
      <c r="T724" s="182">
        <v>0</v>
      </c>
      <c r="U724" s="180" t="str">
        <f t="shared" si="113"/>
        <v/>
      </c>
      <c r="V724" s="218">
        <f>SUMIFS(DATA!$L:$L,DATA!$O:$O,$B727,DATA!$N:$N,$A727,DATA!$M:$M,'SALES BY SYSTEM'!$O$3)</f>
        <v>0</v>
      </c>
      <c r="W724" s="168"/>
    </row>
    <row r="725" spans="1:23" ht="15.75" customHeight="1" x14ac:dyDescent="0.25">
      <c r="A725" s="178" t="s">
        <v>2081</v>
      </c>
      <c r="B725" s="178" t="s">
        <v>1755</v>
      </c>
      <c r="C725" s="178" t="str">
        <f>VLOOKUP(A725,CUSTOMER!$A:$C,3,0)</f>
        <v>SATRA_F1176BVND2</v>
      </c>
      <c r="D725" s="178" t="s">
        <v>674</v>
      </c>
      <c r="E725" s="178" t="str">
        <f>VLOOKUP(A728,CUSTOMER!$A$2:$H$1094,5,0)</f>
        <v>VACANCY</v>
      </c>
      <c r="F725" s="178" t="str">
        <f>VLOOKUP(A728,CUSTOMER!$A$2:$I$1094,6,0)</f>
        <v>VACANCY</v>
      </c>
      <c r="G725" s="178" t="s">
        <v>676</v>
      </c>
      <c r="H725" s="179">
        <f t="shared" si="108"/>
        <v>0</v>
      </c>
      <c r="I725" s="180" t="str">
        <f t="shared" si="109"/>
        <v/>
      </c>
      <c r="J725" s="181">
        <f t="shared" si="110"/>
        <v>0</v>
      </c>
      <c r="K725" s="182">
        <v>0</v>
      </c>
      <c r="L725" s="180" t="str">
        <f t="shared" si="114"/>
        <v/>
      </c>
      <c r="M725" s="218">
        <f>SUMIFS(DATA!$L:$L,DATA!$O:$O,$B728,DATA!$N:$N,$A728,DATA!$M:$M,'SALES BY SYSTEM'!$O$1)</f>
        <v>0</v>
      </c>
      <c r="N725" s="182">
        <v>0</v>
      </c>
      <c r="O725" s="180" t="str">
        <f t="shared" si="111"/>
        <v/>
      </c>
      <c r="P725" s="218">
        <f>SUMIFS(DATA!$L:$L,DATA!$O:$O,$B728,DATA!$N:$N,$A728,DATA!$M:$M,'SALES BY SYSTEM'!$O$2)</f>
        <v>0</v>
      </c>
      <c r="Q725" s="182">
        <v>0</v>
      </c>
      <c r="R725" s="180" t="str">
        <f t="shared" si="112"/>
        <v/>
      </c>
      <c r="S725" s="218">
        <f>SUMIFS(DATA!$L:$L,DATA!$O:$O,$B728,DATA!$N:$N,$A728,DATA!$M:$M,'SALES BY SYSTEM'!$O$4)</f>
        <v>0</v>
      </c>
      <c r="T725" s="182">
        <v>0</v>
      </c>
      <c r="U725" s="180" t="str">
        <f t="shared" si="113"/>
        <v/>
      </c>
      <c r="V725" s="218">
        <f>SUMIFS(DATA!$L:$L,DATA!$O:$O,$B728,DATA!$N:$N,$A728,DATA!$M:$M,'SALES BY SYSTEM'!$O$3)</f>
        <v>0</v>
      </c>
      <c r="W725" s="168"/>
    </row>
    <row r="726" spans="1:23" ht="15.75" customHeight="1" x14ac:dyDescent="0.25">
      <c r="A726" s="178" t="s">
        <v>2083</v>
      </c>
      <c r="B726" s="178" t="s">
        <v>1755</v>
      </c>
      <c r="C726" s="178" t="str">
        <f>VLOOKUP(A726,CUSTOMER!$A:$C,3,0)</f>
        <v>SATRA_F1177HVL2</v>
      </c>
      <c r="D726" s="178" t="s">
        <v>674</v>
      </c>
      <c r="E726" s="178" t="str">
        <f>VLOOKUP(A729,CUSTOMER!$A$2:$H$1094,5,0)</f>
        <v>VACANCY</v>
      </c>
      <c r="F726" s="178" t="str">
        <f>VLOOKUP(A729,CUSTOMER!$A$2:$I$1094,6,0)</f>
        <v>VACANCY</v>
      </c>
      <c r="G726" s="178" t="s">
        <v>676</v>
      </c>
      <c r="H726" s="179">
        <f t="shared" si="108"/>
        <v>0</v>
      </c>
      <c r="I726" s="180" t="str">
        <f t="shared" si="109"/>
        <v/>
      </c>
      <c r="J726" s="181">
        <f t="shared" si="110"/>
        <v>0</v>
      </c>
      <c r="K726" s="182">
        <v>0</v>
      </c>
      <c r="L726" s="180" t="str">
        <f t="shared" si="114"/>
        <v/>
      </c>
      <c r="M726" s="218">
        <f>SUMIFS(DATA!$L:$L,DATA!$O:$O,$B729,DATA!$N:$N,$A729,DATA!$M:$M,'SALES BY SYSTEM'!$O$1)</f>
        <v>0</v>
      </c>
      <c r="N726" s="182">
        <v>0</v>
      </c>
      <c r="O726" s="180" t="str">
        <f t="shared" si="111"/>
        <v/>
      </c>
      <c r="P726" s="218">
        <f>SUMIFS(DATA!$L:$L,DATA!$O:$O,$B729,DATA!$N:$N,$A729,DATA!$M:$M,'SALES BY SYSTEM'!$O$2)</f>
        <v>0</v>
      </c>
      <c r="Q726" s="182">
        <v>0</v>
      </c>
      <c r="R726" s="180" t="str">
        <f t="shared" si="112"/>
        <v/>
      </c>
      <c r="S726" s="218">
        <f>SUMIFS(DATA!$L:$L,DATA!$O:$O,$B729,DATA!$N:$N,$A729,DATA!$M:$M,'SALES BY SYSTEM'!$O$4)</f>
        <v>0</v>
      </c>
      <c r="T726" s="182">
        <v>0</v>
      </c>
      <c r="U726" s="180" t="str">
        <f t="shared" si="113"/>
        <v/>
      </c>
      <c r="V726" s="218">
        <f>SUMIFS(DATA!$L:$L,DATA!$O:$O,$B729,DATA!$N:$N,$A729,DATA!$M:$M,'SALES BY SYSTEM'!$O$3)</f>
        <v>0</v>
      </c>
      <c r="W726" s="168"/>
    </row>
    <row r="727" spans="1:23" ht="15.75" customHeight="1" x14ac:dyDescent="0.25">
      <c r="A727" s="178" t="s">
        <v>2085</v>
      </c>
      <c r="B727" s="178" t="s">
        <v>1755</v>
      </c>
      <c r="C727" s="178" t="str">
        <f>VLOOKUP(A727,CUSTOMER!$A:$C,3,0)</f>
        <v>SATRA_F1178XC</v>
      </c>
      <c r="D727" s="178" t="s">
        <v>674</v>
      </c>
      <c r="E727" s="178" t="str">
        <f>VLOOKUP(A730,CUSTOMER!$A$2:$H$1094,5,0)</f>
        <v>VACANCY</v>
      </c>
      <c r="F727" s="178" t="str">
        <f>VLOOKUP(A730,CUSTOMER!$A$2:$I$1094,6,0)</f>
        <v>VACANCY</v>
      </c>
      <c r="G727" s="178" t="s">
        <v>676</v>
      </c>
      <c r="H727" s="179">
        <f t="shared" si="108"/>
        <v>0</v>
      </c>
      <c r="I727" s="180" t="str">
        <f t="shared" si="109"/>
        <v/>
      </c>
      <c r="J727" s="181">
        <f t="shared" si="110"/>
        <v>0</v>
      </c>
      <c r="K727" s="182">
        <v>0</v>
      </c>
      <c r="L727" s="180" t="str">
        <f t="shared" si="114"/>
        <v/>
      </c>
      <c r="M727" s="218">
        <f>SUMIFS(DATA!$L:$L,DATA!$O:$O,$B730,DATA!$N:$N,$A730,DATA!$M:$M,'SALES BY SYSTEM'!$O$1)</f>
        <v>0</v>
      </c>
      <c r="N727" s="182">
        <v>0</v>
      </c>
      <c r="O727" s="180" t="str">
        <f t="shared" si="111"/>
        <v/>
      </c>
      <c r="P727" s="218">
        <f>SUMIFS(DATA!$L:$L,DATA!$O:$O,$B730,DATA!$N:$N,$A730,DATA!$M:$M,'SALES BY SYSTEM'!$O$2)</f>
        <v>0</v>
      </c>
      <c r="Q727" s="182">
        <v>0</v>
      </c>
      <c r="R727" s="180" t="str">
        <f t="shared" si="112"/>
        <v/>
      </c>
      <c r="S727" s="218">
        <f>SUMIFS(DATA!$L:$L,DATA!$O:$O,$B730,DATA!$N:$N,$A730,DATA!$M:$M,'SALES BY SYSTEM'!$O$4)</f>
        <v>0</v>
      </c>
      <c r="T727" s="182">
        <v>0</v>
      </c>
      <c r="U727" s="180" t="str">
        <f t="shared" si="113"/>
        <v/>
      </c>
      <c r="V727" s="218">
        <f>SUMIFS(DATA!$L:$L,DATA!$O:$O,$B730,DATA!$N:$N,$A730,DATA!$M:$M,'SALES BY SYSTEM'!$O$3)</f>
        <v>0</v>
      </c>
      <c r="W727" s="168"/>
    </row>
    <row r="728" spans="1:23" ht="15.75" customHeight="1" x14ac:dyDescent="0.25">
      <c r="A728" s="178" t="s">
        <v>2087</v>
      </c>
      <c r="B728" s="178" t="s">
        <v>1755</v>
      </c>
      <c r="C728" s="178" t="str">
        <f>VLOOKUP(A728,CUSTOMER!$A:$C,3,0)</f>
        <v>SATRA_F1179HHG2</v>
      </c>
      <c r="D728" s="178" t="s">
        <v>674</v>
      </c>
      <c r="E728" s="178" t="str">
        <f>VLOOKUP(A731,CUSTOMER!$A$2:$H$1094,5,0)</f>
        <v>VACANCY</v>
      </c>
      <c r="F728" s="178" t="str">
        <f>VLOOKUP(A731,CUSTOMER!$A$2:$I$1094,6,0)</f>
        <v>VACANCY</v>
      </c>
      <c r="G728" s="178" t="s">
        <v>676</v>
      </c>
      <c r="H728" s="179">
        <f t="shared" si="108"/>
        <v>0</v>
      </c>
      <c r="I728" s="180" t="str">
        <f t="shared" si="109"/>
        <v/>
      </c>
      <c r="J728" s="181">
        <f t="shared" si="110"/>
        <v>0</v>
      </c>
      <c r="K728" s="182">
        <v>0</v>
      </c>
      <c r="L728" s="180" t="str">
        <f t="shared" si="114"/>
        <v/>
      </c>
      <c r="M728" s="218">
        <f>SUMIFS(DATA!$L:$L,DATA!$O:$O,$B731,DATA!$N:$N,$A731,DATA!$M:$M,'SALES BY SYSTEM'!$O$1)</f>
        <v>0</v>
      </c>
      <c r="N728" s="182">
        <v>0</v>
      </c>
      <c r="O728" s="180" t="str">
        <f t="shared" si="111"/>
        <v/>
      </c>
      <c r="P728" s="218">
        <f>SUMIFS(DATA!$L:$L,DATA!$O:$O,$B731,DATA!$N:$N,$A731,DATA!$M:$M,'SALES BY SYSTEM'!$O$2)</f>
        <v>0</v>
      </c>
      <c r="Q728" s="182">
        <v>0</v>
      </c>
      <c r="R728" s="180" t="str">
        <f t="shared" si="112"/>
        <v/>
      </c>
      <c r="S728" s="218">
        <f>SUMIFS(DATA!$L:$L,DATA!$O:$O,$B731,DATA!$N:$N,$A731,DATA!$M:$M,'SALES BY SYSTEM'!$O$4)</f>
        <v>0</v>
      </c>
      <c r="T728" s="182">
        <v>0</v>
      </c>
      <c r="U728" s="180" t="str">
        <f t="shared" si="113"/>
        <v/>
      </c>
      <c r="V728" s="218">
        <f>SUMIFS(DATA!$L:$L,DATA!$O:$O,$B731,DATA!$N:$N,$A731,DATA!$M:$M,'SALES BY SYSTEM'!$O$3)</f>
        <v>0</v>
      </c>
      <c r="W728" s="168"/>
    </row>
    <row r="729" spans="1:23" ht="15.75" customHeight="1" x14ac:dyDescent="0.25">
      <c r="A729" s="178" t="s">
        <v>2089</v>
      </c>
      <c r="B729" s="178" t="s">
        <v>1755</v>
      </c>
      <c r="C729" s="178" t="str">
        <f>VLOOKUP(A729,CUSTOMER!$A:$C,3,0)</f>
        <v>SATRA_F1180ACL</v>
      </c>
      <c r="D729" s="178" t="s">
        <v>674</v>
      </c>
      <c r="E729" s="178" t="str">
        <f>VLOOKUP(A732,CUSTOMER!$A$2:$H$1094,5,0)</f>
        <v>VACANCY</v>
      </c>
      <c r="F729" s="178" t="str">
        <f>VLOOKUP(A732,CUSTOMER!$A$2:$I$1094,6,0)</f>
        <v>VACANCY</v>
      </c>
      <c r="G729" s="178" t="s">
        <v>676</v>
      </c>
      <c r="H729" s="179">
        <f t="shared" si="108"/>
        <v>0</v>
      </c>
      <c r="I729" s="180" t="str">
        <f t="shared" si="109"/>
        <v/>
      </c>
      <c r="J729" s="181">
        <f t="shared" si="110"/>
        <v>0</v>
      </c>
      <c r="K729" s="182">
        <v>0</v>
      </c>
      <c r="L729" s="180" t="str">
        <f t="shared" si="114"/>
        <v/>
      </c>
      <c r="M729" s="218">
        <f>SUMIFS(DATA!$L:$L,DATA!$O:$O,$B732,DATA!$N:$N,$A732,DATA!$M:$M,'SALES BY SYSTEM'!$O$1)</f>
        <v>0</v>
      </c>
      <c r="N729" s="182">
        <v>0</v>
      </c>
      <c r="O729" s="180" t="str">
        <f t="shared" si="111"/>
        <v/>
      </c>
      <c r="P729" s="218">
        <f>SUMIFS(DATA!$L:$L,DATA!$O:$O,$B732,DATA!$N:$N,$A732,DATA!$M:$M,'SALES BY SYSTEM'!$O$2)</f>
        <v>0</v>
      </c>
      <c r="Q729" s="182">
        <v>0</v>
      </c>
      <c r="R729" s="180" t="str">
        <f t="shared" si="112"/>
        <v/>
      </c>
      <c r="S729" s="218">
        <f>SUMIFS(DATA!$L:$L,DATA!$O:$O,$B732,DATA!$N:$N,$A732,DATA!$M:$M,'SALES BY SYSTEM'!$O$4)</f>
        <v>0</v>
      </c>
      <c r="T729" s="182">
        <v>0</v>
      </c>
      <c r="U729" s="180" t="str">
        <f t="shared" si="113"/>
        <v/>
      </c>
      <c r="V729" s="218">
        <f>SUMIFS(DATA!$L:$L,DATA!$O:$O,$B732,DATA!$N:$N,$A732,DATA!$M:$M,'SALES BY SYSTEM'!$O$3)</f>
        <v>0</v>
      </c>
      <c r="W729" s="168"/>
    </row>
    <row r="730" spans="1:23" ht="15.75" customHeight="1" x14ac:dyDescent="0.25">
      <c r="A730" s="178" t="s">
        <v>2091</v>
      </c>
      <c r="B730" s="178" t="s">
        <v>1755</v>
      </c>
      <c r="C730" s="178" t="str">
        <f>VLOOKUP(A730,CUSTOMER!$A:$C,3,0)</f>
        <v>SATRA_F1181NQ</v>
      </c>
      <c r="D730" s="178" t="s">
        <v>674</v>
      </c>
      <c r="E730" s="178" t="str">
        <f>VLOOKUP(A733,CUSTOMER!$A$2:$H$1094,5,0)</f>
        <v>VACANCY</v>
      </c>
      <c r="F730" s="178" t="str">
        <f>VLOOKUP(A733,CUSTOMER!$A$2:$I$1094,6,0)</f>
        <v>VACANCY</v>
      </c>
      <c r="G730" s="178" t="s">
        <v>676</v>
      </c>
      <c r="H730" s="179">
        <f t="shared" si="108"/>
        <v>0</v>
      </c>
      <c r="I730" s="180" t="str">
        <f t="shared" si="109"/>
        <v/>
      </c>
      <c r="J730" s="181">
        <f t="shared" si="110"/>
        <v>0</v>
      </c>
      <c r="K730" s="182">
        <v>0</v>
      </c>
      <c r="L730" s="180" t="str">
        <f t="shared" si="114"/>
        <v/>
      </c>
      <c r="M730" s="218">
        <f>SUMIFS(DATA!$L:$L,DATA!$O:$O,$B733,DATA!$N:$N,$A733,DATA!$M:$M,'SALES BY SYSTEM'!$O$1)</f>
        <v>0</v>
      </c>
      <c r="N730" s="182">
        <v>0</v>
      </c>
      <c r="O730" s="180" t="str">
        <f t="shared" si="111"/>
        <v/>
      </c>
      <c r="P730" s="218">
        <f>SUMIFS(DATA!$L:$L,DATA!$O:$O,$B733,DATA!$N:$N,$A733,DATA!$M:$M,'SALES BY SYSTEM'!$O$2)</f>
        <v>0</v>
      </c>
      <c r="Q730" s="182">
        <v>0</v>
      </c>
      <c r="R730" s="180" t="str">
        <f t="shared" si="112"/>
        <v/>
      </c>
      <c r="S730" s="218">
        <f>SUMIFS(DATA!$L:$L,DATA!$O:$O,$B733,DATA!$N:$N,$A733,DATA!$M:$M,'SALES BY SYSTEM'!$O$4)</f>
        <v>0</v>
      </c>
      <c r="T730" s="182">
        <v>0</v>
      </c>
      <c r="U730" s="180" t="str">
        <f t="shared" si="113"/>
        <v/>
      </c>
      <c r="V730" s="218">
        <f>SUMIFS(DATA!$L:$L,DATA!$O:$O,$B733,DATA!$N:$N,$A733,DATA!$M:$M,'SALES BY SYSTEM'!$O$3)</f>
        <v>0</v>
      </c>
      <c r="W730" s="168"/>
    </row>
    <row r="731" spans="1:23" ht="15.75" customHeight="1" x14ac:dyDescent="0.25">
      <c r="A731" s="178" t="s">
        <v>2093</v>
      </c>
      <c r="B731" s="178" t="s">
        <v>1755</v>
      </c>
      <c r="C731" s="178" t="str">
        <f>VLOOKUP(A731,CUSTOMER!$A:$C,3,0)</f>
        <v>SATRA_F1182PTH4</v>
      </c>
      <c r="D731" s="178" t="s">
        <v>674</v>
      </c>
      <c r="E731" s="178" t="str">
        <f>VLOOKUP(A734,CUSTOMER!$A$2:$H$1094,5,0)</f>
        <v>VACANCY</v>
      </c>
      <c r="F731" s="178" t="str">
        <f>VLOOKUP(A734,CUSTOMER!$A$2:$I$1094,6,0)</f>
        <v>VACANCY</v>
      </c>
      <c r="G731" s="178" t="s">
        <v>676</v>
      </c>
      <c r="H731" s="179">
        <f t="shared" ref="H731:H794" si="115">SUM(K731,N731,Q731,T731)</f>
        <v>0</v>
      </c>
      <c r="I731" s="180" t="str">
        <f t="shared" ref="I731:I794" si="116">IFERROR(J731/H731,"")</f>
        <v/>
      </c>
      <c r="J731" s="181">
        <f t="shared" ref="J731:J794" si="117">SUM(M731,P731,S731,V731)</f>
        <v>0</v>
      </c>
      <c r="K731" s="182">
        <v>0</v>
      </c>
      <c r="L731" s="180" t="str">
        <f t="shared" si="114"/>
        <v/>
      </c>
      <c r="M731" s="218">
        <f>SUMIFS(DATA!$L:$L,DATA!$O:$O,$B734,DATA!$N:$N,$A734,DATA!$M:$M,'SALES BY SYSTEM'!$O$1)</f>
        <v>0</v>
      </c>
      <c r="N731" s="182">
        <v>0</v>
      </c>
      <c r="O731" s="180" t="str">
        <f t="shared" si="111"/>
        <v/>
      </c>
      <c r="P731" s="218">
        <f>SUMIFS(DATA!$L:$L,DATA!$O:$O,$B734,DATA!$N:$N,$A734,DATA!$M:$M,'SALES BY SYSTEM'!$O$2)</f>
        <v>0</v>
      </c>
      <c r="Q731" s="182">
        <v>0</v>
      </c>
      <c r="R731" s="180" t="str">
        <f t="shared" si="112"/>
        <v/>
      </c>
      <c r="S731" s="218">
        <f>SUMIFS(DATA!$L:$L,DATA!$O:$O,$B734,DATA!$N:$N,$A734,DATA!$M:$M,'SALES BY SYSTEM'!$O$4)</f>
        <v>0</v>
      </c>
      <c r="T731" s="182">
        <v>0</v>
      </c>
      <c r="U731" s="180" t="str">
        <f t="shared" si="113"/>
        <v/>
      </c>
      <c r="V731" s="218">
        <f>SUMIFS(DATA!$L:$L,DATA!$O:$O,$B734,DATA!$N:$N,$A734,DATA!$M:$M,'SALES BY SYSTEM'!$O$3)</f>
        <v>0</v>
      </c>
      <c r="W731" s="168"/>
    </row>
    <row r="732" spans="1:23" ht="15.75" customHeight="1" x14ac:dyDescent="0.25">
      <c r="A732" s="178" t="s">
        <v>2095</v>
      </c>
      <c r="B732" s="178" t="s">
        <v>1755</v>
      </c>
      <c r="C732" s="178" t="str">
        <f>VLOOKUP(A732,CUSTOMER!$A:$C,3,0)</f>
        <v>SATRA_F1184LL</v>
      </c>
      <c r="D732" s="178" t="s">
        <v>674</v>
      </c>
      <c r="E732" s="178" t="str">
        <f>VLOOKUP(A735,CUSTOMER!$A$2:$H$1094,5,0)</f>
        <v>VACANCY</v>
      </c>
      <c r="F732" s="178" t="str">
        <f>VLOOKUP(A735,CUSTOMER!$A$2:$I$1094,6,0)</f>
        <v>VACANCY</v>
      </c>
      <c r="G732" s="178" t="s">
        <v>676</v>
      </c>
      <c r="H732" s="179">
        <f t="shared" si="115"/>
        <v>0</v>
      </c>
      <c r="I732" s="180" t="str">
        <f t="shared" si="116"/>
        <v/>
      </c>
      <c r="J732" s="181">
        <f t="shared" si="117"/>
        <v>0</v>
      </c>
      <c r="K732" s="182">
        <v>0</v>
      </c>
      <c r="L732" s="180" t="str">
        <f t="shared" si="114"/>
        <v/>
      </c>
      <c r="M732" s="218">
        <f>SUMIFS(DATA!$L:$L,DATA!$O:$O,$B735,DATA!$N:$N,$A735,DATA!$M:$M,'SALES BY SYSTEM'!$O$1)</f>
        <v>0</v>
      </c>
      <c r="N732" s="182">
        <v>0</v>
      </c>
      <c r="O732" s="180" t="str">
        <f t="shared" si="111"/>
        <v/>
      </c>
      <c r="P732" s="218">
        <f>SUMIFS(DATA!$L:$L,DATA!$O:$O,$B735,DATA!$N:$N,$A735,DATA!$M:$M,'SALES BY SYSTEM'!$O$2)</f>
        <v>0</v>
      </c>
      <c r="Q732" s="182">
        <v>0</v>
      </c>
      <c r="R732" s="180" t="str">
        <f t="shared" si="112"/>
        <v/>
      </c>
      <c r="S732" s="218">
        <f>SUMIFS(DATA!$L:$L,DATA!$O:$O,$B735,DATA!$N:$N,$A735,DATA!$M:$M,'SALES BY SYSTEM'!$O$4)</f>
        <v>0</v>
      </c>
      <c r="T732" s="182">
        <v>0</v>
      </c>
      <c r="U732" s="180" t="str">
        <f t="shared" si="113"/>
        <v/>
      </c>
      <c r="V732" s="218">
        <f>SUMIFS(DATA!$L:$L,DATA!$O:$O,$B735,DATA!$N:$N,$A735,DATA!$M:$M,'SALES BY SYSTEM'!$O$3)</f>
        <v>0</v>
      </c>
      <c r="W732" s="168"/>
    </row>
    <row r="733" spans="1:23" ht="15.75" customHeight="1" x14ac:dyDescent="0.25">
      <c r="A733" s="178" t="s">
        <v>2097</v>
      </c>
      <c r="B733" s="178" t="s">
        <v>1755</v>
      </c>
      <c r="C733" s="178" t="str">
        <f>VLOOKUP(A733,CUSTOMER!$A:$C,3,0)</f>
        <v>SATRA_F1185HB</v>
      </c>
      <c r="D733" s="178" t="s">
        <v>674</v>
      </c>
      <c r="E733" s="178" t="str">
        <f>VLOOKUP(A736,CUSTOMER!$A$2:$H$1094,5,0)</f>
        <v>VACANCY</v>
      </c>
      <c r="F733" s="178" t="str">
        <f>VLOOKUP(A736,CUSTOMER!$A$2:$I$1094,6,0)</f>
        <v>VACANCY</v>
      </c>
      <c r="G733" s="178" t="s">
        <v>676</v>
      </c>
      <c r="H733" s="179">
        <f t="shared" si="115"/>
        <v>0</v>
      </c>
      <c r="I733" s="180" t="str">
        <f t="shared" si="116"/>
        <v/>
      </c>
      <c r="J733" s="181">
        <f t="shared" si="117"/>
        <v>0</v>
      </c>
      <c r="K733" s="182">
        <v>0</v>
      </c>
      <c r="L733" s="180" t="str">
        <f t="shared" si="114"/>
        <v/>
      </c>
      <c r="M733" s="218">
        <f>SUMIFS(DATA!$L:$L,DATA!$O:$O,$B736,DATA!$N:$N,$A736,DATA!$M:$M,'SALES BY SYSTEM'!$O$1)</f>
        <v>0</v>
      </c>
      <c r="N733" s="182">
        <v>0</v>
      </c>
      <c r="O733" s="180" t="str">
        <f t="shared" si="111"/>
        <v/>
      </c>
      <c r="P733" s="218">
        <f>SUMIFS(DATA!$L:$L,DATA!$O:$O,$B736,DATA!$N:$N,$A736,DATA!$M:$M,'SALES BY SYSTEM'!$O$2)</f>
        <v>0</v>
      </c>
      <c r="Q733" s="182">
        <v>0</v>
      </c>
      <c r="R733" s="180" t="str">
        <f t="shared" si="112"/>
        <v/>
      </c>
      <c r="S733" s="218">
        <f>SUMIFS(DATA!$L:$L,DATA!$O:$O,$B736,DATA!$N:$N,$A736,DATA!$M:$M,'SALES BY SYSTEM'!$O$4)</f>
        <v>0</v>
      </c>
      <c r="T733" s="182">
        <v>0</v>
      </c>
      <c r="U733" s="180" t="str">
        <f t="shared" si="113"/>
        <v/>
      </c>
      <c r="V733" s="218">
        <f>SUMIFS(DATA!$L:$L,DATA!$O:$O,$B736,DATA!$N:$N,$A736,DATA!$M:$M,'SALES BY SYSTEM'!$O$3)</f>
        <v>0</v>
      </c>
      <c r="W733" s="168"/>
    </row>
    <row r="734" spans="1:23" ht="15.75" customHeight="1" x14ac:dyDescent="0.25">
      <c r="A734" s="178" t="s">
        <v>2099</v>
      </c>
      <c r="B734" s="178" t="s">
        <v>1755</v>
      </c>
      <c r="C734" s="178" t="str">
        <f>VLOOKUP(A734,CUSTOMER!$A:$C,3,0)</f>
        <v>SATRA_F1186LVL</v>
      </c>
      <c r="D734" s="178" t="s">
        <v>674</v>
      </c>
      <c r="E734" s="178" t="str">
        <f>VLOOKUP(A737,CUSTOMER!$A$2:$H$1094,5,0)</f>
        <v>VACANCY</v>
      </c>
      <c r="F734" s="178" t="str">
        <f>VLOOKUP(A737,CUSTOMER!$A$2:$I$1094,6,0)</f>
        <v>VACANCY</v>
      </c>
      <c r="G734" s="178" t="s">
        <v>676</v>
      </c>
      <c r="H734" s="179">
        <f t="shared" si="115"/>
        <v>0</v>
      </c>
      <c r="I734" s="180" t="str">
        <f t="shared" si="116"/>
        <v/>
      </c>
      <c r="J734" s="181">
        <f t="shared" si="117"/>
        <v>0</v>
      </c>
      <c r="K734" s="182">
        <v>0</v>
      </c>
      <c r="L734" s="180" t="str">
        <f t="shared" si="114"/>
        <v/>
      </c>
      <c r="M734" s="218">
        <f>SUMIFS(DATA!$L:$L,DATA!$O:$O,$B737,DATA!$N:$N,$A737,DATA!$M:$M,'SALES BY SYSTEM'!$O$1)</f>
        <v>0</v>
      </c>
      <c r="N734" s="182">
        <v>0</v>
      </c>
      <c r="O734" s="180" t="str">
        <f t="shared" si="111"/>
        <v/>
      </c>
      <c r="P734" s="218">
        <f>SUMIFS(DATA!$L:$L,DATA!$O:$O,$B737,DATA!$N:$N,$A737,DATA!$M:$M,'SALES BY SYSTEM'!$O$2)</f>
        <v>0</v>
      </c>
      <c r="Q734" s="182">
        <v>0</v>
      </c>
      <c r="R734" s="180" t="str">
        <f t="shared" si="112"/>
        <v/>
      </c>
      <c r="S734" s="218">
        <f>SUMIFS(DATA!$L:$L,DATA!$O:$O,$B737,DATA!$N:$N,$A737,DATA!$M:$M,'SALES BY SYSTEM'!$O$4)</f>
        <v>0</v>
      </c>
      <c r="T734" s="182">
        <v>0</v>
      </c>
      <c r="U734" s="180" t="str">
        <f t="shared" si="113"/>
        <v/>
      </c>
      <c r="V734" s="218">
        <f>SUMIFS(DATA!$L:$L,DATA!$O:$O,$B737,DATA!$N:$N,$A737,DATA!$M:$M,'SALES BY SYSTEM'!$O$3)</f>
        <v>0</v>
      </c>
      <c r="W734" s="168"/>
    </row>
    <row r="735" spans="1:23" ht="15.75" customHeight="1" x14ac:dyDescent="0.25">
      <c r="A735" s="178" t="s">
        <v>2101</v>
      </c>
      <c r="B735" s="178" t="s">
        <v>1755</v>
      </c>
      <c r="C735" s="178" t="str">
        <f>VLOOKUP(A735,CUSTOMER!$A:$C,3,0)</f>
        <v>SATRA_F1187LVL</v>
      </c>
      <c r="D735" s="178" t="s">
        <v>674</v>
      </c>
      <c r="E735" s="178" t="str">
        <f>VLOOKUP(A738,CUSTOMER!$A$2:$H$1094,5,0)</f>
        <v>VACANCY</v>
      </c>
      <c r="F735" s="178" t="str">
        <f>VLOOKUP(A738,CUSTOMER!$A$2:$I$1094,6,0)</f>
        <v>VACANCY</v>
      </c>
      <c r="G735" s="178" t="s">
        <v>676</v>
      </c>
      <c r="H735" s="179">
        <f t="shared" si="115"/>
        <v>0</v>
      </c>
      <c r="I735" s="180" t="str">
        <f t="shared" si="116"/>
        <v/>
      </c>
      <c r="J735" s="181">
        <f t="shared" si="117"/>
        <v>0</v>
      </c>
      <c r="K735" s="182">
        <v>0</v>
      </c>
      <c r="L735" s="180" t="str">
        <f t="shared" si="114"/>
        <v/>
      </c>
      <c r="M735" s="218">
        <f>SUMIFS(DATA!$L:$L,DATA!$O:$O,$B738,DATA!$N:$N,$A738,DATA!$M:$M,'SALES BY SYSTEM'!$O$1)</f>
        <v>0</v>
      </c>
      <c r="N735" s="182">
        <v>0</v>
      </c>
      <c r="O735" s="180" t="str">
        <f t="shared" si="111"/>
        <v/>
      </c>
      <c r="P735" s="218">
        <f>SUMIFS(DATA!$L:$L,DATA!$O:$O,$B738,DATA!$N:$N,$A738,DATA!$M:$M,'SALES BY SYSTEM'!$O$2)</f>
        <v>0</v>
      </c>
      <c r="Q735" s="182">
        <v>0</v>
      </c>
      <c r="R735" s="180" t="str">
        <f t="shared" si="112"/>
        <v/>
      </c>
      <c r="S735" s="218">
        <f>SUMIFS(DATA!$L:$L,DATA!$O:$O,$B738,DATA!$N:$N,$A738,DATA!$M:$M,'SALES BY SYSTEM'!$O$4)</f>
        <v>0</v>
      </c>
      <c r="T735" s="182">
        <v>0</v>
      </c>
      <c r="U735" s="180" t="str">
        <f t="shared" si="113"/>
        <v/>
      </c>
      <c r="V735" s="218">
        <f>SUMIFS(DATA!$L:$L,DATA!$O:$O,$B738,DATA!$N:$N,$A738,DATA!$M:$M,'SALES BY SYSTEM'!$O$3)</f>
        <v>0</v>
      </c>
      <c r="W735" s="168"/>
    </row>
    <row r="736" spans="1:23" ht="15.75" customHeight="1" x14ac:dyDescent="0.25">
      <c r="A736" s="178" t="s">
        <v>2103</v>
      </c>
      <c r="B736" s="178" t="s">
        <v>1755</v>
      </c>
      <c r="C736" s="178" t="str">
        <f>VLOOKUP(A736,CUSTOMER!$A:$C,3,0)</f>
        <v>SATRA_F1188LBB</v>
      </c>
      <c r="D736" s="178" t="s">
        <v>674</v>
      </c>
      <c r="E736" s="178" t="str">
        <f>VLOOKUP(A739,CUSTOMER!$A$2:$H$1094,5,0)</f>
        <v>VACANCY</v>
      </c>
      <c r="F736" s="178" t="str">
        <f>VLOOKUP(A739,CUSTOMER!$A$2:$I$1094,6,0)</f>
        <v>VACANCY</v>
      </c>
      <c r="G736" s="178" t="s">
        <v>676</v>
      </c>
      <c r="H736" s="179">
        <f t="shared" si="115"/>
        <v>0</v>
      </c>
      <c r="I736" s="180" t="str">
        <f t="shared" si="116"/>
        <v/>
      </c>
      <c r="J736" s="181">
        <f t="shared" si="117"/>
        <v>0</v>
      </c>
      <c r="K736" s="182">
        <v>0</v>
      </c>
      <c r="L736" s="180" t="str">
        <f t="shared" si="114"/>
        <v/>
      </c>
      <c r="M736" s="218">
        <f>SUMIFS(DATA!$L:$L,DATA!$O:$O,$B739,DATA!$N:$N,$A739,DATA!$M:$M,'SALES BY SYSTEM'!$O$1)</f>
        <v>0</v>
      </c>
      <c r="N736" s="182">
        <v>0</v>
      </c>
      <c r="O736" s="180" t="str">
        <f t="shared" si="111"/>
        <v/>
      </c>
      <c r="P736" s="218">
        <f>SUMIFS(DATA!$L:$L,DATA!$O:$O,$B739,DATA!$N:$N,$A739,DATA!$M:$M,'SALES BY SYSTEM'!$O$2)</f>
        <v>0</v>
      </c>
      <c r="Q736" s="182">
        <v>0</v>
      </c>
      <c r="R736" s="180" t="str">
        <f t="shared" si="112"/>
        <v/>
      </c>
      <c r="S736" s="218">
        <f>SUMIFS(DATA!$L:$L,DATA!$O:$O,$B739,DATA!$N:$N,$A739,DATA!$M:$M,'SALES BY SYSTEM'!$O$4)</f>
        <v>0</v>
      </c>
      <c r="T736" s="182">
        <v>0</v>
      </c>
      <c r="U736" s="180" t="str">
        <f t="shared" si="113"/>
        <v/>
      </c>
      <c r="V736" s="218">
        <f>SUMIFS(DATA!$L:$L,DATA!$O:$O,$B739,DATA!$N:$N,$A739,DATA!$M:$M,'SALES BY SYSTEM'!$O$3)</f>
        <v>0</v>
      </c>
      <c r="W736" s="168"/>
    </row>
    <row r="737" spans="1:23" ht="15.75" customHeight="1" x14ac:dyDescent="0.25">
      <c r="A737" s="178" t="s">
        <v>2105</v>
      </c>
      <c r="B737" s="178" t="s">
        <v>1755</v>
      </c>
      <c r="C737" s="178" t="str">
        <f>VLOOKUP(A737,CUSTOMER!$A:$C,3,0)</f>
        <v>SATRA_F1189NTB</v>
      </c>
      <c r="D737" s="178" t="s">
        <v>674</v>
      </c>
      <c r="E737" s="178" t="str">
        <f>VLOOKUP(A740,CUSTOMER!$A$2:$H$1094,5,0)</f>
        <v>VACANCY</v>
      </c>
      <c r="F737" s="178" t="str">
        <f>VLOOKUP(A740,CUSTOMER!$A$2:$I$1094,6,0)</f>
        <v>VACANCY</v>
      </c>
      <c r="G737" s="178" t="s">
        <v>676</v>
      </c>
      <c r="H737" s="179">
        <f t="shared" si="115"/>
        <v>0</v>
      </c>
      <c r="I737" s="180" t="str">
        <f t="shared" si="116"/>
        <v/>
      </c>
      <c r="J737" s="181">
        <f t="shared" si="117"/>
        <v>0</v>
      </c>
      <c r="K737" s="182">
        <v>0</v>
      </c>
      <c r="L737" s="180" t="str">
        <f t="shared" si="114"/>
        <v/>
      </c>
      <c r="M737" s="218">
        <f>SUMIFS(DATA!$L:$L,DATA!$O:$O,$B740,DATA!$N:$N,$A740,DATA!$M:$M,'SALES BY SYSTEM'!$O$1)</f>
        <v>0</v>
      </c>
      <c r="N737" s="182">
        <v>0</v>
      </c>
      <c r="O737" s="180" t="str">
        <f t="shared" si="111"/>
        <v/>
      </c>
      <c r="P737" s="218">
        <f>SUMIFS(DATA!$L:$L,DATA!$O:$O,$B740,DATA!$N:$N,$A740,DATA!$M:$M,'SALES BY SYSTEM'!$O$2)</f>
        <v>0</v>
      </c>
      <c r="Q737" s="182">
        <v>0</v>
      </c>
      <c r="R737" s="180" t="str">
        <f t="shared" si="112"/>
        <v/>
      </c>
      <c r="S737" s="218">
        <f>SUMIFS(DATA!$L:$L,DATA!$O:$O,$B740,DATA!$N:$N,$A740,DATA!$M:$M,'SALES BY SYSTEM'!$O$4)</f>
        <v>0</v>
      </c>
      <c r="T737" s="182">
        <v>0</v>
      </c>
      <c r="U737" s="180" t="str">
        <f t="shared" si="113"/>
        <v/>
      </c>
      <c r="V737" s="218">
        <f>SUMIFS(DATA!$L:$L,DATA!$O:$O,$B740,DATA!$N:$N,$A740,DATA!$M:$M,'SALES BY SYSTEM'!$O$3)</f>
        <v>0</v>
      </c>
      <c r="W737" s="168"/>
    </row>
    <row r="738" spans="1:23" ht="15.75" customHeight="1" x14ac:dyDescent="0.25">
      <c r="A738" s="178" t="s">
        <v>2107</v>
      </c>
      <c r="B738" s="178" t="s">
        <v>1755</v>
      </c>
      <c r="C738" s="178" t="str">
        <f>VLOOKUP(A738,CUSTOMER!$A:$C,3,0)</f>
        <v>SATRA_F1190TTV</v>
      </c>
      <c r="D738" s="178" t="s">
        <v>674</v>
      </c>
      <c r="E738" s="178" t="str">
        <f>VLOOKUP(A741,CUSTOMER!$A$2:$H$1094,5,0)</f>
        <v>VACANCY</v>
      </c>
      <c r="F738" s="178" t="str">
        <f>VLOOKUP(A741,CUSTOMER!$A$2:$I$1094,6,0)</f>
        <v>VACANCY</v>
      </c>
      <c r="G738" s="178" t="s">
        <v>676</v>
      </c>
      <c r="H738" s="179">
        <f t="shared" si="115"/>
        <v>0</v>
      </c>
      <c r="I738" s="180" t="str">
        <f t="shared" si="116"/>
        <v/>
      </c>
      <c r="J738" s="181">
        <f t="shared" si="117"/>
        <v>0</v>
      </c>
      <c r="K738" s="182">
        <v>0</v>
      </c>
      <c r="L738" s="180" t="str">
        <f t="shared" si="114"/>
        <v/>
      </c>
      <c r="M738" s="218">
        <f>SUMIFS(DATA!$L:$L,DATA!$O:$O,$B741,DATA!$N:$N,$A741,DATA!$M:$M,'SALES BY SYSTEM'!$O$1)</f>
        <v>0</v>
      </c>
      <c r="N738" s="182">
        <v>0</v>
      </c>
      <c r="O738" s="180" t="str">
        <f t="shared" si="111"/>
        <v/>
      </c>
      <c r="P738" s="218">
        <f>SUMIFS(DATA!$L:$L,DATA!$O:$O,$B741,DATA!$N:$N,$A741,DATA!$M:$M,'SALES BY SYSTEM'!$O$2)</f>
        <v>0</v>
      </c>
      <c r="Q738" s="182">
        <v>0</v>
      </c>
      <c r="R738" s="180" t="str">
        <f t="shared" si="112"/>
        <v/>
      </c>
      <c r="S738" s="218">
        <f>SUMIFS(DATA!$L:$L,DATA!$O:$O,$B741,DATA!$N:$N,$A741,DATA!$M:$M,'SALES BY SYSTEM'!$O$4)</f>
        <v>0</v>
      </c>
      <c r="T738" s="182">
        <v>0</v>
      </c>
      <c r="U738" s="180" t="str">
        <f t="shared" si="113"/>
        <v/>
      </c>
      <c r="V738" s="218">
        <f>SUMIFS(DATA!$L:$L,DATA!$O:$O,$B741,DATA!$N:$N,$A741,DATA!$M:$M,'SALES BY SYSTEM'!$O$3)</f>
        <v>0</v>
      </c>
      <c r="W738" s="168"/>
    </row>
    <row r="739" spans="1:23" ht="15.75" customHeight="1" x14ac:dyDescent="0.25">
      <c r="A739" s="178" t="s">
        <v>2109</v>
      </c>
      <c r="B739" s="178" t="s">
        <v>1755</v>
      </c>
      <c r="C739" s="178" t="str">
        <f>VLOOKUP(A739,CUSTOMER!$A:$C,3,0)</f>
        <v>SATRA_F1191LPM</v>
      </c>
      <c r="D739" s="178" t="s">
        <v>674</v>
      </c>
      <c r="E739" s="178" t="str">
        <f>VLOOKUP(A742,CUSTOMER!$A$2:$H$1094,5,0)</f>
        <v>VACANCY</v>
      </c>
      <c r="F739" s="178" t="str">
        <f>VLOOKUP(A742,CUSTOMER!$A$2:$I$1094,6,0)</f>
        <v>VACANCY</v>
      </c>
      <c r="G739" s="178" t="s">
        <v>676</v>
      </c>
      <c r="H739" s="179">
        <f t="shared" si="115"/>
        <v>0</v>
      </c>
      <c r="I739" s="180" t="str">
        <f t="shared" si="116"/>
        <v/>
      </c>
      <c r="J739" s="181">
        <f t="shared" si="117"/>
        <v>0</v>
      </c>
      <c r="K739" s="182">
        <v>0</v>
      </c>
      <c r="L739" s="180" t="str">
        <f t="shared" si="114"/>
        <v/>
      </c>
      <c r="M739" s="218">
        <f>SUMIFS(DATA!$L:$L,DATA!$O:$O,$B742,DATA!$N:$N,$A742,DATA!$M:$M,'SALES BY SYSTEM'!$O$1)</f>
        <v>0</v>
      </c>
      <c r="N739" s="182">
        <v>0</v>
      </c>
      <c r="O739" s="180" t="str">
        <f t="shared" si="111"/>
        <v/>
      </c>
      <c r="P739" s="218">
        <f>SUMIFS(DATA!$L:$L,DATA!$O:$O,$B742,DATA!$N:$N,$A742,DATA!$M:$M,'SALES BY SYSTEM'!$O$2)</f>
        <v>0</v>
      </c>
      <c r="Q739" s="182">
        <v>0</v>
      </c>
      <c r="R739" s="180" t="str">
        <f t="shared" si="112"/>
        <v/>
      </c>
      <c r="S739" s="218">
        <f>SUMIFS(DATA!$L:$L,DATA!$O:$O,$B742,DATA!$N:$N,$A742,DATA!$M:$M,'SALES BY SYSTEM'!$O$4)</f>
        <v>0</v>
      </c>
      <c r="T739" s="182">
        <v>0</v>
      </c>
      <c r="U739" s="180" t="str">
        <f t="shared" si="113"/>
        <v/>
      </c>
      <c r="V739" s="218">
        <f>SUMIFS(DATA!$L:$L,DATA!$O:$O,$B742,DATA!$N:$N,$A742,DATA!$M:$M,'SALES BY SYSTEM'!$O$3)</f>
        <v>0</v>
      </c>
      <c r="W739" s="168"/>
    </row>
    <row r="740" spans="1:23" ht="15.75" customHeight="1" x14ac:dyDescent="0.25">
      <c r="A740" s="178" t="s">
        <v>2111</v>
      </c>
      <c r="B740" s="178" t="s">
        <v>1755</v>
      </c>
      <c r="C740" s="178" t="str">
        <f>VLOOKUP(A740,CUSTOMER!$A:$C,3,0)</f>
        <v>SATRA_F1192DPP</v>
      </c>
      <c r="D740" s="178" t="s">
        <v>674</v>
      </c>
      <c r="E740" s="178" t="str">
        <f>VLOOKUP(A743,CUSTOMER!$A$2:$H$1094,5,0)</f>
        <v>VACANCY</v>
      </c>
      <c r="F740" s="178" t="str">
        <f>VLOOKUP(A743,CUSTOMER!$A$2:$I$1094,6,0)</f>
        <v>VACANCY</v>
      </c>
      <c r="G740" s="178" t="s">
        <v>676</v>
      </c>
      <c r="H740" s="179">
        <f t="shared" si="115"/>
        <v>0</v>
      </c>
      <c r="I740" s="180" t="str">
        <f t="shared" si="116"/>
        <v/>
      </c>
      <c r="J740" s="181">
        <f t="shared" si="117"/>
        <v>0</v>
      </c>
      <c r="K740" s="182">
        <v>0</v>
      </c>
      <c r="L740" s="180" t="str">
        <f t="shared" si="114"/>
        <v/>
      </c>
      <c r="M740" s="218">
        <f>SUMIFS(DATA!$L:$L,DATA!$O:$O,$B743,DATA!$N:$N,$A743,DATA!$M:$M,'SALES BY SYSTEM'!$O$1)</f>
        <v>0</v>
      </c>
      <c r="N740" s="182">
        <v>0</v>
      </c>
      <c r="O740" s="180" t="str">
        <f t="shared" si="111"/>
        <v/>
      </c>
      <c r="P740" s="218">
        <f>SUMIFS(DATA!$L:$L,DATA!$O:$O,$B743,DATA!$N:$N,$A743,DATA!$M:$M,'SALES BY SYSTEM'!$O$2)</f>
        <v>0</v>
      </c>
      <c r="Q740" s="182">
        <v>0</v>
      </c>
      <c r="R740" s="180" t="str">
        <f t="shared" si="112"/>
        <v/>
      </c>
      <c r="S740" s="218">
        <f>SUMIFS(DATA!$L:$L,DATA!$O:$O,$B743,DATA!$N:$N,$A743,DATA!$M:$M,'SALES BY SYSTEM'!$O$4)</f>
        <v>0</v>
      </c>
      <c r="T740" s="182">
        <v>0</v>
      </c>
      <c r="U740" s="180" t="str">
        <f t="shared" si="113"/>
        <v/>
      </c>
      <c r="V740" s="218">
        <f>SUMIFS(DATA!$L:$L,DATA!$O:$O,$B743,DATA!$N:$N,$A743,DATA!$M:$M,'SALES BY SYSTEM'!$O$3)</f>
        <v>0</v>
      </c>
      <c r="W740" s="168"/>
    </row>
    <row r="741" spans="1:23" ht="15.75" customHeight="1" x14ac:dyDescent="0.25">
      <c r="A741" s="178" t="s">
        <v>2113</v>
      </c>
      <c r="B741" s="178" t="s">
        <v>1755</v>
      </c>
      <c r="C741" s="178" t="str">
        <f>VLOOKUP(A741,CUSTOMER!$A:$C,3,0)</f>
        <v>SATRA_F1193BVB</v>
      </c>
      <c r="D741" s="178" t="s">
        <v>674</v>
      </c>
      <c r="E741" s="178" t="str">
        <f>VLOOKUP(A744,CUSTOMER!$A$2:$H$1094,5,0)</f>
        <v>VACANCY</v>
      </c>
      <c r="F741" s="178" t="str">
        <f>VLOOKUP(A744,CUSTOMER!$A$2:$I$1094,6,0)</f>
        <v>VACANCY</v>
      </c>
      <c r="G741" s="178" t="s">
        <v>676</v>
      </c>
      <c r="H741" s="179">
        <f t="shared" si="115"/>
        <v>0</v>
      </c>
      <c r="I741" s="180" t="str">
        <f t="shared" si="116"/>
        <v/>
      </c>
      <c r="J741" s="181">
        <f t="shared" si="117"/>
        <v>0</v>
      </c>
      <c r="K741" s="182">
        <v>0</v>
      </c>
      <c r="L741" s="180" t="str">
        <f t="shared" si="114"/>
        <v/>
      </c>
      <c r="M741" s="218">
        <f>SUMIFS(DATA!$L:$L,DATA!$O:$O,$B744,DATA!$N:$N,$A744,DATA!$M:$M,'SALES BY SYSTEM'!$O$1)</f>
        <v>0</v>
      </c>
      <c r="N741" s="182">
        <v>0</v>
      </c>
      <c r="O741" s="180" t="str">
        <f t="shared" si="111"/>
        <v/>
      </c>
      <c r="P741" s="218">
        <f>SUMIFS(DATA!$L:$L,DATA!$O:$O,$B744,DATA!$N:$N,$A744,DATA!$M:$M,'SALES BY SYSTEM'!$O$2)</f>
        <v>0</v>
      </c>
      <c r="Q741" s="182">
        <v>0</v>
      </c>
      <c r="R741" s="180" t="str">
        <f t="shared" si="112"/>
        <v/>
      </c>
      <c r="S741" s="218">
        <f>SUMIFS(DATA!$L:$L,DATA!$O:$O,$B744,DATA!$N:$N,$A744,DATA!$M:$M,'SALES BY SYSTEM'!$O$4)</f>
        <v>0</v>
      </c>
      <c r="T741" s="182">
        <v>0</v>
      </c>
      <c r="U741" s="180" t="str">
        <f t="shared" si="113"/>
        <v/>
      </c>
      <c r="V741" s="218">
        <f>SUMIFS(DATA!$L:$L,DATA!$O:$O,$B744,DATA!$N:$N,$A744,DATA!$M:$M,'SALES BY SYSTEM'!$O$3)</f>
        <v>0</v>
      </c>
      <c r="W741" s="168"/>
    </row>
    <row r="742" spans="1:23" ht="15.75" customHeight="1" x14ac:dyDescent="0.25">
      <c r="A742" s="178" t="s">
        <v>2115</v>
      </c>
      <c r="B742" s="178" t="s">
        <v>1755</v>
      </c>
      <c r="C742" s="178" t="str">
        <f>VLOOKUP(A742,CUSTOMER!$A:$C,3,0)</f>
        <v>SATRA_F1194NVB</v>
      </c>
      <c r="D742" s="178" t="s">
        <v>674</v>
      </c>
      <c r="E742" s="178" t="str">
        <f>VLOOKUP(A745,CUSTOMER!$A$2:$H$1094,5,0)</f>
        <v>VACANCY</v>
      </c>
      <c r="F742" s="178" t="str">
        <f>VLOOKUP(A745,CUSTOMER!$A$2:$I$1094,6,0)</f>
        <v>VACANCY</v>
      </c>
      <c r="G742" s="178" t="s">
        <v>676</v>
      </c>
      <c r="H742" s="179">
        <f t="shared" si="115"/>
        <v>0</v>
      </c>
      <c r="I742" s="180" t="str">
        <f t="shared" si="116"/>
        <v/>
      </c>
      <c r="J742" s="181">
        <f t="shared" si="117"/>
        <v>0</v>
      </c>
      <c r="K742" s="182">
        <v>0</v>
      </c>
      <c r="L742" s="180" t="str">
        <f t="shared" si="114"/>
        <v/>
      </c>
      <c r="M742" s="218">
        <f>SUMIFS(DATA!$L:$L,DATA!$O:$O,$B745,DATA!$N:$N,$A745,DATA!$M:$M,'SALES BY SYSTEM'!$O$1)</f>
        <v>0</v>
      </c>
      <c r="N742" s="182">
        <v>0</v>
      </c>
      <c r="O742" s="180" t="str">
        <f t="shared" si="111"/>
        <v/>
      </c>
      <c r="P742" s="218">
        <f>SUMIFS(DATA!$L:$L,DATA!$O:$O,$B745,DATA!$N:$N,$A745,DATA!$M:$M,'SALES BY SYSTEM'!$O$2)</f>
        <v>0</v>
      </c>
      <c r="Q742" s="182">
        <v>0</v>
      </c>
      <c r="R742" s="180" t="str">
        <f t="shared" si="112"/>
        <v/>
      </c>
      <c r="S742" s="218">
        <f>SUMIFS(DATA!$L:$L,DATA!$O:$O,$B745,DATA!$N:$N,$A745,DATA!$M:$M,'SALES BY SYSTEM'!$O$4)</f>
        <v>0</v>
      </c>
      <c r="T742" s="182">
        <v>0</v>
      </c>
      <c r="U742" s="180" t="str">
        <f t="shared" si="113"/>
        <v/>
      </c>
      <c r="V742" s="218">
        <f>SUMIFS(DATA!$L:$L,DATA!$O:$O,$B745,DATA!$N:$N,$A745,DATA!$M:$M,'SALES BY SYSTEM'!$O$3)</f>
        <v>0</v>
      </c>
      <c r="W742" s="168"/>
    </row>
    <row r="743" spans="1:23" ht="15.75" customHeight="1" x14ac:dyDescent="0.25">
      <c r="A743" s="178" t="s">
        <v>2117</v>
      </c>
      <c r="B743" s="178" t="s">
        <v>1755</v>
      </c>
      <c r="C743" s="178" t="str">
        <f>VLOOKUP(A743,CUSTOMER!$A:$C,3,0)</f>
        <v>SATRA_F1195DDT</v>
      </c>
      <c r="D743" s="178" t="s">
        <v>674</v>
      </c>
      <c r="E743" s="178" t="str">
        <f>VLOOKUP(A746,CUSTOMER!$A$2:$H$1094,5,0)</f>
        <v>VACANCY</v>
      </c>
      <c r="F743" s="178" t="str">
        <f>VLOOKUP(A746,CUSTOMER!$A$2:$I$1094,6,0)</f>
        <v>VACANCY</v>
      </c>
      <c r="G743" s="178" t="s">
        <v>676</v>
      </c>
      <c r="H743" s="179">
        <f t="shared" si="115"/>
        <v>0</v>
      </c>
      <c r="I743" s="180" t="str">
        <f t="shared" si="116"/>
        <v/>
      </c>
      <c r="J743" s="181">
        <f t="shared" si="117"/>
        <v>0</v>
      </c>
      <c r="K743" s="182">
        <v>0</v>
      </c>
      <c r="L743" s="180" t="str">
        <f t="shared" si="114"/>
        <v/>
      </c>
      <c r="M743" s="218">
        <f>SUMIFS(DATA!$L:$L,DATA!$O:$O,$B746,DATA!$N:$N,$A746,DATA!$M:$M,'SALES BY SYSTEM'!$O$1)</f>
        <v>0</v>
      </c>
      <c r="N743" s="182">
        <v>0</v>
      </c>
      <c r="O743" s="180" t="str">
        <f t="shared" ref="O743:O787" si="118">IFERROR(P746/N746,"")</f>
        <v/>
      </c>
      <c r="P743" s="218">
        <f>SUMIFS(DATA!$L:$L,DATA!$O:$O,$B746,DATA!$N:$N,$A746,DATA!$M:$M,'SALES BY SYSTEM'!$O$2)</f>
        <v>0</v>
      </c>
      <c r="Q743" s="182">
        <v>0</v>
      </c>
      <c r="R743" s="180" t="str">
        <f t="shared" ref="R743:R787" si="119">IFERROR(S746/Q746,"")</f>
        <v/>
      </c>
      <c r="S743" s="218">
        <f>SUMIFS(DATA!$L:$L,DATA!$O:$O,$B746,DATA!$N:$N,$A746,DATA!$M:$M,'SALES BY SYSTEM'!$O$4)</f>
        <v>0</v>
      </c>
      <c r="T743" s="182">
        <v>0</v>
      </c>
      <c r="U743" s="180" t="str">
        <f t="shared" ref="U743:U787" si="120">IFERROR(V746/T746,"")</f>
        <v/>
      </c>
      <c r="V743" s="218">
        <f>SUMIFS(DATA!$L:$L,DATA!$O:$O,$B746,DATA!$N:$N,$A746,DATA!$M:$M,'SALES BY SYSTEM'!$O$3)</f>
        <v>0</v>
      </c>
      <c r="W743" s="168"/>
    </row>
    <row r="744" spans="1:23" ht="15.75" customHeight="1" x14ac:dyDescent="0.25">
      <c r="A744" s="178" t="s">
        <v>2119</v>
      </c>
      <c r="B744" s="178" t="s">
        <v>1755</v>
      </c>
      <c r="C744" s="178" t="str">
        <f>VLOOKUP(A744,CUSTOMER!$A:$C,3,0)</f>
        <v>SATRA_F1196QL50</v>
      </c>
      <c r="D744" s="178" t="s">
        <v>674</v>
      </c>
      <c r="E744" s="178" t="str">
        <f>VLOOKUP(A747,CUSTOMER!$A$2:$H$1094,5,0)</f>
        <v>VACANCY</v>
      </c>
      <c r="F744" s="178" t="str">
        <f>VLOOKUP(A747,CUSTOMER!$A$2:$I$1094,6,0)</f>
        <v>VACANCY</v>
      </c>
      <c r="G744" s="178" t="s">
        <v>676</v>
      </c>
      <c r="H744" s="179">
        <f t="shared" si="115"/>
        <v>0</v>
      </c>
      <c r="I744" s="180" t="str">
        <f t="shared" si="116"/>
        <v/>
      </c>
      <c r="J744" s="181">
        <f t="shared" si="117"/>
        <v>0</v>
      </c>
      <c r="K744" s="182">
        <v>0</v>
      </c>
      <c r="L744" s="180" t="str">
        <f t="shared" si="114"/>
        <v/>
      </c>
      <c r="M744" s="218">
        <f>SUMIFS(DATA!$L:$L,DATA!$O:$O,$B747,DATA!$N:$N,$A747,DATA!$M:$M,'SALES BY SYSTEM'!$O$1)</f>
        <v>0</v>
      </c>
      <c r="N744" s="182">
        <v>0</v>
      </c>
      <c r="O744" s="180" t="str">
        <f t="shared" si="118"/>
        <v/>
      </c>
      <c r="P744" s="218">
        <f>SUMIFS(DATA!$L:$L,DATA!$O:$O,$B747,DATA!$N:$N,$A747,DATA!$M:$M,'SALES BY SYSTEM'!$O$2)</f>
        <v>0</v>
      </c>
      <c r="Q744" s="182">
        <v>0</v>
      </c>
      <c r="R744" s="180" t="str">
        <f t="shared" si="119"/>
        <v/>
      </c>
      <c r="S744" s="218">
        <f>SUMIFS(DATA!$L:$L,DATA!$O:$O,$B747,DATA!$N:$N,$A747,DATA!$M:$M,'SALES BY SYSTEM'!$O$4)</f>
        <v>0</v>
      </c>
      <c r="T744" s="182">
        <v>0</v>
      </c>
      <c r="U744" s="180" t="str">
        <f t="shared" si="120"/>
        <v/>
      </c>
      <c r="V744" s="218">
        <f>SUMIFS(DATA!$L:$L,DATA!$O:$O,$B747,DATA!$N:$N,$A747,DATA!$M:$M,'SALES BY SYSTEM'!$O$3)</f>
        <v>0</v>
      </c>
      <c r="W744" s="168"/>
    </row>
    <row r="745" spans="1:23" ht="15.75" customHeight="1" x14ac:dyDescent="0.25">
      <c r="A745" s="178" t="s">
        <v>2121</v>
      </c>
      <c r="B745" s="178" t="s">
        <v>1755</v>
      </c>
      <c r="C745" s="178" t="str">
        <f>VLOOKUP(A745,CUSTOMER!$A:$C,3,0)</f>
        <v>SATRA_F1197DS1</v>
      </c>
      <c r="D745" s="178" t="s">
        <v>674</v>
      </c>
      <c r="E745" s="178" t="str">
        <f>VLOOKUP(A748,CUSTOMER!$A$2:$H$1094,5,0)</f>
        <v>VACANCY</v>
      </c>
      <c r="F745" s="178" t="str">
        <f>VLOOKUP(A748,CUSTOMER!$A$2:$I$1094,6,0)</f>
        <v>VACANCY</v>
      </c>
      <c r="G745" s="178" t="s">
        <v>676</v>
      </c>
      <c r="H745" s="179">
        <f t="shared" si="115"/>
        <v>0</v>
      </c>
      <c r="I745" s="180" t="str">
        <f t="shared" si="116"/>
        <v/>
      </c>
      <c r="J745" s="181">
        <f t="shared" si="117"/>
        <v>0</v>
      </c>
      <c r="K745" s="182">
        <v>0</v>
      </c>
      <c r="L745" s="180" t="str">
        <f t="shared" si="114"/>
        <v/>
      </c>
      <c r="M745" s="218">
        <f>SUMIFS(DATA!$L:$L,DATA!$O:$O,$B748,DATA!$N:$N,$A748,DATA!$M:$M,'SALES BY SYSTEM'!$O$1)</f>
        <v>0</v>
      </c>
      <c r="N745" s="182">
        <v>0</v>
      </c>
      <c r="O745" s="180" t="str">
        <f t="shared" si="118"/>
        <v/>
      </c>
      <c r="P745" s="218">
        <f>SUMIFS(DATA!$L:$L,DATA!$O:$O,$B748,DATA!$N:$N,$A748,DATA!$M:$M,'SALES BY SYSTEM'!$O$2)</f>
        <v>0</v>
      </c>
      <c r="Q745" s="182">
        <v>0</v>
      </c>
      <c r="R745" s="180" t="str">
        <f t="shared" si="119"/>
        <v/>
      </c>
      <c r="S745" s="218">
        <f>SUMIFS(DATA!$L:$L,DATA!$O:$O,$B748,DATA!$N:$N,$A748,DATA!$M:$M,'SALES BY SYSTEM'!$O$4)</f>
        <v>0</v>
      </c>
      <c r="T745" s="182">
        <v>0</v>
      </c>
      <c r="U745" s="180" t="str">
        <f t="shared" si="120"/>
        <v/>
      </c>
      <c r="V745" s="218">
        <f>SUMIFS(DATA!$L:$L,DATA!$O:$O,$B748,DATA!$N:$N,$A748,DATA!$M:$M,'SALES BY SYSTEM'!$O$3)</f>
        <v>0</v>
      </c>
      <c r="W745" s="168"/>
    </row>
    <row r="746" spans="1:23" ht="15.75" customHeight="1" x14ac:dyDescent="0.25">
      <c r="A746" s="178" t="s">
        <v>2123</v>
      </c>
      <c r="B746" s="178" t="s">
        <v>1755</v>
      </c>
      <c r="C746" s="178" t="str">
        <f>VLOOKUP(A746,CUSTOMER!$A:$C,3,0)</f>
        <v>SATRA_F1198TN2</v>
      </c>
      <c r="D746" s="178" t="s">
        <v>674</v>
      </c>
      <c r="E746" s="178" t="str">
        <f>VLOOKUP(A749,CUSTOMER!$A$2:$H$1094,5,0)</f>
        <v>VACANCY</v>
      </c>
      <c r="F746" s="178" t="str">
        <f>VLOOKUP(A749,CUSTOMER!$A$2:$I$1094,6,0)</f>
        <v>VACANCY</v>
      </c>
      <c r="G746" s="178" t="s">
        <v>676</v>
      </c>
      <c r="H746" s="179">
        <f t="shared" si="115"/>
        <v>0</v>
      </c>
      <c r="I746" s="180" t="str">
        <f t="shared" si="116"/>
        <v/>
      </c>
      <c r="J746" s="181">
        <f t="shared" si="117"/>
        <v>0</v>
      </c>
      <c r="K746" s="182">
        <v>0</v>
      </c>
      <c r="L746" s="180" t="str">
        <f t="shared" si="114"/>
        <v/>
      </c>
      <c r="M746" s="218">
        <f>SUMIFS(DATA!$L:$L,DATA!$O:$O,$B749,DATA!$N:$N,$A749,DATA!$M:$M,'SALES BY SYSTEM'!$O$1)</f>
        <v>0</v>
      </c>
      <c r="N746" s="182">
        <v>0</v>
      </c>
      <c r="O746" s="180" t="str">
        <f t="shared" si="118"/>
        <v/>
      </c>
      <c r="P746" s="218">
        <f>SUMIFS(DATA!$L:$L,DATA!$O:$O,$B749,DATA!$N:$N,$A749,DATA!$M:$M,'SALES BY SYSTEM'!$O$2)</f>
        <v>0</v>
      </c>
      <c r="Q746" s="182">
        <v>0</v>
      </c>
      <c r="R746" s="180" t="str">
        <f t="shared" si="119"/>
        <v/>
      </c>
      <c r="S746" s="218">
        <f>SUMIFS(DATA!$L:$L,DATA!$O:$O,$B749,DATA!$N:$N,$A749,DATA!$M:$M,'SALES BY SYSTEM'!$O$4)</f>
        <v>0</v>
      </c>
      <c r="T746" s="182">
        <v>0</v>
      </c>
      <c r="U746" s="180" t="str">
        <f t="shared" si="120"/>
        <v/>
      </c>
      <c r="V746" s="218">
        <f>SUMIFS(DATA!$L:$L,DATA!$O:$O,$B749,DATA!$N:$N,$A749,DATA!$M:$M,'SALES BY SYSTEM'!$O$3)</f>
        <v>0</v>
      </c>
      <c r="W746" s="168"/>
    </row>
    <row r="747" spans="1:23" ht="15.75" customHeight="1" x14ac:dyDescent="0.25">
      <c r="A747" s="178" t="s">
        <v>2125</v>
      </c>
      <c r="B747" s="178" t="s">
        <v>1755</v>
      </c>
      <c r="C747" s="178" t="str">
        <f>VLOOKUP(A747,CUSTOMER!$A:$C,3,0)</f>
        <v>SATRA_F1199HTP</v>
      </c>
      <c r="D747" s="178" t="s">
        <v>674</v>
      </c>
      <c r="E747" s="178" t="str">
        <f>VLOOKUP(A750,CUSTOMER!$A$2:$H$1094,5,0)</f>
        <v>VACANCY</v>
      </c>
      <c r="F747" s="178" t="str">
        <f>VLOOKUP(A750,CUSTOMER!$A$2:$I$1094,6,0)</f>
        <v>VACANCY</v>
      </c>
      <c r="G747" s="178" t="s">
        <v>676</v>
      </c>
      <c r="H747" s="179">
        <f t="shared" si="115"/>
        <v>0</v>
      </c>
      <c r="I747" s="180" t="str">
        <f t="shared" si="116"/>
        <v/>
      </c>
      <c r="J747" s="181">
        <f t="shared" si="117"/>
        <v>0</v>
      </c>
      <c r="K747" s="182">
        <v>0</v>
      </c>
      <c r="L747" s="180" t="str">
        <f t="shared" si="114"/>
        <v/>
      </c>
      <c r="M747" s="218">
        <f>SUMIFS(DATA!$L:$L,DATA!$O:$O,$B750,DATA!$N:$N,$A750,DATA!$M:$M,'SALES BY SYSTEM'!$O$1)</f>
        <v>0</v>
      </c>
      <c r="N747" s="182">
        <v>0</v>
      </c>
      <c r="O747" s="180" t="str">
        <f t="shared" si="118"/>
        <v/>
      </c>
      <c r="P747" s="218">
        <f>SUMIFS(DATA!$L:$L,DATA!$O:$O,$B750,DATA!$N:$N,$A750,DATA!$M:$M,'SALES BY SYSTEM'!$O$2)</f>
        <v>0</v>
      </c>
      <c r="Q747" s="182">
        <v>0</v>
      </c>
      <c r="R747" s="180" t="str">
        <f t="shared" si="119"/>
        <v/>
      </c>
      <c r="S747" s="218">
        <f>SUMIFS(DATA!$L:$L,DATA!$O:$O,$B750,DATA!$N:$N,$A750,DATA!$M:$M,'SALES BY SYSTEM'!$O$4)</f>
        <v>0</v>
      </c>
      <c r="T747" s="182">
        <v>0</v>
      </c>
      <c r="U747" s="180" t="str">
        <f t="shared" si="120"/>
        <v/>
      </c>
      <c r="V747" s="218">
        <f>SUMIFS(DATA!$L:$L,DATA!$O:$O,$B750,DATA!$N:$N,$A750,DATA!$M:$M,'SALES BY SYSTEM'!$O$3)</f>
        <v>0</v>
      </c>
      <c r="W747" s="168"/>
    </row>
    <row r="748" spans="1:23" ht="15.75" customHeight="1" x14ac:dyDescent="0.25">
      <c r="A748" s="178" t="s">
        <v>2127</v>
      </c>
      <c r="B748" s="178" t="s">
        <v>1755</v>
      </c>
      <c r="C748" s="178" t="str">
        <f>VLOOKUP(A748,CUSTOMER!$A:$C,3,0)</f>
        <v>SATRA_F1200NDT</v>
      </c>
      <c r="D748" s="178" t="s">
        <v>674</v>
      </c>
      <c r="E748" s="178" t="str">
        <f>VLOOKUP(A751,CUSTOMER!$A$2:$H$1094,5,0)</f>
        <v>VACANCY</v>
      </c>
      <c r="F748" s="178" t="str">
        <f>VLOOKUP(A751,CUSTOMER!$A$2:$I$1094,6,0)</f>
        <v>VACANCY</v>
      </c>
      <c r="G748" s="178" t="s">
        <v>676</v>
      </c>
      <c r="H748" s="179">
        <f t="shared" si="115"/>
        <v>0</v>
      </c>
      <c r="I748" s="180" t="str">
        <f t="shared" si="116"/>
        <v/>
      </c>
      <c r="J748" s="181">
        <f t="shared" si="117"/>
        <v>0</v>
      </c>
      <c r="K748" s="182">
        <v>0</v>
      </c>
      <c r="L748" s="180" t="str">
        <f t="shared" ref="L748:L787" si="121">IFERROR(M751/K751,"")</f>
        <v/>
      </c>
      <c r="M748" s="218">
        <f>SUMIFS(DATA!$L:$L,DATA!$O:$O,$B751,DATA!$N:$N,$A751,DATA!$M:$M,'SALES BY SYSTEM'!$O$1)</f>
        <v>0</v>
      </c>
      <c r="N748" s="182">
        <v>0</v>
      </c>
      <c r="O748" s="180" t="str">
        <f t="shared" si="118"/>
        <v/>
      </c>
      <c r="P748" s="218">
        <f>SUMIFS(DATA!$L:$L,DATA!$O:$O,$B751,DATA!$N:$N,$A751,DATA!$M:$M,'SALES BY SYSTEM'!$O$2)</f>
        <v>0</v>
      </c>
      <c r="Q748" s="182">
        <v>0</v>
      </c>
      <c r="R748" s="180" t="str">
        <f t="shared" si="119"/>
        <v/>
      </c>
      <c r="S748" s="218">
        <f>SUMIFS(DATA!$L:$L,DATA!$O:$O,$B751,DATA!$N:$N,$A751,DATA!$M:$M,'SALES BY SYSTEM'!$O$4)</f>
        <v>0</v>
      </c>
      <c r="T748" s="182">
        <v>0</v>
      </c>
      <c r="U748" s="180" t="str">
        <f t="shared" si="120"/>
        <v/>
      </c>
      <c r="V748" s="218">
        <f>SUMIFS(DATA!$L:$L,DATA!$O:$O,$B751,DATA!$N:$N,$A751,DATA!$M:$M,'SALES BY SYSTEM'!$O$3)</f>
        <v>0</v>
      </c>
      <c r="W748" s="168"/>
    </row>
    <row r="749" spans="1:23" ht="15.75" customHeight="1" x14ac:dyDescent="0.25">
      <c r="A749" s="178" t="s">
        <v>2129</v>
      </c>
      <c r="B749" s="178" t="s">
        <v>1755</v>
      </c>
      <c r="C749" s="178" t="str">
        <f>VLOOKUP(A749,CUSTOMER!$A:$C,3,0)</f>
        <v>SATRA_F1201DDH</v>
      </c>
      <c r="D749" s="178" t="s">
        <v>674</v>
      </c>
      <c r="E749" s="178" t="str">
        <f>VLOOKUP(A752,CUSTOMER!$A$2:$H$1094,5,0)</f>
        <v>VACANCY</v>
      </c>
      <c r="F749" s="178" t="str">
        <f>VLOOKUP(A752,CUSTOMER!$A$2:$I$1094,6,0)</f>
        <v>VACANCY</v>
      </c>
      <c r="G749" s="178" t="s">
        <v>676</v>
      </c>
      <c r="H749" s="179">
        <f t="shared" si="115"/>
        <v>0</v>
      </c>
      <c r="I749" s="180" t="str">
        <f t="shared" si="116"/>
        <v/>
      </c>
      <c r="J749" s="181">
        <f t="shared" si="117"/>
        <v>0</v>
      </c>
      <c r="K749" s="182">
        <v>0</v>
      </c>
      <c r="L749" s="180" t="str">
        <f t="shared" si="121"/>
        <v/>
      </c>
      <c r="M749" s="218">
        <f>SUMIFS(DATA!$L:$L,DATA!$O:$O,$B752,DATA!$N:$N,$A752,DATA!$M:$M,'SALES BY SYSTEM'!$O$1)</f>
        <v>0</v>
      </c>
      <c r="N749" s="182">
        <v>0</v>
      </c>
      <c r="O749" s="180" t="str">
        <f t="shared" si="118"/>
        <v/>
      </c>
      <c r="P749" s="218">
        <f>SUMIFS(DATA!$L:$L,DATA!$O:$O,$B752,DATA!$N:$N,$A752,DATA!$M:$M,'SALES BY SYSTEM'!$O$2)</f>
        <v>0</v>
      </c>
      <c r="Q749" s="182">
        <v>0</v>
      </c>
      <c r="R749" s="180" t="str">
        <f t="shared" si="119"/>
        <v/>
      </c>
      <c r="S749" s="218">
        <f>SUMIFS(DATA!$L:$L,DATA!$O:$O,$B752,DATA!$N:$N,$A752,DATA!$M:$M,'SALES BY SYSTEM'!$O$4)</f>
        <v>0</v>
      </c>
      <c r="T749" s="182">
        <v>0</v>
      </c>
      <c r="U749" s="180" t="str">
        <f t="shared" si="120"/>
        <v/>
      </c>
      <c r="V749" s="218">
        <f>SUMIFS(DATA!$L:$L,DATA!$O:$O,$B752,DATA!$N:$N,$A752,DATA!$M:$M,'SALES BY SYSTEM'!$O$3)</f>
        <v>0</v>
      </c>
      <c r="W749" s="168"/>
    </row>
    <row r="750" spans="1:23" ht="15.75" customHeight="1" x14ac:dyDescent="0.25">
      <c r="A750" s="178" t="s">
        <v>2131</v>
      </c>
      <c r="B750" s="178" t="s">
        <v>1755</v>
      </c>
      <c r="C750" s="178" t="str">
        <f>VLOOKUP(A750,CUSTOMER!$A:$C,3,0)</f>
        <v>SATRA_F1202NX</v>
      </c>
      <c r="D750" s="178" t="s">
        <v>674</v>
      </c>
      <c r="E750" s="178" t="str">
        <f>VLOOKUP(A753,CUSTOMER!$A$2:$H$1094,5,0)</f>
        <v>VACANCY</v>
      </c>
      <c r="F750" s="178" t="str">
        <f>VLOOKUP(A753,CUSTOMER!$A$2:$I$1094,6,0)</f>
        <v>VACANCY</v>
      </c>
      <c r="G750" s="178" t="s">
        <v>676</v>
      </c>
      <c r="H750" s="179">
        <f t="shared" si="115"/>
        <v>0</v>
      </c>
      <c r="I750" s="180" t="str">
        <f t="shared" si="116"/>
        <v/>
      </c>
      <c r="J750" s="181">
        <f t="shared" si="117"/>
        <v>0</v>
      </c>
      <c r="K750" s="182">
        <v>0</v>
      </c>
      <c r="L750" s="180" t="str">
        <f t="shared" si="121"/>
        <v/>
      </c>
      <c r="M750" s="218">
        <f>SUMIFS(DATA!$L:$L,DATA!$O:$O,$B753,DATA!$N:$N,$A753,DATA!$M:$M,'SALES BY SYSTEM'!$O$1)</f>
        <v>0</v>
      </c>
      <c r="N750" s="182">
        <v>0</v>
      </c>
      <c r="O750" s="180" t="str">
        <f t="shared" si="118"/>
        <v/>
      </c>
      <c r="P750" s="218">
        <f>SUMIFS(DATA!$L:$L,DATA!$O:$O,$B753,DATA!$N:$N,$A753,DATA!$M:$M,'SALES BY SYSTEM'!$O$2)</f>
        <v>0</v>
      </c>
      <c r="Q750" s="182">
        <v>0</v>
      </c>
      <c r="R750" s="180" t="str">
        <f t="shared" si="119"/>
        <v/>
      </c>
      <c r="S750" s="218">
        <f>SUMIFS(DATA!$L:$L,DATA!$O:$O,$B753,DATA!$N:$N,$A753,DATA!$M:$M,'SALES BY SYSTEM'!$O$4)</f>
        <v>0</v>
      </c>
      <c r="T750" s="182">
        <v>0</v>
      </c>
      <c r="U750" s="180" t="str">
        <f t="shared" si="120"/>
        <v/>
      </c>
      <c r="V750" s="218">
        <f>SUMIFS(DATA!$L:$L,DATA!$O:$O,$B753,DATA!$N:$N,$A753,DATA!$M:$M,'SALES BY SYSTEM'!$O$3)</f>
        <v>0</v>
      </c>
      <c r="W750" s="168"/>
    </row>
    <row r="751" spans="1:23" ht="15.75" customHeight="1" x14ac:dyDescent="0.25">
      <c r="A751" s="178" t="s">
        <v>2133</v>
      </c>
      <c r="B751" s="178" t="s">
        <v>1755</v>
      </c>
      <c r="C751" s="178" t="str">
        <f>VLOOKUP(A751,CUSTOMER!$A:$C,3,0)</f>
        <v>SATRA_F1203TL43</v>
      </c>
      <c r="D751" s="178" t="s">
        <v>674</v>
      </c>
      <c r="E751" s="178" t="str">
        <f>VLOOKUP(A754,CUSTOMER!$A$2:$H$1094,5,0)</f>
        <v>VACANCY</v>
      </c>
      <c r="F751" s="178" t="str">
        <f>VLOOKUP(A754,CUSTOMER!$A$2:$I$1094,6,0)</f>
        <v>VACANCY</v>
      </c>
      <c r="G751" s="178" t="s">
        <v>676</v>
      </c>
      <c r="H751" s="179">
        <f t="shared" si="115"/>
        <v>0</v>
      </c>
      <c r="I751" s="180" t="str">
        <f t="shared" si="116"/>
        <v/>
      </c>
      <c r="J751" s="181">
        <f t="shared" si="117"/>
        <v>0</v>
      </c>
      <c r="K751" s="182">
        <v>0</v>
      </c>
      <c r="L751" s="180" t="str">
        <f t="shared" si="121"/>
        <v/>
      </c>
      <c r="M751" s="218">
        <f>SUMIFS(DATA!$L:$L,DATA!$O:$O,$B754,DATA!$N:$N,$A754,DATA!$M:$M,'SALES BY SYSTEM'!$O$1)</f>
        <v>0</v>
      </c>
      <c r="N751" s="182">
        <v>0</v>
      </c>
      <c r="O751" s="180" t="str">
        <f t="shared" si="118"/>
        <v/>
      </c>
      <c r="P751" s="218">
        <f>SUMIFS(DATA!$L:$L,DATA!$O:$O,$B754,DATA!$N:$N,$A754,DATA!$M:$M,'SALES BY SYSTEM'!$O$2)</f>
        <v>0</v>
      </c>
      <c r="Q751" s="182">
        <v>0</v>
      </c>
      <c r="R751" s="180" t="str">
        <f t="shared" si="119"/>
        <v/>
      </c>
      <c r="S751" s="218">
        <f>SUMIFS(DATA!$L:$L,DATA!$O:$O,$B754,DATA!$N:$N,$A754,DATA!$M:$M,'SALES BY SYSTEM'!$O$4)</f>
        <v>0</v>
      </c>
      <c r="T751" s="182">
        <v>0</v>
      </c>
      <c r="U751" s="180" t="str">
        <f t="shared" si="120"/>
        <v/>
      </c>
      <c r="V751" s="218">
        <f>SUMIFS(DATA!$L:$L,DATA!$O:$O,$B754,DATA!$N:$N,$A754,DATA!$M:$M,'SALES BY SYSTEM'!$O$3)</f>
        <v>0</v>
      </c>
      <c r="W751" s="168"/>
    </row>
    <row r="752" spans="1:23" ht="15.75" customHeight="1" x14ac:dyDescent="0.25">
      <c r="A752" s="178" t="s">
        <v>2135</v>
      </c>
      <c r="B752" s="178" t="s">
        <v>1755</v>
      </c>
      <c r="C752" s="178" t="str">
        <f>VLOOKUP(A752,CUSTOMER!$A:$C,3,0)</f>
        <v>SATRA_F1204TTM</v>
      </c>
      <c r="D752" s="178" t="s">
        <v>674</v>
      </c>
      <c r="E752" s="178" t="str">
        <f>VLOOKUP(A755,CUSTOMER!$A$2:$H$1094,5,0)</f>
        <v>VACANCY</v>
      </c>
      <c r="F752" s="178" t="str">
        <f>VLOOKUP(A755,CUSTOMER!$A$2:$I$1094,6,0)</f>
        <v>VACANCY</v>
      </c>
      <c r="G752" s="178" t="s">
        <v>676</v>
      </c>
      <c r="H752" s="179">
        <f t="shared" si="115"/>
        <v>0</v>
      </c>
      <c r="I752" s="180" t="str">
        <f t="shared" si="116"/>
        <v/>
      </c>
      <c r="J752" s="181">
        <f t="shared" si="117"/>
        <v>0</v>
      </c>
      <c r="K752" s="182">
        <v>0</v>
      </c>
      <c r="L752" s="180" t="str">
        <f t="shared" si="121"/>
        <v/>
      </c>
      <c r="M752" s="218">
        <f>SUMIFS(DATA!$L:$L,DATA!$O:$O,$B755,DATA!$N:$N,$A755,DATA!$M:$M,'SALES BY SYSTEM'!$O$1)</f>
        <v>0</v>
      </c>
      <c r="N752" s="182">
        <v>0</v>
      </c>
      <c r="O752" s="180" t="str">
        <f t="shared" si="118"/>
        <v/>
      </c>
      <c r="P752" s="218">
        <f>SUMIFS(DATA!$L:$L,DATA!$O:$O,$B755,DATA!$N:$N,$A755,DATA!$M:$M,'SALES BY SYSTEM'!$O$2)</f>
        <v>0</v>
      </c>
      <c r="Q752" s="182">
        <v>0</v>
      </c>
      <c r="R752" s="180" t="str">
        <f t="shared" si="119"/>
        <v/>
      </c>
      <c r="S752" s="218">
        <f>SUMIFS(DATA!$L:$L,DATA!$O:$O,$B755,DATA!$N:$N,$A755,DATA!$M:$M,'SALES BY SYSTEM'!$O$4)</f>
        <v>0</v>
      </c>
      <c r="T752" s="182">
        <v>0</v>
      </c>
      <c r="U752" s="180" t="str">
        <f t="shared" si="120"/>
        <v/>
      </c>
      <c r="V752" s="218">
        <f>SUMIFS(DATA!$L:$L,DATA!$O:$O,$B755,DATA!$N:$N,$A755,DATA!$M:$M,'SALES BY SYSTEM'!$O$3)</f>
        <v>0</v>
      </c>
      <c r="W752" s="168"/>
    </row>
    <row r="753" spans="1:23" ht="15.75" customHeight="1" x14ac:dyDescent="0.25">
      <c r="A753" s="178" t="s">
        <v>2137</v>
      </c>
      <c r="B753" s="178" t="s">
        <v>1755</v>
      </c>
      <c r="C753" s="178" t="str">
        <f>VLOOKUP(A753,CUSTOMER!$A:$C,3,0)</f>
        <v>SATRA_F1205TVQ</v>
      </c>
      <c r="D753" s="178" t="s">
        <v>674</v>
      </c>
      <c r="E753" s="178" t="str">
        <f>VLOOKUP(A756,CUSTOMER!$A$2:$H$1094,5,0)</f>
        <v>VACANCY</v>
      </c>
      <c r="F753" s="178" t="str">
        <f>VLOOKUP(A756,CUSTOMER!$A$2:$I$1094,6,0)</f>
        <v>VACANCY</v>
      </c>
      <c r="G753" s="178" t="s">
        <v>676</v>
      </c>
      <c r="H753" s="179">
        <f t="shared" si="115"/>
        <v>0</v>
      </c>
      <c r="I753" s="180" t="str">
        <f t="shared" si="116"/>
        <v/>
      </c>
      <c r="J753" s="181">
        <f t="shared" si="117"/>
        <v>0</v>
      </c>
      <c r="K753" s="182">
        <v>0</v>
      </c>
      <c r="L753" s="180" t="str">
        <f t="shared" si="121"/>
        <v/>
      </c>
      <c r="M753" s="218">
        <f>SUMIFS(DATA!$L:$L,DATA!$O:$O,$B756,DATA!$N:$N,$A756,DATA!$M:$M,'SALES BY SYSTEM'!$O$1)</f>
        <v>0</v>
      </c>
      <c r="N753" s="182">
        <v>0</v>
      </c>
      <c r="O753" s="180" t="str">
        <f t="shared" si="118"/>
        <v/>
      </c>
      <c r="P753" s="218">
        <f>SUMIFS(DATA!$L:$L,DATA!$O:$O,$B756,DATA!$N:$N,$A756,DATA!$M:$M,'SALES BY SYSTEM'!$O$2)</f>
        <v>0</v>
      </c>
      <c r="Q753" s="182">
        <v>0</v>
      </c>
      <c r="R753" s="180" t="str">
        <f t="shared" si="119"/>
        <v/>
      </c>
      <c r="S753" s="218">
        <f>SUMIFS(DATA!$L:$L,DATA!$O:$O,$B756,DATA!$N:$N,$A756,DATA!$M:$M,'SALES BY SYSTEM'!$O$4)</f>
        <v>0</v>
      </c>
      <c r="T753" s="182">
        <v>0</v>
      </c>
      <c r="U753" s="180" t="str">
        <f t="shared" si="120"/>
        <v/>
      </c>
      <c r="V753" s="218">
        <f>SUMIFS(DATA!$L:$L,DATA!$O:$O,$B756,DATA!$N:$N,$A756,DATA!$M:$M,'SALES BY SYSTEM'!$O$3)</f>
        <v>0</v>
      </c>
      <c r="W753" s="168"/>
    </row>
    <row r="754" spans="1:23" ht="15.75" customHeight="1" x14ac:dyDescent="0.25">
      <c r="A754" s="178" t="s">
        <v>2139</v>
      </c>
      <c r="B754" s="178" t="s">
        <v>1755</v>
      </c>
      <c r="C754" s="178" t="str">
        <f>VLOOKUP(A754,CUSTOMER!$A:$C,3,0)</f>
        <v>SATRA_F1207D8</v>
      </c>
      <c r="D754" s="178" t="s">
        <v>674</v>
      </c>
      <c r="E754" s="178" t="str">
        <f>VLOOKUP(A757,CUSTOMER!$A$2:$H$1094,5,0)</f>
        <v>VACANCY</v>
      </c>
      <c r="F754" s="178" t="str">
        <f>VLOOKUP(A757,CUSTOMER!$A$2:$I$1094,6,0)</f>
        <v>VACANCY</v>
      </c>
      <c r="G754" s="178" t="s">
        <v>676</v>
      </c>
      <c r="H754" s="179">
        <f t="shared" si="115"/>
        <v>0</v>
      </c>
      <c r="I754" s="180" t="str">
        <f t="shared" si="116"/>
        <v/>
      </c>
      <c r="J754" s="181">
        <f t="shared" si="117"/>
        <v>0</v>
      </c>
      <c r="K754" s="182">
        <v>0</v>
      </c>
      <c r="L754" s="180" t="str">
        <f t="shared" si="121"/>
        <v/>
      </c>
      <c r="M754" s="218">
        <f>SUMIFS(DATA!$L:$L,DATA!$O:$O,$B757,DATA!$N:$N,$A757,DATA!$M:$M,'SALES BY SYSTEM'!$O$1)</f>
        <v>0</v>
      </c>
      <c r="N754" s="182">
        <v>0</v>
      </c>
      <c r="O754" s="180" t="str">
        <f t="shared" si="118"/>
        <v/>
      </c>
      <c r="P754" s="218">
        <f>SUMIFS(DATA!$L:$L,DATA!$O:$O,$B757,DATA!$N:$N,$A757,DATA!$M:$M,'SALES BY SYSTEM'!$O$2)</f>
        <v>0</v>
      </c>
      <c r="Q754" s="182">
        <v>0</v>
      </c>
      <c r="R754" s="180" t="str">
        <f t="shared" si="119"/>
        <v/>
      </c>
      <c r="S754" s="218">
        <f>SUMIFS(DATA!$L:$L,DATA!$O:$O,$B757,DATA!$N:$N,$A757,DATA!$M:$M,'SALES BY SYSTEM'!$O$4)</f>
        <v>0</v>
      </c>
      <c r="T754" s="182">
        <v>0</v>
      </c>
      <c r="U754" s="180" t="str">
        <f t="shared" si="120"/>
        <v/>
      </c>
      <c r="V754" s="218">
        <f>SUMIFS(DATA!$L:$L,DATA!$O:$O,$B757,DATA!$N:$N,$A757,DATA!$M:$M,'SALES BY SYSTEM'!$O$3)</f>
        <v>0</v>
      </c>
      <c r="W754" s="168"/>
    </row>
    <row r="755" spans="1:23" ht="15.75" customHeight="1" x14ac:dyDescent="0.25">
      <c r="A755" s="178" t="s">
        <v>2141</v>
      </c>
      <c r="B755" s="178" t="s">
        <v>1755</v>
      </c>
      <c r="C755" s="178" t="str">
        <f>VLOOKUP(A755,CUSTOMER!$A:$C,3,0)</f>
        <v>SATRA_F1208LVL</v>
      </c>
      <c r="D755" s="178" t="s">
        <v>674</v>
      </c>
      <c r="E755" s="178" t="str">
        <f>VLOOKUP(A758,CUSTOMER!$A$2:$H$1094,5,0)</f>
        <v>VACANCY</v>
      </c>
      <c r="F755" s="178" t="str">
        <f>VLOOKUP(A758,CUSTOMER!$A$2:$I$1094,6,0)</f>
        <v>VACANCY</v>
      </c>
      <c r="G755" s="178" t="s">
        <v>676</v>
      </c>
      <c r="H755" s="179">
        <f t="shared" si="115"/>
        <v>0</v>
      </c>
      <c r="I755" s="180" t="str">
        <f t="shared" si="116"/>
        <v/>
      </c>
      <c r="J755" s="181">
        <f t="shared" si="117"/>
        <v>0</v>
      </c>
      <c r="K755" s="182">
        <v>0</v>
      </c>
      <c r="L755" s="180" t="str">
        <f t="shared" si="121"/>
        <v/>
      </c>
      <c r="M755" s="218">
        <f>SUMIFS(DATA!$L:$L,DATA!$O:$O,$B758,DATA!$N:$N,$A758,DATA!$M:$M,'SALES BY SYSTEM'!$O$1)</f>
        <v>0</v>
      </c>
      <c r="N755" s="182">
        <v>0</v>
      </c>
      <c r="O755" s="180" t="str">
        <f t="shared" si="118"/>
        <v/>
      </c>
      <c r="P755" s="218">
        <f>SUMIFS(DATA!$L:$L,DATA!$O:$O,$B758,DATA!$N:$N,$A758,DATA!$M:$M,'SALES BY SYSTEM'!$O$2)</f>
        <v>0</v>
      </c>
      <c r="Q755" s="182">
        <v>0</v>
      </c>
      <c r="R755" s="180" t="str">
        <f t="shared" si="119"/>
        <v/>
      </c>
      <c r="S755" s="218">
        <f>SUMIFS(DATA!$L:$L,DATA!$O:$O,$B758,DATA!$N:$N,$A758,DATA!$M:$M,'SALES BY SYSTEM'!$O$4)</f>
        <v>0</v>
      </c>
      <c r="T755" s="182">
        <v>0</v>
      </c>
      <c r="U755" s="180" t="str">
        <f t="shared" si="120"/>
        <v/>
      </c>
      <c r="V755" s="218">
        <f>SUMIFS(DATA!$L:$L,DATA!$O:$O,$B758,DATA!$N:$N,$A758,DATA!$M:$M,'SALES BY SYSTEM'!$O$3)</f>
        <v>0</v>
      </c>
      <c r="W755" s="168"/>
    </row>
    <row r="756" spans="1:23" ht="15.75" customHeight="1" x14ac:dyDescent="0.25">
      <c r="A756" s="178" t="s">
        <v>2143</v>
      </c>
      <c r="B756" s="178" t="s">
        <v>1755</v>
      </c>
      <c r="C756" s="178" t="str">
        <f>VLOOKUP(A756,CUSTOMER!$A:$C,3,0)</f>
        <v>SATRA_F1209NVT2</v>
      </c>
      <c r="D756" s="178" t="s">
        <v>674</v>
      </c>
      <c r="E756" s="178" t="str">
        <f>VLOOKUP(A759,CUSTOMER!$A$2:$H$1094,5,0)</f>
        <v>VACANCY</v>
      </c>
      <c r="F756" s="178" t="str">
        <f>VLOOKUP(A759,CUSTOMER!$A$2:$I$1094,6,0)</f>
        <v>VACANCY</v>
      </c>
      <c r="G756" s="178" t="s">
        <v>676</v>
      </c>
      <c r="H756" s="179">
        <f t="shared" si="115"/>
        <v>0</v>
      </c>
      <c r="I756" s="180" t="str">
        <f t="shared" si="116"/>
        <v/>
      </c>
      <c r="J756" s="181">
        <f t="shared" si="117"/>
        <v>0</v>
      </c>
      <c r="K756" s="182">
        <v>0</v>
      </c>
      <c r="L756" s="180" t="str">
        <f t="shared" si="121"/>
        <v/>
      </c>
      <c r="M756" s="218">
        <f>SUMIFS(DATA!$L:$L,DATA!$O:$O,$B759,DATA!$N:$N,$A759,DATA!$M:$M,'SALES BY SYSTEM'!$O$1)</f>
        <v>0</v>
      </c>
      <c r="N756" s="182">
        <v>0</v>
      </c>
      <c r="O756" s="180" t="str">
        <f t="shared" si="118"/>
        <v/>
      </c>
      <c r="P756" s="218">
        <f>SUMIFS(DATA!$L:$L,DATA!$O:$O,$B759,DATA!$N:$N,$A759,DATA!$M:$M,'SALES BY SYSTEM'!$O$2)</f>
        <v>0</v>
      </c>
      <c r="Q756" s="182">
        <v>0</v>
      </c>
      <c r="R756" s="180" t="str">
        <f t="shared" si="119"/>
        <v/>
      </c>
      <c r="S756" s="218">
        <f>SUMIFS(DATA!$L:$L,DATA!$O:$O,$B759,DATA!$N:$N,$A759,DATA!$M:$M,'SALES BY SYSTEM'!$O$4)</f>
        <v>0</v>
      </c>
      <c r="T756" s="182">
        <v>0</v>
      </c>
      <c r="U756" s="180" t="str">
        <f t="shared" si="120"/>
        <v/>
      </c>
      <c r="V756" s="218">
        <f>SUMIFS(DATA!$L:$L,DATA!$O:$O,$B759,DATA!$N:$N,$A759,DATA!$M:$M,'SALES BY SYSTEM'!$O$3)</f>
        <v>0</v>
      </c>
      <c r="W756" s="168"/>
    </row>
    <row r="757" spans="1:23" ht="15.75" customHeight="1" x14ac:dyDescent="0.25">
      <c r="A757" s="178" t="s">
        <v>2145</v>
      </c>
      <c r="B757" s="178" t="s">
        <v>1755</v>
      </c>
      <c r="C757" s="178" t="str">
        <f>VLOOKUP(A757,CUSTOMER!$A:$C,3,0)</f>
        <v>SATRA_F1210TL27</v>
      </c>
      <c r="D757" s="178" t="s">
        <v>674</v>
      </c>
      <c r="E757" s="178" t="str">
        <f>VLOOKUP(A760,CUSTOMER!$A$2:$H$1094,5,0)</f>
        <v>VACANCY</v>
      </c>
      <c r="F757" s="178" t="str">
        <f>VLOOKUP(A760,CUSTOMER!$A$2:$I$1094,6,0)</f>
        <v>VACANCY</v>
      </c>
      <c r="G757" s="178" t="s">
        <v>676</v>
      </c>
      <c r="H757" s="179">
        <f t="shared" si="115"/>
        <v>0</v>
      </c>
      <c r="I757" s="180" t="str">
        <f t="shared" si="116"/>
        <v/>
      </c>
      <c r="J757" s="181">
        <f t="shared" si="117"/>
        <v>0</v>
      </c>
      <c r="K757" s="182">
        <v>0</v>
      </c>
      <c r="L757" s="180" t="str">
        <f t="shared" si="121"/>
        <v/>
      </c>
      <c r="M757" s="218">
        <f>SUMIFS(DATA!$L:$L,DATA!$O:$O,$B760,DATA!$N:$N,$A760,DATA!$M:$M,'SALES BY SYSTEM'!$O$1)</f>
        <v>0</v>
      </c>
      <c r="N757" s="182">
        <v>0</v>
      </c>
      <c r="O757" s="180" t="str">
        <f t="shared" si="118"/>
        <v/>
      </c>
      <c r="P757" s="218">
        <f>SUMIFS(DATA!$L:$L,DATA!$O:$O,$B760,DATA!$N:$N,$A760,DATA!$M:$M,'SALES BY SYSTEM'!$O$2)</f>
        <v>0</v>
      </c>
      <c r="Q757" s="182">
        <v>0</v>
      </c>
      <c r="R757" s="180" t="str">
        <f t="shared" si="119"/>
        <v/>
      </c>
      <c r="S757" s="218">
        <f>SUMIFS(DATA!$L:$L,DATA!$O:$O,$B760,DATA!$N:$N,$A760,DATA!$M:$M,'SALES BY SYSTEM'!$O$4)</f>
        <v>0</v>
      </c>
      <c r="T757" s="182">
        <v>0</v>
      </c>
      <c r="U757" s="180" t="str">
        <f t="shared" si="120"/>
        <v/>
      </c>
      <c r="V757" s="218">
        <f>SUMIFS(DATA!$L:$L,DATA!$O:$O,$B760,DATA!$N:$N,$A760,DATA!$M:$M,'SALES BY SYSTEM'!$O$3)</f>
        <v>0</v>
      </c>
      <c r="W757" s="168"/>
    </row>
    <row r="758" spans="1:23" ht="15.75" customHeight="1" x14ac:dyDescent="0.25">
      <c r="A758" s="178" t="s">
        <v>2147</v>
      </c>
      <c r="B758" s="178" t="s">
        <v>1755</v>
      </c>
      <c r="C758" s="178" t="str">
        <f>VLOOKUP(A758,CUSTOMER!$A:$C,3,0)</f>
        <v>SATRA_F1211LMN</v>
      </c>
      <c r="D758" s="178" t="s">
        <v>674</v>
      </c>
      <c r="E758" s="178" t="str">
        <f>VLOOKUP(A761,CUSTOMER!$A$2:$H$1094,5,0)</f>
        <v>VACANCY</v>
      </c>
      <c r="F758" s="178" t="str">
        <f>VLOOKUP(A761,CUSTOMER!$A$2:$I$1094,6,0)</f>
        <v>VACANCY</v>
      </c>
      <c r="G758" s="178" t="s">
        <v>676</v>
      </c>
      <c r="H758" s="179">
        <f t="shared" si="115"/>
        <v>0</v>
      </c>
      <c r="I758" s="180" t="str">
        <f t="shared" si="116"/>
        <v/>
      </c>
      <c r="J758" s="181">
        <f t="shared" si="117"/>
        <v>0</v>
      </c>
      <c r="K758" s="182">
        <v>0</v>
      </c>
      <c r="L758" s="180" t="str">
        <f t="shared" si="121"/>
        <v/>
      </c>
      <c r="M758" s="218">
        <f>SUMIFS(DATA!$L:$L,DATA!$O:$O,$B761,DATA!$N:$N,$A761,DATA!$M:$M,'SALES BY SYSTEM'!$O$1)</f>
        <v>0</v>
      </c>
      <c r="N758" s="182">
        <v>0</v>
      </c>
      <c r="O758" s="180" t="str">
        <f t="shared" si="118"/>
        <v/>
      </c>
      <c r="P758" s="218">
        <f>SUMIFS(DATA!$L:$L,DATA!$O:$O,$B761,DATA!$N:$N,$A761,DATA!$M:$M,'SALES BY SYSTEM'!$O$2)</f>
        <v>0</v>
      </c>
      <c r="Q758" s="182">
        <v>0</v>
      </c>
      <c r="R758" s="180" t="str">
        <f t="shared" si="119"/>
        <v/>
      </c>
      <c r="S758" s="218">
        <f>SUMIFS(DATA!$L:$L,DATA!$O:$O,$B761,DATA!$N:$N,$A761,DATA!$M:$M,'SALES BY SYSTEM'!$O$4)</f>
        <v>0</v>
      </c>
      <c r="T758" s="182">
        <v>0</v>
      </c>
      <c r="U758" s="180" t="str">
        <f t="shared" si="120"/>
        <v/>
      </c>
      <c r="V758" s="218">
        <f>SUMIFS(DATA!$L:$L,DATA!$O:$O,$B761,DATA!$N:$N,$A761,DATA!$M:$M,'SALES BY SYSTEM'!$O$3)</f>
        <v>0</v>
      </c>
      <c r="W758" s="168"/>
    </row>
    <row r="759" spans="1:23" ht="15.75" customHeight="1" x14ac:dyDescent="0.25">
      <c r="A759" s="178" t="s">
        <v>2149</v>
      </c>
      <c r="B759" s="178" t="s">
        <v>1755</v>
      </c>
      <c r="C759" s="178" t="str">
        <f>VLOOKUP(A759,CUSTOMER!$A:$C,3,0)</f>
        <v>SATRA_F1212MT</v>
      </c>
      <c r="D759" s="178" t="s">
        <v>674</v>
      </c>
      <c r="E759" s="178" t="str">
        <f>VLOOKUP(A762,CUSTOMER!$A$2:$H$1094,5,0)</f>
        <v>VACANCY</v>
      </c>
      <c r="F759" s="178" t="str">
        <f>VLOOKUP(A762,CUSTOMER!$A$2:$I$1094,6,0)</f>
        <v>VACANCY</v>
      </c>
      <c r="G759" s="178" t="s">
        <v>676</v>
      </c>
      <c r="H759" s="179">
        <f t="shared" si="115"/>
        <v>0</v>
      </c>
      <c r="I759" s="180" t="str">
        <f t="shared" si="116"/>
        <v/>
      </c>
      <c r="J759" s="181">
        <f t="shared" si="117"/>
        <v>0</v>
      </c>
      <c r="K759" s="182">
        <v>0</v>
      </c>
      <c r="L759" s="180" t="str">
        <f t="shared" si="121"/>
        <v/>
      </c>
      <c r="M759" s="218">
        <f>SUMIFS(DATA!$L:$L,DATA!$O:$O,$B762,DATA!$N:$N,$A762,DATA!$M:$M,'SALES BY SYSTEM'!$O$1)</f>
        <v>0</v>
      </c>
      <c r="N759" s="182">
        <v>0</v>
      </c>
      <c r="O759" s="180" t="str">
        <f t="shared" si="118"/>
        <v/>
      </c>
      <c r="P759" s="218">
        <f>SUMIFS(DATA!$L:$L,DATA!$O:$O,$B762,DATA!$N:$N,$A762,DATA!$M:$M,'SALES BY SYSTEM'!$O$2)</f>
        <v>0</v>
      </c>
      <c r="Q759" s="182">
        <v>0</v>
      </c>
      <c r="R759" s="180" t="str">
        <f t="shared" si="119"/>
        <v/>
      </c>
      <c r="S759" s="218">
        <f>SUMIFS(DATA!$L:$L,DATA!$O:$O,$B762,DATA!$N:$N,$A762,DATA!$M:$M,'SALES BY SYSTEM'!$O$4)</f>
        <v>0</v>
      </c>
      <c r="T759" s="182">
        <v>0</v>
      </c>
      <c r="U759" s="180" t="str">
        <f t="shared" si="120"/>
        <v/>
      </c>
      <c r="V759" s="218">
        <f>SUMIFS(DATA!$L:$L,DATA!$O:$O,$B762,DATA!$N:$N,$A762,DATA!$M:$M,'SALES BY SYSTEM'!$O$3)</f>
        <v>0</v>
      </c>
      <c r="W759" s="168"/>
    </row>
    <row r="760" spans="1:23" ht="15.75" customHeight="1" x14ac:dyDescent="0.25">
      <c r="A760" s="178" t="s">
        <v>2151</v>
      </c>
      <c r="B760" s="178" t="s">
        <v>1755</v>
      </c>
      <c r="C760" s="178" t="str">
        <f>VLOOKUP(A760,CUSTOMER!$A:$C,3,0)</f>
        <v>SATRA_F1213NTK2</v>
      </c>
      <c r="D760" s="178" t="s">
        <v>674</v>
      </c>
      <c r="E760" s="178" t="str">
        <f>VLOOKUP(A763,CUSTOMER!$A$2:$H$1094,5,0)</f>
        <v>VACANCY</v>
      </c>
      <c r="F760" s="178" t="str">
        <f>VLOOKUP(A763,CUSTOMER!$A$2:$I$1094,6,0)</f>
        <v>VACANCY</v>
      </c>
      <c r="G760" s="178" t="s">
        <v>676</v>
      </c>
      <c r="H760" s="179">
        <f t="shared" si="115"/>
        <v>0</v>
      </c>
      <c r="I760" s="180" t="str">
        <f t="shared" si="116"/>
        <v/>
      </c>
      <c r="J760" s="181">
        <f t="shared" si="117"/>
        <v>0</v>
      </c>
      <c r="K760" s="182">
        <v>0</v>
      </c>
      <c r="L760" s="180" t="str">
        <f t="shared" si="121"/>
        <v/>
      </c>
      <c r="M760" s="218">
        <f>SUMIFS(DATA!$L:$L,DATA!$O:$O,$B763,DATA!$N:$N,$A763,DATA!$M:$M,'SALES BY SYSTEM'!$O$1)</f>
        <v>0</v>
      </c>
      <c r="N760" s="182">
        <v>0</v>
      </c>
      <c r="O760" s="180" t="str">
        <f t="shared" si="118"/>
        <v/>
      </c>
      <c r="P760" s="218">
        <f>SUMIFS(DATA!$L:$L,DATA!$O:$O,$B763,DATA!$N:$N,$A763,DATA!$M:$M,'SALES BY SYSTEM'!$O$2)</f>
        <v>0</v>
      </c>
      <c r="Q760" s="182">
        <v>0</v>
      </c>
      <c r="R760" s="180" t="str">
        <f t="shared" si="119"/>
        <v/>
      </c>
      <c r="S760" s="218">
        <f>SUMIFS(DATA!$L:$L,DATA!$O:$O,$B763,DATA!$N:$N,$A763,DATA!$M:$M,'SALES BY SYSTEM'!$O$4)</f>
        <v>0</v>
      </c>
      <c r="T760" s="182">
        <v>0</v>
      </c>
      <c r="U760" s="180" t="str">
        <f t="shared" si="120"/>
        <v/>
      </c>
      <c r="V760" s="218">
        <f>SUMIFS(DATA!$L:$L,DATA!$O:$O,$B763,DATA!$N:$N,$A763,DATA!$M:$M,'SALES BY SYSTEM'!$O$3)</f>
        <v>0</v>
      </c>
      <c r="W760" s="168"/>
    </row>
    <row r="761" spans="1:23" ht="15.75" customHeight="1" x14ac:dyDescent="0.25">
      <c r="A761" s="178" t="s">
        <v>2153</v>
      </c>
      <c r="B761" s="178" t="s">
        <v>1755</v>
      </c>
      <c r="C761" s="178" t="str">
        <f>VLOOKUP(A761,CUSTOMER!$A:$C,3,0)</f>
        <v>SATRA_F1214QL50</v>
      </c>
      <c r="D761" s="178" t="s">
        <v>674</v>
      </c>
      <c r="E761" s="178" t="str">
        <f>VLOOKUP(A764,CUSTOMER!$A$2:$H$1094,5,0)</f>
        <v>VACANCY</v>
      </c>
      <c r="F761" s="178" t="str">
        <f>VLOOKUP(A764,CUSTOMER!$A$2:$I$1094,6,0)</f>
        <v>VACANCY</v>
      </c>
      <c r="G761" s="178" t="s">
        <v>676</v>
      </c>
      <c r="H761" s="179">
        <f t="shared" si="115"/>
        <v>0</v>
      </c>
      <c r="I761" s="180" t="str">
        <f t="shared" si="116"/>
        <v/>
      </c>
      <c r="J761" s="181">
        <f t="shared" si="117"/>
        <v>0</v>
      </c>
      <c r="K761" s="182">
        <v>0</v>
      </c>
      <c r="L761" s="180" t="str">
        <f t="shared" si="121"/>
        <v/>
      </c>
      <c r="M761" s="218">
        <f>SUMIFS(DATA!$L:$L,DATA!$O:$O,$B764,DATA!$N:$N,$A764,DATA!$M:$M,'SALES BY SYSTEM'!$O$1)</f>
        <v>0</v>
      </c>
      <c r="N761" s="182">
        <v>0</v>
      </c>
      <c r="O761" s="180" t="str">
        <f t="shared" si="118"/>
        <v/>
      </c>
      <c r="P761" s="218">
        <f>SUMIFS(DATA!$L:$L,DATA!$O:$O,$B764,DATA!$N:$N,$A764,DATA!$M:$M,'SALES BY SYSTEM'!$O$2)</f>
        <v>0</v>
      </c>
      <c r="Q761" s="182">
        <v>0</v>
      </c>
      <c r="R761" s="180" t="str">
        <f t="shared" si="119"/>
        <v/>
      </c>
      <c r="S761" s="218">
        <f>SUMIFS(DATA!$L:$L,DATA!$O:$O,$B764,DATA!$N:$N,$A764,DATA!$M:$M,'SALES BY SYSTEM'!$O$4)</f>
        <v>0</v>
      </c>
      <c r="T761" s="182">
        <v>0</v>
      </c>
      <c r="U761" s="180" t="str">
        <f t="shared" si="120"/>
        <v/>
      </c>
      <c r="V761" s="218">
        <f>SUMIFS(DATA!$L:$L,DATA!$O:$O,$B764,DATA!$N:$N,$A764,DATA!$M:$M,'SALES BY SYSTEM'!$O$3)</f>
        <v>0</v>
      </c>
      <c r="W761" s="168"/>
    </row>
    <row r="762" spans="1:23" ht="15.75" customHeight="1" x14ac:dyDescent="0.25">
      <c r="A762" s="178" t="s">
        <v>2155</v>
      </c>
      <c r="B762" s="178" t="s">
        <v>1755</v>
      </c>
      <c r="C762" s="178" t="str">
        <f>VLOOKUP(A762,CUSTOMER!$A:$C,3,0)</f>
        <v>SATRA_F1215DHT</v>
      </c>
      <c r="D762" s="178" t="s">
        <v>674</v>
      </c>
      <c r="E762" s="178" t="str">
        <f>VLOOKUP(A765,CUSTOMER!$A$2:$H$1094,5,0)</f>
        <v>VACANCY</v>
      </c>
      <c r="F762" s="178" t="str">
        <f>VLOOKUP(A765,CUSTOMER!$A$2:$I$1094,6,0)</f>
        <v>VACANCY</v>
      </c>
      <c r="G762" s="178" t="s">
        <v>676</v>
      </c>
      <c r="H762" s="179">
        <f t="shared" si="115"/>
        <v>0</v>
      </c>
      <c r="I762" s="180" t="str">
        <f t="shared" si="116"/>
        <v/>
      </c>
      <c r="J762" s="181">
        <f t="shared" si="117"/>
        <v>0</v>
      </c>
      <c r="K762" s="182">
        <v>0</v>
      </c>
      <c r="L762" s="180" t="str">
        <f t="shared" si="121"/>
        <v/>
      </c>
      <c r="M762" s="218">
        <f>SUMIFS(DATA!$L:$L,DATA!$O:$O,$B765,DATA!$N:$N,$A765,DATA!$M:$M,'SALES BY SYSTEM'!$O$1)</f>
        <v>0</v>
      </c>
      <c r="N762" s="182">
        <v>0</v>
      </c>
      <c r="O762" s="180" t="str">
        <f t="shared" si="118"/>
        <v/>
      </c>
      <c r="P762" s="218">
        <f>SUMIFS(DATA!$L:$L,DATA!$O:$O,$B765,DATA!$N:$N,$A765,DATA!$M:$M,'SALES BY SYSTEM'!$O$2)</f>
        <v>0</v>
      </c>
      <c r="Q762" s="182">
        <v>0</v>
      </c>
      <c r="R762" s="180" t="str">
        <f t="shared" si="119"/>
        <v/>
      </c>
      <c r="S762" s="218">
        <f>SUMIFS(DATA!$L:$L,DATA!$O:$O,$B765,DATA!$N:$N,$A765,DATA!$M:$M,'SALES BY SYSTEM'!$O$4)</f>
        <v>0</v>
      </c>
      <c r="T762" s="182">
        <v>0</v>
      </c>
      <c r="U762" s="180" t="str">
        <f t="shared" si="120"/>
        <v/>
      </c>
      <c r="V762" s="218">
        <f>SUMIFS(DATA!$L:$L,DATA!$O:$O,$B765,DATA!$N:$N,$A765,DATA!$M:$M,'SALES BY SYSTEM'!$O$3)</f>
        <v>0</v>
      </c>
      <c r="W762" s="168"/>
    </row>
    <row r="763" spans="1:23" ht="15.75" customHeight="1" x14ac:dyDescent="0.25">
      <c r="A763" s="178" t="s">
        <v>2157</v>
      </c>
      <c r="B763" s="178" t="s">
        <v>1755</v>
      </c>
      <c r="C763" s="178" t="str">
        <f>VLOOKUP(A763,CUSTOMER!$A:$C,3,0)</f>
        <v>SATRA_F1216VL2</v>
      </c>
      <c r="D763" s="178" t="s">
        <v>674</v>
      </c>
      <c r="E763" s="178" t="str">
        <f>VLOOKUP(A766,CUSTOMER!$A$2:$H$1094,5,0)</f>
        <v>VACANCY</v>
      </c>
      <c r="F763" s="178" t="str">
        <f>VLOOKUP(A766,CUSTOMER!$A$2:$I$1094,6,0)</f>
        <v>VACANCY</v>
      </c>
      <c r="G763" s="178" t="s">
        <v>676</v>
      </c>
      <c r="H763" s="179">
        <f t="shared" si="115"/>
        <v>0</v>
      </c>
      <c r="I763" s="180" t="str">
        <f t="shared" si="116"/>
        <v/>
      </c>
      <c r="J763" s="181">
        <f t="shared" si="117"/>
        <v>0</v>
      </c>
      <c r="K763" s="182">
        <v>0</v>
      </c>
      <c r="L763" s="180" t="str">
        <f t="shared" si="121"/>
        <v/>
      </c>
      <c r="M763" s="218">
        <f>SUMIFS(DATA!$L:$L,DATA!$O:$O,$B766,DATA!$N:$N,$A766,DATA!$M:$M,'SALES BY SYSTEM'!$O$1)</f>
        <v>0</v>
      </c>
      <c r="N763" s="182">
        <v>0</v>
      </c>
      <c r="O763" s="180" t="str">
        <f t="shared" si="118"/>
        <v/>
      </c>
      <c r="P763" s="218">
        <f>SUMIFS(DATA!$L:$L,DATA!$O:$O,$B766,DATA!$N:$N,$A766,DATA!$M:$M,'SALES BY SYSTEM'!$O$2)</f>
        <v>0</v>
      </c>
      <c r="Q763" s="182">
        <v>0</v>
      </c>
      <c r="R763" s="180" t="str">
        <f t="shared" si="119"/>
        <v/>
      </c>
      <c r="S763" s="218">
        <f>SUMIFS(DATA!$L:$L,DATA!$O:$O,$B766,DATA!$N:$N,$A766,DATA!$M:$M,'SALES BY SYSTEM'!$O$4)</f>
        <v>0</v>
      </c>
      <c r="T763" s="182">
        <v>0</v>
      </c>
      <c r="U763" s="180" t="str">
        <f t="shared" si="120"/>
        <v/>
      </c>
      <c r="V763" s="218">
        <f>SUMIFS(DATA!$L:$L,DATA!$O:$O,$B766,DATA!$N:$N,$A766,DATA!$M:$M,'SALES BY SYSTEM'!$O$3)</f>
        <v>0</v>
      </c>
      <c r="W763" s="168"/>
    </row>
    <row r="764" spans="1:23" ht="15.75" customHeight="1" x14ac:dyDescent="0.25">
      <c r="A764" s="178" t="s">
        <v>2159</v>
      </c>
      <c r="B764" s="178" t="s">
        <v>1755</v>
      </c>
      <c r="C764" s="178" t="str">
        <f>VLOOKUP(A764,CUSTOMER!$A:$C,3,0)</f>
        <v>SATRA_F1217TC</v>
      </c>
      <c r="D764" s="178" t="s">
        <v>674</v>
      </c>
      <c r="E764" s="178" t="str">
        <f>VLOOKUP(A767,CUSTOMER!$A$2:$H$1094,5,0)</f>
        <v>VACANCY</v>
      </c>
      <c r="F764" s="178" t="str">
        <f>VLOOKUP(A767,CUSTOMER!$A$2:$I$1094,6,0)</f>
        <v>VACANCY</v>
      </c>
      <c r="G764" s="178" t="s">
        <v>676</v>
      </c>
      <c r="H764" s="179">
        <f t="shared" si="115"/>
        <v>0</v>
      </c>
      <c r="I764" s="180" t="str">
        <f t="shared" si="116"/>
        <v/>
      </c>
      <c r="J764" s="181">
        <f t="shared" si="117"/>
        <v>0</v>
      </c>
      <c r="K764" s="182">
        <v>0</v>
      </c>
      <c r="L764" s="180" t="str">
        <f t="shared" si="121"/>
        <v/>
      </c>
      <c r="M764" s="218">
        <f>SUMIFS(DATA!$L:$L,DATA!$O:$O,$B767,DATA!$N:$N,$A767,DATA!$M:$M,'SALES BY SYSTEM'!$O$1)</f>
        <v>0</v>
      </c>
      <c r="N764" s="182">
        <v>0</v>
      </c>
      <c r="O764" s="180" t="str">
        <f t="shared" si="118"/>
        <v/>
      </c>
      <c r="P764" s="218">
        <f>SUMIFS(DATA!$L:$L,DATA!$O:$O,$B767,DATA!$N:$N,$A767,DATA!$M:$M,'SALES BY SYSTEM'!$O$2)</f>
        <v>0</v>
      </c>
      <c r="Q764" s="182">
        <v>0</v>
      </c>
      <c r="R764" s="180" t="str">
        <f t="shared" si="119"/>
        <v/>
      </c>
      <c r="S764" s="218">
        <f>SUMIFS(DATA!$L:$L,DATA!$O:$O,$B767,DATA!$N:$N,$A767,DATA!$M:$M,'SALES BY SYSTEM'!$O$4)</f>
        <v>0</v>
      </c>
      <c r="T764" s="182">
        <v>0</v>
      </c>
      <c r="U764" s="180" t="str">
        <f t="shared" si="120"/>
        <v/>
      </c>
      <c r="V764" s="218">
        <f>SUMIFS(DATA!$L:$L,DATA!$O:$O,$B767,DATA!$N:$N,$A767,DATA!$M:$M,'SALES BY SYSTEM'!$O$3)</f>
        <v>0</v>
      </c>
      <c r="W764" s="168"/>
    </row>
    <row r="765" spans="1:23" ht="15.75" customHeight="1" x14ac:dyDescent="0.25">
      <c r="A765" s="178" t="s">
        <v>2161</v>
      </c>
      <c r="B765" s="178" t="s">
        <v>1755</v>
      </c>
      <c r="C765" s="178" t="str">
        <f>VLOOKUP(A765,CUSTOMER!$A:$C,3,0)</f>
        <v>SATRA_F1218PCT</v>
      </c>
      <c r="D765" s="178" t="s">
        <v>674</v>
      </c>
      <c r="E765" s="178" t="str">
        <f>VLOOKUP(A768,CUSTOMER!$A$2:$H$1094,5,0)</f>
        <v>VACANCY</v>
      </c>
      <c r="F765" s="178" t="str">
        <f>VLOOKUP(A768,CUSTOMER!$A$2:$I$1094,6,0)</f>
        <v>VACANCY</v>
      </c>
      <c r="G765" s="178" t="s">
        <v>676</v>
      </c>
      <c r="H765" s="179">
        <f t="shared" si="115"/>
        <v>0</v>
      </c>
      <c r="I765" s="180" t="str">
        <f t="shared" si="116"/>
        <v/>
      </c>
      <c r="J765" s="181">
        <f t="shared" si="117"/>
        <v>0</v>
      </c>
      <c r="K765" s="182">
        <v>0</v>
      </c>
      <c r="L765" s="180" t="str">
        <f t="shared" si="121"/>
        <v/>
      </c>
      <c r="M765" s="218">
        <f>SUMIFS(DATA!$L:$L,DATA!$O:$O,$B768,DATA!$N:$N,$A768,DATA!$M:$M,'SALES BY SYSTEM'!$O$1)</f>
        <v>0</v>
      </c>
      <c r="N765" s="182">
        <v>0</v>
      </c>
      <c r="O765" s="180" t="str">
        <f t="shared" si="118"/>
        <v/>
      </c>
      <c r="P765" s="218">
        <f>SUMIFS(DATA!$L:$L,DATA!$O:$O,$B768,DATA!$N:$N,$A768,DATA!$M:$M,'SALES BY SYSTEM'!$O$2)</f>
        <v>0</v>
      </c>
      <c r="Q765" s="182">
        <v>0</v>
      </c>
      <c r="R765" s="180" t="str">
        <f t="shared" si="119"/>
        <v/>
      </c>
      <c r="S765" s="218">
        <f>SUMIFS(DATA!$L:$L,DATA!$O:$O,$B768,DATA!$N:$N,$A768,DATA!$M:$M,'SALES BY SYSTEM'!$O$4)</f>
        <v>0</v>
      </c>
      <c r="T765" s="182">
        <v>0</v>
      </c>
      <c r="U765" s="180" t="str">
        <f t="shared" si="120"/>
        <v/>
      </c>
      <c r="V765" s="218">
        <f>SUMIFS(DATA!$L:$L,DATA!$O:$O,$B768,DATA!$N:$N,$A768,DATA!$M:$M,'SALES BY SYSTEM'!$O$3)</f>
        <v>0</v>
      </c>
      <c r="W765" s="168"/>
    </row>
    <row r="766" spans="1:23" ht="15.75" customHeight="1" x14ac:dyDescent="0.25">
      <c r="A766" s="178" t="s">
        <v>2163</v>
      </c>
      <c r="B766" s="178" t="s">
        <v>1755</v>
      </c>
      <c r="C766" s="178" t="str">
        <f>VLOOKUP(A766,CUSTOMER!$A:$C,3,0)</f>
        <v>SATRA_F1220XVNT2</v>
      </c>
      <c r="D766" s="178" t="s">
        <v>674</v>
      </c>
      <c r="E766" s="178" t="str">
        <f>VLOOKUP(A769,CUSTOMER!$A$2:$H$1094,5,0)</f>
        <v>VACANCY</v>
      </c>
      <c r="F766" s="178" t="str">
        <f>VLOOKUP(A769,CUSTOMER!$A$2:$I$1094,6,0)</f>
        <v>VACANCY</v>
      </c>
      <c r="G766" s="178" t="s">
        <v>676</v>
      </c>
      <c r="H766" s="179">
        <f t="shared" si="115"/>
        <v>0</v>
      </c>
      <c r="I766" s="180" t="str">
        <f t="shared" si="116"/>
        <v/>
      </c>
      <c r="J766" s="181">
        <f t="shared" si="117"/>
        <v>0</v>
      </c>
      <c r="K766" s="182">
        <v>0</v>
      </c>
      <c r="L766" s="180" t="str">
        <f t="shared" si="121"/>
        <v/>
      </c>
      <c r="M766" s="218">
        <f>SUMIFS(DATA!$L:$L,DATA!$O:$O,$B769,DATA!$N:$N,$A769,DATA!$M:$M,'SALES BY SYSTEM'!$O$1)</f>
        <v>0</v>
      </c>
      <c r="N766" s="182">
        <v>0</v>
      </c>
      <c r="O766" s="180" t="str">
        <f t="shared" si="118"/>
        <v/>
      </c>
      <c r="P766" s="218">
        <f>SUMIFS(DATA!$L:$L,DATA!$O:$O,$B769,DATA!$N:$N,$A769,DATA!$M:$M,'SALES BY SYSTEM'!$O$2)</f>
        <v>0</v>
      </c>
      <c r="Q766" s="182">
        <v>0</v>
      </c>
      <c r="R766" s="180" t="str">
        <f t="shared" si="119"/>
        <v/>
      </c>
      <c r="S766" s="218">
        <f>SUMIFS(DATA!$L:$L,DATA!$O:$O,$B769,DATA!$N:$N,$A769,DATA!$M:$M,'SALES BY SYSTEM'!$O$4)</f>
        <v>0</v>
      </c>
      <c r="T766" s="182">
        <v>0</v>
      </c>
      <c r="U766" s="180" t="str">
        <f t="shared" si="120"/>
        <v/>
      </c>
      <c r="V766" s="218">
        <f>SUMIFS(DATA!$L:$L,DATA!$O:$O,$B769,DATA!$N:$N,$A769,DATA!$M:$M,'SALES BY SYSTEM'!$O$3)</f>
        <v>0</v>
      </c>
      <c r="W766" s="168"/>
    </row>
    <row r="767" spans="1:23" ht="15.75" customHeight="1" x14ac:dyDescent="0.25">
      <c r="A767" s="178" t="s">
        <v>2165</v>
      </c>
      <c r="B767" s="178" t="s">
        <v>1755</v>
      </c>
      <c r="C767" s="178" t="str">
        <f>VLOOKUP(A767,CUSTOMER!$A:$C,3,0)</f>
        <v>SATRA_F1221PVT2</v>
      </c>
      <c r="D767" s="178" t="s">
        <v>674</v>
      </c>
      <c r="E767" s="178" t="str">
        <f>VLOOKUP(A770,CUSTOMER!$A$2:$H$1094,5,0)</f>
        <v>VACANCY</v>
      </c>
      <c r="F767" s="178" t="str">
        <f>VLOOKUP(A770,CUSTOMER!$A$2:$I$1094,6,0)</f>
        <v>VACANCY</v>
      </c>
      <c r="G767" s="178" t="s">
        <v>676</v>
      </c>
      <c r="H767" s="179">
        <f t="shared" si="115"/>
        <v>0</v>
      </c>
      <c r="I767" s="180" t="str">
        <f t="shared" si="116"/>
        <v/>
      </c>
      <c r="J767" s="181">
        <f t="shared" si="117"/>
        <v>0</v>
      </c>
      <c r="K767" s="182">
        <v>0</v>
      </c>
      <c r="L767" s="180" t="str">
        <f t="shared" si="121"/>
        <v/>
      </c>
      <c r="M767" s="218">
        <f>SUMIFS(DATA!$L:$L,DATA!$O:$O,$B770,DATA!$N:$N,$A770,DATA!$M:$M,'SALES BY SYSTEM'!$O$1)</f>
        <v>0</v>
      </c>
      <c r="N767" s="182">
        <v>0</v>
      </c>
      <c r="O767" s="180" t="str">
        <f t="shared" si="118"/>
        <v/>
      </c>
      <c r="P767" s="218">
        <f>SUMIFS(DATA!$L:$L,DATA!$O:$O,$B770,DATA!$N:$N,$A770,DATA!$M:$M,'SALES BY SYSTEM'!$O$2)</f>
        <v>0</v>
      </c>
      <c r="Q767" s="182">
        <v>0</v>
      </c>
      <c r="R767" s="180" t="str">
        <f t="shared" si="119"/>
        <v/>
      </c>
      <c r="S767" s="218">
        <f>SUMIFS(DATA!$L:$L,DATA!$O:$O,$B770,DATA!$N:$N,$A770,DATA!$M:$M,'SALES BY SYSTEM'!$O$4)</f>
        <v>0</v>
      </c>
      <c r="T767" s="182">
        <v>0</v>
      </c>
      <c r="U767" s="180" t="str">
        <f t="shared" si="120"/>
        <v/>
      </c>
      <c r="V767" s="218">
        <f>SUMIFS(DATA!$L:$L,DATA!$O:$O,$B770,DATA!$N:$N,$A770,DATA!$M:$M,'SALES BY SYSTEM'!$O$3)</f>
        <v>0</v>
      </c>
      <c r="W767" s="168"/>
    </row>
    <row r="768" spans="1:23" ht="15.75" customHeight="1" x14ac:dyDescent="0.25">
      <c r="A768" s="178" t="s">
        <v>2167</v>
      </c>
      <c r="B768" s="178" t="s">
        <v>1755</v>
      </c>
      <c r="C768" s="178" t="str">
        <f>VLOOKUP(A768,CUSTOMER!$A:$C,3,0)</f>
        <v>SATRA_F151DBP</v>
      </c>
      <c r="D768" s="178" t="s">
        <v>674</v>
      </c>
      <c r="E768" s="178" t="str">
        <f>VLOOKUP(A771,CUSTOMER!$A$2:$H$1094,5,0)</f>
        <v>VACANCY</v>
      </c>
      <c r="F768" s="178" t="str">
        <f>VLOOKUP(A771,CUSTOMER!$A$2:$I$1094,6,0)</f>
        <v>VACANCY</v>
      </c>
      <c r="G768" s="178" t="s">
        <v>676</v>
      </c>
      <c r="H768" s="179">
        <f t="shared" si="115"/>
        <v>0</v>
      </c>
      <c r="I768" s="180" t="str">
        <f t="shared" si="116"/>
        <v/>
      </c>
      <c r="J768" s="181">
        <f t="shared" si="117"/>
        <v>0</v>
      </c>
      <c r="K768" s="182">
        <v>0</v>
      </c>
      <c r="L768" s="180" t="str">
        <f t="shared" si="121"/>
        <v/>
      </c>
      <c r="M768" s="218">
        <f>SUMIFS(DATA!$L:$L,DATA!$O:$O,$B771,DATA!$N:$N,$A771,DATA!$M:$M,'SALES BY SYSTEM'!$O$1)</f>
        <v>0</v>
      </c>
      <c r="N768" s="182">
        <v>0</v>
      </c>
      <c r="O768" s="180" t="str">
        <f t="shared" si="118"/>
        <v/>
      </c>
      <c r="P768" s="218">
        <f>SUMIFS(DATA!$L:$L,DATA!$O:$O,$B771,DATA!$N:$N,$A771,DATA!$M:$M,'SALES BY SYSTEM'!$O$2)</f>
        <v>0</v>
      </c>
      <c r="Q768" s="182">
        <v>0</v>
      </c>
      <c r="R768" s="180" t="str">
        <f t="shared" si="119"/>
        <v/>
      </c>
      <c r="S768" s="218">
        <f>SUMIFS(DATA!$L:$L,DATA!$O:$O,$B771,DATA!$N:$N,$A771,DATA!$M:$M,'SALES BY SYSTEM'!$O$4)</f>
        <v>0</v>
      </c>
      <c r="T768" s="182">
        <v>0</v>
      </c>
      <c r="U768" s="180" t="str">
        <f t="shared" si="120"/>
        <v/>
      </c>
      <c r="V768" s="218">
        <f>SUMIFS(DATA!$L:$L,DATA!$O:$O,$B771,DATA!$N:$N,$A771,DATA!$M:$M,'SALES BY SYSTEM'!$O$3)</f>
        <v>0</v>
      </c>
      <c r="W768" s="168"/>
    </row>
    <row r="769" spans="1:23" ht="15.75" customHeight="1" x14ac:dyDescent="0.25">
      <c r="A769" s="178" t="s">
        <v>2169</v>
      </c>
      <c r="B769" s="178" t="s">
        <v>1755</v>
      </c>
      <c r="C769" s="178" t="str">
        <f>VLOOKUP(A769,CUSTOMER!$A:$C,3,0)</f>
        <v>SATRA_F1199HTP2</v>
      </c>
      <c r="D769" s="178" t="s">
        <v>674</v>
      </c>
      <c r="E769" s="178" t="str">
        <f>VLOOKUP(A772,CUSTOMER!$A$2:$H$1094,5,0)</f>
        <v>TRAN THI THAO NGUYEN</v>
      </c>
      <c r="F769" s="178" t="str">
        <f>VLOOKUP(A772,CUSTOMER!$A$2:$I$1094,6,0)</f>
        <v>"NO SALE"</v>
      </c>
      <c r="G769" s="178" t="s">
        <v>676</v>
      </c>
      <c r="H769" s="179">
        <f t="shared" si="115"/>
        <v>0</v>
      </c>
      <c r="I769" s="180" t="str">
        <f t="shared" si="116"/>
        <v/>
      </c>
      <c r="J769" s="181">
        <f t="shared" si="117"/>
        <v>0</v>
      </c>
      <c r="K769" s="182">
        <v>0</v>
      </c>
      <c r="L769" s="180" t="str">
        <f t="shared" si="121"/>
        <v/>
      </c>
      <c r="M769" s="218">
        <f>SUMIFS(DATA!$L:$L,DATA!$O:$O,$B772,DATA!$N:$N,$A772,DATA!$M:$M,'SALES BY SYSTEM'!$O$1)</f>
        <v>0</v>
      </c>
      <c r="N769" s="182">
        <v>0</v>
      </c>
      <c r="O769" s="180" t="str">
        <f t="shared" si="118"/>
        <v/>
      </c>
      <c r="P769" s="218">
        <f>SUMIFS(DATA!$L:$L,DATA!$O:$O,$B772,DATA!$N:$N,$A772,DATA!$M:$M,'SALES BY SYSTEM'!$O$2)</f>
        <v>0</v>
      </c>
      <c r="Q769" s="182">
        <v>0</v>
      </c>
      <c r="R769" s="180" t="str">
        <f t="shared" si="119"/>
        <v/>
      </c>
      <c r="S769" s="218">
        <f>SUMIFS(DATA!$L:$L,DATA!$O:$O,$B772,DATA!$N:$N,$A772,DATA!$M:$M,'SALES BY SYSTEM'!$O$4)</f>
        <v>0</v>
      </c>
      <c r="T769" s="182">
        <v>0</v>
      </c>
      <c r="U769" s="180" t="str">
        <f t="shared" si="120"/>
        <v/>
      </c>
      <c r="V769" s="218">
        <f>SUMIFS(DATA!$L:$L,DATA!$O:$O,$B772,DATA!$N:$N,$A772,DATA!$M:$M,'SALES BY SYSTEM'!$O$3)</f>
        <v>0</v>
      </c>
      <c r="W769" s="168"/>
    </row>
    <row r="770" spans="1:23" ht="15.75" customHeight="1" x14ac:dyDescent="0.25">
      <c r="A770" s="178" t="s">
        <v>2290</v>
      </c>
      <c r="B770" s="178" t="s">
        <v>2184</v>
      </c>
      <c r="C770" s="178" t="str">
        <f>VLOOKUP(A770,CUSTOMER!$A:$C,3,0)</f>
        <v>TNM_VINQT</v>
      </c>
      <c r="D770" s="178" t="s">
        <v>674</v>
      </c>
      <c r="E770" s="178" t="str">
        <f>VLOOKUP(A773,CUSTOMER!$A$2:$H$1094,5,0)</f>
        <v>TRAN THI THAO NGUYEN</v>
      </c>
      <c r="F770" s="178" t="str">
        <f>VLOOKUP(A773,CUSTOMER!$A$2:$I$1094,6,0)</f>
        <v>"NO SALE"</v>
      </c>
      <c r="G770" s="178" t="s">
        <v>676</v>
      </c>
      <c r="H770" s="179">
        <f t="shared" si="115"/>
        <v>0</v>
      </c>
      <c r="I770" s="180" t="str">
        <f t="shared" si="116"/>
        <v/>
      </c>
      <c r="J770" s="181">
        <f t="shared" si="117"/>
        <v>0</v>
      </c>
      <c r="K770" s="182">
        <v>0</v>
      </c>
      <c r="L770" s="180" t="str">
        <f t="shared" si="121"/>
        <v/>
      </c>
      <c r="M770" s="218">
        <f>SUMIFS(DATA!$L:$L,DATA!$O:$O,$B773,DATA!$N:$N,$A773,DATA!$M:$M,'SALES BY SYSTEM'!$O$1)</f>
        <v>0</v>
      </c>
      <c r="N770" s="182">
        <v>0</v>
      </c>
      <c r="O770" s="180" t="str">
        <f t="shared" si="118"/>
        <v/>
      </c>
      <c r="P770" s="218">
        <f>SUMIFS(DATA!$L:$L,DATA!$O:$O,$B773,DATA!$N:$N,$A773,DATA!$M:$M,'SALES BY SYSTEM'!$O$2)</f>
        <v>0</v>
      </c>
      <c r="Q770" s="182">
        <v>0</v>
      </c>
      <c r="R770" s="180" t="str">
        <f t="shared" si="119"/>
        <v/>
      </c>
      <c r="S770" s="218">
        <f>SUMIFS(DATA!$L:$L,DATA!$O:$O,$B773,DATA!$N:$N,$A773,DATA!$M:$M,'SALES BY SYSTEM'!$O$4)</f>
        <v>0</v>
      </c>
      <c r="T770" s="182">
        <v>0</v>
      </c>
      <c r="U770" s="180" t="str">
        <f t="shared" si="120"/>
        <v/>
      </c>
      <c r="V770" s="218">
        <f>SUMIFS(DATA!$L:$L,DATA!$O:$O,$B773,DATA!$N:$N,$A773,DATA!$M:$M,'SALES BY SYSTEM'!$O$3)</f>
        <v>0</v>
      </c>
      <c r="W770" s="168"/>
    </row>
    <row r="771" spans="1:23" ht="15.75" customHeight="1" x14ac:dyDescent="0.25">
      <c r="A771" s="178" t="s">
        <v>2292</v>
      </c>
      <c r="B771" s="178" t="s">
        <v>2184</v>
      </c>
      <c r="C771" s="178" t="str">
        <f>VLOOKUP(A771,CUSTOMER!$A:$C,3,0)</f>
        <v>TNM_VINTDUC</v>
      </c>
      <c r="D771" s="178" t="s">
        <v>674</v>
      </c>
      <c r="E771" s="178" t="str">
        <f>VLOOKUP(A774,CUSTOMER!$A$2:$H$1094,5,0)</f>
        <v>TRAN THI THAO NGUYEN</v>
      </c>
      <c r="F771" s="178" t="str">
        <f>VLOOKUP(A774,CUSTOMER!$A$2:$I$1094,6,0)</f>
        <v>"NO SALE"</v>
      </c>
      <c r="G771" s="178" t="s">
        <v>676</v>
      </c>
      <c r="H771" s="179">
        <f t="shared" si="115"/>
        <v>0</v>
      </c>
      <c r="I771" s="180" t="str">
        <f t="shared" si="116"/>
        <v/>
      </c>
      <c r="J771" s="181">
        <f t="shared" si="117"/>
        <v>0</v>
      </c>
      <c r="K771" s="182">
        <v>0</v>
      </c>
      <c r="L771" s="180" t="str">
        <f t="shared" si="121"/>
        <v/>
      </c>
      <c r="M771" s="218">
        <f>SUMIFS(DATA!$L:$L,DATA!$O:$O,$B774,DATA!$N:$N,$A774,DATA!$M:$M,'SALES BY SYSTEM'!$O$1)</f>
        <v>0</v>
      </c>
      <c r="N771" s="182">
        <v>0</v>
      </c>
      <c r="O771" s="180" t="str">
        <f t="shared" si="118"/>
        <v/>
      </c>
      <c r="P771" s="218">
        <f>SUMIFS(DATA!$L:$L,DATA!$O:$O,$B774,DATA!$N:$N,$A774,DATA!$M:$M,'SALES BY SYSTEM'!$O$2)</f>
        <v>0</v>
      </c>
      <c r="Q771" s="182">
        <v>0</v>
      </c>
      <c r="R771" s="180" t="str">
        <f t="shared" si="119"/>
        <v/>
      </c>
      <c r="S771" s="218">
        <f>SUMIFS(DATA!$L:$L,DATA!$O:$O,$B774,DATA!$N:$N,$A774,DATA!$M:$M,'SALES BY SYSTEM'!$O$4)</f>
        <v>0</v>
      </c>
      <c r="T771" s="182">
        <v>0</v>
      </c>
      <c r="U771" s="180" t="str">
        <f t="shared" si="120"/>
        <v/>
      </c>
      <c r="V771" s="218">
        <f>SUMIFS(DATA!$L:$L,DATA!$O:$O,$B774,DATA!$N:$N,$A774,DATA!$M:$M,'SALES BY SYSTEM'!$O$3)</f>
        <v>0</v>
      </c>
      <c r="W771" s="168"/>
    </row>
    <row r="772" spans="1:23" ht="15.75" customHeight="1" x14ac:dyDescent="0.25">
      <c r="A772" s="178" t="s">
        <v>29</v>
      </c>
      <c r="B772" s="178" t="s">
        <v>19</v>
      </c>
      <c r="C772" s="178" t="str">
        <f>VLOOKUP(A772,CUSTOMER!$A:$C,3,0)</f>
        <v>VIN_NAN</v>
      </c>
      <c r="D772" s="178" t="s">
        <v>674</v>
      </c>
      <c r="E772" s="178" t="str">
        <f>VLOOKUP(A775,CUSTOMER!$A$2:$H$1094,5,0)</f>
        <v>TRAN THI THAO NGUYEN</v>
      </c>
      <c r="F772" s="178" t="str">
        <f>VLOOKUP(A775,CUSTOMER!$A$2:$I$1094,6,0)</f>
        <v>"NO SALE"</v>
      </c>
      <c r="G772" s="178" t="s">
        <v>676</v>
      </c>
      <c r="H772" s="179">
        <f t="shared" si="115"/>
        <v>0</v>
      </c>
      <c r="I772" s="180" t="str">
        <f t="shared" si="116"/>
        <v/>
      </c>
      <c r="J772" s="181">
        <f t="shared" si="117"/>
        <v>0</v>
      </c>
      <c r="K772" s="182">
        <v>0</v>
      </c>
      <c r="L772" s="180" t="str">
        <f t="shared" si="121"/>
        <v/>
      </c>
      <c r="M772" s="218">
        <f>SUMIFS(DATA!$L:$L,DATA!$O:$O,$B775,DATA!$N:$N,$A775,DATA!$M:$M,'SALES BY SYSTEM'!$O$1)</f>
        <v>0</v>
      </c>
      <c r="N772" s="182">
        <v>0</v>
      </c>
      <c r="O772" s="180" t="str">
        <f t="shared" si="118"/>
        <v/>
      </c>
      <c r="P772" s="218">
        <f>SUMIFS(DATA!$L:$L,DATA!$O:$O,$B775,DATA!$N:$N,$A775,DATA!$M:$M,'SALES BY SYSTEM'!$O$2)</f>
        <v>0</v>
      </c>
      <c r="Q772" s="182">
        <v>0</v>
      </c>
      <c r="R772" s="180" t="str">
        <f t="shared" si="119"/>
        <v/>
      </c>
      <c r="S772" s="218">
        <f>SUMIFS(DATA!$L:$L,DATA!$O:$O,$B775,DATA!$N:$N,$A775,DATA!$M:$M,'SALES BY SYSTEM'!$O$4)</f>
        <v>0</v>
      </c>
      <c r="T772" s="182">
        <v>0</v>
      </c>
      <c r="U772" s="180" t="str">
        <f t="shared" si="120"/>
        <v/>
      </c>
      <c r="V772" s="218">
        <f>SUMIFS(DATA!$L:$L,DATA!$O:$O,$B775,DATA!$N:$N,$A775,DATA!$M:$M,'SALES BY SYSTEM'!$O$3)</f>
        <v>0</v>
      </c>
      <c r="W772" s="168"/>
    </row>
    <row r="773" spans="1:23" ht="15.75" customHeight="1" x14ac:dyDescent="0.25">
      <c r="A773" s="178" t="s">
        <v>2307</v>
      </c>
      <c r="B773" s="178" t="s">
        <v>19</v>
      </c>
      <c r="C773" s="178" t="str">
        <f>VLOOKUP(A773,CUSTOMER!$A:$C,3,0)</f>
        <v>VIN_MX3/2</v>
      </c>
      <c r="D773" s="178" t="s">
        <v>674</v>
      </c>
      <c r="E773" s="178" t="str">
        <f>VLOOKUP(A776,CUSTOMER!$A$2:$H$1094,5,0)</f>
        <v>TRAN THI THAO NGUYEN</v>
      </c>
      <c r="F773" s="178" t="str">
        <f>VLOOKUP(A776,CUSTOMER!$A$2:$I$1094,6,0)</f>
        <v>"NO SALE"</v>
      </c>
      <c r="G773" s="178" t="s">
        <v>676</v>
      </c>
      <c r="H773" s="179">
        <f t="shared" si="115"/>
        <v>0</v>
      </c>
      <c r="I773" s="180" t="str">
        <f t="shared" si="116"/>
        <v/>
      </c>
      <c r="J773" s="181">
        <f t="shared" si="117"/>
        <v>0</v>
      </c>
      <c r="K773" s="182">
        <v>0</v>
      </c>
      <c r="L773" s="180" t="str">
        <f t="shared" si="121"/>
        <v/>
      </c>
      <c r="M773" s="218">
        <f>SUMIFS(DATA!$L:$L,DATA!$O:$O,$B776,DATA!$N:$N,$A776,DATA!$M:$M,'SALES BY SYSTEM'!$O$1)</f>
        <v>0</v>
      </c>
      <c r="N773" s="182">
        <v>0</v>
      </c>
      <c r="O773" s="180" t="str">
        <f t="shared" si="118"/>
        <v/>
      </c>
      <c r="P773" s="218">
        <f>SUMIFS(DATA!$L:$L,DATA!$O:$O,$B776,DATA!$N:$N,$A776,DATA!$M:$M,'SALES BY SYSTEM'!$O$2)</f>
        <v>0</v>
      </c>
      <c r="Q773" s="182">
        <v>0</v>
      </c>
      <c r="R773" s="180" t="str">
        <f t="shared" si="119"/>
        <v/>
      </c>
      <c r="S773" s="218">
        <f>SUMIFS(DATA!$L:$L,DATA!$O:$O,$B776,DATA!$N:$N,$A776,DATA!$M:$M,'SALES BY SYSTEM'!$O$4)</f>
        <v>0</v>
      </c>
      <c r="T773" s="182">
        <v>0</v>
      </c>
      <c r="U773" s="180" t="str">
        <f t="shared" si="120"/>
        <v/>
      </c>
      <c r="V773" s="218">
        <f>SUMIFS(DATA!$L:$L,DATA!$O:$O,$B776,DATA!$N:$N,$A776,DATA!$M:$M,'SALES BY SYSTEM'!$O$3)</f>
        <v>0</v>
      </c>
      <c r="W773" s="168"/>
    </row>
    <row r="774" spans="1:23" ht="15.75" customHeight="1" x14ac:dyDescent="0.25">
      <c r="A774" s="178" t="s">
        <v>2309</v>
      </c>
      <c r="B774" s="178" t="s">
        <v>19</v>
      </c>
      <c r="C774" s="178" t="str">
        <f>VLOOKUP(A774,CUSTOMER!$A:$C,3,0)</f>
        <v>VIN_ADROI</v>
      </c>
      <c r="D774" s="178" t="s">
        <v>674</v>
      </c>
      <c r="E774" s="178" t="str">
        <f>VLOOKUP(A777,CUSTOMER!$A$2:$H$1094,5,0)</f>
        <v>TRAN THI THAO NGUYEN</v>
      </c>
      <c r="F774" s="178" t="str">
        <f>VLOOKUP(A777,CUSTOMER!$A$2:$I$1094,6,0)</f>
        <v>"NO SALE"</v>
      </c>
      <c r="G774" s="178" t="s">
        <v>676</v>
      </c>
      <c r="H774" s="179">
        <f t="shared" si="115"/>
        <v>0</v>
      </c>
      <c r="I774" s="180" t="str">
        <f t="shared" si="116"/>
        <v/>
      </c>
      <c r="J774" s="181">
        <f t="shared" si="117"/>
        <v>0</v>
      </c>
      <c r="K774" s="182">
        <v>0</v>
      </c>
      <c r="L774" s="180" t="str">
        <f t="shared" si="121"/>
        <v/>
      </c>
      <c r="M774" s="218">
        <f>SUMIFS(DATA!$L:$L,DATA!$O:$O,$B777,DATA!$N:$N,$A777,DATA!$M:$M,'SALES BY SYSTEM'!$O$1)</f>
        <v>0</v>
      </c>
      <c r="N774" s="182">
        <v>0</v>
      </c>
      <c r="O774" s="180" t="str">
        <f t="shared" si="118"/>
        <v/>
      </c>
      <c r="P774" s="218">
        <f>SUMIFS(DATA!$L:$L,DATA!$O:$O,$B777,DATA!$N:$N,$A777,DATA!$M:$M,'SALES BY SYSTEM'!$O$2)</f>
        <v>0</v>
      </c>
      <c r="Q774" s="182">
        <v>0</v>
      </c>
      <c r="R774" s="180" t="str">
        <f t="shared" si="119"/>
        <v/>
      </c>
      <c r="S774" s="218">
        <f>SUMIFS(DATA!$L:$L,DATA!$O:$O,$B777,DATA!$N:$N,$A777,DATA!$M:$M,'SALES BY SYSTEM'!$O$4)</f>
        <v>0</v>
      </c>
      <c r="T774" s="182">
        <v>0</v>
      </c>
      <c r="U774" s="180" t="str">
        <f t="shared" si="120"/>
        <v/>
      </c>
      <c r="V774" s="218">
        <f>SUMIFS(DATA!$L:$L,DATA!$O:$O,$B777,DATA!$N:$N,$A777,DATA!$M:$M,'SALES BY SYSTEM'!$O$3)</f>
        <v>0</v>
      </c>
      <c r="W774" s="168"/>
    </row>
    <row r="775" spans="1:23" ht="15.75" customHeight="1" x14ac:dyDescent="0.25">
      <c r="A775" s="178" t="s">
        <v>2354</v>
      </c>
      <c r="B775" s="178" t="s">
        <v>19</v>
      </c>
      <c r="C775" s="178" t="str">
        <f>VLOOKUP(A775,CUSTOMER!$A:$C,3,0)</f>
        <v>VIN_BRVT</v>
      </c>
      <c r="D775" s="178" t="s">
        <v>674</v>
      </c>
      <c r="E775" s="178" t="str">
        <f>VLOOKUP(A778,CUSTOMER!$A$2:$H$1094,5,0)</f>
        <v>TRAN THI THAO NGUYEN</v>
      </c>
      <c r="F775" s="178" t="str">
        <f>VLOOKUP(A778,CUSTOMER!$A$2:$I$1094,6,0)</f>
        <v>VACANCY</v>
      </c>
      <c r="G775" s="178" t="s">
        <v>676</v>
      </c>
      <c r="H775" s="179">
        <f t="shared" si="115"/>
        <v>0</v>
      </c>
      <c r="I775" s="180" t="str">
        <f t="shared" si="116"/>
        <v/>
      </c>
      <c r="J775" s="181">
        <f t="shared" si="117"/>
        <v>0</v>
      </c>
      <c r="K775" s="182">
        <v>0</v>
      </c>
      <c r="L775" s="180" t="str">
        <f t="shared" si="121"/>
        <v/>
      </c>
      <c r="M775" s="218">
        <f>SUMIFS(DATA!$L:$L,DATA!$O:$O,$B778,DATA!$N:$N,$A778,DATA!$M:$M,'SALES BY SYSTEM'!$O$1)</f>
        <v>0</v>
      </c>
      <c r="N775" s="182">
        <v>0</v>
      </c>
      <c r="O775" s="180" t="str">
        <f t="shared" si="118"/>
        <v/>
      </c>
      <c r="P775" s="218">
        <f>SUMIFS(DATA!$L:$L,DATA!$O:$O,$B778,DATA!$N:$N,$A778,DATA!$M:$M,'SALES BY SYSTEM'!$O$2)</f>
        <v>0</v>
      </c>
      <c r="Q775" s="182">
        <v>0</v>
      </c>
      <c r="R775" s="180" t="str">
        <f t="shared" si="119"/>
        <v/>
      </c>
      <c r="S775" s="218">
        <f>SUMIFS(DATA!$L:$L,DATA!$O:$O,$B778,DATA!$N:$N,$A778,DATA!$M:$M,'SALES BY SYSTEM'!$O$4)</f>
        <v>0</v>
      </c>
      <c r="T775" s="182">
        <v>0</v>
      </c>
      <c r="U775" s="180" t="str">
        <f t="shared" si="120"/>
        <v/>
      </c>
      <c r="V775" s="218">
        <f>SUMIFS(DATA!$L:$L,DATA!$O:$O,$B778,DATA!$N:$N,$A778,DATA!$M:$M,'SALES BY SYSTEM'!$O$3)</f>
        <v>0</v>
      </c>
      <c r="W775" s="168"/>
    </row>
    <row r="776" spans="1:23" ht="15.75" customHeight="1" x14ac:dyDescent="0.25">
      <c r="A776" s="178" t="s">
        <v>25</v>
      </c>
      <c r="B776" s="178" t="s">
        <v>19</v>
      </c>
      <c r="C776" s="178" t="str">
        <f>VLOOKUP(A776,CUSTOMER!$A:$C,3,0)</f>
        <v>VIN_BNINH</v>
      </c>
      <c r="D776" s="178" t="s">
        <v>674</v>
      </c>
      <c r="E776" s="178" t="e">
        <f>VLOOKUP(A779,CUSTOMER!$A$2:$H$1094,5,0)</f>
        <v>#N/A</v>
      </c>
      <c r="F776" s="178" t="e">
        <f>VLOOKUP(A779,CUSTOMER!$A$2:$I$1094,6,0)</f>
        <v>#N/A</v>
      </c>
      <c r="G776" s="178" t="s">
        <v>676</v>
      </c>
      <c r="H776" s="179">
        <f t="shared" si="115"/>
        <v>0</v>
      </c>
      <c r="I776" s="180" t="str">
        <f t="shared" si="116"/>
        <v/>
      </c>
      <c r="J776" s="181">
        <f t="shared" si="117"/>
        <v>0</v>
      </c>
      <c r="K776" s="182">
        <v>0</v>
      </c>
      <c r="L776" s="180" t="str">
        <f t="shared" si="121"/>
        <v/>
      </c>
      <c r="M776" s="218">
        <f>SUMIFS(DATA!$L:$L,DATA!$O:$O,$B779,DATA!$N:$N,$A779,DATA!$M:$M,'SALES BY SYSTEM'!$O$1)</f>
        <v>0</v>
      </c>
      <c r="N776" s="182">
        <v>0</v>
      </c>
      <c r="O776" s="180" t="str">
        <f t="shared" si="118"/>
        <v/>
      </c>
      <c r="P776" s="218">
        <f>SUMIFS(DATA!$L:$L,DATA!$O:$O,$B779,DATA!$N:$N,$A779,DATA!$M:$M,'SALES BY SYSTEM'!$O$2)</f>
        <v>0</v>
      </c>
      <c r="Q776" s="182">
        <v>0</v>
      </c>
      <c r="R776" s="180" t="str">
        <f t="shared" si="119"/>
        <v/>
      </c>
      <c r="S776" s="218">
        <f>SUMIFS(DATA!$L:$L,DATA!$O:$O,$B779,DATA!$N:$N,$A779,DATA!$M:$M,'SALES BY SYSTEM'!$O$4)</f>
        <v>0</v>
      </c>
      <c r="T776" s="182">
        <v>0</v>
      </c>
      <c r="U776" s="180" t="str">
        <f t="shared" si="120"/>
        <v/>
      </c>
      <c r="V776" s="218">
        <f>SUMIFS(DATA!$L:$L,DATA!$O:$O,$B779,DATA!$N:$N,$A779,DATA!$M:$M,'SALES BY SYSTEM'!$O$3)</f>
        <v>0</v>
      </c>
      <c r="W776" s="168"/>
    </row>
    <row r="777" spans="1:23" ht="15.75" customHeight="1" x14ac:dyDescent="0.25">
      <c r="A777" s="178" t="s">
        <v>2311</v>
      </c>
      <c r="B777" s="178" t="s">
        <v>19</v>
      </c>
      <c r="C777" s="178" t="str">
        <f>VLOOKUP(A777,CUSTOMER!$A:$C,3,0)</f>
        <v>VIN_CTYBCAT</v>
      </c>
      <c r="D777" s="178" t="s">
        <v>674</v>
      </c>
      <c r="E777" s="178" t="str">
        <f>VLOOKUP(A780,CUSTOMER!$A$2:$H$1094,5,0)</f>
        <v>TRAN THI THAO NGUYEN</v>
      </c>
      <c r="F777" s="178" t="str">
        <f>VLOOKUP(A780,CUSTOMER!$A$2:$I$1094,6,0)</f>
        <v>"NO SALE"</v>
      </c>
      <c r="G777" s="178" t="s">
        <v>676</v>
      </c>
      <c r="H777" s="179">
        <f t="shared" si="115"/>
        <v>0</v>
      </c>
      <c r="I777" s="180" t="str">
        <f t="shared" si="116"/>
        <v/>
      </c>
      <c r="J777" s="181">
        <f t="shared" si="117"/>
        <v>0</v>
      </c>
      <c r="K777" s="182">
        <v>0</v>
      </c>
      <c r="L777" s="180" t="str">
        <f t="shared" si="121"/>
        <v/>
      </c>
      <c r="M777" s="218">
        <f>SUMIFS(DATA!$L:$L,DATA!$O:$O,$B780,DATA!$N:$N,$A780,DATA!$M:$M,'SALES BY SYSTEM'!$O$1)</f>
        <v>0</v>
      </c>
      <c r="N777" s="182">
        <v>0</v>
      </c>
      <c r="O777" s="180" t="str">
        <f t="shared" si="118"/>
        <v/>
      </c>
      <c r="P777" s="218">
        <f>SUMIFS(DATA!$L:$L,DATA!$O:$O,$B780,DATA!$N:$N,$A780,DATA!$M:$M,'SALES BY SYSTEM'!$O$2)</f>
        <v>0</v>
      </c>
      <c r="Q777" s="182">
        <v>0</v>
      </c>
      <c r="R777" s="180" t="str">
        <f t="shared" si="119"/>
        <v/>
      </c>
      <c r="S777" s="218">
        <f>SUMIFS(DATA!$L:$L,DATA!$O:$O,$B780,DATA!$N:$N,$A780,DATA!$M:$M,'SALES BY SYSTEM'!$O$4)</f>
        <v>0</v>
      </c>
      <c r="T777" s="182">
        <v>0</v>
      </c>
      <c r="U777" s="180" t="str">
        <f t="shared" si="120"/>
        <v/>
      </c>
      <c r="V777" s="218">
        <f>SUMIFS(DATA!$L:$L,DATA!$O:$O,$B780,DATA!$N:$N,$A780,DATA!$M:$M,'SALES BY SYSTEM'!$O$3)</f>
        <v>0</v>
      </c>
      <c r="W777" s="168"/>
    </row>
    <row r="778" spans="1:23" ht="15.75" customHeight="1" x14ac:dyDescent="0.25">
      <c r="A778" s="178" t="s">
        <v>2313</v>
      </c>
      <c r="B778" s="178" t="s">
        <v>19</v>
      </c>
      <c r="C778" s="178" t="str">
        <f>VLOOKUP(A778,CUSTOMER!$A:$C,3,0)</f>
        <v>VIN_BHOA</v>
      </c>
      <c r="D778" s="178" t="s">
        <v>674</v>
      </c>
      <c r="E778" s="178" t="str">
        <f>VLOOKUP(A781,CUSTOMER!$A$2:$H$1094,5,0)</f>
        <v>TRAN THI THAO NGUYEN</v>
      </c>
      <c r="F778" s="178" t="str">
        <f>VLOOKUP(A781,CUSTOMER!$A$2:$I$1094,6,0)</f>
        <v>"NO SALE"</v>
      </c>
      <c r="G778" s="178" t="s">
        <v>676</v>
      </c>
      <c r="H778" s="179">
        <f t="shared" si="115"/>
        <v>0</v>
      </c>
      <c r="I778" s="180" t="str">
        <f t="shared" si="116"/>
        <v/>
      </c>
      <c r="J778" s="181">
        <f t="shared" si="117"/>
        <v>0</v>
      </c>
      <c r="K778" s="182">
        <v>0</v>
      </c>
      <c r="L778" s="180" t="str">
        <f t="shared" si="121"/>
        <v/>
      </c>
      <c r="M778" s="218">
        <f>SUMIFS(DATA!$L:$L,DATA!$O:$O,$B781,DATA!$N:$N,$A781,DATA!$M:$M,'SALES BY SYSTEM'!$O$1)</f>
        <v>0</v>
      </c>
      <c r="N778" s="182">
        <v>0</v>
      </c>
      <c r="O778" s="180" t="str">
        <f t="shared" si="118"/>
        <v/>
      </c>
      <c r="P778" s="218">
        <f>SUMIFS(DATA!$L:$L,DATA!$O:$O,$B781,DATA!$N:$N,$A781,DATA!$M:$M,'SALES BY SYSTEM'!$O$2)</f>
        <v>0</v>
      </c>
      <c r="Q778" s="182">
        <v>0</v>
      </c>
      <c r="R778" s="180" t="str">
        <f t="shared" si="119"/>
        <v/>
      </c>
      <c r="S778" s="218">
        <f>SUMIFS(DATA!$L:$L,DATA!$O:$O,$B781,DATA!$N:$N,$A781,DATA!$M:$M,'SALES BY SYSTEM'!$O$4)</f>
        <v>0</v>
      </c>
      <c r="T778" s="182">
        <v>0</v>
      </c>
      <c r="U778" s="180" t="str">
        <f t="shared" si="120"/>
        <v/>
      </c>
      <c r="V778" s="218">
        <f>SUMIFS(DATA!$L:$L,DATA!$O:$O,$B781,DATA!$N:$N,$A781,DATA!$M:$M,'SALES BY SYSTEM'!$O$3)</f>
        <v>0</v>
      </c>
      <c r="W778" s="168"/>
    </row>
    <row r="779" spans="1:23" ht="15.75" customHeight="1" x14ac:dyDescent="0.25">
      <c r="A779" s="178" t="s">
        <v>2364</v>
      </c>
      <c r="B779" s="178" t="s">
        <v>19</v>
      </c>
      <c r="C779" s="178" t="str">
        <f>VLOOKUP(A779,CUSTOMER!$A:$C,3,0)</f>
        <v>VIN_BDINH</v>
      </c>
      <c r="D779" s="178" t="s">
        <v>674</v>
      </c>
      <c r="E779" s="178" t="str">
        <f>VLOOKUP(A782,CUSTOMER!$A$2:$H$1094,5,0)</f>
        <v>TRAN THI THAO NGUYEN</v>
      </c>
      <c r="F779" s="178" t="str">
        <f>VLOOKUP(A782,CUSTOMER!$A$2:$I$1094,6,0)</f>
        <v>"NO SALE"</v>
      </c>
      <c r="G779" s="178" t="s">
        <v>676</v>
      </c>
      <c r="H779" s="179">
        <f t="shared" si="115"/>
        <v>0</v>
      </c>
      <c r="I779" s="180" t="str">
        <f t="shared" si="116"/>
        <v/>
      </c>
      <c r="J779" s="181">
        <f t="shared" si="117"/>
        <v>0</v>
      </c>
      <c r="K779" s="182">
        <v>0</v>
      </c>
      <c r="L779" s="180" t="str">
        <f t="shared" si="121"/>
        <v/>
      </c>
      <c r="M779" s="218">
        <f>SUMIFS(DATA!$L:$L,DATA!$O:$O,$B782,DATA!$N:$N,$A782,DATA!$M:$M,'SALES BY SYSTEM'!$O$1)</f>
        <v>0</v>
      </c>
      <c r="N779" s="182">
        <v>0</v>
      </c>
      <c r="O779" s="180" t="str">
        <f t="shared" si="118"/>
        <v/>
      </c>
      <c r="P779" s="218">
        <f>SUMIFS(DATA!$L:$L,DATA!$O:$O,$B782,DATA!$N:$N,$A782,DATA!$M:$M,'SALES BY SYSTEM'!$O$2)</f>
        <v>0</v>
      </c>
      <c r="Q779" s="182">
        <v>0</v>
      </c>
      <c r="R779" s="180" t="str">
        <f t="shared" si="119"/>
        <v/>
      </c>
      <c r="S779" s="218">
        <f>SUMIFS(DATA!$L:$L,DATA!$O:$O,$B782,DATA!$N:$N,$A782,DATA!$M:$M,'SALES BY SYSTEM'!$O$4)</f>
        <v>0</v>
      </c>
      <c r="T779" s="182">
        <v>0</v>
      </c>
      <c r="U779" s="180" t="str">
        <f t="shared" si="120"/>
        <v/>
      </c>
      <c r="V779" s="218">
        <f>SUMIFS(DATA!$L:$L,DATA!$O:$O,$B782,DATA!$N:$N,$A782,DATA!$M:$M,'SALES BY SYSTEM'!$O$3)</f>
        <v>0</v>
      </c>
      <c r="W779" s="168"/>
    </row>
    <row r="780" spans="1:23" ht="15.75" customHeight="1" x14ac:dyDescent="0.25">
      <c r="A780" s="178" t="s">
        <v>2352</v>
      </c>
      <c r="B780" s="178" t="s">
        <v>19</v>
      </c>
      <c r="C780" s="178" t="str">
        <f>VLOOKUP(A780,CUSTOMER!$A:$C,3,0)</f>
        <v>VIN_BPHUOC</v>
      </c>
      <c r="D780" s="178" t="s">
        <v>674</v>
      </c>
      <c r="E780" s="178" t="str">
        <f>VLOOKUP(A783,CUSTOMER!$A$2:$H$1094,5,0)</f>
        <v>TRAN THI THAO NGUYEN</v>
      </c>
      <c r="F780" s="178" t="str">
        <f>VLOOKUP(A783,CUSTOMER!$A$2:$I$1094,6,0)</f>
        <v>"NO SALE"</v>
      </c>
      <c r="G780" s="178" t="s">
        <v>676</v>
      </c>
      <c r="H780" s="179">
        <f t="shared" si="115"/>
        <v>0</v>
      </c>
      <c r="I780" s="180" t="str">
        <f t="shared" si="116"/>
        <v/>
      </c>
      <c r="J780" s="181">
        <f t="shared" si="117"/>
        <v>0</v>
      </c>
      <c r="K780" s="182">
        <v>0</v>
      </c>
      <c r="L780" s="180" t="str">
        <f t="shared" si="121"/>
        <v/>
      </c>
      <c r="M780" s="218">
        <f>SUMIFS(DATA!$L:$L,DATA!$O:$O,$B783,DATA!$N:$N,$A783,DATA!$M:$M,'SALES BY SYSTEM'!$O$1)</f>
        <v>0</v>
      </c>
      <c r="N780" s="182">
        <v>0</v>
      </c>
      <c r="O780" s="180" t="str">
        <f t="shared" si="118"/>
        <v/>
      </c>
      <c r="P780" s="218">
        <f>SUMIFS(DATA!$L:$L,DATA!$O:$O,$B783,DATA!$N:$N,$A783,DATA!$M:$M,'SALES BY SYSTEM'!$O$2)</f>
        <v>0</v>
      </c>
      <c r="Q780" s="182">
        <v>0</v>
      </c>
      <c r="R780" s="180" t="str">
        <f t="shared" si="119"/>
        <v/>
      </c>
      <c r="S780" s="218">
        <f>SUMIFS(DATA!$L:$L,DATA!$O:$O,$B783,DATA!$N:$N,$A783,DATA!$M:$M,'SALES BY SYSTEM'!$O$4)</f>
        <v>0</v>
      </c>
      <c r="T780" s="182">
        <v>0</v>
      </c>
      <c r="U780" s="180" t="str">
        <f t="shared" si="120"/>
        <v/>
      </c>
      <c r="V780" s="218">
        <f>SUMIFS(DATA!$L:$L,DATA!$O:$O,$B783,DATA!$N:$N,$A783,DATA!$M:$M,'SALES BY SYSTEM'!$O$3)</f>
        <v>0</v>
      </c>
      <c r="W780" s="168"/>
    </row>
    <row r="781" spans="1:23" ht="15.75" customHeight="1" x14ac:dyDescent="0.25">
      <c r="A781" s="178" t="s">
        <v>2315</v>
      </c>
      <c r="B781" s="178" t="s">
        <v>19</v>
      </c>
      <c r="C781" s="178" t="str">
        <f>VLOOKUP(A781,CUSTOMER!$A:$C,3,0)</f>
        <v>VIN_CTYBTRUNG</v>
      </c>
      <c r="D781" s="178" t="s">
        <v>674</v>
      </c>
      <c r="E781" s="178" t="str">
        <f>VLOOKUP(A784,CUSTOMER!$A$2:$H$1094,5,0)</f>
        <v>TRAN THI THAO NGUYEN</v>
      </c>
      <c r="F781" s="178" t="str">
        <f>VLOOKUP(A784,CUSTOMER!$A$2:$I$1094,6,0)</f>
        <v>"NO SALE"</v>
      </c>
      <c r="G781" s="178" t="s">
        <v>676</v>
      </c>
      <c r="H781" s="179">
        <f t="shared" si="115"/>
        <v>0</v>
      </c>
      <c r="I781" s="180" t="str">
        <f t="shared" si="116"/>
        <v/>
      </c>
      <c r="J781" s="181">
        <f t="shared" si="117"/>
        <v>0</v>
      </c>
      <c r="K781" s="182">
        <v>0</v>
      </c>
      <c r="L781" s="180" t="str">
        <f t="shared" si="121"/>
        <v/>
      </c>
      <c r="M781" s="218">
        <f>SUMIFS(DATA!$L:$L,DATA!$O:$O,$B784,DATA!$N:$N,$A784,DATA!$M:$M,'SALES BY SYSTEM'!$O$1)</f>
        <v>0</v>
      </c>
      <c r="N781" s="182">
        <v>0</v>
      </c>
      <c r="O781" s="180" t="str">
        <f t="shared" si="118"/>
        <v/>
      </c>
      <c r="P781" s="218">
        <f>SUMIFS(DATA!$L:$L,DATA!$O:$O,$B784,DATA!$N:$N,$A784,DATA!$M:$M,'SALES BY SYSTEM'!$O$2)</f>
        <v>0</v>
      </c>
      <c r="Q781" s="182">
        <v>0</v>
      </c>
      <c r="R781" s="180" t="str">
        <f t="shared" si="119"/>
        <v/>
      </c>
      <c r="S781" s="218">
        <f>SUMIFS(DATA!$L:$L,DATA!$O:$O,$B784,DATA!$N:$N,$A784,DATA!$M:$M,'SALES BY SYSTEM'!$O$4)</f>
        <v>0</v>
      </c>
      <c r="T781" s="182">
        <v>0</v>
      </c>
      <c r="U781" s="180" t="str">
        <f t="shared" si="120"/>
        <v/>
      </c>
      <c r="V781" s="218">
        <f>SUMIFS(DATA!$L:$L,DATA!$O:$O,$B784,DATA!$N:$N,$A784,DATA!$M:$M,'SALES BY SYSTEM'!$O$3)</f>
        <v>0</v>
      </c>
      <c r="W781" s="168"/>
    </row>
    <row r="782" spans="1:23" ht="15.75" customHeight="1" x14ac:dyDescent="0.25">
      <c r="A782" s="178" t="s">
        <v>2317</v>
      </c>
      <c r="B782" s="178" t="s">
        <v>19</v>
      </c>
      <c r="C782" s="178" t="str">
        <f>VLOOKUP(A782,CUSTOMER!$A:$C,3,0)</f>
        <v>VIN_MXCH</v>
      </c>
      <c r="D782" s="178" t="s">
        <v>674</v>
      </c>
      <c r="E782" s="178" t="str">
        <f>VLOOKUP(A785,CUSTOMER!$A$2:$H$1094,5,0)</f>
        <v>TRAN THI THAO NGUYEN</v>
      </c>
      <c r="F782" s="178" t="str">
        <f>VLOOKUP(A785,CUSTOMER!$A$2:$I$1094,6,0)</f>
        <v>"NO SALE"</v>
      </c>
      <c r="G782" s="178" t="s">
        <v>676</v>
      </c>
      <c r="H782" s="179">
        <f t="shared" si="115"/>
        <v>0</v>
      </c>
      <c r="I782" s="180" t="str">
        <f t="shared" si="116"/>
        <v/>
      </c>
      <c r="J782" s="181">
        <f t="shared" si="117"/>
        <v>0</v>
      </c>
      <c r="K782" s="182">
        <v>0</v>
      </c>
      <c r="L782" s="180" t="str">
        <f t="shared" si="121"/>
        <v/>
      </c>
      <c r="M782" s="218">
        <f>SUMIFS(DATA!$L:$L,DATA!$O:$O,$B785,DATA!$N:$N,$A785,DATA!$M:$M,'SALES BY SYSTEM'!$O$1)</f>
        <v>0</v>
      </c>
      <c r="N782" s="182">
        <v>0</v>
      </c>
      <c r="O782" s="180" t="str">
        <f t="shared" si="118"/>
        <v/>
      </c>
      <c r="P782" s="218">
        <f>SUMIFS(DATA!$L:$L,DATA!$O:$O,$B785,DATA!$N:$N,$A785,DATA!$M:$M,'SALES BY SYSTEM'!$O$2)</f>
        <v>0</v>
      </c>
      <c r="Q782" s="182">
        <v>0</v>
      </c>
      <c r="R782" s="180" t="str">
        <f t="shared" si="119"/>
        <v/>
      </c>
      <c r="S782" s="218">
        <f>SUMIFS(DATA!$L:$L,DATA!$O:$O,$B785,DATA!$N:$N,$A785,DATA!$M:$M,'SALES BY SYSTEM'!$O$4)</f>
        <v>0</v>
      </c>
      <c r="T782" s="182">
        <v>0</v>
      </c>
      <c r="U782" s="180" t="str">
        <f t="shared" si="120"/>
        <v/>
      </c>
      <c r="V782" s="218">
        <f>SUMIFS(DATA!$L:$L,DATA!$O:$O,$B785,DATA!$N:$N,$A785,DATA!$M:$M,'SALES BY SYSTEM'!$O$3)</f>
        <v>0</v>
      </c>
      <c r="W782" s="168"/>
    </row>
    <row r="783" spans="1:23" ht="15.75" customHeight="1" x14ac:dyDescent="0.25">
      <c r="A783" s="178" t="s">
        <v>2319</v>
      </c>
      <c r="B783" s="178" t="s">
        <v>19</v>
      </c>
      <c r="C783" s="178" t="str">
        <f>VLOOKUP(A783,CUSTOMER!$A:$C,3,0)</f>
        <v>VIN_CTYDIAMOND</v>
      </c>
      <c r="D783" s="178" t="s">
        <v>674</v>
      </c>
      <c r="E783" s="178" t="str">
        <f>VLOOKUP(A786,CUSTOMER!$A$2:$H$1094,5,0)</f>
        <v>TRAN THI THAO NGUYEN</v>
      </c>
      <c r="F783" s="178" t="str">
        <f>VLOOKUP(A786,CUSTOMER!$A$2:$I$1094,6,0)</f>
        <v>"NO SALE"</v>
      </c>
      <c r="G783" s="178" t="s">
        <v>676</v>
      </c>
      <c r="H783" s="179">
        <f t="shared" si="115"/>
        <v>0</v>
      </c>
      <c r="I783" s="180" t="str">
        <f t="shared" si="116"/>
        <v/>
      </c>
      <c r="J783" s="181">
        <f t="shared" si="117"/>
        <v>0</v>
      </c>
      <c r="K783" s="182">
        <v>0</v>
      </c>
      <c r="L783" s="180" t="str">
        <f t="shared" si="121"/>
        <v/>
      </c>
      <c r="M783" s="218">
        <f>SUMIFS(DATA!$L:$L,DATA!$O:$O,$B786,DATA!$N:$N,$A786,DATA!$M:$M,'SALES BY SYSTEM'!$O$1)</f>
        <v>0</v>
      </c>
      <c r="N783" s="182">
        <v>0</v>
      </c>
      <c r="O783" s="180" t="str">
        <f t="shared" si="118"/>
        <v/>
      </c>
      <c r="P783" s="218">
        <f>SUMIFS(DATA!$L:$L,DATA!$O:$O,$B786,DATA!$N:$N,$A786,DATA!$M:$M,'SALES BY SYSTEM'!$O$2)</f>
        <v>0</v>
      </c>
      <c r="Q783" s="182">
        <v>0</v>
      </c>
      <c r="R783" s="180" t="str">
        <f t="shared" si="119"/>
        <v/>
      </c>
      <c r="S783" s="218">
        <f>SUMIFS(DATA!$L:$L,DATA!$O:$O,$B786,DATA!$N:$N,$A786,DATA!$M:$M,'SALES BY SYSTEM'!$O$4)</f>
        <v>0</v>
      </c>
      <c r="T783" s="182">
        <v>0</v>
      </c>
      <c r="U783" s="180" t="str">
        <f t="shared" si="120"/>
        <v/>
      </c>
      <c r="V783" s="218">
        <f>SUMIFS(DATA!$L:$L,DATA!$O:$O,$B786,DATA!$N:$N,$A786,DATA!$M:$M,'SALES BY SYSTEM'!$O$3)</f>
        <v>0</v>
      </c>
      <c r="W783" s="168"/>
    </row>
    <row r="784" spans="1:23" ht="15.75" customHeight="1" x14ac:dyDescent="0.25">
      <c r="A784" s="178" t="s">
        <v>2356</v>
      </c>
      <c r="B784" s="178" t="s">
        <v>19</v>
      </c>
      <c r="C784" s="178" t="str">
        <f>VLOOKUP(A784,CUSTOMER!$A:$C,3,0)</f>
        <v>VIN_GLAI</v>
      </c>
      <c r="D784" s="178" t="s">
        <v>674</v>
      </c>
      <c r="E784" s="178" t="str">
        <f>VLOOKUP(A787,CUSTOMER!$A$2:$H$1094,5,0)</f>
        <v>TRAN THI THAO NGUYEN</v>
      </c>
      <c r="F784" s="178" t="str">
        <f>VLOOKUP(A787,CUSTOMER!$A$2:$I$1094,6,0)</f>
        <v>"NO SALE"</v>
      </c>
      <c r="G784" s="178" t="s">
        <v>676</v>
      </c>
      <c r="H784" s="179">
        <f t="shared" si="115"/>
        <v>0</v>
      </c>
      <c r="I784" s="180" t="str">
        <f t="shared" si="116"/>
        <v/>
      </c>
      <c r="J784" s="181">
        <f t="shared" si="117"/>
        <v>0</v>
      </c>
      <c r="K784" s="182">
        <v>0</v>
      </c>
      <c r="L784" s="180" t="str">
        <f t="shared" si="121"/>
        <v/>
      </c>
      <c r="M784" s="218">
        <f>SUMIFS(DATA!$L:$L,DATA!$O:$O,$B787,DATA!$N:$N,$A787,DATA!$M:$M,'SALES BY SYSTEM'!$O$1)</f>
        <v>0</v>
      </c>
      <c r="N784" s="182">
        <v>0</v>
      </c>
      <c r="O784" s="180" t="str">
        <f t="shared" si="118"/>
        <v/>
      </c>
      <c r="P784" s="218">
        <f>SUMIFS(DATA!$L:$L,DATA!$O:$O,$B787,DATA!$N:$N,$A787,DATA!$M:$M,'SALES BY SYSTEM'!$O$2)</f>
        <v>0</v>
      </c>
      <c r="Q784" s="182">
        <v>0</v>
      </c>
      <c r="R784" s="180" t="str">
        <f t="shared" si="119"/>
        <v/>
      </c>
      <c r="S784" s="218">
        <f>SUMIFS(DATA!$L:$L,DATA!$O:$O,$B787,DATA!$N:$N,$A787,DATA!$M:$M,'SALES BY SYSTEM'!$O$4)</f>
        <v>0</v>
      </c>
      <c r="T784" s="182">
        <v>0</v>
      </c>
      <c r="U784" s="180" t="str">
        <f t="shared" si="120"/>
        <v/>
      </c>
      <c r="V784" s="218">
        <f>SUMIFS(DATA!$L:$L,DATA!$O:$O,$B787,DATA!$N:$N,$A787,DATA!$M:$M,'SALES BY SYSTEM'!$O$3)</f>
        <v>0</v>
      </c>
      <c r="W784" s="168"/>
    </row>
    <row r="785" spans="1:23" ht="15.75" customHeight="1" x14ac:dyDescent="0.25">
      <c r="A785" s="178" t="s">
        <v>2323</v>
      </c>
      <c r="B785" s="178" t="s">
        <v>19</v>
      </c>
      <c r="C785" s="178" t="str">
        <f>VLOOKUP(A785,CUSTOMER!$A:$C,3,0)</f>
        <v>VIN_KHO_HTINH</v>
      </c>
      <c r="D785" s="178" t="s">
        <v>674</v>
      </c>
      <c r="E785" s="178" t="str">
        <f>VLOOKUP(A788,CUSTOMER!$A$2:$H$1094,5,0)</f>
        <v>TRAN THI THAO NGUYEN</v>
      </c>
      <c r="F785" s="178" t="str">
        <f>VLOOKUP(A788,CUSTOMER!$A$2:$I$1094,6,0)</f>
        <v>"NO SALE"</v>
      </c>
      <c r="G785" s="178" t="s">
        <v>676</v>
      </c>
      <c r="H785" s="179">
        <f t="shared" si="115"/>
        <v>0</v>
      </c>
      <c r="I785" s="180" t="str">
        <f t="shared" si="116"/>
        <v/>
      </c>
      <c r="J785" s="181">
        <f t="shared" si="117"/>
        <v>0</v>
      </c>
      <c r="K785" s="182">
        <v>0</v>
      </c>
      <c r="L785" s="180" t="str">
        <f t="shared" si="121"/>
        <v/>
      </c>
      <c r="M785" s="218">
        <f>SUMIFS(DATA!$L:$L,DATA!$O:$O,$B788,DATA!$N:$N,$A788,DATA!$M:$M,'SALES BY SYSTEM'!$O$1)</f>
        <v>0</v>
      </c>
      <c r="N785" s="182">
        <v>0</v>
      </c>
      <c r="O785" s="180" t="str">
        <f t="shared" si="118"/>
        <v/>
      </c>
      <c r="P785" s="218">
        <f>SUMIFS(DATA!$L:$L,DATA!$O:$O,$B788,DATA!$N:$N,$A788,DATA!$M:$M,'SALES BY SYSTEM'!$O$2)</f>
        <v>0</v>
      </c>
      <c r="Q785" s="182">
        <v>0</v>
      </c>
      <c r="R785" s="180" t="str">
        <f t="shared" si="119"/>
        <v/>
      </c>
      <c r="S785" s="218">
        <f>SUMIFS(DATA!$L:$L,DATA!$O:$O,$B788,DATA!$N:$N,$A788,DATA!$M:$M,'SALES BY SYSTEM'!$O$4)</f>
        <v>0</v>
      </c>
      <c r="T785" s="182">
        <v>0</v>
      </c>
      <c r="U785" s="180" t="str">
        <f t="shared" si="120"/>
        <v/>
      </c>
      <c r="V785" s="218">
        <f>SUMIFS(DATA!$L:$L,DATA!$O:$O,$B788,DATA!$N:$N,$A788,DATA!$M:$M,'SALES BY SYSTEM'!$O$3)</f>
        <v>0</v>
      </c>
      <c r="W785" s="168"/>
    </row>
    <row r="786" spans="1:23" ht="15.75" customHeight="1" x14ac:dyDescent="0.25">
      <c r="A786" s="178" t="s">
        <v>21</v>
      </c>
      <c r="B786" s="178" t="s">
        <v>19</v>
      </c>
      <c r="C786" s="178" t="str">
        <f>VLOOKUP(A786,CUSTOMER!$A:$C,3,0)</f>
        <v>VIN_HPHONG</v>
      </c>
      <c r="D786" s="178" t="s">
        <v>674</v>
      </c>
      <c r="E786" s="178" t="str">
        <f>VLOOKUP(A789,CUSTOMER!$A$2:$H$1094,5,0)</f>
        <v>TRAN THI THAO NGUYEN</v>
      </c>
      <c r="F786" s="178" t="str">
        <f>VLOOKUP(A789,CUSTOMER!$A$2:$I$1094,6,0)</f>
        <v>"NO SALE"</v>
      </c>
      <c r="G786" s="178" t="s">
        <v>676</v>
      </c>
      <c r="H786" s="179">
        <f t="shared" si="115"/>
        <v>0</v>
      </c>
      <c r="I786" s="180" t="str">
        <f t="shared" si="116"/>
        <v/>
      </c>
      <c r="J786" s="181">
        <f t="shared" si="117"/>
        <v>0</v>
      </c>
      <c r="K786" s="182">
        <v>0</v>
      </c>
      <c r="L786" s="180" t="str">
        <f t="shared" si="121"/>
        <v/>
      </c>
      <c r="M786" s="218">
        <f>SUMIFS(DATA!$L:$L,DATA!$O:$O,$B789,DATA!$N:$N,$A789,DATA!$M:$M,'SALES BY SYSTEM'!$O$1)</f>
        <v>0</v>
      </c>
      <c r="N786" s="182">
        <v>0</v>
      </c>
      <c r="O786" s="180" t="str">
        <f t="shared" si="118"/>
        <v/>
      </c>
      <c r="P786" s="218">
        <f>SUMIFS(DATA!$L:$L,DATA!$O:$O,$B789,DATA!$N:$N,$A789,DATA!$M:$M,'SALES BY SYSTEM'!$O$2)</f>
        <v>0</v>
      </c>
      <c r="Q786" s="182">
        <v>0</v>
      </c>
      <c r="R786" s="180" t="str">
        <f t="shared" si="119"/>
        <v/>
      </c>
      <c r="S786" s="218">
        <f>SUMIFS(DATA!$L:$L,DATA!$O:$O,$B789,DATA!$N:$N,$A789,DATA!$M:$M,'SALES BY SYSTEM'!$O$4)</f>
        <v>0</v>
      </c>
      <c r="T786" s="182">
        <v>0</v>
      </c>
      <c r="U786" s="180" t="str">
        <f t="shared" si="120"/>
        <v/>
      </c>
      <c r="V786" s="218">
        <f>SUMIFS(DATA!$L:$L,DATA!$O:$O,$B789,DATA!$N:$N,$A789,DATA!$M:$M,'SALES BY SYSTEM'!$O$3)</f>
        <v>0</v>
      </c>
      <c r="W786" s="168"/>
    </row>
    <row r="787" spans="1:23" ht="15.75" customHeight="1" x14ac:dyDescent="0.25">
      <c r="A787" s="178" t="s">
        <v>2325</v>
      </c>
      <c r="B787" s="178" t="s">
        <v>19</v>
      </c>
      <c r="C787" s="178" t="str">
        <f>VLOOKUP(A787,CUSTOMER!$A:$C,3,0)</f>
        <v>VIN_CTYPVN</v>
      </c>
      <c r="D787" s="178" t="s">
        <v>674</v>
      </c>
      <c r="E787" s="178" t="str">
        <f>VLOOKUP(A790,CUSTOMER!$A$2:$H$1094,5,0)</f>
        <v>TRAN THI THAO NGUYEN</v>
      </c>
      <c r="F787" s="178" t="str">
        <f>VLOOKUP(A790,CUSTOMER!$A$2:$I$1094,6,0)</f>
        <v>"NO SALE"</v>
      </c>
      <c r="G787" s="178" t="s">
        <v>676</v>
      </c>
      <c r="H787" s="179">
        <f t="shared" si="115"/>
        <v>0</v>
      </c>
      <c r="I787" s="180" t="str">
        <f t="shared" si="116"/>
        <v/>
      </c>
      <c r="J787" s="181">
        <f t="shared" si="117"/>
        <v>0</v>
      </c>
      <c r="K787" s="182">
        <v>0</v>
      </c>
      <c r="L787" s="180" t="str">
        <f t="shared" si="121"/>
        <v/>
      </c>
      <c r="M787" s="218">
        <f>SUMIFS(DATA!$L:$L,DATA!$O:$O,$B790,DATA!$N:$N,$A790,DATA!$M:$M,'SALES BY SYSTEM'!$O$1)</f>
        <v>0</v>
      </c>
      <c r="N787" s="182">
        <v>0</v>
      </c>
      <c r="O787" s="180" t="str">
        <f t="shared" si="118"/>
        <v/>
      </c>
      <c r="P787" s="218">
        <f>SUMIFS(DATA!$L:$L,DATA!$O:$O,$B790,DATA!$N:$N,$A790,DATA!$M:$M,'SALES BY SYSTEM'!$O$2)</f>
        <v>0</v>
      </c>
      <c r="Q787" s="182">
        <v>0</v>
      </c>
      <c r="R787" s="180" t="str">
        <f t="shared" si="119"/>
        <v/>
      </c>
      <c r="S787" s="218">
        <f>SUMIFS(DATA!$L:$L,DATA!$O:$O,$B790,DATA!$N:$N,$A790,DATA!$M:$M,'SALES BY SYSTEM'!$O$4)</f>
        <v>0</v>
      </c>
      <c r="T787" s="182">
        <v>0</v>
      </c>
      <c r="U787" s="180" t="str">
        <f t="shared" si="120"/>
        <v/>
      </c>
      <c r="V787" s="218">
        <f>SUMIFS(DATA!$L:$L,DATA!$O:$O,$B790,DATA!$N:$N,$A790,DATA!$M:$M,'SALES BY SYSTEM'!$O$3)</f>
        <v>0</v>
      </c>
      <c r="W787" s="168"/>
    </row>
    <row r="788" spans="1:23" ht="15.75" customHeight="1" x14ac:dyDescent="0.25">
      <c r="A788" s="178" t="s">
        <v>27</v>
      </c>
      <c r="B788" s="178" t="s">
        <v>19</v>
      </c>
      <c r="C788" s="178" t="str">
        <f>VLOOKUP(A788,CUSTOMER!$A:$C,3,0)</f>
        <v>VIN_KHO_HYEN</v>
      </c>
      <c r="D788" s="178" t="s">
        <v>674</v>
      </c>
      <c r="E788" s="178" t="str">
        <f>VLOOKUP(A791,CUSTOMER!$A$2:$H$1094,5,0)</f>
        <v>TRAN THI THAO NGUYEN</v>
      </c>
      <c r="F788" s="178" t="str">
        <f>VLOOKUP(A791,CUSTOMER!$A$2:$I$1094,6,0)</f>
        <v>"NO SALE"</v>
      </c>
      <c r="G788" s="178" t="s">
        <v>676</v>
      </c>
      <c r="H788" s="179">
        <f t="shared" si="115"/>
        <v>0</v>
      </c>
      <c r="I788" s="180" t="str">
        <f t="shared" si="116"/>
        <v/>
      </c>
      <c r="J788" s="181">
        <f t="shared" si="117"/>
        <v>0</v>
      </c>
      <c r="K788" s="182">
        <v>0</v>
      </c>
      <c r="L788" s="180"/>
      <c r="M788" s="218">
        <f>SUMIFS(DATA!$L:$L,DATA!$O:$O,$B791,DATA!$N:$N,$A791,DATA!$M:$M,'SALES BY SYSTEM'!$O$1)</f>
        <v>0</v>
      </c>
      <c r="N788" s="182">
        <v>0</v>
      </c>
      <c r="O788" s="180"/>
      <c r="P788" s="218">
        <f>SUMIFS(DATA!$L:$L,DATA!$O:$O,$B791,DATA!$N:$N,$A791,DATA!$M:$M,'SALES BY SYSTEM'!$O$2)</f>
        <v>0</v>
      </c>
      <c r="Q788" s="182">
        <v>0</v>
      </c>
      <c r="R788" s="180"/>
      <c r="S788" s="218">
        <f>SUMIFS(DATA!$L:$L,DATA!$O:$O,$B791,DATA!$N:$N,$A791,DATA!$M:$M,'SALES BY SYSTEM'!$O$4)</f>
        <v>0</v>
      </c>
      <c r="T788" s="182">
        <v>0</v>
      </c>
      <c r="U788" s="180"/>
      <c r="V788" s="218">
        <f>SUMIFS(DATA!$L:$L,DATA!$O:$O,$B791,DATA!$N:$N,$A791,DATA!$M:$M,'SALES BY SYSTEM'!$O$3)</f>
        <v>0</v>
      </c>
      <c r="W788" s="168"/>
    </row>
    <row r="789" spans="1:23" ht="15.75" customHeight="1" x14ac:dyDescent="0.25">
      <c r="A789" s="178" t="s">
        <v>2327</v>
      </c>
      <c r="B789" s="178" t="s">
        <v>19</v>
      </c>
      <c r="C789" s="178" t="str">
        <f>VLOOKUP(A789,CUSTOMER!$A:$C,3,0)</f>
        <v>VIN_KHOA</v>
      </c>
      <c r="D789" s="178" t="s">
        <v>674</v>
      </c>
      <c r="E789" s="178" t="str">
        <f>VLOOKUP(A792,CUSTOMER!$A$2:$H$1094,5,0)</f>
        <v>TRAN THI THAO NGUYEN</v>
      </c>
      <c r="F789" s="178" t="str">
        <f>VLOOKUP(A792,CUSTOMER!$A$2:$I$1094,6,0)</f>
        <v>"NO SALE"</v>
      </c>
      <c r="G789" s="178" t="s">
        <v>676</v>
      </c>
      <c r="H789" s="179">
        <f t="shared" si="115"/>
        <v>0</v>
      </c>
      <c r="I789" s="180" t="str">
        <f t="shared" si="116"/>
        <v/>
      </c>
      <c r="J789" s="181">
        <f t="shared" si="117"/>
        <v>0</v>
      </c>
      <c r="K789" s="182">
        <v>0</v>
      </c>
      <c r="L789" s="180" t="str">
        <f>IFERROR(M792/K792,"")</f>
        <v/>
      </c>
      <c r="M789" s="218">
        <f>SUMIFS(DATA!$L:$L,DATA!$O:$O,$B792,DATA!$N:$N,$A792,DATA!$M:$M,'SALES BY SYSTEM'!$O$1)</f>
        <v>0</v>
      </c>
      <c r="N789" s="182">
        <v>0</v>
      </c>
      <c r="O789" s="180" t="str">
        <f>IFERROR(P792/N792,"")</f>
        <v/>
      </c>
      <c r="P789" s="218">
        <f>SUMIFS(DATA!$L:$L,DATA!$O:$O,$B792,DATA!$N:$N,$A792,DATA!$M:$M,'SALES BY SYSTEM'!$O$2)</f>
        <v>0</v>
      </c>
      <c r="Q789" s="182">
        <v>0</v>
      </c>
      <c r="R789" s="180" t="str">
        <f>IFERROR(S792/Q792,"")</f>
        <v/>
      </c>
      <c r="S789" s="218">
        <f>SUMIFS(DATA!$L:$L,DATA!$O:$O,$B792,DATA!$N:$N,$A792,DATA!$M:$M,'SALES BY SYSTEM'!$O$4)</f>
        <v>0</v>
      </c>
      <c r="T789" s="182">
        <v>0</v>
      </c>
      <c r="U789" s="180" t="str">
        <f>IFERROR(V792/T792,"")</f>
        <v/>
      </c>
      <c r="V789" s="218">
        <f>SUMIFS(DATA!$L:$L,DATA!$O:$O,$B792,DATA!$N:$N,$A792,DATA!$M:$M,'SALES BY SYSTEM'!$O$3)</f>
        <v>0</v>
      </c>
      <c r="W789" s="168"/>
    </row>
    <row r="790" spans="1:23" ht="15.75" customHeight="1" x14ac:dyDescent="0.25">
      <c r="A790" s="178" t="s">
        <v>2329</v>
      </c>
      <c r="B790" s="178" t="s">
        <v>19</v>
      </c>
      <c r="C790" s="178" t="str">
        <f>VLOOKUP(A790,CUSTOMER!$A:$C,3,0)</f>
        <v>VIN_KHO_BNINH</v>
      </c>
      <c r="D790" s="178" t="s">
        <v>674</v>
      </c>
      <c r="E790" s="178" t="str">
        <f>VLOOKUP(A793,CUSTOMER!$A$2:$H$1094,5,0)</f>
        <v>TRAN THI THAO NGUYEN</v>
      </c>
      <c r="F790" s="178" t="str">
        <f>VLOOKUP(A793,CUSTOMER!$A$2:$I$1094,6,0)</f>
        <v>"NO SALE"</v>
      </c>
      <c r="G790" s="178" t="s">
        <v>676</v>
      </c>
      <c r="H790" s="179">
        <f t="shared" si="115"/>
        <v>0</v>
      </c>
      <c r="I790" s="180" t="str">
        <f t="shared" si="116"/>
        <v/>
      </c>
      <c r="J790" s="181">
        <f t="shared" si="117"/>
        <v>0</v>
      </c>
      <c r="K790" s="182">
        <v>0</v>
      </c>
      <c r="L790" s="180" t="str">
        <f>IFERROR(M793/K793,"")</f>
        <v/>
      </c>
      <c r="M790" s="218">
        <f>SUMIFS(DATA!$L:$L,DATA!$O:$O,$B793,DATA!$N:$N,$A793,DATA!$M:$M,'SALES BY SYSTEM'!$O$1)</f>
        <v>0</v>
      </c>
      <c r="N790" s="182">
        <v>0</v>
      </c>
      <c r="O790" s="180" t="str">
        <f>IFERROR(P793/N793,"")</f>
        <v/>
      </c>
      <c r="P790" s="218">
        <f>SUMIFS(DATA!$L:$L,DATA!$O:$O,$B793,DATA!$N:$N,$A793,DATA!$M:$M,'SALES BY SYSTEM'!$O$2)</f>
        <v>0</v>
      </c>
      <c r="Q790" s="182">
        <v>0</v>
      </c>
      <c r="R790" s="180" t="str">
        <f>IFERROR(S793/Q793,"")</f>
        <v/>
      </c>
      <c r="S790" s="218">
        <f>SUMIFS(DATA!$L:$L,DATA!$O:$O,$B793,DATA!$N:$N,$A793,DATA!$M:$M,'SALES BY SYSTEM'!$O$4)</f>
        <v>0</v>
      </c>
      <c r="T790" s="182">
        <v>0</v>
      </c>
      <c r="U790" s="180" t="str">
        <f>IFERROR(V793/T793,"")</f>
        <v/>
      </c>
      <c r="V790" s="218">
        <f>SUMIFS(DATA!$L:$L,DATA!$O:$O,$B793,DATA!$N:$N,$A793,DATA!$M:$M,'SALES BY SYSTEM'!$O$3)</f>
        <v>0</v>
      </c>
      <c r="W790" s="168"/>
    </row>
    <row r="791" spans="1:23" ht="15.75" customHeight="1" x14ac:dyDescent="0.25">
      <c r="A791" s="178" t="s">
        <v>35</v>
      </c>
      <c r="B791" s="178" t="s">
        <v>19</v>
      </c>
      <c r="C791" s="178" t="str">
        <f>VLOOKUP(A791,CUSTOMER!$A:$C,3,0)</f>
        <v>VIN_CTY</v>
      </c>
      <c r="D791" s="178" t="s">
        <v>674</v>
      </c>
      <c r="E791" s="178" t="str">
        <f>VLOOKUP(A794,CUSTOMER!$A$2:$H$1094,5,0)</f>
        <v>TRAN THI THAO NGUYEN</v>
      </c>
      <c r="F791" s="178" t="str">
        <f>VLOOKUP(A794,CUSTOMER!$A$2:$I$1094,6,0)</f>
        <v>"NO SALE"</v>
      </c>
      <c r="G791" s="178" t="s">
        <v>676</v>
      </c>
      <c r="H791" s="179">
        <f t="shared" si="115"/>
        <v>0</v>
      </c>
      <c r="I791" s="180" t="str">
        <f t="shared" si="116"/>
        <v/>
      </c>
      <c r="J791" s="181">
        <f t="shared" si="117"/>
        <v>0</v>
      </c>
      <c r="K791" s="182">
        <v>0</v>
      </c>
      <c r="L791" s="180" t="str">
        <f>IFERROR(M794/K794,"")</f>
        <v/>
      </c>
      <c r="M791" s="218">
        <f>SUMIFS(DATA!$L:$L,DATA!$O:$O,$B794,DATA!$N:$N,$A794,DATA!$M:$M,'SALES BY SYSTEM'!$O$1)</f>
        <v>0</v>
      </c>
      <c r="N791" s="182">
        <v>0</v>
      </c>
      <c r="O791" s="180" t="str">
        <f>IFERROR(P794/N794,"")</f>
        <v/>
      </c>
      <c r="P791" s="218">
        <f>SUMIFS(DATA!$L:$L,DATA!$O:$O,$B794,DATA!$N:$N,$A794,DATA!$M:$M,'SALES BY SYSTEM'!$O$2)</f>
        <v>0</v>
      </c>
      <c r="Q791" s="182">
        <v>0</v>
      </c>
      <c r="R791" s="180" t="str">
        <f>IFERROR(S794/Q794,"")</f>
        <v/>
      </c>
      <c r="S791" s="218">
        <f>SUMIFS(DATA!$L:$L,DATA!$O:$O,$B794,DATA!$N:$N,$A794,DATA!$M:$M,'SALES BY SYSTEM'!$O$4)</f>
        <v>0</v>
      </c>
      <c r="T791" s="182">
        <v>0</v>
      </c>
      <c r="U791" s="180" t="str">
        <f>IFERROR(V794/T794,"")</f>
        <v/>
      </c>
      <c r="V791" s="218">
        <f>SUMIFS(DATA!$L:$L,DATA!$O:$O,$B794,DATA!$N:$N,$A794,DATA!$M:$M,'SALES BY SYSTEM'!$O$3)</f>
        <v>0</v>
      </c>
      <c r="W791" s="168"/>
    </row>
    <row r="792" spans="1:23" ht="15.75" customHeight="1" x14ac:dyDescent="0.25">
      <c r="A792" s="178" t="s">
        <v>31</v>
      </c>
      <c r="B792" s="178" t="s">
        <v>19</v>
      </c>
      <c r="C792" s="178" t="str">
        <f>VLOOKUP(A792,CUSTOMER!$A:$C,3,0)</f>
        <v>VIN_KHO_DNANG</v>
      </c>
      <c r="D792" s="178" t="s">
        <v>674</v>
      </c>
      <c r="E792" s="178" t="str">
        <f>VLOOKUP(A796,CUSTOMER!$A$2:$H$1094,5,0)</f>
        <v>TRAN THI THAO NGUYEN</v>
      </c>
      <c r="F792" s="178" t="str">
        <f>VLOOKUP(A796,CUSTOMER!$A$2:$I$1094,6,0)</f>
        <v>"NO SALE"</v>
      </c>
      <c r="G792" s="178" t="s">
        <v>676</v>
      </c>
      <c r="H792" s="179">
        <f t="shared" si="115"/>
        <v>0</v>
      </c>
      <c r="I792" s="180" t="str">
        <f t="shared" si="116"/>
        <v/>
      </c>
      <c r="J792" s="181">
        <f t="shared" si="117"/>
        <v>0</v>
      </c>
      <c r="K792" s="182">
        <v>0</v>
      </c>
      <c r="L792" s="180" t="str">
        <f t="shared" ref="L792:L823" si="122">IFERROR(M796/K796,"")</f>
        <v/>
      </c>
      <c r="M792" s="218">
        <f>SUMIFS(DATA!$L:$L,DATA!$O:$O,$B796,DATA!$N:$N,$A796,DATA!$M:$M,'SALES BY SYSTEM'!$O$1)</f>
        <v>0</v>
      </c>
      <c r="N792" s="182">
        <v>0</v>
      </c>
      <c r="O792" s="180" t="str">
        <f t="shared" ref="O792:O823" si="123">IFERROR(P796/N796,"")</f>
        <v/>
      </c>
      <c r="P792" s="218">
        <f>SUMIFS(DATA!$L:$L,DATA!$O:$O,$B796,DATA!$N:$N,$A796,DATA!$M:$M,'SALES BY SYSTEM'!$O$2)</f>
        <v>0</v>
      </c>
      <c r="Q792" s="182">
        <v>0</v>
      </c>
      <c r="R792" s="180" t="str">
        <f t="shared" ref="R792:R823" si="124">IFERROR(S796/Q796,"")</f>
        <v/>
      </c>
      <c r="S792" s="218">
        <f>SUMIFS(DATA!$L:$L,DATA!$O:$O,$B796,DATA!$N:$N,$A796,DATA!$M:$M,'SALES BY SYSTEM'!$O$4)</f>
        <v>0</v>
      </c>
      <c r="T792" s="182">
        <v>0</v>
      </c>
      <c r="U792" s="180" t="str">
        <f t="shared" ref="U792:U823" si="125">IFERROR(V796/T796,"")</f>
        <v/>
      </c>
      <c r="V792" s="218">
        <f>SUMIFS(DATA!$L:$L,DATA!$O:$O,$B796,DATA!$N:$N,$A796,DATA!$M:$M,'SALES BY SYSTEM'!$O$3)</f>
        <v>0</v>
      </c>
      <c r="W792" s="168"/>
    </row>
    <row r="793" spans="1:23" ht="15.75" customHeight="1" x14ac:dyDescent="0.25">
      <c r="A793" s="178" t="s">
        <v>2358</v>
      </c>
      <c r="B793" s="178" t="s">
        <v>19</v>
      </c>
      <c r="C793" s="178" t="str">
        <f>VLOOKUP(A793,CUSTOMER!$A:$C,3,0)</f>
        <v>VIN_KTUM</v>
      </c>
      <c r="D793" s="178" t="s">
        <v>674</v>
      </c>
      <c r="E793" s="178" t="str">
        <f>VLOOKUP(A797,CUSTOMER!$A$2:$H$1094,5,0)</f>
        <v>TRAN THI THAO NGUYEN</v>
      </c>
      <c r="F793" s="178" t="str">
        <f>VLOOKUP(A797,CUSTOMER!$A$2:$I$1094,6,0)</f>
        <v>"NO SALE"</v>
      </c>
      <c r="G793" s="178" t="s">
        <v>676</v>
      </c>
      <c r="H793" s="179">
        <f t="shared" si="115"/>
        <v>0</v>
      </c>
      <c r="I793" s="180" t="str">
        <f t="shared" si="116"/>
        <v/>
      </c>
      <c r="J793" s="181">
        <f t="shared" si="117"/>
        <v>0</v>
      </c>
      <c r="K793" s="182">
        <v>0</v>
      </c>
      <c r="L793" s="180" t="str">
        <f t="shared" si="122"/>
        <v/>
      </c>
      <c r="M793" s="218">
        <f>SUMIFS(DATA!$L:$L,DATA!$O:$O,$B797,DATA!$N:$N,$A797,DATA!$M:$M,'SALES BY SYSTEM'!$O$1)</f>
        <v>0</v>
      </c>
      <c r="N793" s="182">
        <v>0</v>
      </c>
      <c r="O793" s="180" t="str">
        <f t="shared" si="123"/>
        <v/>
      </c>
      <c r="P793" s="218">
        <f>SUMIFS(DATA!$L:$L,DATA!$O:$O,$B797,DATA!$N:$N,$A797,DATA!$M:$M,'SALES BY SYSTEM'!$O$2)</f>
        <v>0</v>
      </c>
      <c r="Q793" s="182">
        <v>0</v>
      </c>
      <c r="R793" s="180" t="str">
        <f t="shared" si="124"/>
        <v/>
      </c>
      <c r="S793" s="218">
        <f>SUMIFS(DATA!$L:$L,DATA!$O:$O,$B797,DATA!$N:$N,$A797,DATA!$M:$M,'SALES BY SYSTEM'!$O$4)</f>
        <v>0</v>
      </c>
      <c r="T793" s="182">
        <v>0</v>
      </c>
      <c r="U793" s="180" t="str">
        <f t="shared" si="125"/>
        <v/>
      </c>
      <c r="V793" s="218">
        <f>SUMIFS(DATA!$L:$L,DATA!$O:$O,$B797,DATA!$N:$N,$A797,DATA!$M:$M,'SALES BY SYSTEM'!$O$3)</f>
        <v>0</v>
      </c>
      <c r="W793" s="168"/>
    </row>
    <row r="794" spans="1:23" ht="15.75" customHeight="1" x14ac:dyDescent="0.25">
      <c r="A794" s="178" t="s">
        <v>2332</v>
      </c>
      <c r="B794" s="178" t="s">
        <v>19</v>
      </c>
      <c r="C794" s="178" t="str">
        <f>VLOOKUP(A794,CUSTOMER!$A:$C,3,0)</f>
        <v>VIN_CTYLAND</v>
      </c>
      <c r="D794" s="178" t="s">
        <v>674</v>
      </c>
      <c r="E794" s="178" t="str">
        <f>VLOOKUP(A798,CUSTOMER!$A$2:$H$1094,5,0)</f>
        <v>TRAN THI THAO NGUYEN</v>
      </c>
      <c r="F794" s="178" t="str">
        <f>VLOOKUP(A798,CUSTOMER!$A$2:$I$1094,6,0)</f>
        <v>"NO SALE"</v>
      </c>
      <c r="G794" s="178" t="s">
        <v>676</v>
      </c>
      <c r="H794" s="179">
        <f t="shared" si="115"/>
        <v>0</v>
      </c>
      <c r="I794" s="180" t="str">
        <f t="shared" si="116"/>
        <v/>
      </c>
      <c r="J794" s="181">
        <f t="shared" si="117"/>
        <v>0</v>
      </c>
      <c r="K794" s="182">
        <v>0</v>
      </c>
      <c r="L794" s="180" t="str">
        <f t="shared" si="122"/>
        <v/>
      </c>
      <c r="M794" s="218">
        <f>SUMIFS(DATA!$L:$L,DATA!$O:$O,$B798,DATA!$N:$N,$A798,DATA!$M:$M,'SALES BY SYSTEM'!$O$1)</f>
        <v>0</v>
      </c>
      <c r="N794" s="182">
        <v>0</v>
      </c>
      <c r="O794" s="180" t="str">
        <f t="shared" si="123"/>
        <v/>
      </c>
      <c r="P794" s="218">
        <f>SUMIFS(DATA!$L:$L,DATA!$O:$O,$B798,DATA!$N:$N,$A798,DATA!$M:$M,'SALES BY SYSTEM'!$O$2)</f>
        <v>0</v>
      </c>
      <c r="Q794" s="182">
        <v>0</v>
      </c>
      <c r="R794" s="180" t="str">
        <f t="shared" si="124"/>
        <v/>
      </c>
      <c r="S794" s="218">
        <f>SUMIFS(DATA!$L:$L,DATA!$O:$O,$B798,DATA!$N:$N,$A798,DATA!$M:$M,'SALES BY SYSTEM'!$O$4)</f>
        <v>0</v>
      </c>
      <c r="T794" s="182">
        <v>0</v>
      </c>
      <c r="U794" s="180" t="str">
        <f t="shared" si="125"/>
        <v/>
      </c>
      <c r="V794" s="218">
        <f>SUMIFS(DATA!$L:$L,DATA!$O:$O,$B798,DATA!$N:$N,$A798,DATA!$M:$M,'SALES BY SYSTEM'!$O$3)</f>
        <v>0</v>
      </c>
      <c r="W794" s="168"/>
    </row>
    <row r="795" spans="1:23" ht="15.75" customHeight="1" x14ac:dyDescent="0.25">
      <c r="A795" s="178" t="s">
        <v>2334</v>
      </c>
      <c r="B795" s="178" t="s">
        <v>19</v>
      </c>
      <c r="C795" s="178" t="str">
        <f>VLOOKUP(A795,CUSTOMER!$A:$C,3,0)</f>
        <v>VIN_CTYLVV</v>
      </c>
      <c r="D795" s="178" t="s">
        <v>674</v>
      </c>
      <c r="E795" s="178" t="str">
        <f>VLOOKUP(A799,CUSTOMER!$A$2:$H$1094,5,0)</f>
        <v>TRAN THI THAO NGUYEN</v>
      </c>
      <c r="F795" s="178" t="str">
        <f>VLOOKUP(A799,CUSTOMER!$A$2:$I$1094,6,0)</f>
        <v>"NO SALE"</v>
      </c>
      <c r="G795" s="178" t="s">
        <v>676</v>
      </c>
      <c r="H795" s="179">
        <f t="shared" ref="H795:H858" si="126">SUM(K795,N795,Q795,T795)</f>
        <v>0</v>
      </c>
      <c r="I795" s="180" t="str">
        <f t="shared" ref="I795:I858" si="127">IFERROR(J795/H795,"")</f>
        <v/>
      </c>
      <c r="J795" s="181">
        <f t="shared" ref="J795:J858" si="128">SUM(M795,P795,S795,V795)</f>
        <v>0</v>
      </c>
      <c r="K795" s="182">
        <v>0</v>
      </c>
      <c r="L795" s="180" t="str">
        <f t="shared" si="122"/>
        <v/>
      </c>
      <c r="M795" s="218">
        <f>SUMIFS(DATA!$L:$L,DATA!$O:$O,$B799,DATA!$N:$N,$A799,DATA!$M:$M,'SALES BY SYSTEM'!$O$1)</f>
        <v>0</v>
      </c>
      <c r="N795" s="182">
        <v>0</v>
      </c>
      <c r="O795" s="180" t="str">
        <f t="shared" si="123"/>
        <v/>
      </c>
      <c r="P795" s="218">
        <f>SUMIFS(DATA!$L:$L,DATA!$O:$O,$B799,DATA!$N:$N,$A799,DATA!$M:$M,'SALES BY SYSTEM'!$O$2)</f>
        <v>0</v>
      </c>
      <c r="Q795" s="182">
        <v>0</v>
      </c>
      <c r="R795" s="180" t="str">
        <f t="shared" si="124"/>
        <v/>
      </c>
      <c r="S795" s="218">
        <f>SUMIFS(DATA!$L:$L,DATA!$O:$O,$B799,DATA!$N:$N,$A799,DATA!$M:$M,'SALES BY SYSTEM'!$O$4)</f>
        <v>0</v>
      </c>
      <c r="T795" s="182">
        <v>0</v>
      </c>
      <c r="U795" s="180" t="str">
        <f t="shared" si="125"/>
        <v/>
      </c>
      <c r="V795" s="218">
        <f>SUMIFS(DATA!$L:$L,DATA!$O:$O,$B799,DATA!$N:$N,$A799,DATA!$M:$M,'SALES BY SYSTEM'!$O$3)</f>
        <v>0</v>
      </c>
      <c r="W795" s="168"/>
    </row>
    <row r="796" spans="1:23" ht="15.75" customHeight="1" x14ac:dyDescent="0.25">
      <c r="A796" s="178" t="s">
        <v>2336</v>
      </c>
      <c r="B796" s="178" t="s">
        <v>19</v>
      </c>
      <c r="C796" s="178" t="str">
        <f>VLOOKUP(A796,CUSTOMER!$A:$C,3,0)</f>
        <v>VIN_LBIEN</v>
      </c>
      <c r="D796" s="178" t="s">
        <v>674</v>
      </c>
      <c r="E796" s="178" t="str">
        <f>VLOOKUP(A800,CUSTOMER!$A$2:$H$1094,5,0)</f>
        <v>TRAN THI THAO NGUYEN</v>
      </c>
      <c r="F796" s="178" t="str">
        <f>VLOOKUP(A800,CUSTOMER!$A$2:$I$1094,6,0)</f>
        <v>"NO SALE"</v>
      </c>
      <c r="G796" s="178" t="s">
        <v>676</v>
      </c>
      <c r="H796" s="179">
        <f t="shared" si="126"/>
        <v>0</v>
      </c>
      <c r="I796" s="180" t="str">
        <f t="shared" si="127"/>
        <v/>
      </c>
      <c r="J796" s="181">
        <f t="shared" si="128"/>
        <v>0</v>
      </c>
      <c r="K796" s="182">
        <v>0</v>
      </c>
      <c r="L796" s="180" t="str">
        <f t="shared" si="122"/>
        <v/>
      </c>
      <c r="M796" s="218">
        <f>SUMIFS(DATA!$L:$L,DATA!$O:$O,$B800,DATA!$N:$N,$A800,DATA!$M:$M,'SALES BY SYSTEM'!$O$1)</f>
        <v>0</v>
      </c>
      <c r="N796" s="182">
        <v>0</v>
      </c>
      <c r="O796" s="180" t="str">
        <f t="shared" si="123"/>
        <v/>
      </c>
      <c r="P796" s="218">
        <f>SUMIFS(DATA!$L:$L,DATA!$O:$O,$B800,DATA!$N:$N,$A800,DATA!$M:$M,'SALES BY SYSTEM'!$O$2)</f>
        <v>0</v>
      </c>
      <c r="Q796" s="182">
        <v>0</v>
      </c>
      <c r="R796" s="180" t="str">
        <f t="shared" si="124"/>
        <v/>
      </c>
      <c r="S796" s="218">
        <f>SUMIFS(DATA!$L:$L,DATA!$O:$O,$B800,DATA!$N:$N,$A800,DATA!$M:$M,'SALES BY SYSTEM'!$O$4)</f>
        <v>0</v>
      </c>
      <c r="T796" s="182">
        <v>0</v>
      </c>
      <c r="U796" s="180" t="str">
        <f t="shared" si="125"/>
        <v/>
      </c>
      <c r="V796" s="218">
        <f>SUMIFS(DATA!$L:$L,DATA!$O:$O,$B800,DATA!$N:$N,$A800,DATA!$M:$M,'SALES BY SYSTEM'!$O$3)</f>
        <v>0</v>
      </c>
      <c r="W796" s="168"/>
    </row>
    <row r="797" spans="1:23" ht="15.75" customHeight="1" x14ac:dyDescent="0.25">
      <c r="A797" s="178" t="s">
        <v>2338</v>
      </c>
      <c r="B797" s="178" t="s">
        <v>19</v>
      </c>
      <c r="C797" s="178" t="str">
        <f>VLOOKUP(A797,CUSTOMER!$A:$C,3,0)</f>
        <v>VIN_CTYNL</v>
      </c>
      <c r="D797" s="178" t="s">
        <v>674</v>
      </c>
      <c r="E797" s="178" t="str">
        <f>VLOOKUP(A801,CUSTOMER!$A$2:$H$1094,5,0)</f>
        <v>TRAN THI THAO NGUYEN</v>
      </c>
      <c r="F797" s="178" t="str">
        <f>VLOOKUP(A801,CUSTOMER!$A$2:$I$1094,6,0)</f>
        <v>"NO SALE"</v>
      </c>
      <c r="G797" s="178" t="s">
        <v>676</v>
      </c>
      <c r="H797" s="179">
        <f t="shared" si="126"/>
        <v>0</v>
      </c>
      <c r="I797" s="180" t="str">
        <f t="shared" si="127"/>
        <v/>
      </c>
      <c r="J797" s="181">
        <f t="shared" si="128"/>
        <v>0</v>
      </c>
      <c r="K797" s="182">
        <v>0</v>
      </c>
      <c r="L797" s="180" t="str">
        <f t="shared" si="122"/>
        <v/>
      </c>
      <c r="M797" s="218">
        <f>SUMIFS(DATA!$L:$L,DATA!$O:$O,$B801,DATA!$N:$N,$A801,DATA!$M:$M,'SALES BY SYSTEM'!$O$1)</f>
        <v>0</v>
      </c>
      <c r="N797" s="182">
        <v>0</v>
      </c>
      <c r="O797" s="180" t="str">
        <f t="shared" si="123"/>
        <v/>
      </c>
      <c r="P797" s="218">
        <f>SUMIFS(DATA!$L:$L,DATA!$O:$O,$B801,DATA!$N:$N,$A801,DATA!$M:$M,'SALES BY SYSTEM'!$O$2)</f>
        <v>0</v>
      </c>
      <c r="Q797" s="182">
        <v>0</v>
      </c>
      <c r="R797" s="180" t="str">
        <f t="shared" si="124"/>
        <v/>
      </c>
      <c r="S797" s="218">
        <f>SUMIFS(DATA!$L:$L,DATA!$O:$O,$B801,DATA!$N:$N,$A801,DATA!$M:$M,'SALES BY SYSTEM'!$O$4)</f>
        <v>0</v>
      </c>
      <c r="T797" s="182">
        <v>0</v>
      </c>
      <c r="U797" s="180" t="str">
        <f t="shared" si="125"/>
        <v/>
      </c>
      <c r="V797" s="218">
        <f>SUMIFS(DATA!$L:$L,DATA!$O:$O,$B801,DATA!$N:$N,$A801,DATA!$M:$M,'SALES BY SYSTEM'!$O$3)</f>
        <v>0</v>
      </c>
      <c r="W797" s="168"/>
    </row>
    <row r="798" spans="1:23" ht="15.75" customHeight="1" x14ac:dyDescent="0.25">
      <c r="A798" s="178" t="s">
        <v>2340</v>
      </c>
      <c r="B798" s="178" t="s">
        <v>19</v>
      </c>
      <c r="C798" s="178" t="str">
        <f>VLOOKUP(A798,CUSTOMER!$A:$C,3,0)</f>
        <v>VIN_CTYNDT</v>
      </c>
      <c r="D798" s="178" t="s">
        <v>674</v>
      </c>
      <c r="E798" s="178" t="str">
        <f>VLOOKUP(A802,CUSTOMER!$A$2:$H$1094,5,0)</f>
        <v>TRAN THI THAO NGUYEN</v>
      </c>
      <c r="F798" s="178" t="str">
        <f>VLOOKUP(A802,CUSTOMER!$A$2:$I$1094,6,0)</f>
        <v>"NO SALE"</v>
      </c>
      <c r="G798" s="178" t="s">
        <v>676</v>
      </c>
      <c r="H798" s="179">
        <f t="shared" si="126"/>
        <v>0</v>
      </c>
      <c r="I798" s="180" t="str">
        <f t="shared" si="127"/>
        <v/>
      </c>
      <c r="J798" s="181">
        <f t="shared" si="128"/>
        <v>0</v>
      </c>
      <c r="K798" s="182">
        <v>0</v>
      </c>
      <c r="L798" s="180" t="str">
        <f t="shared" si="122"/>
        <v/>
      </c>
      <c r="M798" s="218">
        <f>SUMIFS(DATA!$L:$L,DATA!$O:$O,$B802,DATA!$N:$N,$A802,DATA!$M:$M,'SALES BY SYSTEM'!$O$1)</f>
        <v>0</v>
      </c>
      <c r="N798" s="182">
        <v>0</v>
      </c>
      <c r="O798" s="180" t="str">
        <f t="shared" si="123"/>
        <v/>
      </c>
      <c r="P798" s="218">
        <f>SUMIFS(DATA!$L:$L,DATA!$O:$O,$B802,DATA!$N:$N,$A802,DATA!$M:$M,'SALES BY SYSTEM'!$O$2)</f>
        <v>0</v>
      </c>
      <c r="Q798" s="182">
        <v>0</v>
      </c>
      <c r="R798" s="180" t="str">
        <f t="shared" si="124"/>
        <v/>
      </c>
      <c r="S798" s="218">
        <f>SUMIFS(DATA!$L:$L,DATA!$O:$O,$B802,DATA!$N:$N,$A802,DATA!$M:$M,'SALES BY SYSTEM'!$O$4)</f>
        <v>0</v>
      </c>
      <c r="T798" s="182">
        <v>0</v>
      </c>
      <c r="U798" s="180" t="str">
        <f t="shared" si="125"/>
        <v/>
      </c>
      <c r="V798" s="218">
        <f>SUMIFS(DATA!$L:$L,DATA!$O:$O,$B802,DATA!$N:$N,$A802,DATA!$M:$M,'SALES BY SYSTEM'!$O$3)</f>
        <v>0</v>
      </c>
      <c r="W798" s="168"/>
    </row>
    <row r="799" spans="1:23" ht="15.75" customHeight="1" x14ac:dyDescent="0.25">
      <c r="A799" s="178" t="s">
        <v>2342</v>
      </c>
      <c r="B799" s="178" t="s">
        <v>19</v>
      </c>
      <c r="C799" s="178" t="str">
        <f>VLOOKUP(A799,CUSTOMER!$A:$C,3,0)</f>
        <v>VIN_CTYSGRES</v>
      </c>
      <c r="D799" s="178" t="s">
        <v>674</v>
      </c>
      <c r="E799" s="178" t="str">
        <f>VLOOKUP(A803,CUSTOMER!$A$2:$H$1094,5,0)</f>
        <v>TRAN THI THAO NGUYEN</v>
      </c>
      <c r="F799" s="178" t="str">
        <f>VLOOKUP(A803,CUSTOMER!$A$2:$I$1094,6,0)</f>
        <v>"NO SALE"</v>
      </c>
      <c r="G799" s="178" t="s">
        <v>676</v>
      </c>
      <c r="H799" s="179">
        <f t="shared" si="126"/>
        <v>0</v>
      </c>
      <c r="I799" s="180" t="str">
        <f t="shared" si="127"/>
        <v/>
      </c>
      <c r="J799" s="181">
        <f t="shared" si="128"/>
        <v>0</v>
      </c>
      <c r="K799" s="182">
        <v>0</v>
      </c>
      <c r="L799" s="180" t="str">
        <f t="shared" si="122"/>
        <v/>
      </c>
      <c r="M799" s="218">
        <f>SUMIFS(DATA!$L:$L,DATA!$O:$O,$B803,DATA!$N:$N,$A803,DATA!$M:$M,'SALES BY SYSTEM'!$O$1)</f>
        <v>0</v>
      </c>
      <c r="N799" s="182">
        <v>0</v>
      </c>
      <c r="O799" s="180" t="str">
        <f t="shared" si="123"/>
        <v/>
      </c>
      <c r="P799" s="218">
        <f>SUMIFS(DATA!$L:$L,DATA!$O:$O,$B803,DATA!$N:$N,$A803,DATA!$M:$M,'SALES BY SYSTEM'!$O$2)</f>
        <v>0</v>
      </c>
      <c r="Q799" s="182">
        <v>0</v>
      </c>
      <c r="R799" s="180" t="str">
        <f t="shared" si="124"/>
        <v/>
      </c>
      <c r="S799" s="218">
        <f>SUMIFS(DATA!$L:$L,DATA!$O:$O,$B803,DATA!$N:$N,$A803,DATA!$M:$M,'SALES BY SYSTEM'!$O$4)</f>
        <v>0</v>
      </c>
      <c r="T799" s="182">
        <v>0</v>
      </c>
      <c r="U799" s="180" t="str">
        <f t="shared" si="125"/>
        <v/>
      </c>
      <c r="V799" s="218">
        <f>SUMIFS(DATA!$L:$L,DATA!$O:$O,$B803,DATA!$N:$N,$A803,DATA!$M:$M,'SALES BY SYSTEM'!$O$3)</f>
        <v>0</v>
      </c>
      <c r="W799" s="168"/>
    </row>
    <row r="800" spans="1:23" ht="15.75" customHeight="1" x14ac:dyDescent="0.25">
      <c r="A800" s="178" t="s">
        <v>2344</v>
      </c>
      <c r="B800" s="178" t="s">
        <v>19</v>
      </c>
      <c r="C800" s="178" t="str">
        <f>VLOOKUP(A800,CUSTOMER!$A:$C,3,0)</f>
        <v>VIN_NTRANG</v>
      </c>
      <c r="D800" s="178" t="s">
        <v>674</v>
      </c>
      <c r="E800" s="178" t="e">
        <f>VLOOKUP(A804,CUSTOMER!$A$2:$H$1094,5,0)</f>
        <v>#N/A</v>
      </c>
      <c r="F800" s="178" t="e">
        <f>VLOOKUP(A804,CUSTOMER!$A$2:$I$1094,6,0)</f>
        <v>#N/A</v>
      </c>
      <c r="G800" s="178" t="s">
        <v>676</v>
      </c>
      <c r="H800" s="179">
        <f t="shared" si="126"/>
        <v>0</v>
      </c>
      <c r="I800" s="180" t="str">
        <f t="shared" si="127"/>
        <v/>
      </c>
      <c r="J800" s="181">
        <f t="shared" si="128"/>
        <v>0</v>
      </c>
      <c r="K800" s="182">
        <v>0</v>
      </c>
      <c r="L800" s="180" t="str">
        <f t="shared" si="122"/>
        <v/>
      </c>
      <c r="M800" s="218">
        <f>SUMIFS(DATA!$L:$L,DATA!$O:$O,$B804,DATA!$N:$N,$A804,DATA!$M:$M,'SALES BY SYSTEM'!$O$1)</f>
        <v>0</v>
      </c>
      <c r="N800" s="182">
        <v>0</v>
      </c>
      <c r="O800" s="180" t="str">
        <f t="shared" si="123"/>
        <v/>
      </c>
      <c r="P800" s="218">
        <f>SUMIFS(DATA!$L:$L,DATA!$O:$O,$B804,DATA!$N:$N,$A804,DATA!$M:$M,'SALES BY SYSTEM'!$O$2)</f>
        <v>0</v>
      </c>
      <c r="Q800" s="182">
        <v>0</v>
      </c>
      <c r="R800" s="180" t="str">
        <f t="shared" si="124"/>
        <v/>
      </c>
      <c r="S800" s="218">
        <f>SUMIFS(DATA!$L:$L,DATA!$O:$O,$B804,DATA!$N:$N,$A804,DATA!$M:$M,'SALES BY SYSTEM'!$O$4)</f>
        <v>0</v>
      </c>
      <c r="T800" s="182">
        <v>0</v>
      </c>
      <c r="U800" s="180" t="str">
        <f t="shared" si="125"/>
        <v/>
      </c>
      <c r="V800" s="218">
        <f>SUMIFS(DATA!$L:$L,DATA!$O:$O,$B804,DATA!$N:$N,$A804,DATA!$M:$M,'SALES BY SYSTEM'!$O$3)</f>
        <v>0</v>
      </c>
      <c r="W800" s="168"/>
    </row>
    <row r="801" spans="1:23" ht="15.75" customHeight="1" x14ac:dyDescent="0.25">
      <c r="A801" s="178" t="s">
        <v>2346</v>
      </c>
      <c r="B801" s="178" t="s">
        <v>19</v>
      </c>
      <c r="C801" s="178" t="str">
        <f>VLOOKUP(A801,CUSTOMER!$A:$C,3,0)</f>
        <v>VIN_NBINH</v>
      </c>
      <c r="D801" s="178" t="s">
        <v>674</v>
      </c>
      <c r="E801" s="178" t="e">
        <f>VLOOKUP(A805,CUSTOMER!$A$2:$H$1094,5,0)</f>
        <v>#N/A</v>
      </c>
      <c r="F801" s="178" t="e">
        <f>VLOOKUP(A805,CUSTOMER!$A$2:$I$1094,6,0)</f>
        <v>#N/A</v>
      </c>
      <c r="G801" s="178" t="s">
        <v>676</v>
      </c>
      <c r="H801" s="179">
        <f t="shared" si="126"/>
        <v>0</v>
      </c>
      <c r="I801" s="180" t="str">
        <f t="shared" si="127"/>
        <v/>
      </c>
      <c r="J801" s="181">
        <f t="shared" si="128"/>
        <v>0</v>
      </c>
      <c r="K801" s="182">
        <v>0</v>
      </c>
      <c r="L801" s="180" t="str">
        <f t="shared" si="122"/>
        <v/>
      </c>
      <c r="M801" s="218">
        <f>SUMIFS(DATA!$L:$L,DATA!$O:$O,$B805,DATA!$N:$N,$A805,DATA!$M:$M,'SALES BY SYSTEM'!$O$1)</f>
        <v>0</v>
      </c>
      <c r="N801" s="182">
        <v>0</v>
      </c>
      <c r="O801" s="180" t="str">
        <f t="shared" si="123"/>
        <v/>
      </c>
      <c r="P801" s="218">
        <f>SUMIFS(DATA!$L:$L,DATA!$O:$O,$B805,DATA!$N:$N,$A805,DATA!$M:$M,'SALES BY SYSTEM'!$O$2)</f>
        <v>0</v>
      </c>
      <c r="Q801" s="182">
        <v>0</v>
      </c>
      <c r="R801" s="180" t="str">
        <f t="shared" si="124"/>
        <v/>
      </c>
      <c r="S801" s="218">
        <f>SUMIFS(DATA!$L:$L,DATA!$O:$O,$B805,DATA!$N:$N,$A805,DATA!$M:$M,'SALES BY SYSTEM'!$O$4)</f>
        <v>0</v>
      </c>
      <c r="T801" s="182">
        <v>0</v>
      </c>
      <c r="U801" s="180" t="str">
        <f t="shared" si="125"/>
        <v/>
      </c>
      <c r="V801" s="218">
        <f>SUMIFS(DATA!$L:$L,DATA!$O:$O,$B805,DATA!$N:$N,$A805,DATA!$M:$M,'SALES BY SYSTEM'!$O$3)</f>
        <v>0</v>
      </c>
      <c r="W801" s="168"/>
    </row>
    <row r="802" spans="1:23" ht="15.75" customHeight="1" x14ac:dyDescent="0.25">
      <c r="A802" s="178" t="s">
        <v>2348</v>
      </c>
      <c r="B802" s="178" t="s">
        <v>19</v>
      </c>
      <c r="C802" s="178" t="str">
        <f>VLOOKUP(A802,CUSTOMER!$A:$C,3,0)</f>
        <v>VIN_NTHUAN</v>
      </c>
      <c r="D802" s="178" t="s">
        <v>674</v>
      </c>
      <c r="E802" s="178" t="e">
        <f>VLOOKUP(A806,CUSTOMER!$A$2:$H$1094,5,0)</f>
        <v>#N/A</v>
      </c>
      <c r="F802" s="178" t="e">
        <f>VLOOKUP(A806,CUSTOMER!$A$2:$I$1094,6,0)</f>
        <v>#N/A</v>
      </c>
      <c r="G802" s="178" t="s">
        <v>676</v>
      </c>
      <c r="H802" s="179">
        <f t="shared" si="126"/>
        <v>0</v>
      </c>
      <c r="I802" s="180" t="str">
        <f t="shared" si="127"/>
        <v/>
      </c>
      <c r="J802" s="181">
        <f t="shared" si="128"/>
        <v>0</v>
      </c>
      <c r="K802" s="182">
        <v>0</v>
      </c>
      <c r="L802" s="180" t="str">
        <f t="shared" si="122"/>
        <v/>
      </c>
      <c r="M802" s="218">
        <f>SUMIFS(DATA!$L:$L,DATA!$O:$O,$B806,DATA!$N:$N,$A806,DATA!$M:$M,'SALES BY SYSTEM'!$O$1)</f>
        <v>0</v>
      </c>
      <c r="N802" s="182">
        <v>0</v>
      </c>
      <c r="O802" s="180" t="str">
        <f t="shared" si="123"/>
        <v/>
      </c>
      <c r="P802" s="218">
        <f>SUMIFS(DATA!$L:$L,DATA!$O:$O,$B806,DATA!$N:$N,$A806,DATA!$M:$M,'SALES BY SYSTEM'!$O$2)</f>
        <v>0</v>
      </c>
      <c r="Q802" s="182">
        <v>0</v>
      </c>
      <c r="R802" s="180" t="str">
        <f t="shared" si="124"/>
        <v/>
      </c>
      <c r="S802" s="218">
        <f>SUMIFS(DATA!$L:$L,DATA!$O:$O,$B806,DATA!$N:$N,$A806,DATA!$M:$M,'SALES BY SYSTEM'!$O$4)</f>
        <v>0</v>
      </c>
      <c r="T802" s="182">
        <v>0</v>
      </c>
      <c r="U802" s="180" t="str">
        <f t="shared" si="125"/>
        <v/>
      </c>
      <c r="V802" s="218">
        <f>SUMIFS(DATA!$L:$L,DATA!$O:$O,$B806,DATA!$N:$N,$A806,DATA!$M:$M,'SALES BY SYSTEM'!$O$3)</f>
        <v>0</v>
      </c>
      <c r="W802" s="168"/>
    </row>
    <row r="803" spans="1:23" ht="15.75" customHeight="1" x14ac:dyDescent="0.25">
      <c r="A803" s="178" t="s">
        <v>2350</v>
      </c>
      <c r="B803" s="178" t="s">
        <v>19</v>
      </c>
      <c r="C803" s="178" t="str">
        <f>VLOOKUP(A803,CUSTOMER!$A:$C,3,0)</f>
        <v>VIN_CTYPVT</v>
      </c>
      <c r="D803" s="178" t="s">
        <v>674</v>
      </c>
      <c r="E803" s="178" t="str">
        <f>VLOOKUP(A807,CUSTOMER!$A$2:$H$1094,5,0)</f>
        <v>TRAN THI THAO NGUYEN</v>
      </c>
      <c r="F803" s="178" t="str">
        <f>VLOOKUP(A807,CUSTOMER!$A$2:$I$1094,6,0)</f>
        <v>"NO SALE"</v>
      </c>
      <c r="G803" s="178" t="s">
        <v>676</v>
      </c>
      <c r="H803" s="179">
        <f t="shared" si="126"/>
        <v>0</v>
      </c>
      <c r="I803" s="180" t="str">
        <f t="shared" si="127"/>
        <v/>
      </c>
      <c r="J803" s="181">
        <f t="shared" si="128"/>
        <v>0</v>
      </c>
      <c r="K803" s="182">
        <v>0</v>
      </c>
      <c r="L803" s="180" t="str">
        <f t="shared" si="122"/>
        <v/>
      </c>
      <c r="M803" s="218">
        <f>SUMIFS(DATA!$L:$L,DATA!$O:$O,$B807,DATA!$N:$N,$A807,DATA!$M:$M,'SALES BY SYSTEM'!$O$1)</f>
        <v>0</v>
      </c>
      <c r="N803" s="182">
        <v>0</v>
      </c>
      <c r="O803" s="180" t="str">
        <f t="shared" si="123"/>
        <v/>
      </c>
      <c r="P803" s="218">
        <f>SUMIFS(DATA!$L:$L,DATA!$O:$O,$B807,DATA!$N:$N,$A807,DATA!$M:$M,'SALES BY SYSTEM'!$O$2)</f>
        <v>0</v>
      </c>
      <c r="Q803" s="182">
        <v>0</v>
      </c>
      <c r="R803" s="180" t="str">
        <f t="shared" si="124"/>
        <v/>
      </c>
      <c r="S803" s="218">
        <f>SUMIFS(DATA!$L:$L,DATA!$O:$O,$B807,DATA!$N:$N,$A807,DATA!$M:$M,'SALES BY SYSTEM'!$O$4)</f>
        <v>0</v>
      </c>
      <c r="T803" s="182">
        <v>0</v>
      </c>
      <c r="U803" s="180" t="str">
        <f t="shared" si="125"/>
        <v/>
      </c>
      <c r="V803" s="218">
        <f>SUMIFS(DATA!$L:$L,DATA!$O:$O,$B807,DATA!$N:$N,$A807,DATA!$M:$M,'SALES BY SYSTEM'!$O$3)</f>
        <v>0</v>
      </c>
      <c r="W803" s="168"/>
    </row>
    <row r="804" spans="1:23" ht="15.75" customHeight="1" x14ac:dyDescent="0.25">
      <c r="A804" s="178" t="s">
        <v>2366</v>
      </c>
      <c r="B804" s="178" t="s">
        <v>19</v>
      </c>
      <c r="C804" s="178" t="str">
        <f>VLOOKUP(A804,CUSTOMER!$A:$C,3,0)</f>
        <v>VIN_CTYPQUANG</v>
      </c>
      <c r="D804" s="178" t="s">
        <v>674</v>
      </c>
      <c r="E804" s="178" t="e">
        <f>VLOOKUP(A808,CUSTOMER!$A$2:$H$1094,5,0)</f>
        <v>#N/A</v>
      </c>
      <c r="F804" s="178" t="e">
        <f>VLOOKUP(A808,CUSTOMER!$A$2:$I$1094,6,0)</f>
        <v>#N/A</v>
      </c>
      <c r="G804" s="178" t="s">
        <v>676</v>
      </c>
      <c r="H804" s="179">
        <f t="shared" si="126"/>
        <v>0</v>
      </c>
      <c r="I804" s="180" t="str">
        <f t="shared" si="127"/>
        <v/>
      </c>
      <c r="J804" s="181">
        <f t="shared" si="128"/>
        <v>0</v>
      </c>
      <c r="K804" s="182">
        <v>0</v>
      </c>
      <c r="L804" s="180" t="str">
        <f t="shared" si="122"/>
        <v/>
      </c>
      <c r="M804" s="218">
        <f>SUMIFS(DATA!$L:$L,DATA!$O:$O,$B808,DATA!$N:$N,$A808,DATA!$M:$M,'SALES BY SYSTEM'!$O$1)</f>
        <v>0</v>
      </c>
      <c r="N804" s="182">
        <v>0</v>
      </c>
      <c r="O804" s="180" t="str">
        <f t="shared" si="123"/>
        <v/>
      </c>
      <c r="P804" s="218">
        <f>SUMIFS(DATA!$L:$L,DATA!$O:$O,$B808,DATA!$N:$N,$A808,DATA!$M:$M,'SALES BY SYSTEM'!$O$2)</f>
        <v>0</v>
      </c>
      <c r="Q804" s="182">
        <v>0</v>
      </c>
      <c r="R804" s="180" t="str">
        <f t="shared" si="124"/>
        <v/>
      </c>
      <c r="S804" s="218">
        <f>SUMIFS(DATA!$L:$L,DATA!$O:$O,$B808,DATA!$N:$N,$A808,DATA!$M:$M,'SALES BY SYSTEM'!$O$4)</f>
        <v>0</v>
      </c>
      <c r="T804" s="182">
        <v>0</v>
      </c>
      <c r="U804" s="180" t="str">
        <f t="shared" si="125"/>
        <v/>
      </c>
      <c r="V804" s="218">
        <f>SUMIFS(DATA!$L:$L,DATA!$O:$O,$B808,DATA!$N:$N,$A808,DATA!$M:$M,'SALES BY SYSTEM'!$O$3)</f>
        <v>0</v>
      </c>
      <c r="W804" s="168"/>
    </row>
    <row r="805" spans="1:23" ht="15.75" customHeight="1" x14ac:dyDescent="0.25">
      <c r="A805" s="178" t="s">
        <v>2368</v>
      </c>
      <c r="B805" s="178" t="s">
        <v>19</v>
      </c>
      <c r="C805" s="178" t="str">
        <f>VLOOKUP(A805,CUSTOMER!$A:$C,3,0)</f>
        <v>VIN_QNINH</v>
      </c>
      <c r="D805" s="178" t="s">
        <v>674</v>
      </c>
      <c r="E805" s="178" t="e">
        <f>VLOOKUP(A809,CUSTOMER!$A$2:$H$1094,5,0)</f>
        <v>#N/A</v>
      </c>
      <c r="F805" s="178" t="e">
        <f>VLOOKUP(A809,CUSTOMER!$A$2:$I$1094,6,0)</f>
        <v>#N/A</v>
      </c>
      <c r="G805" s="178" t="s">
        <v>676</v>
      </c>
      <c r="H805" s="179">
        <f t="shared" si="126"/>
        <v>0</v>
      </c>
      <c r="I805" s="180" t="str">
        <f t="shared" si="127"/>
        <v/>
      </c>
      <c r="J805" s="181">
        <f t="shared" si="128"/>
        <v>0</v>
      </c>
      <c r="K805" s="182">
        <v>0</v>
      </c>
      <c r="L805" s="180" t="str">
        <f t="shared" si="122"/>
        <v/>
      </c>
      <c r="M805" s="218">
        <f>SUMIFS(DATA!$L:$L,DATA!$O:$O,$B809,DATA!$N:$N,$A809,DATA!$M:$M,'SALES BY SYSTEM'!$O$1)</f>
        <v>0</v>
      </c>
      <c r="N805" s="182">
        <v>0</v>
      </c>
      <c r="O805" s="180" t="str">
        <f t="shared" si="123"/>
        <v/>
      </c>
      <c r="P805" s="218">
        <f>SUMIFS(DATA!$L:$L,DATA!$O:$O,$B809,DATA!$N:$N,$A809,DATA!$M:$M,'SALES BY SYSTEM'!$O$2)</f>
        <v>0</v>
      </c>
      <c r="Q805" s="182">
        <v>0</v>
      </c>
      <c r="R805" s="180" t="str">
        <f t="shared" si="124"/>
        <v/>
      </c>
      <c r="S805" s="218">
        <f>SUMIFS(DATA!$L:$L,DATA!$O:$O,$B809,DATA!$N:$N,$A809,DATA!$M:$M,'SALES BY SYSTEM'!$O$4)</f>
        <v>0</v>
      </c>
      <c r="T805" s="182">
        <v>0</v>
      </c>
      <c r="U805" s="180" t="str">
        <f t="shared" si="125"/>
        <v/>
      </c>
      <c r="V805" s="218">
        <f>SUMIFS(DATA!$L:$L,DATA!$O:$O,$B809,DATA!$N:$N,$A809,DATA!$M:$M,'SALES BY SYSTEM'!$O$3)</f>
        <v>0</v>
      </c>
      <c r="W805" s="168"/>
    </row>
    <row r="806" spans="1:23" ht="15.75" customHeight="1" x14ac:dyDescent="0.25">
      <c r="A806" s="178" t="s">
        <v>2370</v>
      </c>
      <c r="B806" s="178" t="s">
        <v>19</v>
      </c>
      <c r="C806" s="178" t="str">
        <f>VLOOKUP(A806,CUSTOMER!$A:$C,3,0)</f>
        <v>VIN_CTYQT</v>
      </c>
      <c r="D806" s="178" t="s">
        <v>674</v>
      </c>
      <c r="E806" s="178" t="e">
        <f>VLOOKUP(A810,CUSTOMER!$A$2:$H$1094,5,0)</f>
        <v>#N/A</v>
      </c>
      <c r="F806" s="178" t="e">
        <f>VLOOKUP(A810,CUSTOMER!$A$2:$I$1094,6,0)</f>
        <v>#N/A</v>
      </c>
      <c r="G806" s="178" t="s">
        <v>676</v>
      </c>
      <c r="H806" s="179">
        <f t="shared" si="126"/>
        <v>0</v>
      </c>
      <c r="I806" s="180" t="str">
        <f t="shared" si="127"/>
        <v/>
      </c>
      <c r="J806" s="181">
        <f t="shared" si="128"/>
        <v>0</v>
      </c>
      <c r="K806" s="182">
        <v>0</v>
      </c>
      <c r="L806" s="180" t="str">
        <f t="shared" si="122"/>
        <v/>
      </c>
      <c r="M806" s="218">
        <f>SUMIFS(DATA!$L:$L,DATA!$O:$O,$B810,DATA!$N:$N,$A810,DATA!$M:$M,'SALES BY SYSTEM'!$O$1)</f>
        <v>0</v>
      </c>
      <c r="N806" s="182">
        <v>0</v>
      </c>
      <c r="O806" s="180" t="str">
        <f t="shared" si="123"/>
        <v/>
      </c>
      <c r="P806" s="218">
        <f>SUMIFS(DATA!$L:$L,DATA!$O:$O,$B810,DATA!$N:$N,$A810,DATA!$M:$M,'SALES BY SYSTEM'!$O$2)</f>
        <v>0</v>
      </c>
      <c r="Q806" s="182">
        <v>0</v>
      </c>
      <c r="R806" s="180" t="str">
        <f t="shared" si="124"/>
        <v/>
      </c>
      <c r="S806" s="218">
        <f>SUMIFS(DATA!$L:$L,DATA!$O:$O,$B810,DATA!$N:$N,$A810,DATA!$M:$M,'SALES BY SYSTEM'!$O$4)</f>
        <v>0</v>
      </c>
      <c r="T806" s="182">
        <v>0</v>
      </c>
      <c r="U806" s="180" t="str">
        <f t="shared" si="125"/>
        <v/>
      </c>
      <c r="V806" s="218">
        <f>SUMIFS(DATA!$L:$L,DATA!$O:$O,$B810,DATA!$N:$N,$A810,DATA!$M:$M,'SALES BY SYSTEM'!$O$3)</f>
        <v>0</v>
      </c>
      <c r="W806" s="168"/>
    </row>
    <row r="807" spans="1:23" ht="15.75" customHeight="1" x14ac:dyDescent="0.25">
      <c r="A807" s="178" t="s">
        <v>2360</v>
      </c>
      <c r="B807" s="178" t="s">
        <v>19</v>
      </c>
      <c r="C807" s="178" t="str">
        <f>VLOOKUP(A807,CUSTOMER!$A:$C,3,0)</f>
        <v>VIN_STRANG</v>
      </c>
      <c r="D807" s="178" t="s">
        <v>674</v>
      </c>
      <c r="E807" s="178" t="e">
        <f>VLOOKUP(A811,CUSTOMER!$A$2:$H$1094,5,0)</f>
        <v>#N/A</v>
      </c>
      <c r="F807" s="178" t="e">
        <f>VLOOKUP(A811,CUSTOMER!$A$2:$I$1094,6,0)</f>
        <v>#N/A</v>
      </c>
      <c r="G807" s="178" t="s">
        <v>676</v>
      </c>
      <c r="H807" s="179">
        <f t="shared" si="126"/>
        <v>0</v>
      </c>
      <c r="I807" s="180" t="str">
        <f t="shared" si="127"/>
        <v/>
      </c>
      <c r="J807" s="181">
        <f t="shared" si="128"/>
        <v>0</v>
      </c>
      <c r="K807" s="182">
        <v>0</v>
      </c>
      <c r="L807" s="180" t="str">
        <f t="shared" si="122"/>
        <v/>
      </c>
      <c r="M807" s="218">
        <f>SUMIFS(DATA!$L:$L,DATA!$O:$O,$B811,DATA!$N:$N,$A811,DATA!$M:$M,'SALES BY SYSTEM'!$O$1)</f>
        <v>0</v>
      </c>
      <c r="N807" s="182">
        <v>0</v>
      </c>
      <c r="O807" s="180" t="str">
        <f t="shared" si="123"/>
        <v/>
      </c>
      <c r="P807" s="218">
        <f>SUMIFS(DATA!$L:$L,DATA!$O:$O,$B811,DATA!$N:$N,$A811,DATA!$M:$M,'SALES BY SYSTEM'!$O$2)</f>
        <v>0</v>
      </c>
      <c r="Q807" s="182">
        <v>0</v>
      </c>
      <c r="R807" s="180" t="str">
        <f t="shared" si="124"/>
        <v/>
      </c>
      <c r="S807" s="218">
        <f>SUMIFS(DATA!$L:$L,DATA!$O:$O,$B811,DATA!$N:$N,$A811,DATA!$M:$M,'SALES BY SYSTEM'!$O$4)</f>
        <v>0</v>
      </c>
      <c r="T807" s="182">
        <v>0</v>
      </c>
      <c r="U807" s="180" t="str">
        <f t="shared" si="125"/>
        <v/>
      </c>
      <c r="V807" s="218">
        <f>SUMIFS(DATA!$L:$L,DATA!$O:$O,$B811,DATA!$N:$N,$A811,DATA!$M:$M,'SALES BY SYSTEM'!$O$3)</f>
        <v>0</v>
      </c>
      <c r="W807" s="168"/>
    </row>
    <row r="808" spans="1:23" ht="15.75" customHeight="1" x14ac:dyDescent="0.25">
      <c r="A808" s="178" t="s">
        <v>2362</v>
      </c>
      <c r="B808" s="178" t="s">
        <v>19</v>
      </c>
      <c r="C808" s="178" t="str">
        <f>VLOOKUP(A808,CUSTOMER!$A:$C,3,0)</f>
        <v>VIN_TNINH</v>
      </c>
      <c r="D808" s="178" t="s">
        <v>674</v>
      </c>
      <c r="E808" s="178" t="e">
        <f>VLOOKUP(A812,CUSTOMER!$A$2:$H$1094,5,0)</f>
        <v>#N/A</v>
      </c>
      <c r="F808" s="178" t="e">
        <f>VLOOKUP(A812,CUSTOMER!$A$2:$I$1094,6,0)</f>
        <v>#N/A</v>
      </c>
      <c r="G808" s="178" t="s">
        <v>676</v>
      </c>
      <c r="H808" s="179">
        <f t="shared" si="126"/>
        <v>0</v>
      </c>
      <c r="I808" s="180" t="str">
        <f t="shared" si="127"/>
        <v/>
      </c>
      <c r="J808" s="181">
        <f t="shared" si="128"/>
        <v>0</v>
      </c>
      <c r="K808" s="182">
        <v>0</v>
      </c>
      <c r="L808" s="180" t="str">
        <f t="shared" si="122"/>
        <v/>
      </c>
      <c r="M808" s="218">
        <f>SUMIFS(DATA!$L:$L,DATA!$O:$O,$B812,DATA!$N:$N,$A812,DATA!$M:$M,'SALES BY SYSTEM'!$O$1)</f>
        <v>0</v>
      </c>
      <c r="N808" s="182">
        <v>0</v>
      </c>
      <c r="O808" s="180" t="str">
        <f t="shared" si="123"/>
        <v/>
      </c>
      <c r="P808" s="218">
        <f>SUMIFS(DATA!$L:$L,DATA!$O:$O,$B812,DATA!$N:$N,$A812,DATA!$M:$M,'SALES BY SYSTEM'!$O$2)</f>
        <v>0</v>
      </c>
      <c r="Q808" s="182">
        <v>0</v>
      </c>
      <c r="R808" s="180" t="str">
        <f t="shared" si="124"/>
        <v/>
      </c>
      <c r="S808" s="218">
        <f>SUMIFS(DATA!$L:$L,DATA!$O:$O,$B812,DATA!$N:$N,$A812,DATA!$M:$M,'SALES BY SYSTEM'!$O$4)</f>
        <v>0</v>
      </c>
      <c r="T808" s="182">
        <v>0</v>
      </c>
      <c r="U808" s="180" t="str">
        <f t="shared" si="125"/>
        <v/>
      </c>
      <c r="V808" s="218">
        <f>SUMIFS(DATA!$L:$L,DATA!$O:$O,$B812,DATA!$N:$N,$A812,DATA!$M:$M,'SALES BY SYSTEM'!$O$3)</f>
        <v>0</v>
      </c>
      <c r="W808" s="168"/>
    </row>
    <row r="809" spans="1:23" ht="15.75" customHeight="1" x14ac:dyDescent="0.25">
      <c r="A809" s="178" t="s">
        <v>2372</v>
      </c>
      <c r="B809" s="178" t="s">
        <v>19</v>
      </c>
      <c r="C809" s="178" t="str">
        <f>VLOOKUP(A809,CUSTOMER!$A:$C,3,0)</f>
        <v>VIN_CTYTDIEN</v>
      </c>
      <c r="D809" s="178" t="s">
        <v>674</v>
      </c>
      <c r="E809" s="178" t="e">
        <f>VLOOKUP(A813,CUSTOMER!$A$2:$H$1094,5,0)</f>
        <v>#N/A</v>
      </c>
      <c r="F809" s="178" t="e">
        <f>VLOOKUP(A813,CUSTOMER!$A$2:$I$1094,6,0)</f>
        <v>#N/A</v>
      </c>
      <c r="G809" s="178" t="s">
        <v>676</v>
      </c>
      <c r="H809" s="179">
        <f t="shared" si="126"/>
        <v>0</v>
      </c>
      <c r="I809" s="180" t="str">
        <f t="shared" si="127"/>
        <v/>
      </c>
      <c r="J809" s="181">
        <f t="shared" si="128"/>
        <v>0</v>
      </c>
      <c r="K809" s="182">
        <v>0</v>
      </c>
      <c r="L809" s="180" t="str">
        <f t="shared" si="122"/>
        <v/>
      </c>
      <c r="M809" s="218">
        <f>SUMIFS(DATA!$L:$L,DATA!$O:$O,$B813,DATA!$N:$N,$A813,DATA!$M:$M,'SALES BY SYSTEM'!$O$1)</f>
        <v>0</v>
      </c>
      <c r="N809" s="182">
        <v>0</v>
      </c>
      <c r="O809" s="180" t="str">
        <f t="shared" si="123"/>
        <v/>
      </c>
      <c r="P809" s="218">
        <f>SUMIFS(DATA!$L:$L,DATA!$O:$O,$B813,DATA!$N:$N,$A813,DATA!$M:$M,'SALES BY SYSTEM'!$O$2)</f>
        <v>0</v>
      </c>
      <c r="Q809" s="182">
        <v>0</v>
      </c>
      <c r="R809" s="180" t="str">
        <f t="shared" si="124"/>
        <v/>
      </c>
      <c r="S809" s="218">
        <f>SUMIFS(DATA!$L:$L,DATA!$O:$O,$B813,DATA!$N:$N,$A813,DATA!$M:$M,'SALES BY SYSTEM'!$O$4)</f>
        <v>0</v>
      </c>
      <c r="T809" s="182">
        <v>0</v>
      </c>
      <c r="U809" s="180" t="str">
        <f t="shared" si="125"/>
        <v/>
      </c>
      <c r="V809" s="218">
        <f>SUMIFS(DATA!$L:$L,DATA!$O:$O,$B813,DATA!$N:$N,$A813,DATA!$M:$M,'SALES BY SYSTEM'!$O$3)</f>
        <v>0</v>
      </c>
      <c r="W809" s="168"/>
    </row>
    <row r="810" spans="1:23" ht="15.75" customHeight="1" x14ac:dyDescent="0.25">
      <c r="A810" s="178" t="s">
        <v>2374</v>
      </c>
      <c r="B810" s="178" t="s">
        <v>19</v>
      </c>
      <c r="C810" s="178" t="str">
        <f>VLOOKUP(A810,CUSTOMER!$A:$C,3,0)</f>
        <v>VIN_CTYTDUC</v>
      </c>
      <c r="D810" s="178" t="s">
        <v>674</v>
      </c>
      <c r="E810" s="178" t="e">
        <f>VLOOKUP(A814,CUSTOMER!$A$2:$H$1094,5,0)</f>
        <v>#N/A</v>
      </c>
      <c r="F810" s="178" t="e">
        <f>VLOOKUP(A814,CUSTOMER!$A$2:$I$1094,6,0)</f>
        <v>#N/A</v>
      </c>
      <c r="G810" s="178" t="s">
        <v>676</v>
      </c>
      <c r="H810" s="179">
        <f t="shared" si="126"/>
        <v>0</v>
      </c>
      <c r="I810" s="180" t="str">
        <f t="shared" si="127"/>
        <v/>
      </c>
      <c r="J810" s="181">
        <f t="shared" si="128"/>
        <v>0</v>
      </c>
      <c r="K810" s="182">
        <v>0</v>
      </c>
      <c r="L810" s="180" t="str">
        <f t="shared" si="122"/>
        <v/>
      </c>
      <c r="M810" s="218">
        <f>SUMIFS(DATA!$L:$L,DATA!$O:$O,$B814,DATA!$N:$N,$A814,DATA!$M:$M,'SALES BY SYSTEM'!$O$1)</f>
        <v>0</v>
      </c>
      <c r="N810" s="182">
        <v>0</v>
      </c>
      <c r="O810" s="180" t="str">
        <f t="shared" si="123"/>
        <v/>
      </c>
      <c r="P810" s="218">
        <f>SUMIFS(DATA!$L:$L,DATA!$O:$O,$B814,DATA!$N:$N,$A814,DATA!$M:$M,'SALES BY SYSTEM'!$O$2)</f>
        <v>0</v>
      </c>
      <c r="Q810" s="182">
        <v>0</v>
      </c>
      <c r="R810" s="180" t="str">
        <f t="shared" si="124"/>
        <v/>
      </c>
      <c r="S810" s="218">
        <f>SUMIFS(DATA!$L:$L,DATA!$O:$O,$B814,DATA!$N:$N,$A814,DATA!$M:$M,'SALES BY SYSTEM'!$O$4)</f>
        <v>0</v>
      </c>
      <c r="T810" s="182">
        <v>0</v>
      </c>
      <c r="U810" s="180" t="str">
        <f t="shared" si="125"/>
        <v/>
      </c>
      <c r="V810" s="218">
        <f>SUMIFS(DATA!$L:$L,DATA!$O:$O,$B814,DATA!$N:$N,$A814,DATA!$M:$M,'SALES BY SYSTEM'!$O$3)</f>
        <v>0</v>
      </c>
      <c r="W810" s="168"/>
    </row>
    <row r="811" spans="1:23" ht="15.75" customHeight="1" x14ac:dyDescent="0.25">
      <c r="A811" s="178" t="s">
        <v>2376</v>
      </c>
      <c r="B811" s="178" t="s">
        <v>19</v>
      </c>
      <c r="C811" s="178" t="str">
        <f>VLOOKUP(A811,CUSTOMER!$A:$C,3,0)</f>
        <v>VIN_KHO_VLONG</v>
      </c>
      <c r="D811" s="178" t="s">
        <v>674</v>
      </c>
      <c r="E811" s="178" t="e">
        <f>VLOOKUP(A815,CUSTOMER!$A$2:$H$1094,5,0)</f>
        <v>#N/A</v>
      </c>
      <c r="F811" s="178" t="e">
        <f>VLOOKUP(A815,CUSTOMER!$A$2:$I$1094,6,0)</f>
        <v>#N/A</v>
      </c>
      <c r="G811" s="178" t="s">
        <v>676</v>
      </c>
      <c r="H811" s="179">
        <f t="shared" si="126"/>
        <v>0</v>
      </c>
      <c r="I811" s="180" t="str">
        <f t="shared" si="127"/>
        <v/>
      </c>
      <c r="J811" s="181">
        <f t="shared" si="128"/>
        <v>0</v>
      </c>
      <c r="K811" s="182">
        <v>0</v>
      </c>
      <c r="L811" s="180" t="str">
        <f t="shared" si="122"/>
        <v/>
      </c>
      <c r="M811" s="218">
        <f>SUMIFS(DATA!$L:$L,DATA!$O:$O,$B815,DATA!$N:$N,$A815,DATA!$M:$M,'SALES BY SYSTEM'!$O$1)</f>
        <v>0</v>
      </c>
      <c r="N811" s="182">
        <v>0</v>
      </c>
      <c r="O811" s="180" t="str">
        <f t="shared" si="123"/>
        <v/>
      </c>
      <c r="P811" s="218">
        <f>SUMIFS(DATA!$L:$L,DATA!$O:$O,$B815,DATA!$N:$N,$A815,DATA!$M:$M,'SALES BY SYSTEM'!$O$2)</f>
        <v>0</v>
      </c>
      <c r="Q811" s="182">
        <v>0</v>
      </c>
      <c r="R811" s="180" t="str">
        <f t="shared" si="124"/>
        <v/>
      </c>
      <c r="S811" s="218">
        <f>SUMIFS(DATA!$L:$L,DATA!$O:$O,$B815,DATA!$N:$N,$A815,DATA!$M:$M,'SALES BY SYSTEM'!$O$4)</f>
        <v>0</v>
      </c>
      <c r="T811" s="182">
        <v>0</v>
      </c>
      <c r="U811" s="180" t="str">
        <f t="shared" si="125"/>
        <v/>
      </c>
      <c r="V811" s="218">
        <f>SUMIFS(DATA!$L:$L,DATA!$O:$O,$B815,DATA!$N:$N,$A815,DATA!$M:$M,'SALES BY SYSTEM'!$O$3)</f>
        <v>0</v>
      </c>
      <c r="W811" s="168"/>
    </row>
    <row r="812" spans="1:23" ht="15.75" customHeight="1" x14ac:dyDescent="0.25">
      <c r="A812" s="178" t="s">
        <v>2385</v>
      </c>
      <c r="B812" s="178" t="s">
        <v>19</v>
      </c>
      <c r="C812" s="178" t="str">
        <f>VLOOKUP(A812,CUSTOMER!$A:$C,3,0)</f>
        <v>VIN_CTYBVD</v>
      </c>
      <c r="D812" s="178" t="s">
        <v>674</v>
      </c>
      <c r="E812" s="178" t="str">
        <f>VLOOKUP(A816,CUSTOMER!$A$2:$H$1094,5,0)</f>
        <v>TRAN THI THAO NGUYEN</v>
      </c>
      <c r="F812" s="178" t="str">
        <f>VLOOKUP(A816,CUSTOMER!$A$2:$I$1094,6,0)</f>
        <v>NO SALE</v>
      </c>
      <c r="G812" s="178" t="s">
        <v>676</v>
      </c>
      <c r="H812" s="179">
        <f t="shared" si="126"/>
        <v>0</v>
      </c>
      <c r="I812" s="180" t="str">
        <f t="shared" si="127"/>
        <v/>
      </c>
      <c r="J812" s="181">
        <f t="shared" si="128"/>
        <v>0</v>
      </c>
      <c r="K812" s="182">
        <v>0</v>
      </c>
      <c r="L812" s="180" t="str">
        <f t="shared" si="122"/>
        <v/>
      </c>
      <c r="M812" s="218">
        <f>SUMIFS(DATA!$L:$L,DATA!$O:$O,$B816,DATA!$N:$N,$A816,DATA!$M:$M,'SALES BY SYSTEM'!$O$1)</f>
        <v>0</v>
      </c>
      <c r="N812" s="182">
        <v>0</v>
      </c>
      <c r="O812" s="180" t="str">
        <f t="shared" si="123"/>
        <v/>
      </c>
      <c r="P812" s="218">
        <f>SUMIFS(DATA!$L:$L,DATA!$O:$O,$B816,DATA!$N:$N,$A816,DATA!$M:$M,'SALES BY SYSTEM'!$O$2)</f>
        <v>0</v>
      </c>
      <c r="Q812" s="182">
        <v>0</v>
      </c>
      <c r="R812" s="180" t="str">
        <f t="shared" si="124"/>
        <v/>
      </c>
      <c r="S812" s="218">
        <f>SUMIFS(DATA!$L:$L,DATA!$O:$O,$B816,DATA!$N:$N,$A816,DATA!$M:$M,'SALES BY SYSTEM'!$O$4)</f>
        <v>0</v>
      </c>
      <c r="T812" s="182">
        <v>0</v>
      </c>
      <c r="U812" s="180" t="str">
        <f t="shared" si="125"/>
        <v/>
      </c>
      <c r="V812" s="218">
        <f>SUMIFS(DATA!$L:$L,DATA!$O:$O,$B816,DATA!$N:$N,$A816,DATA!$M:$M,'SALES BY SYSTEM'!$O$3)</f>
        <v>0</v>
      </c>
      <c r="W812" s="168"/>
    </row>
    <row r="813" spans="1:23" ht="15.75" customHeight="1" x14ac:dyDescent="0.25">
      <c r="A813" s="178" t="s">
        <v>2387</v>
      </c>
      <c r="B813" s="178" t="s">
        <v>19</v>
      </c>
      <c r="C813" s="178" t="str">
        <f>VLOOKUP(A813,CUSTOMER!$A:$C,3,0)</f>
        <v>VIN_KHO_BNINH+</v>
      </c>
      <c r="D813" s="178" t="s">
        <v>674</v>
      </c>
      <c r="E813" s="178" t="str">
        <f>VLOOKUP(A817,CUSTOMER!$A$2:$H$1094,5,0)</f>
        <v>TRAN THI THAO NGUYEN</v>
      </c>
      <c r="F813" s="178" t="str">
        <f>VLOOKUP(A817,CUSTOMER!$A$2:$I$1094,6,0)</f>
        <v>NO SALE</v>
      </c>
      <c r="G813" s="178" t="s">
        <v>676</v>
      </c>
      <c r="H813" s="179">
        <f t="shared" si="126"/>
        <v>0</v>
      </c>
      <c r="I813" s="180" t="str">
        <f t="shared" si="127"/>
        <v/>
      </c>
      <c r="J813" s="181">
        <f t="shared" si="128"/>
        <v>0</v>
      </c>
      <c r="K813" s="182">
        <v>0</v>
      </c>
      <c r="L813" s="180" t="str">
        <f t="shared" si="122"/>
        <v/>
      </c>
      <c r="M813" s="218">
        <f>SUMIFS(DATA!$L:$L,DATA!$O:$O,$B817,DATA!$N:$N,$A817,DATA!$M:$M,'SALES BY SYSTEM'!$O$1)</f>
        <v>0</v>
      </c>
      <c r="N813" s="182">
        <v>0</v>
      </c>
      <c r="O813" s="180" t="str">
        <f t="shared" si="123"/>
        <v/>
      </c>
      <c r="P813" s="218">
        <f>SUMIFS(DATA!$L:$L,DATA!$O:$O,$B817,DATA!$N:$N,$A817,DATA!$M:$M,'SALES BY SYSTEM'!$O$2)</f>
        <v>0</v>
      </c>
      <c r="Q813" s="182">
        <v>0</v>
      </c>
      <c r="R813" s="180" t="str">
        <f t="shared" si="124"/>
        <v/>
      </c>
      <c r="S813" s="218">
        <f>SUMIFS(DATA!$L:$L,DATA!$O:$O,$B817,DATA!$N:$N,$A817,DATA!$M:$M,'SALES BY SYSTEM'!$O$4)</f>
        <v>0</v>
      </c>
      <c r="T813" s="182">
        <v>0</v>
      </c>
      <c r="U813" s="180" t="str">
        <f t="shared" si="125"/>
        <v/>
      </c>
      <c r="V813" s="218">
        <f>SUMIFS(DATA!$L:$L,DATA!$O:$O,$B817,DATA!$N:$N,$A817,DATA!$M:$M,'SALES BY SYSTEM'!$O$3)</f>
        <v>0</v>
      </c>
      <c r="W813" s="168"/>
    </row>
    <row r="814" spans="1:23" ht="15.75" customHeight="1" x14ac:dyDescent="0.25">
      <c r="A814" s="178" t="s">
        <v>2396</v>
      </c>
      <c r="B814" s="178" t="s">
        <v>19</v>
      </c>
      <c r="C814" s="178" t="str">
        <f>VLOOKUP(A814,CUSTOMER!$A:$C,3,0)</f>
        <v>VIN+TPHCM1</v>
      </c>
      <c r="D814" s="178" t="s">
        <v>674</v>
      </c>
      <c r="E814" s="178" t="str">
        <f>VLOOKUP(A818,CUSTOMER!$A$2:$H$1094,5,0)</f>
        <v>TRAN THI THAO NGUYEN</v>
      </c>
      <c r="F814" s="178" t="str">
        <f>VLOOKUP(A818,CUSTOMER!$A$2:$I$1094,6,0)</f>
        <v>NGUYEN THI MUON</v>
      </c>
      <c r="G814" s="178" t="s">
        <v>676</v>
      </c>
      <c r="H814" s="179">
        <f t="shared" si="126"/>
        <v>0</v>
      </c>
      <c r="I814" s="180" t="str">
        <f t="shared" si="127"/>
        <v/>
      </c>
      <c r="J814" s="181">
        <f t="shared" si="128"/>
        <v>0</v>
      </c>
      <c r="K814" s="182">
        <v>0</v>
      </c>
      <c r="L814" s="180" t="str">
        <f t="shared" si="122"/>
        <v/>
      </c>
      <c r="M814" s="218">
        <f>SUMIFS(DATA!$L:$L,DATA!$O:$O,$B818,DATA!$N:$N,$A818,DATA!$M:$M,'SALES BY SYSTEM'!$O$1)</f>
        <v>0</v>
      </c>
      <c r="N814" s="182">
        <v>0</v>
      </c>
      <c r="O814" s="180" t="str">
        <f t="shared" si="123"/>
        <v/>
      </c>
      <c r="P814" s="218">
        <f>SUMIFS(DATA!$L:$L,DATA!$O:$O,$B818,DATA!$N:$N,$A818,DATA!$M:$M,'SALES BY SYSTEM'!$O$2)</f>
        <v>0</v>
      </c>
      <c r="Q814" s="182">
        <v>0</v>
      </c>
      <c r="R814" s="180" t="str">
        <f t="shared" si="124"/>
        <v/>
      </c>
      <c r="S814" s="218">
        <f>SUMIFS(DATA!$L:$L,DATA!$O:$O,$B818,DATA!$N:$N,$A818,DATA!$M:$M,'SALES BY SYSTEM'!$O$4)</f>
        <v>0</v>
      </c>
      <c r="T814" s="182">
        <v>0</v>
      </c>
      <c r="U814" s="180" t="str">
        <f t="shared" si="125"/>
        <v/>
      </c>
      <c r="V814" s="218">
        <f>SUMIFS(DATA!$L:$L,DATA!$O:$O,$B818,DATA!$N:$N,$A818,DATA!$M:$M,'SALES BY SYSTEM'!$O$3)</f>
        <v>0</v>
      </c>
      <c r="W814" s="168"/>
    </row>
    <row r="815" spans="1:23" ht="15.75" customHeight="1" x14ac:dyDescent="0.25">
      <c r="A815" s="178" t="s">
        <v>2398</v>
      </c>
      <c r="B815" s="178" t="s">
        <v>19</v>
      </c>
      <c r="C815" s="178" t="str">
        <f>VLOOKUP(A815,CUSTOMER!$A:$C,3,0)</f>
        <v>VIN+TPHCM2</v>
      </c>
      <c r="D815" s="178" t="s">
        <v>674</v>
      </c>
      <c r="E815" s="178" t="str">
        <f>VLOOKUP(A819,CUSTOMER!$A$2:$H$1094,5,0)</f>
        <v>TRAN THI THAO NGUYEN</v>
      </c>
      <c r="F815" s="178" t="str">
        <f>VLOOKUP(A819,CUSTOMER!$A$2:$I$1094,6,0)</f>
        <v>VACANCY</v>
      </c>
      <c r="G815" s="178" t="s">
        <v>676</v>
      </c>
      <c r="H815" s="179">
        <f t="shared" si="126"/>
        <v>0</v>
      </c>
      <c r="I815" s="180" t="str">
        <f t="shared" si="127"/>
        <v/>
      </c>
      <c r="J815" s="181">
        <f t="shared" si="128"/>
        <v>0</v>
      </c>
      <c r="K815" s="182">
        <v>0</v>
      </c>
      <c r="L815" s="180" t="str">
        <f t="shared" si="122"/>
        <v/>
      </c>
      <c r="M815" s="218">
        <f>SUMIFS(DATA!$L:$L,DATA!$O:$O,$B819,DATA!$N:$N,$A819,DATA!$M:$M,'SALES BY SYSTEM'!$O$1)</f>
        <v>0</v>
      </c>
      <c r="N815" s="182">
        <v>0</v>
      </c>
      <c r="O815" s="180" t="str">
        <f t="shared" si="123"/>
        <v/>
      </c>
      <c r="P815" s="218">
        <f>SUMIFS(DATA!$L:$L,DATA!$O:$O,$B819,DATA!$N:$N,$A819,DATA!$M:$M,'SALES BY SYSTEM'!$O$2)</f>
        <v>0</v>
      </c>
      <c r="Q815" s="182">
        <v>0</v>
      </c>
      <c r="R815" s="180" t="str">
        <f t="shared" si="124"/>
        <v/>
      </c>
      <c r="S815" s="218">
        <f>SUMIFS(DATA!$L:$L,DATA!$O:$O,$B819,DATA!$N:$N,$A819,DATA!$M:$M,'SALES BY SYSTEM'!$O$4)</f>
        <v>0</v>
      </c>
      <c r="T815" s="182">
        <v>0</v>
      </c>
      <c r="U815" s="180" t="str">
        <f t="shared" si="125"/>
        <v/>
      </c>
      <c r="V815" s="218">
        <f>SUMIFS(DATA!$L:$L,DATA!$O:$O,$B819,DATA!$N:$N,$A819,DATA!$M:$M,'SALES BY SYSTEM'!$O$3)</f>
        <v>0</v>
      </c>
      <c r="W815" s="168"/>
    </row>
    <row r="816" spans="1:23" ht="15.75" customHeight="1" x14ac:dyDescent="0.25">
      <c r="A816" s="178" t="s">
        <v>126</v>
      </c>
      <c r="B816" s="178" t="s">
        <v>126</v>
      </c>
      <c r="C816" s="178" t="str">
        <f>VLOOKUP(A816,CUSTOMER!$A:$C,3,0)</f>
        <v>6708</v>
      </c>
      <c r="D816" s="178" t="s">
        <v>674</v>
      </c>
      <c r="E816" s="178" t="str">
        <f>VLOOKUP(A820,CUSTOMER!$A$2:$H$1094,5,0)</f>
        <v>TRAN THI THAO NGUYEN</v>
      </c>
      <c r="F816" s="178" t="str">
        <f>VLOOKUP(A820,CUSTOMER!$A$2:$I$1094,6,0)</f>
        <v>NO SALE</v>
      </c>
      <c r="G816" s="178" t="s">
        <v>676</v>
      </c>
      <c r="H816" s="179">
        <f t="shared" si="126"/>
        <v>0</v>
      </c>
      <c r="I816" s="180" t="str">
        <f t="shared" si="127"/>
        <v/>
      </c>
      <c r="J816" s="181">
        <f t="shared" si="128"/>
        <v>0</v>
      </c>
      <c r="K816" s="182">
        <v>0</v>
      </c>
      <c r="L816" s="180" t="str">
        <f t="shared" si="122"/>
        <v/>
      </c>
      <c r="M816" s="218">
        <f>SUMIFS(DATA!$L:$L,DATA!$O:$O,$B820,DATA!$N:$N,$A820,DATA!$M:$M,'SALES BY SYSTEM'!$O$1)</f>
        <v>0</v>
      </c>
      <c r="N816" s="182">
        <v>0</v>
      </c>
      <c r="O816" s="180" t="str">
        <f t="shared" si="123"/>
        <v/>
      </c>
      <c r="P816" s="218">
        <f>SUMIFS(DATA!$L:$L,DATA!$O:$O,$B820,DATA!$N:$N,$A820,DATA!$M:$M,'SALES BY SYSTEM'!$O$2)</f>
        <v>0</v>
      </c>
      <c r="Q816" s="182">
        <v>0</v>
      </c>
      <c r="R816" s="180" t="str">
        <f t="shared" si="124"/>
        <v/>
      </c>
      <c r="S816" s="218">
        <f>SUMIFS(DATA!$L:$L,DATA!$O:$O,$B820,DATA!$N:$N,$A820,DATA!$M:$M,'SALES BY SYSTEM'!$O$4)</f>
        <v>0</v>
      </c>
      <c r="T816" s="182">
        <v>0</v>
      </c>
      <c r="U816" s="180" t="str">
        <f t="shared" si="125"/>
        <v/>
      </c>
      <c r="V816" s="218">
        <f>SUMIFS(DATA!$L:$L,DATA!$O:$O,$B820,DATA!$N:$N,$A820,DATA!$M:$M,'SALES BY SYSTEM'!$O$3)</f>
        <v>0</v>
      </c>
      <c r="W816" s="168"/>
    </row>
    <row r="817" spans="1:23" ht="15.75" customHeight="1" x14ac:dyDescent="0.25">
      <c r="A817" s="178" t="s">
        <v>123</v>
      </c>
      <c r="B817" s="178" t="s">
        <v>124</v>
      </c>
      <c r="C817" s="178" t="str">
        <f>VLOOKUP(A817,CUSTOMER!$A:$C,3,0)</f>
        <v>6701</v>
      </c>
      <c r="D817" s="178" t="s">
        <v>674</v>
      </c>
      <c r="E817" s="178" t="str">
        <f>VLOOKUP(A821,CUSTOMER!$A$2:$H$1094,5,0)</f>
        <v>TRAN THI THAO NGUYEN</v>
      </c>
      <c r="F817" s="178" t="str">
        <f>VLOOKUP(A821,CUSTOMER!$A$2:$I$1094,6,0)</f>
        <v>NO SALE</v>
      </c>
      <c r="G817" s="178" t="s">
        <v>676</v>
      </c>
      <c r="H817" s="179">
        <f t="shared" si="126"/>
        <v>0</v>
      </c>
      <c r="I817" s="180" t="str">
        <f t="shared" si="127"/>
        <v/>
      </c>
      <c r="J817" s="181">
        <f t="shared" si="128"/>
        <v>0</v>
      </c>
      <c r="K817" s="182">
        <v>0</v>
      </c>
      <c r="L817" s="180" t="str">
        <f t="shared" si="122"/>
        <v/>
      </c>
      <c r="M817" s="218">
        <f>SUMIFS(DATA!$L:$L,DATA!$O:$O,$B821,DATA!$N:$N,$A821,DATA!$M:$M,'SALES BY SYSTEM'!$O$1)</f>
        <v>0</v>
      </c>
      <c r="N817" s="182">
        <v>0</v>
      </c>
      <c r="O817" s="180" t="str">
        <f t="shared" si="123"/>
        <v/>
      </c>
      <c r="P817" s="218">
        <f>SUMIFS(DATA!$L:$L,DATA!$O:$O,$B821,DATA!$N:$N,$A821,DATA!$M:$M,'SALES BY SYSTEM'!$O$2)</f>
        <v>0</v>
      </c>
      <c r="Q817" s="182">
        <v>0</v>
      </c>
      <c r="R817" s="180" t="str">
        <f t="shared" si="124"/>
        <v/>
      </c>
      <c r="S817" s="218">
        <f>SUMIFS(DATA!$L:$L,DATA!$O:$O,$B821,DATA!$N:$N,$A821,DATA!$M:$M,'SALES BY SYSTEM'!$O$4)</f>
        <v>0</v>
      </c>
      <c r="T817" s="182">
        <v>0</v>
      </c>
      <c r="U817" s="180" t="str">
        <f t="shared" si="125"/>
        <v/>
      </c>
      <c r="V817" s="218">
        <f>SUMIFS(DATA!$L:$L,DATA!$O:$O,$B821,DATA!$N:$N,$A821,DATA!$M:$M,'SALES BY SYSTEM'!$O$3)</f>
        <v>0</v>
      </c>
      <c r="W817" s="168"/>
    </row>
    <row r="818" spans="1:23" ht="15.75" customHeight="1" x14ac:dyDescent="0.25">
      <c r="A818" s="178" t="s">
        <v>1394</v>
      </c>
      <c r="B818" s="178" t="s">
        <v>652</v>
      </c>
      <c r="C818" s="178" t="str">
        <f>VLOOKUP(A818,CUSTOMER!$A:$C,3,0)</f>
        <v>6672</v>
      </c>
      <c r="D818" s="178" t="s">
        <v>674</v>
      </c>
      <c r="E818" s="178" t="str">
        <f>VLOOKUP(A822,CUSTOMER!$A$2:$H$1094,5,0)</f>
        <v>TRAN THI THAO NGUYEN</v>
      </c>
      <c r="F818" s="178" t="str">
        <f>VLOOKUP(A822,CUSTOMER!$A$2:$I$1094,6,0)</f>
        <v>NO SALE</v>
      </c>
      <c r="G818" s="178" t="s">
        <v>676</v>
      </c>
      <c r="H818" s="179">
        <f t="shared" si="126"/>
        <v>0</v>
      </c>
      <c r="I818" s="180" t="str">
        <f t="shared" si="127"/>
        <v/>
      </c>
      <c r="J818" s="181">
        <f t="shared" si="128"/>
        <v>0</v>
      </c>
      <c r="K818" s="182">
        <v>0</v>
      </c>
      <c r="L818" s="180" t="str">
        <f t="shared" si="122"/>
        <v/>
      </c>
      <c r="M818" s="218">
        <f>SUMIFS(DATA!$L:$L,DATA!$O:$O,$B822,DATA!$N:$N,$A822,DATA!$M:$M,'SALES BY SYSTEM'!$O$1)</f>
        <v>0</v>
      </c>
      <c r="N818" s="182">
        <v>0</v>
      </c>
      <c r="O818" s="180" t="str">
        <f t="shared" si="123"/>
        <v/>
      </c>
      <c r="P818" s="218">
        <f>SUMIFS(DATA!$L:$L,DATA!$O:$O,$B822,DATA!$N:$N,$A822,DATA!$M:$M,'SALES BY SYSTEM'!$O$2)</f>
        <v>0</v>
      </c>
      <c r="Q818" s="182">
        <v>0</v>
      </c>
      <c r="R818" s="180" t="str">
        <f t="shared" si="124"/>
        <v/>
      </c>
      <c r="S818" s="218">
        <f>SUMIFS(DATA!$L:$L,DATA!$O:$O,$B822,DATA!$N:$N,$A822,DATA!$M:$M,'SALES BY SYSTEM'!$O$4)</f>
        <v>0</v>
      </c>
      <c r="T818" s="182">
        <v>0</v>
      </c>
      <c r="U818" s="180" t="str">
        <f t="shared" si="125"/>
        <v/>
      </c>
      <c r="V818" s="218">
        <f>SUMIFS(DATA!$L:$L,DATA!$O:$O,$B822,DATA!$N:$N,$A822,DATA!$M:$M,'SALES BY SYSTEM'!$O$3)</f>
        <v>0</v>
      </c>
      <c r="W818" s="168"/>
    </row>
    <row r="819" spans="1:23" ht="15.75" customHeight="1" x14ac:dyDescent="0.25">
      <c r="A819" s="178" t="s">
        <v>1377</v>
      </c>
      <c r="B819" s="178" t="s">
        <v>648</v>
      </c>
      <c r="C819" s="178" t="str">
        <f>VLOOKUP(A819,CUSTOMER!$A:$C,3,0)</f>
        <v>6675</v>
      </c>
      <c r="D819" s="178" t="s">
        <v>674</v>
      </c>
      <c r="E819" s="178" t="str">
        <f>VLOOKUP(A823,CUSTOMER!$A$2:$H$1094,5,0)</f>
        <v>TRAN THI THAO NGUYEN</v>
      </c>
      <c r="F819" s="178" t="str">
        <f>VLOOKUP(A823,CUSTOMER!$A$2:$I$1094,6,0)</f>
        <v>NGUYEN THI MUON</v>
      </c>
      <c r="G819" s="178" t="s">
        <v>676</v>
      </c>
      <c r="H819" s="179">
        <f t="shared" si="126"/>
        <v>0</v>
      </c>
      <c r="I819" s="180" t="str">
        <f t="shared" si="127"/>
        <v/>
      </c>
      <c r="J819" s="181">
        <f t="shared" si="128"/>
        <v>0</v>
      </c>
      <c r="K819" s="182">
        <v>0</v>
      </c>
      <c r="L819" s="180" t="str">
        <f t="shared" si="122"/>
        <v/>
      </c>
      <c r="M819" s="218">
        <f>SUMIFS(DATA!$L:$L,DATA!$O:$O,$B823,DATA!$N:$N,$A823,DATA!$M:$M,'SALES BY SYSTEM'!$O$1)</f>
        <v>0</v>
      </c>
      <c r="N819" s="182">
        <v>0</v>
      </c>
      <c r="O819" s="180" t="str">
        <f t="shared" si="123"/>
        <v/>
      </c>
      <c r="P819" s="218">
        <f>SUMIFS(DATA!$L:$L,DATA!$O:$O,$B823,DATA!$N:$N,$A823,DATA!$M:$M,'SALES BY SYSTEM'!$O$2)</f>
        <v>0</v>
      </c>
      <c r="Q819" s="182">
        <v>0</v>
      </c>
      <c r="R819" s="180" t="str">
        <f t="shared" si="124"/>
        <v/>
      </c>
      <c r="S819" s="218">
        <f>SUMIFS(DATA!$L:$L,DATA!$O:$O,$B823,DATA!$N:$N,$A823,DATA!$M:$M,'SALES BY SYSTEM'!$O$4)</f>
        <v>0</v>
      </c>
      <c r="T819" s="182">
        <v>0</v>
      </c>
      <c r="U819" s="180" t="str">
        <f t="shared" si="125"/>
        <v/>
      </c>
      <c r="V819" s="218">
        <f>SUMIFS(DATA!$L:$L,DATA!$O:$O,$B823,DATA!$N:$N,$A823,DATA!$M:$M,'SALES BY SYSTEM'!$O$3)</f>
        <v>0</v>
      </c>
      <c r="W819" s="168"/>
    </row>
    <row r="820" spans="1:23" ht="15.75" customHeight="1" x14ac:dyDescent="0.25">
      <c r="A820" s="139" t="s">
        <v>1731</v>
      </c>
      <c r="B820" s="139" t="s">
        <v>655</v>
      </c>
      <c r="C820" s="178" t="str">
        <f>VLOOKUP(A820,CUSTOMER!$A:$C,3,0)</f>
        <v>6445</v>
      </c>
      <c r="D820" s="178" t="s">
        <v>674</v>
      </c>
      <c r="E820" s="178" t="str">
        <f>VLOOKUP(A824,CUSTOMER!$A$2:$H$1094,5,0)</f>
        <v>TRAN THI THAO NGUYEN</v>
      </c>
      <c r="F820" s="178" t="str">
        <f>VLOOKUP(A824,CUSTOMER!$A$2:$I$1094,6,0)</f>
        <v>NGUYEN THI MUON</v>
      </c>
      <c r="G820" s="178" t="s">
        <v>676</v>
      </c>
      <c r="H820" s="179">
        <f t="shared" si="126"/>
        <v>0</v>
      </c>
      <c r="I820" s="180" t="str">
        <f t="shared" si="127"/>
        <v/>
      </c>
      <c r="J820" s="181">
        <f t="shared" si="128"/>
        <v>0</v>
      </c>
      <c r="K820" s="182">
        <v>0</v>
      </c>
      <c r="L820" s="180" t="str">
        <f t="shared" si="122"/>
        <v/>
      </c>
      <c r="M820" s="218">
        <f>SUMIFS(DATA!$L:$L,DATA!$O:$O,$B824,DATA!$N:$N,$A824,DATA!$M:$M,'SALES BY SYSTEM'!$O$1)</f>
        <v>0</v>
      </c>
      <c r="N820" s="182">
        <v>0</v>
      </c>
      <c r="O820" s="180" t="str">
        <f t="shared" si="123"/>
        <v/>
      </c>
      <c r="P820" s="218">
        <f>SUMIFS(DATA!$L:$L,DATA!$O:$O,$B824,DATA!$N:$N,$A824,DATA!$M:$M,'SALES BY SYSTEM'!$O$2)</f>
        <v>0</v>
      </c>
      <c r="Q820" s="182">
        <v>0</v>
      </c>
      <c r="R820" s="180" t="str">
        <f t="shared" si="124"/>
        <v/>
      </c>
      <c r="S820" s="218">
        <f>SUMIFS(DATA!$L:$L,DATA!$O:$O,$B824,DATA!$N:$N,$A824,DATA!$M:$M,'SALES BY SYSTEM'!$O$4)</f>
        <v>0</v>
      </c>
      <c r="T820" s="182">
        <v>0</v>
      </c>
      <c r="U820" s="180" t="str">
        <f t="shared" si="125"/>
        <v/>
      </c>
      <c r="V820" s="218">
        <f>SUMIFS(DATA!$L:$L,DATA!$O:$O,$B824,DATA!$N:$N,$A824,DATA!$M:$M,'SALES BY SYSTEM'!$O$3)</f>
        <v>0</v>
      </c>
      <c r="W820" s="168"/>
    </row>
    <row r="821" spans="1:23" ht="15.75" customHeight="1" x14ac:dyDescent="0.25">
      <c r="A821" s="178" t="s">
        <v>651</v>
      </c>
      <c r="B821" s="178" t="s">
        <v>651</v>
      </c>
      <c r="C821" s="178" t="str">
        <f>VLOOKUP(A821,CUSTOMER!$A:$C,3,0)</f>
        <v>6442</v>
      </c>
      <c r="D821" s="178" t="s">
        <v>674</v>
      </c>
      <c r="E821" s="178" t="str">
        <f>VLOOKUP(A825,CUSTOMER!$A$2:$H$1094,5,0)</f>
        <v>TRAN THI THAO NGUYEN</v>
      </c>
      <c r="F821" s="178" t="str">
        <f>VLOOKUP(A825,CUSTOMER!$A$2:$I$1094,6,0)</f>
        <v>VACANCY</v>
      </c>
      <c r="G821" s="178" t="s">
        <v>676</v>
      </c>
      <c r="H821" s="179">
        <f t="shared" si="126"/>
        <v>0</v>
      </c>
      <c r="I821" s="180" t="str">
        <f t="shared" si="127"/>
        <v/>
      </c>
      <c r="J821" s="181">
        <f t="shared" si="128"/>
        <v>0</v>
      </c>
      <c r="K821" s="182">
        <v>0</v>
      </c>
      <c r="L821" s="180" t="str">
        <f t="shared" si="122"/>
        <v/>
      </c>
      <c r="M821" s="218">
        <f>SUMIFS(DATA!$L:$L,DATA!$O:$O,$B825,DATA!$N:$N,$A825,DATA!$M:$M,'SALES BY SYSTEM'!$O$1)</f>
        <v>0</v>
      </c>
      <c r="N821" s="182">
        <v>0</v>
      </c>
      <c r="O821" s="180" t="str">
        <f t="shared" si="123"/>
        <v/>
      </c>
      <c r="P821" s="218">
        <f>SUMIFS(DATA!$L:$L,DATA!$O:$O,$B825,DATA!$N:$N,$A825,DATA!$M:$M,'SALES BY SYSTEM'!$O$2)</f>
        <v>0</v>
      </c>
      <c r="Q821" s="182">
        <v>0</v>
      </c>
      <c r="R821" s="180" t="str">
        <f t="shared" si="124"/>
        <v/>
      </c>
      <c r="S821" s="218">
        <f>SUMIFS(DATA!$L:$L,DATA!$O:$O,$B825,DATA!$N:$N,$A825,DATA!$M:$M,'SALES BY SYSTEM'!$O$4)</f>
        <v>0</v>
      </c>
      <c r="T821" s="182">
        <v>0</v>
      </c>
      <c r="U821" s="180" t="str">
        <f t="shared" si="125"/>
        <v/>
      </c>
      <c r="V821" s="218">
        <f>SUMIFS(DATA!$L:$L,DATA!$O:$O,$B825,DATA!$N:$N,$A825,DATA!$M:$M,'SALES BY SYSTEM'!$O$3)</f>
        <v>0</v>
      </c>
      <c r="W821" s="168"/>
    </row>
    <row r="822" spans="1:23" ht="15.75" customHeight="1" x14ac:dyDescent="0.25">
      <c r="A822" s="178" t="s">
        <v>1401</v>
      </c>
      <c r="B822" s="178" t="s">
        <v>107</v>
      </c>
      <c r="C822" s="178" t="str">
        <f>VLOOKUP(A822,CUSTOMER!$A:$C,3,0)</f>
        <v>HD_NTT</v>
      </c>
      <c r="D822" s="178" t="s">
        <v>674</v>
      </c>
      <c r="E822" s="178" t="str">
        <f>VLOOKUP(A826,CUSTOMER!$A$2:$H$1094,5,0)</f>
        <v>TRAN THI THAO NGUYEN</v>
      </c>
      <c r="F822" s="178" t="str">
        <f>VLOOKUP(A826,CUSTOMER!$A$2:$I$1094,6,0)</f>
        <v>NGUYEN THI MUON</v>
      </c>
      <c r="G822" s="178" t="str">
        <f>VLOOKUP(A826,CUSTOMER!$A$1:$J$1160,7,0)</f>
        <v>"NO PG"</v>
      </c>
      <c r="H822" s="179">
        <f t="shared" si="126"/>
        <v>0</v>
      </c>
      <c r="I822" s="180" t="str">
        <f t="shared" si="127"/>
        <v/>
      </c>
      <c r="J822" s="181">
        <f t="shared" si="128"/>
        <v>0</v>
      </c>
      <c r="K822" s="182">
        <v>0</v>
      </c>
      <c r="L822" s="180" t="str">
        <f t="shared" si="122"/>
        <v/>
      </c>
      <c r="M822" s="218">
        <f>SUMIFS(DATA!$L:$L,DATA!$O:$O,$B826,DATA!$N:$N,$A826,DATA!$M:$M,'SALES BY SYSTEM'!$O$1)</f>
        <v>0</v>
      </c>
      <c r="N822" s="182">
        <v>0</v>
      </c>
      <c r="O822" s="180" t="str">
        <f t="shared" si="123"/>
        <v/>
      </c>
      <c r="P822" s="218">
        <f>SUMIFS(DATA!$L:$L,DATA!$O:$O,$B826,DATA!$N:$N,$A826,DATA!$M:$M,'SALES BY SYSTEM'!$O$2)</f>
        <v>0</v>
      </c>
      <c r="Q822" s="182">
        <v>0</v>
      </c>
      <c r="R822" s="180" t="str">
        <f t="shared" si="124"/>
        <v/>
      </c>
      <c r="S822" s="218">
        <f>SUMIFS(DATA!$L:$L,DATA!$O:$O,$B826,DATA!$N:$N,$A826,DATA!$M:$M,'SALES BY SYSTEM'!$O$4)</f>
        <v>0</v>
      </c>
      <c r="T822" s="182">
        <v>0</v>
      </c>
      <c r="U822" s="180" t="str">
        <f t="shared" si="125"/>
        <v/>
      </c>
      <c r="V822" s="218">
        <f>SUMIFS(DATA!$L:$L,DATA!$O:$O,$B826,DATA!$N:$N,$A826,DATA!$M:$M,'SALES BY SYSTEM'!$O$3)</f>
        <v>0</v>
      </c>
      <c r="W822" s="168"/>
    </row>
    <row r="823" spans="1:23" ht="15.75" customHeight="1" x14ac:dyDescent="0.25">
      <c r="A823" s="178" t="s">
        <v>121</v>
      </c>
      <c r="B823" s="178" t="s">
        <v>107</v>
      </c>
      <c r="C823" s="178" t="str">
        <f>VLOOKUP(A823,CUSTOMER!$A:$C,3,0)</f>
        <v>SD_TDGREEN</v>
      </c>
      <c r="D823" s="178" t="s">
        <v>674</v>
      </c>
      <c r="E823" s="178" t="str">
        <f>VLOOKUP(A827,CUSTOMER!$A$2:$H$1094,5,0)</f>
        <v>TRAN THI THAO NGUYEN</v>
      </c>
      <c r="F823" s="178" t="str">
        <f>VLOOKUP(A827,CUSTOMER!$A$2:$I$1094,6,0)</f>
        <v>VACANCY</v>
      </c>
      <c r="G823" s="178" t="str">
        <f>VLOOKUP(A827,CUSTOMER!$A$1:$J$1160,7,0)</f>
        <v>"NO PG"</v>
      </c>
      <c r="H823" s="179">
        <f t="shared" si="126"/>
        <v>0</v>
      </c>
      <c r="I823" s="180" t="str">
        <f t="shared" si="127"/>
        <v/>
      </c>
      <c r="J823" s="181">
        <f t="shared" si="128"/>
        <v>0</v>
      </c>
      <c r="K823" s="182">
        <v>0</v>
      </c>
      <c r="L823" s="180" t="str">
        <f t="shared" si="122"/>
        <v/>
      </c>
      <c r="M823" s="218">
        <f>SUMIFS(DATA!$L:$L,DATA!$O:$O,$B827,DATA!$N:$N,$A827,DATA!$M:$M,'SALES BY SYSTEM'!$O$1)</f>
        <v>0</v>
      </c>
      <c r="N823" s="182">
        <v>0</v>
      </c>
      <c r="O823" s="180" t="str">
        <f t="shared" si="123"/>
        <v/>
      </c>
      <c r="P823" s="218">
        <f>SUMIFS(DATA!$L:$L,DATA!$O:$O,$B827,DATA!$N:$N,$A827,DATA!$M:$M,'SALES BY SYSTEM'!$O$2)</f>
        <v>0</v>
      </c>
      <c r="Q823" s="182">
        <v>0</v>
      </c>
      <c r="R823" s="180" t="str">
        <f t="shared" si="124"/>
        <v/>
      </c>
      <c r="S823" s="218">
        <f>SUMIFS(DATA!$L:$L,DATA!$O:$O,$B827,DATA!$N:$N,$A827,DATA!$M:$M,'SALES BY SYSTEM'!$O$4)</f>
        <v>0</v>
      </c>
      <c r="T823" s="182">
        <v>0</v>
      </c>
      <c r="U823" s="180" t="str">
        <f t="shared" si="125"/>
        <v/>
      </c>
      <c r="V823" s="218">
        <f>SUMIFS(DATA!$L:$L,DATA!$O:$O,$B827,DATA!$N:$N,$A827,DATA!$M:$M,'SALES BY SYSTEM'!$O$3)</f>
        <v>0</v>
      </c>
      <c r="W823" s="168"/>
    </row>
    <row r="824" spans="1:23" ht="15.75" customHeight="1" x14ac:dyDescent="0.25">
      <c r="A824" s="178" t="s">
        <v>1403</v>
      </c>
      <c r="B824" s="178" t="s">
        <v>107</v>
      </c>
      <c r="C824" s="178" t="str">
        <f>VLOOKUP(A824,CUSTOMER!$A:$C,3,0)</f>
        <v>HD_VIN3T2</v>
      </c>
      <c r="D824" s="178" t="s">
        <v>674</v>
      </c>
      <c r="E824" s="178" t="str">
        <f>VLOOKUP(A828,CUSTOMER!$A$2:$H$1094,5,0)</f>
        <v>TRAN THI THAO NGUYEN</v>
      </c>
      <c r="F824" s="178" t="str">
        <f>VLOOKUP(A828,CUSTOMER!$A$2:$I$1094,6,0)</f>
        <v>VACANCY</v>
      </c>
      <c r="G824" s="178" t="str">
        <f>VLOOKUP(A828,CUSTOMER!$A$1:$J$1160,7,0)</f>
        <v>"NO PG"</v>
      </c>
      <c r="H824" s="179">
        <f t="shared" si="126"/>
        <v>0</v>
      </c>
      <c r="I824" s="180" t="str">
        <f t="shared" si="127"/>
        <v/>
      </c>
      <c r="J824" s="181">
        <f t="shared" si="128"/>
        <v>0</v>
      </c>
      <c r="K824" s="182">
        <v>0</v>
      </c>
      <c r="L824" s="180" t="str">
        <f t="shared" ref="L824:L855" si="129">IFERROR(M828/K828,"")</f>
        <v/>
      </c>
      <c r="M824" s="218">
        <f>SUMIFS(DATA!$L:$L,DATA!$O:$O,$B828,DATA!$N:$N,$A828,DATA!$M:$M,'SALES BY SYSTEM'!$O$1)</f>
        <v>0</v>
      </c>
      <c r="N824" s="182">
        <v>0</v>
      </c>
      <c r="O824" s="180" t="str">
        <f t="shared" ref="O824:O855" si="130">IFERROR(P828/N828,"")</f>
        <v/>
      </c>
      <c r="P824" s="218">
        <f>SUMIFS(DATA!$L:$L,DATA!$O:$O,$B828,DATA!$N:$N,$A828,DATA!$M:$M,'SALES BY SYSTEM'!$O$2)</f>
        <v>0</v>
      </c>
      <c r="Q824" s="182">
        <v>0</v>
      </c>
      <c r="R824" s="180" t="str">
        <f t="shared" ref="R824:R855" si="131">IFERROR(S828/Q828,"")</f>
        <v/>
      </c>
      <c r="S824" s="218">
        <f>SUMIFS(DATA!$L:$L,DATA!$O:$O,$B828,DATA!$N:$N,$A828,DATA!$M:$M,'SALES BY SYSTEM'!$O$4)</f>
        <v>0</v>
      </c>
      <c r="T824" s="182">
        <v>0</v>
      </c>
      <c r="U824" s="180" t="str">
        <f t="shared" ref="U824:U855" si="132">IFERROR(V828/T828,"")</f>
        <v/>
      </c>
      <c r="V824" s="218">
        <f>SUMIFS(DATA!$L:$L,DATA!$O:$O,$B828,DATA!$N:$N,$A828,DATA!$M:$M,'SALES BY SYSTEM'!$O$3)</f>
        <v>0</v>
      </c>
      <c r="W824" s="168"/>
    </row>
    <row r="825" spans="1:23" ht="15.75" customHeight="1" x14ac:dyDescent="0.25">
      <c r="A825" s="178" t="s">
        <v>109</v>
      </c>
      <c r="B825" s="178" t="s">
        <v>107</v>
      </c>
      <c r="C825" s="178" t="str">
        <f>VLOOKUP(A825,CUSTOMER!$A:$C,3,0)</f>
        <v>HD_NTS</v>
      </c>
      <c r="D825" s="178" t="s">
        <v>674</v>
      </c>
      <c r="E825" s="178" t="str">
        <f>VLOOKUP(A829,CUSTOMER!$A$2:$H$1094,5,0)</f>
        <v>TRAN THI THAO NGUYEN</v>
      </c>
      <c r="F825" s="178" t="str">
        <f>VLOOKUP(A829,CUSTOMER!$A$2:$I$1094,6,0)</f>
        <v>VACANCY</v>
      </c>
      <c r="G825" s="178" t="s">
        <v>676</v>
      </c>
      <c r="H825" s="179">
        <f t="shared" si="126"/>
        <v>0</v>
      </c>
      <c r="I825" s="180" t="str">
        <f t="shared" si="127"/>
        <v/>
      </c>
      <c r="J825" s="181">
        <f t="shared" si="128"/>
        <v>0</v>
      </c>
      <c r="K825" s="182">
        <v>0</v>
      </c>
      <c r="L825" s="180" t="str">
        <f t="shared" si="129"/>
        <v/>
      </c>
      <c r="M825" s="218">
        <f>SUMIFS(DATA!$L:$L,DATA!$O:$O,$B829,DATA!$N:$N,$A829,DATA!$M:$M,'SALES BY SYSTEM'!$O$1)</f>
        <v>0</v>
      </c>
      <c r="N825" s="182">
        <v>0</v>
      </c>
      <c r="O825" s="180" t="str">
        <f t="shared" si="130"/>
        <v/>
      </c>
      <c r="P825" s="218">
        <f>SUMIFS(DATA!$L:$L,DATA!$O:$O,$B829,DATA!$N:$N,$A829,DATA!$M:$M,'SALES BY SYSTEM'!$O$2)</f>
        <v>0</v>
      </c>
      <c r="Q825" s="182">
        <v>0</v>
      </c>
      <c r="R825" s="180" t="str">
        <f t="shared" si="131"/>
        <v/>
      </c>
      <c r="S825" s="218">
        <f>SUMIFS(DATA!$L:$L,DATA!$O:$O,$B829,DATA!$N:$N,$A829,DATA!$M:$M,'SALES BY SYSTEM'!$O$4)</f>
        <v>0</v>
      </c>
      <c r="T825" s="182">
        <v>0</v>
      </c>
      <c r="U825" s="180" t="str">
        <f t="shared" si="132"/>
        <v/>
      </c>
      <c r="V825" s="218">
        <f>SUMIFS(DATA!$L:$L,DATA!$O:$O,$B829,DATA!$N:$N,$A829,DATA!$M:$M,'SALES BY SYSTEM'!$O$3)</f>
        <v>0</v>
      </c>
      <c r="W825" s="168"/>
    </row>
    <row r="826" spans="1:23" ht="15.75" customHeight="1" x14ac:dyDescent="0.25">
      <c r="A826" s="178" t="s">
        <v>1739</v>
      </c>
      <c r="B826" s="178" t="s">
        <v>656</v>
      </c>
      <c r="C826" s="178" t="str">
        <f>VLOOKUP(A826,CUSTOMER!$A:$C,3,0)</f>
        <v>6527</v>
      </c>
      <c r="D826" s="178" t="s">
        <v>674</v>
      </c>
      <c r="E826" s="178" t="str">
        <f>VLOOKUP(A830,CUSTOMER!$A$2:$H$1094,5,0)</f>
        <v>TRAN THI THAO NGUYEN</v>
      </c>
      <c r="F826" s="178" t="str">
        <f>VLOOKUP(A830,CUSTOMER!$A$2:$I$1094,6,0)</f>
        <v>VACANCY</v>
      </c>
      <c r="G826" s="178" t="str">
        <f>VLOOKUP(A830,CUSTOMER!$A$1:$J$1160,7,0)</f>
        <v>"NO PG"</v>
      </c>
      <c r="H826" s="179">
        <f t="shared" si="126"/>
        <v>0</v>
      </c>
      <c r="I826" s="180" t="str">
        <f t="shared" si="127"/>
        <v/>
      </c>
      <c r="J826" s="181">
        <f t="shared" si="128"/>
        <v>0</v>
      </c>
      <c r="K826" s="182">
        <v>0</v>
      </c>
      <c r="L826" s="180" t="str">
        <f t="shared" si="129"/>
        <v/>
      </c>
      <c r="M826" s="218">
        <f>SUMIFS(DATA!$L:$L,DATA!$O:$O,$B830,DATA!$N:$N,$A830,DATA!$M:$M,'SALES BY SYSTEM'!$O$1)</f>
        <v>0</v>
      </c>
      <c r="N826" s="182">
        <v>0</v>
      </c>
      <c r="O826" s="180" t="str">
        <f t="shared" si="130"/>
        <v/>
      </c>
      <c r="P826" s="218">
        <f>SUMIFS(DATA!$L:$L,DATA!$O:$O,$B830,DATA!$N:$N,$A830,DATA!$M:$M,'SALES BY SYSTEM'!$O$2)</f>
        <v>0</v>
      </c>
      <c r="Q826" s="182">
        <v>0</v>
      </c>
      <c r="R826" s="180" t="str">
        <f t="shared" si="131"/>
        <v/>
      </c>
      <c r="S826" s="218">
        <f>SUMIFS(DATA!$L:$L,DATA!$O:$O,$B830,DATA!$N:$N,$A830,DATA!$M:$M,'SALES BY SYSTEM'!$O$4)</f>
        <v>0</v>
      </c>
      <c r="T826" s="182">
        <v>0</v>
      </c>
      <c r="U826" s="180" t="str">
        <f t="shared" si="132"/>
        <v/>
      </c>
      <c r="V826" s="218">
        <f>SUMIFS(DATA!$L:$L,DATA!$O:$O,$B830,DATA!$N:$N,$A830,DATA!$M:$M,'SALES BY SYSTEM'!$O$3)</f>
        <v>0</v>
      </c>
      <c r="W826" s="168"/>
    </row>
    <row r="827" spans="1:23" ht="15.75" customHeight="1" x14ac:dyDescent="0.25">
      <c r="A827" s="178" t="s">
        <v>649</v>
      </c>
      <c r="B827" s="178" t="s">
        <v>649</v>
      </c>
      <c r="C827" s="178" t="str">
        <f>VLOOKUP(A827,CUSTOMER!$A:$C,3,0)</f>
        <v>6208</v>
      </c>
      <c r="D827" s="178" t="s">
        <v>674</v>
      </c>
      <c r="E827" s="178" t="str">
        <f>VLOOKUP(A831,CUSTOMER!$A$2:$H$1094,5,0)</f>
        <v>TRAN THI THAO NGUYEN</v>
      </c>
      <c r="F827" s="178" t="str">
        <f>VLOOKUP(A831,CUSTOMER!$A$2:$I$1094,6,0)</f>
        <v>VACANCY</v>
      </c>
      <c r="G827" s="178" t="s">
        <v>676</v>
      </c>
      <c r="H827" s="179">
        <f t="shared" si="126"/>
        <v>0</v>
      </c>
      <c r="I827" s="180" t="str">
        <f t="shared" si="127"/>
        <v/>
      </c>
      <c r="J827" s="181">
        <f t="shared" si="128"/>
        <v>0</v>
      </c>
      <c r="K827" s="182">
        <v>0</v>
      </c>
      <c r="L827" s="180" t="str">
        <f t="shared" si="129"/>
        <v/>
      </c>
      <c r="M827" s="218">
        <f>SUMIFS(DATA!$L:$L,DATA!$O:$O,$B831,DATA!$N:$N,$A831,DATA!$M:$M,'SALES BY SYSTEM'!$O$1)</f>
        <v>0</v>
      </c>
      <c r="N827" s="182">
        <v>0</v>
      </c>
      <c r="O827" s="180" t="str">
        <f t="shared" si="130"/>
        <v/>
      </c>
      <c r="P827" s="218">
        <f>SUMIFS(DATA!$L:$L,DATA!$O:$O,$B831,DATA!$N:$N,$A831,DATA!$M:$M,'SALES BY SYSTEM'!$O$2)</f>
        <v>0</v>
      </c>
      <c r="Q827" s="182">
        <v>0</v>
      </c>
      <c r="R827" s="180" t="str">
        <f t="shared" si="131"/>
        <v/>
      </c>
      <c r="S827" s="218">
        <f>SUMIFS(DATA!$L:$L,DATA!$O:$O,$B831,DATA!$N:$N,$A831,DATA!$M:$M,'SALES BY SYSTEM'!$O$4)</f>
        <v>0</v>
      </c>
      <c r="T827" s="182">
        <v>0</v>
      </c>
      <c r="U827" s="180" t="str">
        <f t="shared" si="132"/>
        <v/>
      </c>
      <c r="V827" s="218">
        <f>SUMIFS(DATA!$L:$L,DATA!$O:$O,$B831,DATA!$N:$N,$A831,DATA!$M:$M,'SALES BY SYSTEM'!$O$3)</f>
        <v>0</v>
      </c>
      <c r="W827" s="168"/>
    </row>
    <row r="828" spans="1:23" ht="15.75" customHeight="1" x14ac:dyDescent="0.25">
      <c r="A828" s="178" t="s">
        <v>1521</v>
      </c>
      <c r="B828" s="178" t="s">
        <v>654</v>
      </c>
      <c r="C828" s="178" t="str">
        <f>VLOOKUP(A828,CUSTOMER!$A:$C,3,0)</f>
        <v>ME_CH69</v>
      </c>
      <c r="D828" s="178" t="s">
        <v>674</v>
      </c>
      <c r="E828" s="178" t="str">
        <f>VLOOKUP(A832,CUSTOMER!$A$2:$H$1094,5,0)</f>
        <v>TRAN THI THAO NGUYEN</v>
      </c>
      <c r="F828" s="178" t="str">
        <f>VLOOKUP(A832,CUSTOMER!$A$2:$I$1094,6,0)</f>
        <v>VACANCY</v>
      </c>
      <c r="G828" s="178" t="s">
        <v>676</v>
      </c>
      <c r="H828" s="179">
        <f t="shared" si="126"/>
        <v>0</v>
      </c>
      <c r="I828" s="180" t="str">
        <f t="shared" si="127"/>
        <v/>
      </c>
      <c r="J828" s="181">
        <f t="shared" si="128"/>
        <v>0</v>
      </c>
      <c r="K828" s="182">
        <v>0</v>
      </c>
      <c r="L828" s="180" t="str">
        <f t="shared" si="129"/>
        <v/>
      </c>
      <c r="M828" s="218">
        <f>SUMIFS(DATA!$L:$L,DATA!$O:$O,$B832,DATA!$N:$N,$A832,DATA!$M:$M,'SALES BY SYSTEM'!$O$1)</f>
        <v>0</v>
      </c>
      <c r="N828" s="182">
        <v>0</v>
      </c>
      <c r="O828" s="180" t="str">
        <f t="shared" si="130"/>
        <v/>
      </c>
      <c r="P828" s="218">
        <f>SUMIFS(DATA!$L:$L,DATA!$O:$O,$B832,DATA!$N:$N,$A832,DATA!$M:$M,'SALES BY SYSTEM'!$O$2)</f>
        <v>0</v>
      </c>
      <c r="Q828" s="182">
        <v>0</v>
      </c>
      <c r="R828" s="180" t="str">
        <f t="shared" si="131"/>
        <v/>
      </c>
      <c r="S828" s="218">
        <f>SUMIFS(DATA!$L:$L,DATA!$O:$O,$B832,DATA!$N:$N,$A832,DATA!$M:$M,'SALES BY SYSTEM'!$O$4)</f>
        <v>0</v>
      </c>
      <c r="T828" s="182">
        <v>0</v>
      </c>
      <c r="U828" s="180" t="str">
        <f t="shared" si="132"/>
        <v/>
      </c>
      <c r="V828" s="218">
        <f>SUMIFS(DATA!$L:$L,DATA!$O:$O,$B832,DATA!$N:$N,$A832,DATA!$M:$M,'SALES BY SYSTEM'!$O$3)</f>
        <v>0</v>
      </c>
      <c r="W828" s="168"/>
    </row>
    <row r="829" spans="1:23" ht="15.75" customHeight="1" x14ac:dyDescent="0.25">
      <c r="A829" s="178" t="s">
        <v>1523</v>
      </c>
      <c r="B829" s="178" t="s">
        <v>654</v>
      </c>
      <c r="C829" s="178" t="str">
        <f>VLOOKUP(A829,CUSTOMER!$A:$C,3,0)</f>
        <v>ME_CH46</v>
      </c>
      <c r="D829" s="178" t="s">
        <v>674</v>
      </c>
      <c r="E829" s="178" t="str">
        <f>VLOOKUP(A833,CUSTOMER!$A$2:$H$1094,5,0)</f>
        <v>TRAN THI THAO NGUYEN</v>
      </c>
      <c r="F829" s="178" t="str">
        <f>VLOOKUP(A833,CUSTOMER!$A$2:$I$1094,6,0)</f>
        <v>VACANCY</v>
      </c>
      <c r="G829" s="178" t="s">
        <v>676</v>
      </c>
      <c r="H829" s="179">
        <f t="shared" si="126"/>
        <v>0</v>
      </c>
      <c r="I829" s="180" t="str">
        <f t="shared" si="127"/>
        <v/>
      </c>
      <c r="J829" s="181">
        <f t="shared" si="128"/>
        <v>0</v>
      </c>
      <c r="K829" s="182">
        <v>0</v>
      </c>
      <c r="L829" s="180" t="str">
        <f t="shared" si="129"/>
        <v/>
      </c>
      <c r="M829" s="218">
        <f>SUMIFS(DATA!$L:$L,DATA!$O:$O,$B833,DATA!$N:$N,$A833,DATA!$M:$M,'SALES BY SYSTEM'!$O$1)</f>
        <v>0</v>
      </c>
      <c r="N829" s="182">
        <v>0</v>
      </c>
      <c r="O829" s="180" t="str">
        <f t="shared" si="130"/>
        <v/>
      </c>
      <c r="P829" s="218">
        <f>SUMIFS(DATA!$L:$L,DATA!$O:$O,$B833,DATA!$N:$N,$A833,DATA!$M:$M,'SALES BY SYSTEM'!$O$2)</f>
        <v>0</v>
      </c>
      <c r="Q829" s="182">
        <v>0</v>
      </c>
      <c r="R829" s="180" t="str">
        <f t="shared" si="131"/>
        <v/>
      </c>
      <c r="S829" s="218">
        <f>SUMIFS(DATA!$L:$L,DATA!$O:$O,$B833,DATA!$N:$N,$A833,DATA!$M:$M,'SALES BY SYSTEM'!$O$4)</f>
        <v>0</v>
      </c>
      <c r="T829" s="182">
        <v>0</v>
      </c>
      <c r="U829" s="180" t="str">
        <f t="shared" si="132"/>
        <v/>
      </c>
      <c r="V829" s="218">
        <f>SUMIFS(DATA!$L:$L,DATA!$O:$O,$B833,DATA!$N:$N,$A833,DATA!$M:$M,'SALES BY SYSTEM'!$O$3)</f>
        <v>0</v>
      </c>
      <c r="W829" s="168"/>
    </row>
    <row r="830" spans="1:23" ht="15.75" customHeight="1" x14ac:dyDescent="0.25">
      <c r="A830" s="178" t="s">
        <v>1525</v>
      </c>
      <c r="B830" s="178" t="s">
        <v>654</v>
      </c>
      <c r="C830" s="178" t="str">
        <f>VLOOKUP(A830,CUSTOMER!$A:$C,3,0)</f>
        <v>ME_CH130</v>
      </c>
      <c r="D830" s="178" t="s">
        <v>674</v>
      </c>
      <c r="E830" s="178" t="str">
        <f>VLOOKUP(A834,CUSTOMER!$A$2:$H$1094,5,0)</f>
        <v>TRAN THI THAO NGUYEN</v>
      </c>
      <c r="F830" s="178" t="str">
        <f>VLOOKUP(A834,CUSTOMER!$A$2:$I$1094,6,0)</f>
        <v>VACANCY</v>
      </c>
      <c r="G830" s="178" t="s">
        <v>676</v>
      </c>
      <c r="H830" s="179">
        <f t="shared" si="126"/>
        <v>0</v>
      </c>
      <c r="I830" s="180" t="str">
        <f t="shared" si="127"/>
        <v/>
      </c>
      <c r="J830" s="181">
        <f t="shared" si="128"/>
        <v>0</v>
      </c>
      <c r="K830" s="182">
        <v>0</v>
      </c>
      <c r="L830" s="180" t="str">
        <f t="shared" si="129"/>
        <v/>
      </c>
      <c r="M830" s="218">
        <f>SUMIFS(DATA!$L:$L,DATA!$O:$O,$B834,DATA!$N:$N,$A834,DATA!$M:$M,'SALES BY SYSTEM'!$O$1)</f>
        <v>0</v>
      </c>
      <c r="N830" s="182">
        <v>0</v>
      </c>
      <c r="O830" s="180" t="str">
        <f t="shared" si="130"/>
        <v/>
      </c>
      <c r="P830" s="218">
        <f>SUMIFS(DATA!$L:$L,DATA!$O:$O,$B834,DATA!$N:$N,$A834,DATA!$M:$M,'SALES BY SYSTEM'!$O$2)</f>
        <v>0</v>
      </c>
      <c r="Q830" s="182">
        <v>0</v>
      </c>
      <c r="R830" s="180" t="str">
        <f t="shared" si="131"/>
        <v/>
      </c>
      <c r="S830" s="218">
        <f>SUMIFS(DATA!$L:$L,DATA!$O:$O,$B834,DATA!$N:$N,$A834,DATA!$M:$M,'SALES BY SYSTEM'!$O$4)</f>
        <v>0</v>
      </c>
      <c r="T830" s="182">
        <v>0</v>
      </c>
      <c r="U830" s="180" t="str">
        <f t="shared" si="132"/>
        <v/>
      </c>
      <c r="V830" s="218">
        <f>SUMIFS(DATA!$L:$L,DATA!$O:$O,$B834,DATA!$N:$N,$A834,DATA!$M:$M,'SALES BY SYSTEM'!$O$3)</f>
        <v>0</v>
      </c>
      <c r="W830" s="168"/>
    </row>
    <row r="831" spans="1:23" ht="15.75" customHeight="1" x14ac:dyDescent="0.25">
      <c r="A831" s="178" t="s">
        <v>1527</v>
      </c>
      <c r="B831" s="178" t="s">
        <v>654</v>
      </c>
      <c r="C831" s="178" t="str">
        <f>VLOOKUP(A831,CUSTOMER!$A:$C,3,0)</f>
        <v>ME_CH116</v>
      </c>
      <c r="D831" s="178" t="s">
        <v>674</v>
      </c>
      <c r="E831" s="178" t="str">
        <f>VLOOKUP(A835,CUSTOMER!$A$2:$H$1094,5,0)</f>
        <v>TRAN THI THAO NGUYEN</v>
      </c>
      <c r="F831" s="178" t="str">
        <f>VLOOKUP(A835,CUSTOMER!$A$2:$I$1094,6,0)</f>
        <v>VACANCY</v>
      </c>
      <c r="G831" s="178" t="s">
        <v>676</v>
      </c>
      <c r="H831" s="179">
        <f t="shared" si="126"/>
        <v>0</v>
      </c>
      <c r="I831" s="180" t="str">
        <f t="shared" si="127"/>
        <v/>
      </c>
      <c r="J831" s="181">
        <f t="shared" si="128"/>
        <v>0</v>
      </c>
      <c r="K831" s="182">
        <v>0</v>
      </c>
      <c r="L831" s="180" t="str">
        <f t="shared" si="129"/>
        <v/>
      </c>
      <c r="M831" s="218">
        <f>SUMIFS(DATA!$L:$L,DATA!$O:$O,$B835,DATA!$N:$N,$A835,DATA!$M:$M,'SALES BY SYSTEM'!$O$1)</f>
        <v>0</v>
      </c>
      <c r="N831" s="182">
        <v>0</v>
      </c>
      <c r="O831" s="180" t="str">
        <f t="shared" si="130"/>
        <v/>
      </c>
      <c r="P831" s="218">
        <f>SUMIFS(DATA!$L:$L,DATA!$O:$O,$B835,DATA!$N:$N,$A835,DATA!$M:$M,'SALES BY SYSTEM'!$O$2)</f>
        <v>0</v>
      </c>
      <c r="Q831" s="182">
        <v>0</v>
      </c>
      <c r="R831" s="180" t="str">
        <f t="shared" si="131"/>
        <v/>
      </c>
      <c r="S831" s="218">
        <f>SUMIFS(DATA!$L:$L,DATA!$O:$O,$B835,DATA!$N:$N,$A835,DATA!$M:$M,'SALES BY SYSTEM'!$O$4)</f>
        <v>0</v>
      </c>
      <c r="T831" s="182">
        <v>0</v>
      </c>
      <c r="U831" s="180" t="str">
        <f t="shared" si="132"/>
        <v/>
      </c>
      <c r="V831" s="218">
        <f>SUMIFS(DATA!$L:$L,DATA!$O:$O,$B835,DATA!$N:$N,$A835,DATA!$M:$M,'SALES BY SYSTEM'!$O$3)</f>
        <v>0</v>
      </c>
      <c r="W831" s="168"/>
    </row>
    <row r="832" spans="1:23" ht="15.75" customHeight="1" x14ac:dyDescent="0.25">
      <c r="A832" s="178" t="s">
        <v>1529</v>
      </c>
      <c r="B832" s="178" t="s">
        <v>654</v>
      </c>
      <c r="C832" s="178" t="str">
        <f>VLOOKUP(A832,CUSTOMER!$A:$C,3,0)</f>
        <v>ME_CH123</v>
      </c>
      <c r="D832" s="178" t="s">
        <v>674</v>
      </c>
      <c r="E832" s="178" t="str">
        <f>VLOOKUP(A836,CUSTOMER!$A$2:$H$1094,5,0)</f>
        <v>TRAN THI THAO NGUYEN</v>
      </c>
      <c r="F832" s="178" t="str">
        <f>VLOOKUP(A836,CUSTOMER!$A$2:$I$1094,6,0)</f>
        <v>VACANCY</v>
      </c>
      <c r="G832" s="178" t="s">
        <v>676</v>
      </c>
      <c r="H832" s="179">
        <f t="shared" si="126"/>
        <v>0</v>
      </c>
      <c r="I832" s="180" t="str">
        <f t="shared" si="127"/>
        <v/>
      </c>
      <c r="J832" s="181">
        <f t="shared" si="128"/>
        <v>0</v>
      </c>
      <c r="K832" s="182">
        <v>0</v>
      </c>
      <c r="L832" s="180" t="str">
        <f t="shared" si="129"/>
        <v/>
      </c>
      <c r="M832" s="218">
        <f>SUMIFS(DATA!$L:$L,DATA!$O:$O,$B836,DATA!$N:$N,$A836,DATA!$M:$M,'SALES BY SYSTEM'!$O$1)</f>
        <v>0</v>
      </c>
      <c r="N832" s="182">
        <v>0</v>
      </c>
      <c r="O832" s="180" t="str">
        <f t="shared" si="130"/>
        <v/>
      </c>
      <c r="P832" s="218">
        <f>SUMIFS(DATA!$L:$L,DATA!$O:$O,$B836,DATA!$N:$N,$A836,DATA!$M:$M,'SALES BY SYSTEM'!$O$2)</f>
        <v>0</v>
      </c>
      <c r="Q832" s="182">
        <v>0</v>
      </c>
      <c r="R832" s="180" t="str">
        <f t="shared" si="131"/>
        <v/>
      </c>
      <c r="S832" s="218">
        <f>SUMIFS(DATA!$L:$L,DATA!$O:$O,$B836,DATA!$N:$N,$A836,DATA!$M:$M,'SALES BY SYSTEM'!$O$4)</f>
        <v>0</v>
      </c>
      <c r="T832" s="182">
        <v>0</v>
      </c>
      <c r="U832" s="180" t="str">
        <f t="shared" si="132"/>
        <v/>
      </c>
      <c r="V832" s="218">
        <f>SUMIFS(DATA!$L:$L,DATA!$O:$O,$B836,DATA!$N:$N,$A836,DATA!$M:$M,'SALES BY SYSTEM'!$O$3)</f>
        <v>0</v>
      </c>
      <c r="W832" s="168"/>
    </row>
    <row r="833" spans="1:23" ht="15.75" customHeight="1" x14ac:dyDescent="0.25">
      <c r="A833" s="178" t="s">
        <v>1531</v>
      </c>
      <c r="B833" s="178" t="s">
        <v>654</v>
      </c>
      <c r="C833" s="178" t="str">
        <f>VLOOKUP(A833,CUSTOMER!$A:$C,3,0)</f>
        <v>ME_CH7</v>
      </c>
      <c r="D833" s="178" t="s">
        <v>674</v>
      </c>
      <c r="E833" s="178" t="str">
        <f>VLOOKUP(A837,CUSTOMER!$A$2:$H$1094,5,0)</f>
        <v>TRAN THI THAO NGUYEN</v>
      </c>
      <c r="F833" s="178" t="str">
        <f>VLOOKUP(A837,CUSTOMER!$A$2:$I$1094,6,0)</f>
        <v>VACANCY</v>
      </c>
      <c r="G833" s="178" t="s">
        <v>676</v>
      </c>
      <c r="H833" s="179">
        <f t="shared" si="126"/>
        <v>0</v>
      </c>
      <c r="I833" s="180" t="str">
        <f t="shared" si="127"/>
        <v/>
      </c>
      <c r="J833" s="181">
        <f t="shared" si="128"/>
        <v>0</v>
      </c>
      <c r="K833" s="182">
        <v>0</v>
      </c>
      <c r="L833" s="180" t="str">
        <f t="shared" si="129"/>
        <v/>
      </c>
      <c r="M833" s="218">
        <f>SUMIFS(DATA!$L:$L,DATA!$O:$O,$B837,DATA!$N:$N,$A837,DATA!$M:$M,'SALES BY SYSTEM'!$O$1)</f>
        <v>0</v>
      </c>
      <c r="N833" s="182">
        <v>0</v>
      </c>
      <c r="O833" s="180" t="str">
        <f t="shared" si="130"/>
        <v/>
      </c>
      <c r="P833" s="218">
        <f>SUMIFS(DATA!$L:$L,DATA!$O:$O,$B837,DATA!$N:$N,$A837,DATA!$M:$M,'SALES BY SYSTEM'!$O$2)</f>
        <v>0</v>
      </c>
      <c r="Q833" s="182">
        <v>0</v>
      </c>
      <c r="R833" s="180" t="str">
        <f t="shared" si="131"/>
        <v/>
      </c>
      <c r="S833" s="218">
        <f>SUMIFS(DATA!$L:$L,DATA!$O:$O,$B837,DATA!$N:$N,$A837,DATA!$M:$M,'SALES BY SYSTEM'!$O$4)</f>
        <v>0</v>
      </c>
      <c r="T833" s="182">
        <v>0</v>
      </c>
      <c r="U833" s="180" t="str">
        <f t="shared" si="132"/>
        <v/>
      </c>
      <c r="V833" s="218">
        <f>SUMIFS(DATA!$L:$L,DATA!$O:$O,$B837,DATA!$N:$N,$A837,DATA!$M:$M,'SALES BY SYSTEM'!$O$3)</f>
        <v>0</v>
      </c>
      <c r="W833" s="168"/>
    </row>
    <row r="834" spans="1:23" ht="15.75" customHeight="1" x14ac:dyDescent="0.25">
      <c r="A834" s="178" t="s">
        <v>1533</v>
      </c>
      <c r="B834" s="178" t="s">
        <v>654</v>
      </c>
      <c r="C834" s="178" t="str">
        <f>VLOOKUP(A834,CUSTOMER!$A:$C,3,0)</f>
        <v>ME_CH18</v>
      </c>
      <c r="D834" s="178" t="s">
        <v>674</v>
      </c>
      <c r="E834" s="178" t="str">
        <f>VLOOKUP(A838,CUSTOMER!$A$2:$H$1094,5,0)</f>
        <v>TRAN THI THAO NGUYEN</v>
      </c>
      <c r="F834" s="178" t="str">
        <f>VLOOKUP(A838,CUSTOMER!$A$2:$I$1094,6,0)</f>
        <v>VACANCY</v>
      </c>
      <c r="G834" s="178" t="s">
        <v>676</v>
      </c>
      <c r="H834" s="179">
        <f t="shared" si="126"/>
        <v>0</v>
      </c>
      <c r="I834" s="180" t="str">
        <f t="shared" si="127"/>
        <v/>
      </c>
      <c r="J834" s="181">
        <f t="shared" si="128"/>
        <v>0</v>
      </c>
      <c r="K834" s="182">
        <v>0</v>
      </c>
      <c r="L834" s="180" t="str">
        <f t="shared" si="129"/>
        <v/>
      </c>
      <c r="M834" s="218">
        <f>SUMIFS(DATA!$L:$L,DATA!$O:$O,$B838,DATA!$N:$N,$A838,DATA!$M:$M,'SALES BY SYSTEM'!$O$1)</f>
        <v>0</v>
      </c>
      <c r="N834" s="182">
        <v>0</v>
      </c>
      <c r="O834" s="180" t="str">
        <f t="shared" si="130"/>
        <v/>
      </c>
      <c r="P834" s="218">
        <f>SUMIFS(DATA!$L:$L,DATA!$O:$O,$B838,DATA!$N:$N,$A838,DATA!$M:$M,'SALES BY SYSTEM'!$O$2)</f>
        <v>0</v>
      </c>
      <c r="Q834" s="182">
        <v>0</v>
      </c>
      <c r="R834" s="180" t="str">
        <f t="shared" si="131"/>
        <v/>
      </c>
      <c r="S834" s="218">
        <f>SUMIFS(DATA!$L:$L,DATA!$O:$O,$B838,DATA!$N:$N,$A838,DATA!$M:$M,'SALES BY SYSTEM'!$O$4)</f>
        <v>0</v>
      </c>
      <c r="T834" s="182">
        <v>0</v>
      </c>
      <c r="U834" s="180" t="str">
        <f t="shared" si="132"/>
        <v/>
      </c>
      <c r="V834" s="218">
        <f>SUMIFS(DATA!$L:$L,DATA!$O:$O,$B838,DATA!$N:$N,$A838,DATA!$M:$M,'SALES BY SYSTEM'!$O$3)</f>
        <v>0</v>
      </c>
      <c r="W834" s="168"/>
    </row>
    <row r="835" spans="1:23" ht="15.75" customHeight="1" x14ac:dyDescent="0.25">
      <c r="A835" s="178" t="s">
        <v>1535</v>
      </c>
      <c r="B835" s="178" t="s">
        <v>654</v>
      </c>
      <c r="C835" s="178" t="str">
        <f>VLOOKUP(A835,CUSTOMER!$A:$C,3,0)</f>
        <v>ME_CH15</v>
      </c>
      <c r="D835" s="178" t="s">
        <v>674</v>
      </c>
      <c r="E835" s="178" t="str">
        <f>VLOOKUP(A839,CUSTOMER!$A$2:$H$1094,5,0)</f>
        <v>TRAN THI THAO NGUYEN</v>
      </c>
      <c r="F835" s="178" t="str">
        <f>VLOOKUP(A839,CUSTOMER!$A$2:$I$1094,6,0)</f>
        <v>VACANCY</v>
      </c>
      <c r="G835" s="178" t="s">
        <v>676</v>
      </c>
      <c r="H835" s="179">
        <f t="shared" si="126"/>
        <v>0</v>
      </c>
      <c r="I835" s="180" t="str">
        <f t="shared" si="127"/>
        <v/>
      </c>
      <c r="J835" s="181">
        <f t="shared" si="128"/>
        <v>0</v>
      </c>
      <c r="K835" s="182">
        <v>0</v>
      </c>
      <c r="L835" s="180" t="str">
        <f t="shared" si="129"/>
        <v/>
      </c>
      <c r="M835" s="218">
        <f>SUMIFS(DATA!$L:$L,DATA!$O:$O,$B839,DATA!$N:$N,$A839,DATA!$M:$M,'SALES BY SYSTEM'!$O$1)</f>
        <v>0</v>
      </c>
      <c r="N835" s="182">
        <v>0</v>
      </c>
      <c r="O835" s="180" t="str">
        <f t="shared" si="130"/>
        <v/>
      </c>
      <c r="P835" s="218">
        <f>SUMIFS(DATA!$L:$L,DATA!$O:$O,$B839,DATA!$N:$N,$A839,DATA!$M:$M,'SALES BY SYSTEM'!$O$2)</f>
        <v>0</v>
      </c>
      <c r="Q835" s="182">
        <v>0</v>
      </c>
      <c r="R835" s="180" t="str">
        <f t="shared" si="131"/>
        <v/>
      </c>
      <c r="S835" s="218">
        <f>SUMIFS(DATA!$L:$L,DATA!$O:$O,$B839,DATA!$N:$N,$A839,DATA!$M:$M,'SALES BY SYSTEM'!$O$4)</f>
        <v>0</v>
      </c>
      <c r="T835" s="182">
        <v>0</v>
      </c>
      <c r="U835" s="180" t="str">
        <f t="shared" si="132"/>
        <v/>
      </c>
      <c r="V835" s="218">
        <f>SUMIFS(DATA!$L:$L,DATA!$O:$O,$B839,DATA!$N:$N,$A839,DATA!$M:$M,'SALES BY SYSTEM'!$O$3)</f>
        <v>0</v>
      </c>
      <c r="W835" s="168"/>
    </row>
    <row r="836" spans="1:23" ht="15.75" customHeight="1" x14ac:dyDescent="0.25">
      <c r="A836" s="178" t="s">
        <v>1537</v>
      </c>
      <c r="B836" s="178" t="s">
        <v>654</v>
      </c>
      <c r="C836" s="178" t="str">
        <f>VLOOKUP(A836,CUSTOMER!$A:$C,3,0)</f>
        <v>ME_CH86</v>
      </c>
      <c r="D836" s="178" t="s">
        <v>674</v>
      </c>
      <c r="E836" s="178" t="str">
        <f>VLOOKUP(A840,CUSTOMER!$A$2:$H$1094,5,0)</f>
        <v>TRAN THI THAO NGUYEN</v>
      </c>
      <c r="F836" s="178" t="str">
        <f>VLOOKUP(A840,CUSTOMER!$A$2:$I$1094,6,0)</f>
        <v>VACANCY</v>
      </c>
      <c r="G836" s="178" t="s">
        <v>676</v>
      </c>
      <c r="H836" s="179">
        <f t="shared" si="126"/>
        <v>0</v>
      </c>
      <c r="I836" s="180" t="str">
        <f t="shared" si="127"/>
        <v/>
      </c>
      <c r="J836" s="181">
        <f t="shared" si="128"/>
        <v>0</v>
      </c>
      <c r="K836" s="182">
        <v>0</v>
      </c>
      <c r="L836" s="180" t="str">
        <f t="shared" si="129"/>
        <v/>
      </c>
      <c r="M836" s="218">
        <f>SUMIFS(DATA!$L:$L,DATA!$O:$O,$B840,DATA!$N:$N,$A840,DATA!$M:$M,'SALES BY SYSTEM'!$O$1)</f>
        <v>0</v>
      </c>
      <c r="N836" s="182">
        <v>0</v>
      </c>
      <c r="O836" s="180" t="str">
        <f t="shared" si="130"/>
        <v/>
      </c>
      <c r="P836" s="218">
        <f>SUMIFS(DATA!$L:$L,DATA!$O:$O,$B840,DATA!$N:$N,$A840,DATA!$M:$M,'SALES BY SYSTEM'!$O$2)</f>
        <v>0</v>
      </c>
      <c r="Q836" s="182">
        <v>0</v>
      </c>
      <c r="R836" s="180" t="str">
        <f t="shared" si="131"/>
        <v/>
      </c>
      <c r="S836" s="218">
        <f>SUMIFS(DATA!$L:$L,DATA!$O:$O,$B840,DATA!$N:$N,$A840,DATA!$M:$M,'SALES BY SYSTEM'!$O$4)</f>
        <v>0</v>
      </c>
      <c r="T836" s="182">
        <v>0</v>
      </c>
      <c r="U836" s="180" t="str">
        <f t="shared" si="132"/>
        <v/>
      </c>
      <c r="V836" s="218">
        <f>SUMIFS(DATA!$L:$L,DATA!$O:$O,$B840,DATA!$N:$N,$A840,DATA!$M:$M,'SALES BY SYSTEM'!$O$3)</f>
        <v>0</v>
      </c>
      <c r="W836" s="168"/>
    </row>
    <row r="837" spans="1:23" ht="15.75" customHeight="1" x14ac:dyDescent="0.25">
      <c r="A837" s="178" t="s">
        <v>1539</v>
      </c>
      <c r="B837" s="178" t="s">
        <v>654</v>
      </c>
      <c r="C837" s="178" t="str">
        <f>VLOOKUP(A837,CUSTOMER!$A:$C,3,0)</f>
        <v>ME_CH33</v>
      </c>
      <c r="D837" s="178" t="s">
        <v>674</v>
      </c>
      <c r="E837" s="178" t="str">
        <f>VLOOKUP(A841,CUSTOMER!$A$2:$H$1094,5,0)</f>
        <v>TRAN THI THAO NGUYEN</v>
      </c>
      <c r="F837" s="178" t="str">
        <f>VLOOKUP(A841,CUSTOMER!$A$2:$I$1094,6,0)</f>
        <v>VACANCY</v>
      </c>
      <c r="G837" s="178" t="s">
        <v>676</v>
      </c>
      <c r="H837" s="179">
        <f t="shared" si="126"/>
        <v>0</v>
      </c>
      <c r="I837" s="180" t="str">
        <f t="shared" si="127"/>
        <v/>
      </c>
      <c r="J837" s="181">
        <f t="shared" si="128"/>
        <v>0</v>
      </c>
      <c r="K837" s="182">
        <v>0</v>
      </c>
      <c r="L837" s="180" t="str">
        <f t="shared" si="129"/>
        <v/>
      </c>
      <c r="M837" s="218">
        <f>SUMIFS(DATA!$L:$L,DATA!$O:$O,$B841,DATA!$N:$N,$A841,DATA!$M:$M,'SALES BY SYSTEM'!$O$1)</f>
        <v>0</v>
      </c>
      <c r="N837" s="182">
        <v>0</v>
      </c>
      <c r="O837" s="180" t="str">
        <f t="shared" si="130"/>
        <v/>
      </c>
      <c r="P837" s="218">
        <f>SUMIFS(DATA!$L:$L,DATA!$O:$O,$B841,DATA!$N:$N,$A841,DATA!$M:$M,'SALES BY SYSTEM'!$O$2)</f>
        <v>0</v>
      </c>
      <c r="Q837" s="182">
        <v>0</v>
      </c>
      <c r="R837" s="180" t="str">
        <f t="shared" si="131"/>
        <v/>
      </c>
      <c r="S837" s="218">
        <f>SUMIFS(DATA!$L:$L,DATA!$O:$O,$B841,DATA!$N:$N,$A841,DATA!$M:$M,'SALES BY SYSTEM'!$O$4)</f>
        <v>0</v>
      </c>
      <c r="T837" s="182">
        <v>0</v>
      </c>
      <c r="U837" s="180" t="str">
        <f t="shared" si="132"/>
        <v/>
      </c>
      <c r="V837" s="218">
        <f>SUMIFS(DATA!$L:$L,DATA!$O:$O,$B841,DATA!$N:$N,$A841,DATA!$M:$M,'SALES BY SYSTEM'!$O$3)</f>
        <v>0</v>
      </c>
      <c r="W837" s="168"/>
    </row>
    <row r="838" spans="1:23" ht="15.75" customHeight="1" x14ac:dyDescent="0.25">
      <c r="A838" s="178" t="s">
        <v>1541</v>
      </c>
      <c r="B838" s="178" t="s">
        <v>654</v>
      </c>
      <c r="C838" s="178" t="str">
        <f>VLOOKUP(A838,CUSTOMER!$A:$C,3,0)</f>
        <v>ME_CH38</v>
      </c>
      <c r="D838" s="178" t="s">
        <v>674</v>
      </c>
      <c r="E838" s="178" t="str">
        <f>VLOOKUP(A842,CUSTOMER!$A$2:$H$1094,5,0)</f>
        <v>TRAN THI THAO NGUYEN</v>
      </c>
      <c r="F838" s="178" t="str">
        <f>VLOOKUP(A842,CUSTOMER!$A$2:$I$1094,6,0)</f>
        <v>VACANCY</v>
      </c>
      <c r="G838" s="178" t="s">
        <v>676</v>
      </c>
      <c r="H838" s="179">
        <f t="shared" si="126"/>
        <v>0</v>
      </c>
      <c r="I838" s="180" t="str">
        <f t="shared" si="127"/>
        <v/>
      </c>
      <c r="J838" s="181">
        <f t="shared" si="128"/>
        <v>0</v>
      </c>
      <c r="K838" s="182">
        <v>0</v>
      </c>
      <c r="L838" s="180" t="str">
        <f t="shared" si="129"/>
        <v/>
      </c>
      <c r="M838" s="218">
        <f>SUMIFS(DATA!$L:$L,DATA!$O:$O,$B842,DATA!$N:$N,$A842,DATA!$M:$M,'SALES BY SYSTEM'!$O$1)</f>
        <v>0</v>
      </c>
      <c r="N838" s="182">
        <v>0</v>
      </c>
      <c r="O838" s="180" t="str">
        <f t="shared" si="130"/>
        <v/>
      </c>
      <c r="P838" s="218">
        <f>SUMIFS(DATA!$L:$L,DATA!$O:$O,$B842,DATA!$N:$N,$A842,DATA!$M:$M,'SALES BY SYSTEM'!$O$2)</f>
        <v>0</v>
      </c>
      <c r="Q838" s="182">
        <v>0</v>
      </c>
      <c r="R838" s="180" t="str">
        <f t="shared" si="131"/>
        <v/>
      </c>
      <c r="S838" s="218">
        <f>SUMIFS(DATA!$L:$L,DATA!$O:$O,$B842,DATA!$N:$N,$A842,DATA!$M:$M,'SALES BY SYSTEM'!$O$4)</f>
        <v>0</v>
      </c>
      <c r="T838" s="182">
        <v>0</v>
      </c>
      <c r="U838" s="180" t="str">
        <f t="shared" si="132"/>
        <v/>
      </c>
      <c r="V838" s="218">
        <f>SUMIFS(DATA!$L:$L,DATA!$O:$O,$B842,DATA!$N:$N,$A842,DATA!$M:$M,'SALES BY SYSTEM'!$O$3)</f>
        <v>0</v>
      </c>
      <c r="W838" s="168"/>
    </row>
    <row r="839" spans="1:23" ht="15.75" customHeight="1" x14ac:dyDescent="0.25">
      <c r="A839" s="178" t="s">
        <v>1543</v>
      </c>
      <c r="B839" s="178" t="s">
        <v>654</v>
      </c>
      <c r="C839" s="178" t="str">
        <f>VLOOKUP(A839,CUSTOMER!$A:$C,3,0)</f>
        <v>ME_CH52</v>
      </c>
      <c r="D839" s="178" t="s">
        <v>674</v>
      </c>
      <c r="E839" s="178" t="str">
        <f>VLOOKUP(A843,CUSTOMER!$A$2:$H$1094,5,0)</f>
        <v>TRAN THI THAO NGUYEN</v>
      </c>
      <c r="F839" s="178" t="str">
        <f>VLOOKUP(A843,CUSTOMER!$A$2:$I$1094,6,0)</f>
        <v>VACANCY</v>
      </c>
      <c r="G839" s="178" t="s">
        <v>676</v>
      </c>
      <c r="H839" s="179">
        <f t="shared" si="126"/>
        <v>0</v>
      </c>
      <c r="I839" s="180" t="str">
        <f t="shared" si="127"/>
        <v/>
      </c>
      <c r="J839" s="181">
        <f t="shared" si="128"/>
        <v>0</v>
      </c>
      <c r="K839" s="182">
        <v>0</v>
      </c>
      <c r="L839" s="180" t="str">
        <f t="shared" si="129"/>
        <v/>
      </c>
      <c r="M839" s="218">
        <f>SUMIFS(DATA!$L:$L,DATA!$O:$O,$B843,DATA!$N:$N,$A843,DATA!$M:$M,'SALES BY SYSTEM'!$O$1)</f>
        <v>0</v>
      </c>
      <c r="N839" s="182">
        <v>0</v>
      </c>
      <c r="O839" s="180" t="str">
        <f t="shared" si="130"/>
        <v/>
      </c>
      <c r="P839" s="218">
        <f>SUMIFS(DATA!$L:$L,DATA!$O:$O,$B843,DATA!$N:$N,$A843,DATA!$M:$M,'SALES BY SYSTEM'!$O$2)</f>
        <v>0</v>
      </c>
      <c r="Q839" s="182">
        <v>0</v>
      </c>
      <c r="R839" s="180" t="str">
        <f t="shared" si="131"/>
        <v/>
      </c>
      <c r="S839" s="218">
        <f>SUMIFS(DATA!$L:$L,DATA!$O:$O,$B843,DATA!$N:$N,$A843,DATA!$M:$M,'SALES BY SYSTEM'!$O$4)</f>
        <v>0</v>
      </c>
      <c r="T839" s="182">
        <v>0</v>
      </c>
      <c r="U839" s="180" t="str">
        <f t="shared" si="132"/>
        <v/>
      </c>
      <c r="V839" s="218">
        <f>SUMIFS(DATA!$L:$L,DATA!$O:$O,$B843,DATA!$N:$N,$A843,DATA!$M:$M,'SALES BY SYSTEM'!$O$3)</f>
        <v>0</v>
      </c>
      <c r="W839" s="168"/>
    </row>
    <row r="840" spans="1:23" ht="15.75" customHeight="1" x14ac:dyDescent="0.25">
      <c r="A840" s="178" t="s">
        <v>1545</v>
      </c>
      <c r="B840" s="178" t="s">
        <v>654</v>
      </c>
      <c r="C840" s="178" t="str">
        <f>VLOOKUP(A840,CUSTOMER!$A:$C,3,0)</f>
        <v>ME_CH53</v>
      </c>
      <c r="D840" s="178" t="s">
        <v>674</v>
      </c>
      <c r="E840" s="178" t="str">
        <f>VLOOKUP(A844,CUSTOMER!$A$2:$H$1094,5,0)</f>
        <v>TRAN THI THAO NGUYEN</v>
      </c>
      <c r="F840" s="178" t="str">
        <f>VLOOKUP(A844,CUSTOMER!$A$2:$I$1094,6,0)</f>
        <v>VACANCY</v>
      </c>
      <c r="G840" s="178" t="s">
        <v>676</v>
      </c>
      <c r="H840" s="179">
        <f t="shared" si="126"/>
        <v>0</v>
      </c>
      <c r="I840" s="180" t="str">
        <f t="shared" si="127"/>
        <v/>
      </c>
      <c r="J840" s="181">
        <f t="shared" si="128"/>
        <v>0</v>
      </c>
      <c r="K840" s="182">
        <v>0</v>
      </c>
      <c r="L840" s="180" t="str">
        <f t="shared" si="129"/>
        <v/>
      </c>
      <c r="M840" s="218">
        <f>SUMIFS(DATA!$L:$L,DATA!$O:$O,$B844,DATA!$N:$N,$A844,DATA!$M:$M,'SALES BY SYSTEM'!$O$1)</f>
        <v>0</v>
      </c>
      <c r="N840" s="182">
        <v>0</v>
      </c>
      <c r="O840" s="180" t="str">
        <f t="shared" si="130"/>
        <v/>
      </c>
      <c r="P840" s="218">
        <f>SUMIFS(DATA!$L:$L,DATA!$O:$O,$B844,DATA!$N:$N,$A844,DATA!$M:$M,'SALES BY SYSTEM'!$O$2)</f>
        <v>0</v>
      </c>
      <c r="Q840" s="182">
        <v>0</v>
      </c>
      <c r="R840" s="180" t="str">
        <f t="shared" si="131"/>
        <v/>
      </c>
      <c r="S840" s="218">
        <f>SUMIFS(DATA!$L:$L,DATA!$O:$O,$B844,DATA!$N:$N,$A844,DATA!$M:$M,'SALES BY SYSTEM'!$O$4)</f>
        <v>0</v>
      </c>
      <c r="T840" s="182">
        <v>0</v>
      </c>
      <c r="U840" s="180" t="str">
        <f t="shared" si="132"/>
        <v/>
      </c>
      <c r="V840" s="218">
        <f>SUMIFS(DATA!$L:$L,DATA!$O:$O,$B844,DATA!$N:$N,$A844,DATA!$M:$M,'SALES BY SYSTEM'!$O$3)</f>
        <v>0</v>
      </c>
      <c r="W840" s="168"/>
    </row>
    <row r="841" spans="1:23" ht="15.75" customHeight="1" x14ac:dyDescent="0.25">
      <c r="A841" s="178" t="s">
        <v>1548</v>
      </c>
      <c r="B841" s="178" t="s">
        <v>654</v>
      </c>
      <c r="C841" s="178" t="str">
        <f>VLOOKUP(A841,CUSTOMER!$A:$C,3,0)</f>
        <v>ME_CH47</v>
      </c>
      <c r="D841" s="178" t="s">
        <v>674</v>
      </c>
      <c r="E841" s="178" t="str">
        <f>VLOOKUP(A845,CUSTOMER!$A$2:$H$1094,5,0)</f>
        <v>TRAN THI THAO NGUYEN</v>
      </c>
      <c r="F841" s="178" t="str">
        <f>VLOOKUP(A845,CUSTOMER!$A$2:$I$1094,6,0)</f>
        <v>VACANCY</v>
      </c>
      <c r="G841" s="178" t="s">
        <v>676</v>
      </c>
      <c r="H841" s="179">
        <f t="shared" si="126"/>
        <v>0</v>
      </c>
      <c r="I841" s="180" t="str">
        <f t="shared" si="127"/>
        <v/>
      </c>
      <c r="J841" s="181">
        <f t="shared" si="128"/>
        <v>0</v>
      </c>
      <c r="K841" s="182">
        <v>0</v>
      </c>
      <c r="L841" s="180" t="str">
        <f t="shared" si="129"/>
        <v/>
      </c>
      <c r="M841" s="218">
        <f>SUMIFS(DATA!$L:$L,DATA!$O:$O,$B845,DATA!$N:$N,$A845,DATA!$M:$M,'SALES BY SYSTEM'!$O$1)</f>
        <v>0</v>
      </c>
      <c r="N841" s="182">
        <v>0</v>
      </c>
      <c r="O841" s="180" t="str">
        <f t="shared" si="130"/>
        <v/>
      </c>
      <c r="P841" s="218">
        <f>SUMIFS(DATA!$L:$L,DATA!$O:$O,$B845,DATA!$N:$N,$A845,DATA!$M:$M,'SALES BY SYSTEM'!$O$2)</f>
        <v>0</v>
      </c>
      <c r="Q841" s="182">
        <v>0</v>
      </c>
      <c r="R841" s="180" t="str">
        <f t="shared" si="131"/>
        <v/>
      </c>
      <c r="S841" s="218">
        <f>SUMIFS(DATA!$L:$L,DATA!$O:$O,$B845,DATA!$N:$N,$A845,DATA!$M:$M,'SALES BY SYSTEM'!$O$4)</f>
        <v>0</v>
      </c>
      <c r="T841" s="182">
        <v>0</v>
      </c>
      <c r="U841" s="180" t="str">
        <f t="shared" si="132"/>
        <v/>
      </c>
      <c r="V841" s="218">
        <f>SUMIFS(DATA!$L:$L,DATA!$O:$O,$B845,DATA!$N:$N,$A845,DATA!$M:$M,'SALES BY SYSTEM'!$O$3)</f>
        <v>0</v>
      </c>
      <c r="W841" s="168"/>
    </row>
    <row r="842" spans="1:23" ht="15.75" customHeight="1" x14ac:dyDescent="0.25">
      <c r="A842" s="178" t="s">
        <v>1550</v>
      </c>
      <c r="B842" s="178" t="s">
        <v>654</v>
      </c>
      <c r="C842" s="178" t="str">
        <f>VLOOKUP(A842,CUSTOMER!$A:$C,3,0)</f>
        <v>ME_CH64</v>
      </c>
      <c r="D842" s="178" t="s">
        <v>674</v>
      </c>
      <c r="E842" s="178" t="str">
        <f>VLOOKUP(A846,CUSTOMER!$A$2:$H$1094,5,0)</f>
        <v>TRAN THI THAO NGUYEN</v>
      </c>
      <c r="F842" s="178" t="str">
        <f>VLOOKUP(A846,CUSTOMER!$A$2:$I$1094,6,0)</f>
        <v>VACANCY</v>
      </c>
      <c r="G842" s="178" t="s">
        <v>676</v>
      </c>
      <c r="H842" s="179">
        <f t="shared" si="126"/>
        <v>0</v>
      </c>
      <c r="I842" s="180" t="str">
        <f t="shared" si="127"/>
        <v/>
      </c>
      <c r="J842" s="181">
        <f t="shared" si="128"/>
        <v>0</v>
      </c>
      <c r="K842" s="182">
        <v>0</v>
      </c>
      <c r="L842" s="180" t="str">
        <f t="shared" si="129"/>
        <v/>
      </c>
      <c r="M842" s="218">
        <f>SUMIFS(DATA!$L:$L,DATA!$O:$O,$B846,DATA!$N:$N,$A846,DATA!$M:$M,'SALES BY SYSTEM'!$O$1)</f>
        <v>0</v>
      </c>
      <c r="N842" s="182">
        <v>0</v>
      </c>
      <c r="O842" s="180" t="str">
        <f t="shared" si="130"/>
        <v/>
      </c>
      <c r="P842" s="218">
        <f>SUMIFS(DATA!$L:$L,DATA!$O:$O,$B846,DATA!$N:$N,$A846,DATA!$M:$M,'SALES BY SYSTEM'!$O$2)</f>
        <v>0</v>
      </c>
      <c r="Q842" s="182">
        <v>0</v>
      </c>
      <c r="R842" s="180" t="str">
        <f t="shared" si="131"/>
        <v/>
      </c>
      <c r="S842" s="218">
        <f>SUMIFS(DATA!$L:$L,DATA!$O:$O,$B846,DATA!$N:$N,$A846,DATA!$M:$M,'SALES BY SYSTEM'!$O$4)</f>
        <v>0</v>
      </c>
      <c r="T842" s="182">
        <v>0</v>
      </c>
      <c r="U842" s="180" t="str">
        <f t="shared" si="132"/>
        <v/>
      </c>
      <c r="V842" s="218">
        <f>SUMIFS(DATA!$L:$L,DATA!$O:$O,$B846,DATA!$N:$N,$A846,DATA!$M:$M,'SALES BY SYSTEM'!$O$3)</f>
        <v>0</v>
      </c>
      <c r="W842" s="168"/>
    </row>
    <row r="843" spans="1:23" ht="15.75" customHeight="1" x14ac:dyDescent="0.25">
      <c r="A843" s="178" t="s">
        <v>1552</v>
      </c>
      <c r="B843" s="178" t="s">
        <v>654</v>
      </c>
      <c r="C843" s="178" t="str">
        <f>VLOOKUP(A843,CUSTOMER!$A:$C,3,0)</f>
        <v>ME_CH40</v>
      </c>
      <c r="D843" s="178" t="s">
        <v>674</v>
      </c>
      <c r="E843" s="178" t="str">
        <f>VLOOKUP(A847,CUSTOMER!$A$2:$H$1094,5,0)</f>
        <v>TRAN THI THAO NGUYEN</v>
      </c>
      <c r="F843" s="178" t="str">
        <f>VLOOKUP(A847,CUSTOMER!$A$2:$I$1094,6,0)</f>
        <v>VACANCY</v>
      </c>
      <c r="G843" s="178" t="s">
        <v>676</v>
      </c>
      <c r="H843" s="179">
        <f t="shared" si="126"/>
        <v>0</v>
      </c>
      <c r="I843" s="180" t="str">
        <f t="shared" si="127"/>
        <v/>
      </c>
      <c r="J843" s="181">
        <f t="shared" si="128"/>
        <v>0</v>
      </c>
      <c r="K843" s="182">
        <v>0</v>
      </c>
      <c r="L843" s="180" t="str">
        <f t="shared" si="129"/>
        <v/>
      </c>
      <c r="M843" s="218">
        <f>SUMIFS(DATA!$L:$L,DATA!$O:$O,$B847,DATA!$N:$N,$A847,DATA!$M:$M,'SALES BY SYSTEM'!$O$1)</f>
        <v>0</v>
      </c>
      <c r="N843" s="182">
        <v>0</v>
      </c>
      <c r="O843" s="180" t="str">
        <f t="shared" si="130"/>
        <v/>
      </c>
      <c r="P843" s="218">
        <f>SUMIFS(DATA!$L:$L,DATA!$O:$O,$B847,DATA!$N:$N,$A847,DATA!$M:$M,'SALES BY SYSTEM'!$O$2)</f>
        <v>0</v>
      </c>
      <c r="Q843" s="182">
        <v>0</v>
      </c>
      <c r="R843" s="180" t="str">
        <f t="shared" si="131"/>
        <v/>
      </c>
      <c r="S843" s="218">
        <f>SUMIFS(DATA!$L:$L,DATA!$O:$O,$B847,DATA!$N:$N,$A847,DATA!$M:$M,'SALES BY SYSTEM'!$O$4)</f>
        <v>0</v>
      </c>
      <c r="T843" s="182">
        <v>0</v>
      </c>
      <c r="U843" s="180" t="str">
        <f t="shared" si="132"/>
        <v/>
      </c>
      <c r="V843" s="218">
        <f>SUMIFS(DATA!$L:$L,DATA!$O:$O,$B847,DATA!$N:$N,$A847,DATA!$M:$M,'SALES BY SYSTEM'!$O$3)</f>
        <v>0</v>
      </c>
      <c r="W843" s="168"/>
    </row>
    <row r="844" spans="1:23" ht="15.75" customHeight="1" x14ac:dyDescent="0.25">
      <c r="A844" s="178" t="s">
        <v>1554</v>
      </c>
      <c r="B844" s="178" t="s">
        <v>654</v>
      </c>
      <c r="C844" s="178" t="str">
        <f>VLOOKUP(A844,CUSTOMER!$A:$C,3,0)</f>
        <v>ME_CH84</v>
      </c>
      <c r="D844" s="178" t="s">
        <v>674</v>
      </c>
      <c r="E844" s="178" t="str">
        <f>VLOOKUP(A848,CUSTOMER!$A$2:$H$1094,5,0)</f>
        <v>TRAN THI THAO NGUYEN</v>
      </c>
      <c r="F844" s="178" t="str">
        <f>VLOOKUP(A848,CUSTOMER!$A$2:$I$1094,6,0)</f>
        <v>VACANCY</v>
      </c>
      <c r="G844" s="178" t="s">
        <v>676</v>
      </c>
      <c r="H844" s="179">
        <f t="shared" si="126"/>
        <v>0</v>
      </c>
      <c r="I844" s="180" t="str">
        <f t="shared" si="127"/>
        <v/>
      </c>
      <c r="J844" s="181">
        <f t="shared" si="128"/>
        <v>0</v>
      </c>
      <c r="K844" s="182">
        <v>0</v>
      </c>
      <c r="L844" s="180" t="str">
        <f t="shared" si="129"/>
        <v/>
      </c>
      <c r="M844" s="218">
        <f>SUMIFS(DATA!$L:$L,DATA!$O:$O,$B848,DATA!$N:$N,$A848,DATA!$M:$M,'SALES BY SYSTEM'!$O$1)</f>
        <v>0</v>
      </c>
      <c r="N844" s="182">
        <v>0</v>
      </c>
      <c r="O844" s="180" t="str">
        <f t="shared" si="130"/>
        <v/>
      </c>
      <c r="P844" s="218">
        <f>SUMIFS(DATA!$L:$L,DATA!$O:$O,$B848,DATA!$N:$N,$A848,DATA!$M:$M,'SALES BY SYSTEM'!$O$2)</f>
        <v>0</v>
      </c>
      <c r="Q844" s="182">
        <v>0</v>
      </c>
      <c r="R844" s="180" t="str">
        <f t="shared" si="131"/>
        <v/>
      </c>
      <c r="S844" s="218">
        <f>SUMIFS(DATA!$L:$L,DATA!$O:$O,$B848,DATA!$N:$N,$A848,DATA!$M:$M,'SALES BY SYSTEM'!$O$4)</f>
        <v>0</v>
      </c>
      <c r="T844" s="182">
        <v>0</v>
      </c>
      <c r="U844" s="180" t="str">
        <f t="shared" si="132"/>
        <v/>
      </c>
      <c r="V844" s="218">
        <f>SUMIFS(DATA!$L:$L,DATA!$O:$O,$B848,DATA!$N:$N,$A848,DATA!$M:$M,'SALES BY SYSTEM'!$O$3)</f>
        <v>0</v>
      </c>
      <c r="W844" s="168"/>
    </row>
    <row r="845" spans="1:23" ht="15.75" customHeight="1" x14ac:dyDescent="0.25">
      <c r="A845" s="178" t="s">
        <v>1556</v>
      </c>
      <c r="B845" s="178" t="s">
        <v>654</v>
      </c>
      <c r="C845" s="178" t="str">
        <f>VLOOKUP(A845,CUSTOMER!$A:$C,3,0)</f>
        <v>ME_CH107</v>
      </c>
      <c r="D845" s="178" t="s">
        <v>674</v>
      </c>
      <c r="E845" s="178" t="str">
        <f>VLOOKUP(A849,CUSTOMER!$A$2:$H$1094,5,0)</f>
        <v>TRAN THI THAO NGUYEN</v>
      </c>
      <c r="F845" s="178" t="str">
        <f>VLOOKUP(A849,CUSTOMER!$A$2:$I$1094,6,0)</f>
        <v>VACANCY</v>
      </c>
      <c r="G845" s="178" t="s">
        <v>676</v>
      </c>
      <c r="H845" s="179">
        <f t="shared" si="126"/>
        <v>0</v>
      </c>
      <c r="I845" s="180" t="str">
        <f t="shared" si="127"/>
        <v/>
      </c>
      <c r="J845" s="181">
        <f t="shared" si="128"/>
        <v>0</v>
      </c>
      <c r="K845" s="182">
        <v>0</v>
      </c>
      <c r="L845" s="180" t="str">
        <f t="shared" si="129"/>
        <v/>
      </c>
      <c r="M845" s="218">
        <f>SUMIFS(DATA!$L:$L,DATA!$O:$O,$B849,DATA!$N:$N,$A849,DATA!$M:$M,'SALES BY SYSTEM'!$O$1)</f>
        <v>0</v>
      </c>
      <c r="N845" s="182">
        <v>0</v>
      </c>
      <c r="O845" s="180" t="str">
        <f t="shared" si="130"/>
        <v/>
      </c>
      <c r="P845" s="218">
        <f>SUMIFS(DATA!$L:$L,DATA!$O:$O,$B849,DATA!$N:$N,$A849,DATA!$M:$M,'SALES BY SYSTEM'!$O$2)</f>
        <v>0</v>
      </c>
      <c r="Q845" s="182">
        <v>0</v>
      </c>
      <c r="R845" s="180" t="str">
        <f t="shared" si="131"/>
        <v/>
      </c>
      <c r="S845" s="218">
        <f>SUMIFS(DATA!$L:$L,DATA!$O:$O,$B849,DATA!$N:$N,$A849,DATA!$M:$M,'SALES BY SYSTEM'!$O$4)</f>
        <v>0</v>
      </c>
      <c r="T845" s="182">
        <v>0</v>
      </c>
      <c r="U845" s="180" t="str">
        <f t="shared" si="132"/>
        <v/>
      </c>
      <c r="V845" s="218">
        <f>SUMIFS(DATA!$L:$L,DATA!$O:$O,$B849,DATA!$N:$N,$A849,DATA!$M:$M,'SALES BY SYSTEM'!$O$3)</f>
        <v>0</v>
      </c>
      <c r="W845" s="168"/>
    </row>
    <row r="846" spans="1:23" ht="15.75" customHeight="1" x14ac:dyDescent="0.25">
      <c r="A846" s="178" t="s">
        <v>1558</v>
      </c>
      <c r="B846" s="178" t="s">
        <v>654</v>
      </c>
      <c r="C846" s="178" t="str">
        <f>VLOOKUP(A846,CUSTOMER!$A:$C,3,0)</f>
        <v>ME_CH37</v>
      </c>
      <c r="D846" s="178" t="s">
        <v>674</v>
      </c>
      <c r="E846" s="178" t="str">
        <f>VLOOKUP(A850,CUSTOMER!$A$2:$H$1094,5,0)</f>
        <v>TRAN THI THAO NGUYEN</v>
      </c>
      <c r="F846" s="178" t="str">
        <f>VLOOKUP(A850,CUSTOMER!$A$2:$I$1094,6,0)</f>
        <v>VACANCY</v>
      </c>
      <c r="G846" s="178" t="s">
        <v>676</v>
      </c>
      <c r="H846" s="179">
        <f t="shared" si="126"/>
        <v>0</v>
      </c>
      <c r="I846" s="180" t="str">
        <f t="shared" si="127"/>
        <v/>
      </c>
      <c r="J846" s="181">
        <f t="shared" si="128"/>
        <v>0</v>
      </c>
      <c r="K846" s="182">
        <v>0</v>
      </c>
      <c r="L846" s="180" t="str">
        <f t="shared" si="129"/>
        <v/>
      </c>
      <c r="M846" s="218">
        <f>SUMIFS(DATA!$L:$L,DATA!$O:$O,$B850,DATA!$N:$N,$A850,DATA!$M:$M,'SALES BY SYSTEM'!$O$1)</f>
        <v>0</v>
      </c>
      <c r="N846" s="182">
        <v>0</v>
      </c>
      <c r="O846" s="180" t="str">
        <f t="shared" si="130"/>
        <v/>
      </c>
      <c r="P846" s="218">
        <f>SUMIFS(DATA!$L:$L,DATA!$O:$O,$B850,DATA!$N:$N,$A850,DATA!$M:$M,'SALES BY SYSTEM'!$O$2)</f>
        <v>0</v>
      </c>
      <c r="Q846" s="182">
        <v>0</v>
      </c>
      <c r="R846" s="180" t="str">
        <f t="shared" si="131"/>
        <v/>
      </c>
      <c r="S846" s="218">
        <f>SUMIFS(DATA!$L:$L,DATA!$O:$O,$B850,DATA!$N:$N,$A850,DATA!$M:$M,'SALES BY SYSTEM'!$O$4)</f>
        <v>0</v>
      </c>
      <c r="T846" s="182">
        <v>0</v>
      </c>
      <c r="U846" s="180" t="str">
        <f t="shared" si="132"/>
        <v/>
      </c>
      <c r="V846" s="218">
        <f>SUMIFS(DATA!$L:$L,DATA!$O:$O,$B850,DATA!$N:$N,$A850,DATA!$M:$M,'SALES BY SYSTEM'!$O$3)</f>
        <v>0</v>
      </c>
      <c r="W846" s="168"/>
    </row>
    <row r="847" spans="1:23" ht="15.75" customHeight="1" x14ac:dyDescent="0.25">
      <c r="A847" s="178" t="s">
        <v>1560</v>
      </c>
      <c r="B847" s="178" t="s">
        <v>654</v>
      </c>
      <c r="C847" s="178" t="str">
        <f>VLOOKUP(A847,CUSTOMER!$A:$C,3,0)</f>
        <v>ME_CH56</v>
      </c>
      <c r="D847" s="178" t="s">
        <v>674</v>
      </c>
      <c r="E847" s="178" t="str">
        <f>VLOOKUP(A851,CUSTOMER!$A$2:$H$1094,5,0)</f>
        <v>TRAN THI THAO NGUYEN</v>
      </c>
      <c r="F847" s="178" t="str">
        <f>VLOOKUP(A851,CUSTOMER!$A$2:$I$1094,6,0)</f>
        <v>VACANCY</v>
      </c>
      <c r="G847" s="178" t="s">
        <v>676</v>
      </c>
      <c r="H847" s="179">
        <f t="shared" si="126"/>
        <v>0</v>
      </c>
      <c r="I847" s="180" t="str">
        <f t="shared" si="127"/>
        <v/>
      </c>
      <c r="J847" s="181">
        <f t="shared" si="128"/>
        <v>0</v>
      </c>
      <c r="K847" s="182">
        <v>0</v>
      </c>
      <c r="L847" s="180" t="str">
        <f t="shared" si="129"/>
        <v/>
      </c>
      <c r="M847" s="218">
        <f>SUMIFS(DATA!$L:$L,DATA!$O:$O,$B851,DATA!$N:$N,$A851,DATA!$M:$M,'SALES BY SYSTEM'!$O$1)</f>
        <v>0</v>
      </c>
      <c r="N847" s="182">
        <v>0</v>
      </c>
      <c r="O847" s="180" t="str">
        <f t="shared" si="130"/>
        <v/>
      </c>
      <c r="P847" s="218">
        <f>SUMIFS(DATA!$L:$L,DATA!$O:$O,$B851,DATA!$N:$N,$A851,DATA!$M:$M,'SALES BY SYSTEM'!$O$2)</f>
        <v>0</v>
      </c>
      <c r="Q847" s="182">
        <v>0</v>
      </c>
      <c r="R847" s="180" t="str">
        <f t="shared" si="131"/>
        <v/>
      </c>
      <c r="S847" s="218">
        <f>SUMIFS(DATA!$L:$L,DATA!$O:$O,$B851,DATA!$N:$N,$A851,DATA!$M:$M,'SALES BY SYSTEM'!$O$4)</f>
        <v>0</v>
      </c>
      <c r="T847" s="182">
        <v>0</v>
      </c>
      <c r="U847" s="180" t="str">
        <f t="shared" si="132"/>
        <v/>
      </c>
      <c r="V847" s="218">
        <f>SUMIFS(DATA!$L:$L,DATA!$O:$O,$B851,DATA!$N:$N,$A851,DATA!$M:$M,'SALES BY SYSTEM'!$O$3)</f>
        <v>0</v>
      </c>
      <c r="W847" s="168"/>
    </row>
    <row r="848" spans="1:23" ht="15.75" customHeight="1" x14ac:dyDescent="0.25">
      <c r="A848" s="178" t="s">
        <v>1562</v>
      </c>
      <c r="B848" s="178" t="s">
        <v>654</v>
      </c>
      <c r="C848" s="178" t="str">
        <f>VLOOKUP(A848,CUSTOMER!$A:$C,3,0)</f>
        <v>ME_CH55</v>
      </c>
      <c r="D848" s="178" t="s">
        <v>674</v>
      </c>
      <c r="E848" s="178" t="str">
        <f>VLOOKUP(A852,CUSTOMER!$A$2:$H$1094,5,0)</f>
        <v>TRAN THI THAO NGUYEN</v>
      </c>
      <c r="F848" s="178" t="str">
        <f>VLOOKUP(A852,CUSTOMER!$A$2:$I$1094,6,0)</f>
        <v>VACANCY</v>
      </c>
      <c r="G848" s="178" t="s">
        <v>676</v>
      </c>
      <c r="H848" s="179">
        <f t="shared" si="126"/>
        <v>0</v>
      </c>
      <c r="I848" s="180" t="str">
        <f t="shared" si="127"/>
        <v/>
      </c>
      <c r="J848" s="181">
        <f t="shared" si="128"/>
        <v>0</v>
      </c>
      <c r="K848" s="182">
        <v>0</v>
      </c>
      <c r="L848" s="180" t="str">
        <f t="shared" si="129"/>
        <v/>
      </c>
      <c r="M848" s="218">
        <f>SUMIFS(DATA!$L:$L,DATA!$O:$O,$B852,DATA!$N:$N,$A852,DATA!$M:$M,'SALES BY SYSTEM'!$O$1)</f>
        <v>0</v>
      </c>
      <c r="N848" s="182">
        <v>0</v>
      </c>
      <c r="O848" s="180" t="str">
        <f t="shared" si="130"/>
        <v/>
      </c>
      <c r="P848" s="218">
        <f>SUMIFS(DATA!$L:$L,DATA!$O:$O,$B852,DATA!$N:$N,$A852,DATA!$M:$M,'SALES BY SYSTEM'!$O$2)</f>
        <v>0</v>
      </c>
      <c r="Q848" s="182">
        <v>0</v>
      </c>
      <c r="R848" s="180" t="str">
        <f t="shared" si="131"/>
        <v/>
      </c>
      <c r="S848" s="218">
        <f>SUMIFS(DATA!$L:$L,DATA!$O:$O,$B852,DATA!$N:$N,$A852,DATA!$M:$M,'SALES BY SYSTEM'!$O$4)</f>
        <v>0</v>
      </c>
      <c r="T848" s="182">
        <v>0</v>
      </c>
      <c r="U848" s="180" t="str">
        <f t="shared" si="132"/>
        <v/>
      </c>
      <c r="V848" s="218">
        <f>SUMIFS(DATA!$L:$L,DATA!$O:$O,$B852,DATA!$N:$N,$A852,DATA!$M:$M,'SALES BY SYSTEM'!$O$3)</f>
        <v>0</v>
      </c>
      <c r="W848" s="168"/>
    </row>
    <row r="849" spans="1:23" ht="15.75" customHeight="1" x14ac:dyDescent="0.25">
      <c r="A849" s="178" t="s">
        <v>1564</v>
      </c>
      <c r="B849" s="178" t="s">
        <v>654</v>
      </c>
      <c r="C849" s="178" t="str">
        <f>VLOOKUP(A849,CUSTOMER!$A:$C,3,0)</f>
        <v>ME_CH5</v>
      </c>
      <c r="D849" s="178" t="s">
        <v>674</v>
      </c>
      <c r="E849" s="178" t="str">
        <f>VLOOKUP(A853,CUSTOMER!$A$2:$H$1094,5,0)</f>
        <v>TRAN THI THAO NGUYEN</v>
      </c>
      <c r="F849" s="178" t="str">
        <f>VLOOKUP(A853,CUSTOMER!$A$2:$I$1094,6,0)</f>
        <v>VACANCY</v>
      </c>
      <c r="G849" s="178" t="s">
        <v>676</v>
      </c>
      <c r="H849" s="179">
        <f t="shared" si="126"/>
        <v>0</v>
      </c>
      <c r="I849" s="180" t="str">
        <f t="shared" si="127"/>
        <v/>
      </c>
      <c r="J849" s="181">
        <f t="shared" si="128"/>
        <v>0</v>
      </c>
      <c r="K849" s="182">
        <v>0</v>
      </c>
      <c r="L849" s="180" t="str">
        <f t="shared" si="129"/>
        <v/>
      </c>
      <c r="M849" s="218">
        <f>SUMIFS(DATA!$L:$L,DATA!$O:$O,$B853,DATA!$N:$N,$A853,DATA!$M:$M,'SALES BY SYSTEM'!$O$1)</f>
        <v>0</v>
      </c>
      <c r="N849" s="182">
        <v>0</v>
      </c>
      <c r="O849" s="180" t="str">
        <f t="shared" si="130"/>
        <v/>
      </c>
      <c r="P849" s="218">
        <f>SUMIFS(DATA!$L:$L,DATA!$O:$O,$B853,DATA!$N:$N,$A853,DATA!$M:$M,'SALES BY SYSTEM'!$O$2)</f>
        <v>0</v>
      </c>
      <c r="Q849" s="182">
        <v>0</v>
      </c>
      <c r="R849" s="180" t="str">
        <f t="shared" si="131"/>
        <v/>
      </c>
      <c r="S849" s="218">
        <f>SUMIFS(DATA!$L:$L,DATA!$O:$O,$B853,DATA!$N:$N,$A853,DATA!$M:$M,'SALES BY SYSTEM'!$O$4)</f>
        <v>0</v>
      </c>
      <c r="T849" s="182">
        <v>0</v>
      </c>
      <c r="U849" s="180" t="str">
        <f t="shared" si="132"/>
        <v/>
      </c>
      <c r="V849" s="218">
        <f>SUMIFS(DATA!$L:$L,DATA!$O:$O,$B853,DATA!$N:$N,$A853,DATA!$M:$M,'SALES BY SYSTEM'!$O$3)</f>
        <v>0</v>
      </c>
      <c r="W849" s="168"/>
    </row>
    <row r="850" spans="1:23" ht="15.75" customHeight="1" x14ac:dyDescent="0.25">
      <c r="A850" s="178" t="s">
        <v>1566</v>
      </c>
      <c r="B850" s="178" t="s">
        <v>654</v>
      </c>
      <c r="C850" s="178" t="str">
        <f>VLOOKUP(A850,CUSTOMER!$A:$C,3,0)</f>
        <v>ME_CH70</v>
      </c>
      <c r="D850" s="178" t="s">
        <v>674</v>
      </c>
      <c r="E850" s="178" t="str">
        <f>VLOOKUP(A854,CUSTOMER!$A$2:$H$1094,5,0)</f>
        <v>TRAN THI THAO NGUYEN</v>
      </c>
      <c r="F850" s="178" t="str">
        <f>VLOOKUP(A854,CUSTOMER!$A$2:$I$1094,6,0)</f>
        <v>VACANCY</v>
      </c>
      <c r="G850" s="178" t="s">
        <v>676</v>
      </c>
      <c r="H850" s="179">
        <f t="shared" si="126"/>
        <v>0</v>
      </c>
      <c r="I850" s="180" t="str">
        <f t="shared" si="127"/>
        <v/>
      </c>
      <c r="J850" s="181">
        <f t="shared" si="128"/>
        <v>0</v>
      </c>
      <c r="K850" s="182">
        <v>0</v>
      </c>
      <c r="L850" s="180" t="str">
        <f t="shared" si="129"/>
        <v/>
      </c>
      <c r="M850" s="218">
        <f>SUMIFS(DATA!$L:$L,DATA!$O:$O,$B854,DATA!$N:$N,$A854,DATA!$M:$M,'SALES BY SYSTEM'!$O$1)</f>
        <v>0</v>
      </c>
      <c r="N850" s="182">
        <v>0</v>
      </c>
      <c r="O850" s="180" t="str">
        <f t="shared" si="130"/>
        <v/>
      </c>
      <c r="P850" s="218">
        <f>SUMIFS(DATA!$L:$L,DATA!$O:$O,$B854,DATA!$N:$N,$A854,DATA!$M:$M,'SALES BY SYSTEM'!$O$2)</f>
        <v>0</v>
      </c>
      <c r="Q850" s="182">
        <v>0</v>
      </c>
      <c r="R850" s="180" t="str">
        <f t="shared" si="131"/>
        <v/>
      </c>
      <c r="S850" s="218">
        <f>SUMIFS(DATA!$L:$L,DATA!$O:$O,$B854,DATA!$N:$N,$A854,DATA!$M:$M,'SALES BY SYSTEM'!$O$4)</f>
        <v>0</v>
      </c>
      <c r="T850" s="182">
        <v>0</v>
      </c>
      <c r="U850" s="180" t="str">
        <f t="shared" si="132"/>
        <v/>
      </c>
      <c r="V850" s="218">
        <f>SUMIFS(DATA!$L:$L,DATA!$O:$O,$B854,DATA!$N:$N,$A854,DATA!$M:$M,'SALES BY SYSTEM'!$O$3)</f>
        <v>0</v>
      </c>
      <c r="W850" s="168"/>
    </row>
    <row r="851" spans="1:23" ht="15.75" customHeight="1" x14ac:dyDescent="0.25">
      <c r="A851" s="178" t="s">
        <v>1568</v>
      </c>
      <c r="B851" s="178" t="s">
        <v>654</v>
      </c>
      <c r="C851" s="178" t="str">
        <f>VLOOKUP(A851,CUSTOMER!$A:$C,3,0)</f>
        <v>ME_KHO</v>
      </c>
      <c r="D851" s="178" t="s">
        <v>674</v>
      </c>
      <c r="E851" s="178" t="str">
        <f>VLOOKUP(A855,CUSTOMER!$A$2:$H$1094,5,0)</f>
        <v>TRAN THI THAO NGUYEN</v>
      </c>
      <c r="F851" s="178" t="str">
        <f>VLOOKUP(A855,CUSTOMER!$A$2:$I$1094,6,0)</f>
        <v>VACANCY</v>
      </c>
      <c r="G851" s="178" t="s">
        <v>676</v>
      </c>
      <c r="H851" s="179">
        <f t="shared" si="126"/>
        <v>0</v>
      </c>
      <c r="I851" s="180" t="str">
        <f t="shared" si="127"/>
        <v/>
      </c>
      <c r="J851" s="181">
        <f t="shared" si="128"/>
        <v>0</v>
      </c>
      <c r="K851" s="182">
        <v>0</v>
      </c>
      <c r="L851" s="180" t="str">
        <f t="shared" si="129"/>
        <v/>
      </c>
      <c r="M851" s="218">
        <f>SUMIFS(DATA!$L:$L,DATA!$O:$O,$B855,DATA!$N:$N,$A855,DATA!$M:$M,'SALES BY SYSTEM'!$O$1)</f>
        <v>0</v>
      </c>
      <c r="N851" s="182">
        <v>0</v>
      </c>
      <c r="O851" s="180" t="str">
        <f t="shared" si="130"/>
        <v/>
      </c>
      <c r="P851" s="218">
        <f>SUMIFS(DATA!$L:$L,DATA!$O:$O,$B855,DATA!$N:$N,$A855,DATA!$M:$M,'SALES BY SYSTEM'!$O$2)</f>
        <v>0</v>
      </c>
      <c r="Q851" s="182">
        <v>0</v>
      </c>
      <c r="R851" s="180" t="str">
        <f t="shared" si="131"/>
        <v/>
      </c>
      <c r="S851" s="218">
        <f>SUMIFS(DATA!$L:$L,DATA!$O:$O,$B855,DATA!$N:$N,$A855,DATA!$M:$M,'SALES BY SYSTEM'!$O$4)</f>
        <v>0</v>
      </c>
      <c r="T851" s="182">
        <v>0</v>
      </c>
      <c r="U851" s="180" t="str">
        <f t="shared" si="132"/>
        <v/>
      </c>
      <c r="V851" s="218">
        <f>SUMIFS(DATA!$L:$L,DATA!$O:$O,$B855,DATA!$N:$N,$A855,DATA!$M:$M,'SALES BY SYSTEM'!$O$3)</f>
        <v>0</v>
      </c>
      <c r="W851" s="168"/>
    </row>
    <row r="852" spans="1:23" ht="15.75" customHeight="1" x14ac:dyDescent="0.25">
      <c r="A852" s="178" t="s">
        <v>1570</v>
      </c>
      <c r="B852" s="178" t="s">
        <v>654</v>
      </c>
      <c r="C852" s="178" t="str">
        <f>VLOOKUP(A852,CUSTOMER!$A:$C,3,0)</f>
        <v>ME_CH111</v>
      </c>
      <c r="D852" s="178" t="s">
        <v>674</v>
      </c>
      <c r="E852" s="178" t="str">
        <f>VLOOKUP(A856,CUSTOMER!$A$2:$H$1094,5,0)</f>
        <v>TRAN THI THAO NGUYEN</v>
      </c>
      <c r="F852" s="178" t="str">
        <f>VLOOKUP(A856,CUSTOMER!$A$2:$I$1094,6,0)</f>
        <v>VACANCY</v>
      </c>
      <c r="G852" s="178" t="s">
        <v>676</v>
      </c>
      <c r="H852" s="179">
        <f t="shared" si="126"/>
        <v>0</v>
      </c>
      <c r="I852" s="180" t="str">
        <f t="shared" si="127"/>
        <v/>
      </c>
      <c r="J852" s="181">
        <f t="shared" si="128"/>
        <v>0</v>
      </c>
      <c r="K852" s="182">
        <v>0</v>
      </c>
      <c r="L852" s="180" t="str">
        <f t="shared" si="129"/>
        <v/>
      </c>
      <c r="M852" s="218">
        <f>SUMIFS(DATA!$L:$L,DATA!$O:$O,$B856,DATA!$N:$N,$A856,DATA!$M:$M,'SALES BY SYSTEM'!$O$1)</f>
        <v>0</v>
      </c>
      <c r="N852" s="182">
        <v>0</v>
      </c>
      <c r="O852" s="180" t="str">
        <f t="shared" si="130"/>
        <v/>
      </c>
      <c r="P852" s="218">
        <f>SUMIFS(DATA!$L:$L,DATA!$O:$O,$B856,DATA!$N:$N,$A856,DATA!$M:$M,'SALES BY SYSTEM'!$O$2)</f>
        <v>0</v>
      </c>
      <c r="Q852" s="182">
        <v>0</v>
      </c>
      <c r="R852" s="180" t="str">
        <f t="shared" si="131"/>
        <v/>
      </c>
      <c r="S852" s="218">
        <f>SUMIFS(DATA!$L:$L,DATA!$O:$O,$B856,DATA!$N:$N,$A856,DATA!$M:$M,'SALES BY SYSTEM'!$O$4)</f>
        <v>0</v>
      </c>
      <c r="T852" s="182">
        <v>0</v>
      </c>
      <c r="U852" s="180" t="str">
        <f t="shared" si="132"/>
        <v/>
      </c>
      <c r="V852" s="218">
        <f>SUMIFS(DATA!$L:$L,DATA!$O:$O,$B856,DATA!$N:$N,$A856,DATA!$M:$M,'SALES BY SYSTEM'!$O$3)</f>
        <v>0</v>
      </c>
      <c r="W852" s="168"/>
    </row>
    <row r="853" spans="1:23" ht="15.75" customHeight="1" x14ac:dyDescent="0.25">
      <c r="A853" s="178" t="s">
        <v>1572</v>
      </c>
      <c r="B853" s="178" t="s">
        <v>654</v>
      </c>
      <c r="C853" s="178" t="str">
        <f>VLOOKUP(A853,CUSTOMER!$A:$C,3,0)</f>
        <v>ME_CH28</v>
      </c>
      <c r="D853" s="178" t="s">
        <v>674</v>
      </c>
      <c r="E853" s="178" t="str">
        <f>VLOOKUP(A857,CUSTOMER!$A$2:$H$1094,5,0)</f>
        <v>TRAN THI THAO NGUYEN</v>
      </c>
      <c r="F853" s="178" t="str">
        <f>VLOOKUP(A857,CUSTOMER!$A$2:$I$1094,6,0)</f>
        <v>VACANCY</v>
      </c>
      <c r="G853" s="178" t="s">
        <v>676</v>
      </c>
      <c r="H853" s="179">
        <f t="shared" si="126"/>
        <v>0</v>
      </c>
      <c r="I853" s="180" t="str">
        <f t="shared" si="127"/>
        <v/>
      </c>
      <c r="J853" s="181">
        <f t="shared" si="128"/>
        <v>0</v>
      </c>
      <c r="K853" s="182">
        <v>0</v>
      </c>
      <c r="L853" s="180" t="str">
        <f t="shared" si="129"/>
        <v/>
      </c>
      <c r="M853" s="218">
        <f>SUMIFS(DATA!$L:$L,DATA!$O:$O,$B857,DATA!$N:$N,$A857,DATA!$M:$M,'SALES BY SYSTEM'!$O$1)</f>
        <v>0</v>
      </c>
      <c r="N853" s="182">
        <v>0</v>
      </c>
      <c r="O853" s="180" t="str">
        <f t="shared" si="130"/>
        <v/>
      </c>
      <c r="P853" s="218">
        <f>SUMIFS(DATA!$L:$L,DATA!$O:$O,$B857,DATA!$N:$N,$A857,DATA!$M:$M,'SALES BY SYSTEM'!$O$2)</f>
        <v>0</v>
      </c>
      <c r="Q853" s="182">
        <v>0</v>
      </c>
      <c r="R853" s="180" t="str">
        <f t="shared" si="131"/>
        <v/>
      </c>
      <c r="S853" s="218">
        <f>SUMIFS(DATA!$L:$L,DATA!$O:$O,$B857,DATA!$N:$N,$A857,DATA!$M:$M,'SALES BY SYSTEM'!$O$4)</f>
        <v>0</v>
      </c>
      <c r="T853" s="182">
        <v>0</v>
      </c>
      <c r="U853" s="180" t="str">
        <f t="shared" si="132"/>
        <v/>
      </c>
      <c r="V853" s="218">
        <f>SUMIFS(DATA!$L:$L,DATA!$O:$O,$B857,DATA!$N:$N,$A857,DATA!$M:$M,'SALES BY SYSTEM'!$O$3)</f>
        <v>0</v>
      </c>
      <c r="W853" s="168"/>
    </row>
    <row r="854" spans="1:23" ht="15.75" customHeight="1" x14ac:dyDescent="0.25">
      <c r="A854" s="178" t="s">
        <v>1574</v>
      </c>
      <c r="B854" s="178" t="s">
        <v>654</v>
      </c>
      <c r="C854" s="178" t="str">
        <f>VLOOKUP(A854,CUSTOMER!$A:$C,3,0)</f>
        <v>ME_CH26</v>
      </c>
      <c r="D854" s="178" t="s">
        <v>674</v>
      </c>
      <c r="E854" s="178" t="str">
        <f>VLOOKUP(A858,CUSTOMER!$A$2:$H$1094,5,0)</f>
        <v>TRAN THI THAO NGUYEN</v>
      </c>
      <c r="F854" s="178" t="str">
        <f>VLOOKUP(A858,CUSTOMER!$A$2:$I$1094,6,0)</f>
        <v>VACANCY</v>
      </c>
      <c r="G854" s="178" t="s">
        <v>676</v>
      </c>
      <c r="H854" s="179">
        <f t="shared" si="126"/>
        <v>0</v>
      </c>
      <c r="I854" s="180" t="str">
        <f t="shared" si="127"/>
        <v/>
      </c>
      <c r="J854" s="181">
        <f t="shared" si="128"/>
        <v>0</v>
      </c>
      <c r="K854" s="182">
        <v>0</v>
      </c>
      <c r="L854" s="180" t="str">
        <f t="shared" si="129"/>
        <v/>
      </c>
      <c r="M854" s="218">
        <f>SUMIFS(DATA!$L:$L,DATA!$O:$O,$B858,DATA!$N:$N,$A858,DATA!$M:$M,'SALES BY SYSTEM'!$O$1)</f>
        <v>0</v>
      </c>
      <c r="N854" s="182">
        <v>0</v>
      </c>
      <c r="O854" s="180" t="str">
        <f t="shared" si="130"/>
        <v/>
      </c>
      <c r="P854" s="218">
        <f>SUMIFS(DATA!$L:$L,DATA!$O:$O,$B858,DATA!$N:$N,$A858,DATA!$M:$M,'SALES BY SYSTEM'!$O$2)</f>
        <v>0</v>
      </c>
      <c r="Q854" s="182">
        <v>0</v>
      </c>
      <c r="R854" s="180" t="str">
        <f t="shared" si="131"/>
        <v/>
      </c>
      <c r="S854" s="218">
        <f>SUMIFS(DATA!$L:$L,DATA!$O:$O,$B858,DATA!$N:$N,$A858,DATA!$M:$M,'SALES BY SYSTEM'!$O$4)</f>
        <v>0</v>
      </c>
      <c r="T854" s="182">
        <v>0</v>
      </c>
      <c r="U854" s="180" t="str">
        <f t="shared" si="132"/>
        <v/>
      </c>
      <c r="V854" s="218">
        <f>SUMIFS(DATA!$L:$L,DATA!$O:$O,$B858,DATA!$N:$N,$A858,DATA!$M:$M,'SALES BY SYSTEM'!$O$3)</f>
        <v>0</v>
      </c>
      <c r="W854" s="168"/>
    </row>
    <row r="855" spans="1:23" ht="15.75" customHeight="1" x14ac:dyDescent="0.25">
      <c r="A855" s="178" t="s">
        <v>1576</v>
      </c>
      <c r="B855" s="178" t="s">
        <v>654</v>
      </c>
      <c r="C855" s="178" t="str">
        <f>VLOOKUP(A855,CUSTOMER!$A:$C,3,0)</f>
        <v>ME_CH58</v>
      </c>
      <c r="D855" s="178" t="s">
        <v>674</v>
      </c>
      <c r="E855" s="178" t="str">
        <f>VLOOKUP(A859,CUSTOMER!$A$2:$H$1094,5,0)</f>
        <v>TRAN THI THAO NGUYEN</v>
      </c>
      <c r="F855" s="178" t="str">
        <f>VLOOKUP(A859,CUSTOMER!$A$2:$I$1094,6,0)</f>
        <v>VACANCY</v>
      </c>
      <c r="G855" s="178" t="s">
        <v>676</v>
      </c>
      <c r="H855" s="179">
        <f t="shared" si="126"/>
        <v>0</v>
      </c>
      <c r="I855" s="180" t="str">
        <f t="shared" si="127"/>
        <v/>
      </c>
      <c r="J855" s="181">
        <f t="shared" si="128"/>
        <v>0</v>
      </c>
      <c r="K855" s="182">
        <v>0</v>
      </c>
      <c r="L855" s="180" t="str">
        <f t="shared" si="129"/>
        <v/>
      </c>
      <c r="M855" s="218">
        <f>SUMIFS(DATA!$L:$L,DATA!$O:$O,$B859,DATA!$N:$N,$A859,DATA!$M:$M,'SALES BY SYSTEM'!$O$1)</f>
        <v>0</v>
      </c>
      <c r="N855" s="182">
        <v>0</v>
      </c>
      <c r="O855" s="180" t="str">
        <f t="shared" si="130"/>
        <v/>
      </c>
      <c r="P855" s="218">
        <f>SUMIFS(DATA!$L:$L,DATA!$O:$O,$B859,DATA!$N:$N,$A859,DATA!$M:$M,'SALES BY SYSTEM'!$O$2)</f>
        <v>0</v>
      </c>
      <c r="Q855" s="182">
        <v>0</v>
      </c>
      <c r="R855" s="180" t="str">
        <f t="shared" si="131"/>
        <v/>
      </c>
      <c r="S855" s="218">
        <f>SUMIFS(DATA!$L:$L,DATA!$O:$O,$B859,DATA!$N:$N,$A859,DATA!$M:$M,'SALES BY SYSTEM'!$O$4)</f>
        <v>0</v>
      </c>
      <c r="T855" s="182">
        <v>0</v>
      </c>
      <c r="U855" s="180" t="str">
        <f t="shared" si="132"/>
        <v/>
      </c>
      <c r="V855" s="218">
        <f>SUMIFS(DATA!$L:$L,DATA!$O:$O,$B859,DATA!$N:$N,$A859,DATA!$M:$M,'SALES BY SYSTEM'!$O$3)</f>
        <v>0</v>
      </c>
      <c r="W855" s="168"/>
    </row>
    <row r="856" spans="1:23" ht="15.75" customHeight="1" x14ac:dyDescent="0.25">
      <c r="A856" s="178" t="s">
        <v>1578</v>
      </c>
      <c r="B856" s="178" t="s">
        <v>654</v>
      </c>
      <c r="C856" s="178" t="str">
        <f>VLOOKUP(A856,CUSTOMER!$A:$C,3,0)</f>
        <v>ME_CH122</v>
      </c>
      <c r="D856" s="178" t="s">
        <v>674</v>
      </c>
      <c r="E856" s="178" t="str">
        <f>VLOOKUP(A860,CUSTOMER!$A$2:$H$1094,5,0)</f>
        <v>TRAN THI THAO NGUYEN</v>
      </c>
      <c r="F856" s="178" t="str">
        <f>VLOOKUP(A860,CUSTOMER!$A$2:$I$1094,6,0)</f>
        <v>VACANCY</v>
      </c>
      <c r="G856" s="178" t="s">
        <v>676</v>
      </c>
      <c r="H856" s="179">
        <f t="shared" si="126"/>
        <v>0</v>
      </c>
      <c r="I856" s="180" t="str">
        <f t="shared" si="127"/>
        <v/>
      </c>
      <c r="J856" s="181">
        <f t="shared" si="128"/>
        <v>0</v>
      </c>
      <c r="K856" s="182">
        <v>0</v>
      </c>
      <c r="L856" s="180" t="str">
        <f t="shared" ref="L856:L887" si="133">IFERROR(M860/K860,"")</f>
        <v/>
      </c>
      <c r="M856" s="218">
        <f>SUMIFS(DATA!$L:$L,DATA!$O:$O,$B860,DATA!$N:$N,$A860,DATA!$M:$M,'SALES BY SYSTEM'!$O$1)</f>
        <v>0</v>
      </c>
      <c r="N856" s="182">
        <v>0</v>
      </c>
      <c r="O856" s="180" t="str">
        <f t="shared" ref="O856:O887" si="134">IFERROR(P860/N860,"")</f>
        <v/>
      </c>
      <c r="P856" s="218">
        <f>SUMIFS(DATA!$L:$L,DATA!$O:$O,$B860,DATA!$N:$N,$A860,DATA!$M:$M,'SALES BY SYSTEM'!$O$2)</f>
        <v>0</v>
      </c>
      <c r="Q856" s="182">
        <v>0</v>
      </c>
      <c r="R856" s="180" t="str">
        <f t="shared" ref="R856:R887" si="135">IFERROR(S860/Q860,"")</f>
        <v/>
      </c>
      <c r="S856" s="218">
        <f>SUMIFS(DATA!$L:$L,DATA!$O:$O,$B860,DATA!$N:$N,$A860,DATA!$M:$M,'SALES BY SYSTEM'!$O$4)</f>
        <v>0</v>
      </c>
      <c r="T856" s="182">
        <v>0</v>
      </c>
      <c r="U856" s="180" t="str">
        <f t="shared" ref="U856:U887" si="136">IFERROR(V860/T860,"")</f>
        <v/>
      </c>
      <c r="V856" s="218">
        <f>SUMIFS(DATA!$L:$L,DATA!$O:$O,$B860,DATA!$N:$N,$A860,DATA!$M:$M,'SALES BY SYSTEM'!$O$3)</f>
        <v>0</v>
      </c>
      <c r="W856" s="168"/>
    </row>
    <row r="857" spans="1:23" ht="15.75" customHeight="1" x14ac:dyDescent="0.25">
      <c r="A857" s="178" t="s">
        <v>1580</v>
      </c>
      <c r="B857" s="178" t="s">
        <v>654</v>
      </c>
      <c r="C857" s="178" t="str">
        <f>VLOOKUP(A857,CUSTOMER!$A:$C,3,0)</f>
        <v>ME_CH45</v>
      </c>
      <c r="D857" s="178" t="s">
        <v>674</v>
      </c>
      <c r="E857" s="178" t="str">
        <f>VLOOKUP(A861,CUSTOMER!$A$2:$H$1094,5,0)</f>
        <v>TRAN THI THAO NGUYEN</v>
      </c>
      <c r="F857" s="178" t="str">
        <f>VLOOKUP(A861,CUSTOMER!$A$2:$I$1094,6,0)</f>
        <v>VACANCY</v>
      </c>
      <c r="G857" s="178" t="s">
        <v>676</v>
      </c>
      <c r="H857" s="179">
        <f t="shared" si="126"/>
        <v>0</v>
      </c>
      <c r="I857" s="180" t="str">
        <f t="shared" si="127"/>
        <v/>
      </c>
      <c r="J857" s="181">
        <f t="shared" si="128"/>
        <v>0</v>
      </c>
      <c r="K857" s="182">
        <v>0</v>
      </c>
      <c r="L857" s="180" t="str">
        <f t="shared" si="133"/>
        <v/>
      </c>
      <c r="M857" s="218">
        <f>SUMIFS(DATA!$L:$L,DATA!$O:$O,$B861,DATA!$N:$N,$A861,DATA!$M:$M,'SALES BY SYSTEM'!$O$1)</f>
        <v>0</v>
      </c>
      <c r="N857" s="182">
        <v>0</v>
      </c>
      <c r="O857" s="180" t="str">
        <f t="shared" si="134"/>
        <v/>
      </c>
      <c r="P857" s="218">
        <f>SUMIFS(DATA!$L:$L,DATA!$O:$O,$B861,DATA!$N:$N,$A861,DATA!$M:$M,'SALES BY SYSTEM'!$O$2)</f>
        <v>0</v>
      </c>
      <c r="Q857" s="182">
        <v>0</v>
      </c>
      <c r="R857" s="180" t="str">
        <f t="shared" si="135"/>
        <v/>
      </c>
      <c r="S857" s="218">
        <f>SUMIFS(DATA!$L:$L,DATA!$O:$O,$B861,DATA!$N:$N,$A861,DATA!$M:$M,'SALES BY SYSTEM'!$O$4)</f>
        <v>0</v>
      </c>
      <c r="T857" s="182">
        <v>0</v>
      </c>
      <c r="U857" s="180" t="str">
        <f t="shared" si="136"/>
        <v/>
      </c>
      <c r="V857" s="218">
        <f>SUMIFS(DATA!$L:$L,DATA!$O:$O,$B861,DATA!$N:$N,$A861,DATA!$M:$M,'SALES BY SYSTEM'!$O$3)</f>
        <v>0</v>
      </c>
      <c r="W857" s="168"/>
    </row>
    <row r="858" spans="1:23" ht="15.75" customHeight="1" x14ac:dyDescent="0.25">
      <c r="A858" s="178" t="s">
        <v>1582</v>
      </c>
      <c r="B858" s="178" t="s">
        <v>654</v>
      </c>
      <c r="C858" s="178" t="str">
        <f>VLOOKUP(A858,CUSTOMER!$A:$C,3,0)</f>
        <v>ME_CH63</v>
      </c>
      <c r="D858" s="178" t="s">
        <v>674</v>
      </c>
      <c r="E858" s="178" t="str">
        <f>VLOOKUP(A862,CUSTOMER!$A$2:$H$1094,5,0)</f>
        <v>TRAN THI THAO NGUYEN</v>
      </c>
      <c r="F858" s="178" t="str">
        <f>VLOOKUP(A862,CUSTOMER!$A$2:$I$1094,6,0)</f>
        <v>VACANCY</v>
      </c>
      <c r="G858" s="178" t="s">
        <v>676</v>
      </c>
      <c r="H858" s="179">
        <f t="shared" si="126"/>
        <v>0</v>
      </c>
      <c r="I858" s="180" t="str">
        <f t="shared" si="127"/>
        <v/>
      </c>
      <c r="J858" s="181">
        <f t="shared" si="128"/>
        <v>0</v>
      </c>
      <c r="K858" s="182">
        <v>0</v>
      </c>
      <c r="L858" s="180" t="str">
        <f t="shared" si="133"/>
        <v/>
      </c>
      <c r="M858" s="218">
        <f>SUMIFS(DATA!$L:$L,DATA!$O:$O,$B862,DATA!$N:$N,$A862,DATA!$M:$M,'SALES BY SYSTEM'!$O$1)</f>
        <v>0</v>
      </c>
      <c r="N858" s="182">
        <v>0</v>
      </c>
      <c r="O858" s="180" t="str">
        <f t="shared" si="134"/>
        <v/>
      </c>
      <c r="P858" s="218">
        <f>SUMIFS(DATA!$L:$L,DATA!$O:$O,$B862,DATA!$N:$N,$A862,DATA!$M:$M,'SALES BY SYSTEM'!$O$2)</f>
        <v>0</v>
      </c>
      <c r="Q858" s="182">
        <v>0</v>
      </c>
      <c r="R858" s="180" t="str">
        <f t="shared" si="135"/>
        <v/>
      </c>
      <c r="S858" s="218">
        <f>SUMIFS(DATA!$L:$L,DATA!$O:$O,$B862,DATA!$N:$N,$A862,DATA!$M:$M,'SALES BY SYSTEM'!$O$4)</f>
        <v>0</v>
      </c>
      <c r="T858" s="182">
        <v>0</v>
      </c>
      <c r="U858" s="180" t="str">
        <f t="shared" si="136"/>
        <v/>
      </c>
      <c r="V858" s="218">
        <f>SUMIFS(DATA!$L:$L,DATA!$O:$O,$B862,DATA!$N:$N,$A862,DATA!$M:$M,'SALES BY SYSTEM'!$O$3)</f>
        <v>0</v>
      </c>
      <c r="W858" s="168"/>
    </row>
    <row r="859" spans="1:23" ht="15.75" customHeight="1" x14ac:dyDescent="0.25">
      <c r="A859" s="178" t="s">
        <v>1584</v>
      </c>
      <c r="B859" s="178" t="s">
        <v>654</v>
      </c>
      <c r="C859" s="178" t="str">
        <f>VLOOKUP(A859,CUSTOMER!$A:$C,3,0)</f>
        <v>ME_CH41</v>
      </c>
      <c r="D859" s="178" t="s">
        <v>674</v>
      </c>
      <c r="E859" s="178" t="str">
        <f>VLOOKUP(A863,CUSTOMER!$A$2:$H$1094,5,0)</f>
        <v>TRAN THI THAO NGUYEN</v>
      </c>
      <c r="F859" s="178" t="str">
        <f>VLOOKUP(A863,CUSTOMER!$A$2:$I$1094,6,0)</f>
        <v>VACANCY</v>
      </c>
      <c r="G859" s="178" t="s">
        <v>676</v>
      </c>
      <c r="H859" s="179">
        <f t="shared" ref="H859:H922" si="137">SUM(K859,N859,Q859,T859)</f>
        <v>0</v>
      </c>
      <c r="I859" s="180" t="str">
        <f t="shared" ref="I859:I922" si="138">IFERROR(J859/H859,"")</f>
        <v/>
      </c>
      <c r="J859" s="181">
        <f t="shared" ref="J859:J922" si="139">SUM(M859,P859,S859,V859)</f>
        <v>0</v>
      </c>
      <c r="K859" s="182">
        <v>0</v>
      </c>
      <c r="L859" s="180" t="str">
        <f t="shared" si="133"/>
        <v/>
      </c>
      <c r="M859" s="218">
        <f>SUMIFS(DATA!$L:$L,DATA!$O:$O,$B863,DATA!$N:$N,$A863,DATA!$M:$M,'SALES BY SYSTEM'!$O$1)</f>
        <v>0</v>
      </c>
      <c r="N859" s="182">
        <v>0</v>
      </c>
      <c r="O859" s="180" t="str">
        <f t="shared" si="134"/>
        <v/>
      </c>
      <c r="P859" s="218">
        <f>SUMIFS(DATA!$L:$L,DATA!$O:$O,$B863,DATA!$N:$N,$A863,DATA!$M:$M,'SALES BY SYSTEM'!$O$2)</f>
        <v>0</v>
      </c>
      <c r="Q859" s="182">
        <v>0</v>
      </c>
      <c r="R859" s="180" t="str">
        <f t="shared" si="135"/>
        <v/>
      </c>
      <c r="S859" s="218">
        <f>SUMIFS(DATA!$L:$L,DATA!$O:$O,$B863,DATA!$N:$N,$A863,DATA!$M:$M,'SALES BY SYSTEM'!$O$4)</f>
        <v>0</v>
      </c>
      <c r="T859" s="182">
        <v>0</v>
      </c>
      <c r="U859" s="180" t="str">
        <f t="shared" si="136"/>
        <v/>
      </c>
      <c r="V859" s="218">
        <f>SUMIFS(DATA!$L:$L,DATA!$O:$O,$B863,DATA!$N:$N,$A863,DATA!$M:$M,'SALES BY SYSTEM'!$O$3)</f>
        <v>0</v>
      </c>
      <c r="W859" s="168"/>
    </row>
    <row r="860" spans="1:23" ht="15.75" customHeight="1" x14ac:dyDescent="0.25">
      <c r="A860" s="178" t="s">
        <v>1586</v>
      </c>
      <c r="B860" s="178" t="s">
        <v>654</v>
      </c>
      <c r="C860" s="178" t="str">
        <f>VLOOKUP(A860,CUSTOMER!$A:$C,3,0)</f>
        <v>ME_CH67</v>
      </c>
      <c r="D860" s="178" t="s">
        <v>674</v>
      </c>
      <c r="E860" s="178" t="str">
        <f>VLOOKUP(A864,CUSTOMER!$A$2:$H$1094,5,0)</f>
        <v>TRAN THI THAO NGUYEN</v>
      </c>
      <c r="F860" s="178" t="str">
        <f>VLOOKUP(A864,CUSTOMER!$A$2:$I$1094,6,0)</f>
        <v>VACANCY</v>
      </c>
      <c r="G860" s="178" t="s">
        <v>676</v>
      </c>
      <c r="H860" s="179">
        <f t="shared" si="137"/>
        <v>0</v>
      </c>
      <c r="I860" s="180" t="str">
        <f t="shared" si="138"/>
        <v/>
      </c>
      <c r="J860" s="181">
        <f t="shared" si="139"/>
        <v>0</v>
      </c>
      <c r="K860" s="182">
        <v>0</v>
      </c>
      <c r="L860" s="180" t="str">
        <f t="shared" si="133"/>
        <v/>
      </c>
      <c r="M860" s="218">
        <f>SUMIFS(DATA!$L:$L,DATA!$O:$O,$B864,DATA!$N:$N,$A864,DATA!$M:$M,'SALES BY SYSTEM'!$O$1)</f>
        <v>0</v>
      </c>
      <c r="N860" s="182">
        <v>0</v>
      </c>
      <c r="O860" s="180" t="str">
        <f t="shared" si="134"/>
        <v/>
      </c>
      <c r="P860" s="218">
        <f>SUMIFS(DATA!$L:$L,DATA!$O:$O,$B864,DATA!$N:$N,$A864,DATA!$M:$M,'SALES BY SYSTEM'!$O$2)</f>
        <v>0</v>
      </c>
      <c r="Q860" s="182">
        <v>0</v>
      </c>
      <c r="R860" s="180" t="str">
        <f t="shared" si="135"/>
        <v/>
      </c>
      <c r="S860" s="218">
        <f>SUMIFS(DATA!$L:$L,DATA!$O:$O,$B864,DATA!$N:$N,$A864,DATA!$M:$M,'SALES BY SYSTEM'!$O$4)</f>
        <v>0</v>
      </c>
      <c r="T860" s="182">
        <v>0</v>
      </c>
      <c r="U860" s="180" t="str">
        <f t="shared" si="136"/>
        <v/>
      </c>
      <c r="V860" s="218">
        <f>SUMIFS(DATA!$L:$L,DATA!$O:$O,$B864,DATA!$N:$N,$A864,DATA!$M:$M,'SALES BY SYSTEM'!$O$3)</f>
        <v>0</v>
      </c>
      <c r="W860" s="168"/>
    </row>
    <row r="861" spans="1:23" ht="15.75" customHeight="1" x14ac:dyDescent="0.25">
      <c r="A861" s="178" t="s">
        <v>1588</v>
      </c>
      <c r="B861" s="178" t="s">
        <v>654</v>
      </c>
      <c r="C861" s="178" t="str">
        <f>VLOOKUP(A861,CUSTOMER!$A:$C,3,0)</f>
        <v>ME_CH30</v>
      </c>
      <c r="D861" s="178" t="s">
        <v>674</v>
      </c>
      <c r="E861" s="178" t="str">
        <f>VLOOKUP(A865,CUSTOMER!$A$2:$H$1094,5,0)</f>
        <v>TRAN THI THAO NGUYEN</v>
      </c>
      <c r="F861" s="178" t="str">
        <f>VLOOKUP(A865,CUSTOMER!$A$2:$I$1094,6,0)</f>
        <v>VACANCY</v>
      </c>
      <c r="G861" s="178" t="s">
        <v>676</v>
      </c>
      <c r="H861" s="179">
        <f t="shared" si="137"/>
        <v>0</v>
      </c>
      <c r="I861" s="180" t="str">
        <f t="shared" si="138"/>
        <v/>
      </c>
      <c r="J861" s="181">
        <f t="shared" si="139"/>
        <v>0</v>
      </c>
      <c r="K861" s="182">
        <v>0</v>
      </c>
      <c r="L861" s="180" t="str">
        <f t="shared" si="133"/>
        <v/>
      </c>
      <c r="M861" s="218">
        <f>SUMIFS(DATA!$L:$L,DATA!$O:$O,$B865,DATA!$N:$N,$A865,DATA!$M:$M,'SALES BY SYSTEM'!$O$1)</f>
        <v>0</v>
      </c>
      <c r="N861" s="182">
        <v>0</v>
      </c>
      <c r="O861" s="180" t="str">
        <f t="shared" si="134"/>
        <v/>
      </c>
      <c r="P861" s="218">
        <f>SUMIFS(DATA!$L:$L,DATA!$O:$O,$B865,DATA!$N:$N,$A865,DATA!$M:$M,'SALES BY SYSTEM'!$O$2)</f>
        <v>0</v>
      </c>
      <c r="Q861" s="182">
        <v>0</v>
      </c>
      <c r="R861" s="180" t="str">
        <f t="shared" si="135"/>
        <v/>
      </c>
      <c r="S861" s="218">
        <f>SUMIFS(DATA!$L:$L,DATA!$O:$O,$B865,DATA!$N:$N,$A865,DATA!$M:$M,'SALES BY SYSTEM'!$O$4)</f>
        <v>0</v>
      </c>
      <c r="T861" s="182">
        <v>0</v>
      </c>
      <c r="U861" s="180" t="str">
        <f t="shared" si="136"/>
        <v/>
      </c>
      <c r="V861" s="218">
        <f>SUMIFS(DATA!$L:$L,DATA!$O:$O,$B865,DATA!$N:$N,$A865,DATA!$M:$M,'SALES BY SYSTEM'!$O$3)</f>
        <v>0</v>
      </c>
      <c r="W861" s="168"/>
    </row>
    <row r="862" spans="1:23" ht="15.75" customHeight="1" x14ac:dyDescent="0.25">
      <c r="A862" s="178" t="s">
        <v>1590</v>
      </c>
      <c r="B862" s="178" t="s">
        <v>654</v>
      </c>
      <c r="C862" s="178" t="str">
        <f>VLOOKUP(A862,CUSTOMER!$A:$C,3,0)</f>
        <v>ME_CH50</v>
      </c>
      <c r="D862" s="178" t="s">
        <v>674</v>
      </c>
      <c r="E862" s="178" t="str">
        <f>VLOOKUP(A866,CUSTOMER!$A$2:$H$1094,5,0)</f>
        <v>TRAN THI THAO NGUYEN</v>
      </c>
      <c r="F862" s="178" t="str">
        <f>VLOOKUP(A866,CUSTOMER!$A$2:$I$1094,6,0)</f>
        <v>"NO SALE"</v>
      </c>
      <c r="G862" s="178" t="s">
        <v>676</v>
      </c>
      <c r="H862" s="179">
        <f t="shared" si="137"/>
        <v>0</v>
      </c>
      <c r="I862" s="180" t="str">
        <f t="shared" si="138"/>
        <v/>
      </c>
      <c r="J862" s="181">
        <f t="shared" si="139"/>
        <v>0</v>
      </c>
      <c r="K862" s="182">
        <v>0</v>
      </c>
      <c r="L862" s="180" t="str">
        <f t="shared" si="133"/>
        <v/>
      </c>
      <c r="M862" s="218">
        <f>SUMIFS(DATA!$L:$L,DATA!$O:$O,$B866,DATA!$N:$N,$A866,DATA!$M:$M,'SALES BY SYSTEM'!$O$1)</f>
        <v>0</v>
      </c>
      <c r="N862" s="182">
        <v>0</v>
      </c>
      <c r="O862" s="180" t="str">
        <f t="shared" si="134"/>
        <v/>
      </c>
      <c r="P862" s="218">
        <f>SUMIFS(DATA!$L:$L,DATA!$O:$O,$B866,DATA!$N:$N,$A866,DATA!$M:$M,'SALES BY SYSTEM'!$O$2)</f>
        <v>0</v>
      </c>
      <c r="Q862" s="182">
        <v>0</v>
      </c>
      <c r="R862" s="180" t="str">
        <f t="shared" si="135"/>
        <v/>
      </c>
      <c r="S862" s="218">
        <f>SUMIFS(DATA!$L:$L,DATA!$O:$O,$B866,DATA!$N:$N,$A866,DATA!$M:$M,'SALES BY SYSTEM'!$O$4)</f>
        <v>0</v>
      </c>
      <c r="T862" s="182">
        <v>0</v>
      </c>
      <c r="U862" s="180" t="str">
        <f t="shared" si="136"/>
        <v/>
      </c>
      <c r="V862" s="218">
        <f>SUMIFS(DATA!$L:$L,DATA!$O:$O,$B866,DATA!$N:$N,$A866,DATA!$M:$M,'SALES BY SYSTEM'!$O$3)</f>
        <v>0</v>
      </c>
      <c r="W862" s="168"/>
    </row>
    <row r="863" spans="1:23" ht="15.75" customHeight="1" x14ac:dyDescent="0.25">
      <c r="A863" s="178" t="s">
        <v>1592</v>
      </c>
      <c r="B863" s="178" t="s">
        <v>654</v>
      </c>
      <c r="C863" s="178" t="str">
        <f>VLOOKUP(A863,CUSTOMER!$A:$C,3,0)</f>
        <v>ME_CH137</v>
      </c>
      <c r="D863" s="178" t="s">
        <v>674</v>
      </c>
      <c r="E863" s="178" t="str">
        <f>VLOOKUP(A867,CUSTOMER!$A$2:$H$1094,5,0)</f>
        <v>TRAN THI THAO NGUYEN</v>
      </c>
      <c r="F863" s="178" t="str">
        <f>VLOOKUP(A867,CUSTOMER!$A$2:$I$1094,6,0)</f>
        <v>VACANCY</v>
      </c>
      <c r="G863" s="178" t="s">
        <v>676</v>
      </c>
      <c r="H863" s="179">
        <f t="shared" si="137"/>
        <v>0</v>
      </c>
      <c r="I863" s="180" t="str">
        <f t="shared" si="138"/>
        <v/>
      </c>
      <c r="J863" s="181">
        <f t="shared" si="139"/>
        <v>0</v>
      </c>
      <c r="K863" s="182">
        <v>0</v>
      </c>
      <c r="L863" s="180" t="str">
        <f t="shared" si="133"/>
        <v/>
      </c>
      <c r="M863" s="218">
        <f>SUMIFS(DATA!$L:$L,DATA!$O:$O,$B867,DATA!$N:$N,$A867,DATA!$M:$M,'SALES BY SYSTEM'!$O$1)</f>
        <v>0</v>
      </c>
      <c r="N863" s="182">
        <v>0</v>
      </c>
      <c r="O863" s="180" t="str">
        <f t="shared" si="134"/>
        <v/>
      </c>
      <c r="P863" s="218">
        <f>SUMIFS(DATA!$L:$L,DATA!$O:$O,$B867,DATA!$N:$N,$A867,DATA!$M:$M,'SALES BY SYSTEM'!$O$2)</f>
        <v>0</v>
      </c>
      <c r="Q863" s="182">
        <v>0</v>
      </c>
      <c r="R863" s="180" t="str">
        <f t="shared" si="135"/>
        <v/>
      </c>
      <c r="S863" s="218">
        <f>SUMIFS(DATA!$L:$L,DATA!$O:$O,$B867,DATA!$N:$N,$A867,DATA!$M:$M,'SALES BY SYSTEM'!$O$4)</f>
        <v>0</v>
      </c>
      <c r="T863" s="182">
        <v>0</v>
      </c>
      <c r="U863" s="180" t="str">
        <f t="shared" si="136"/>
        <v/>
      </c>
      <c r="V863" s="218">
        <f>SUMIFS(DATA!$L:$L,DATA!$O:$O,$B867,DATA!$N:$N,$A867,DATA!$M:$M,'SALES BY SYSTEM'!$O$3)</f>
        <v>0</v>
      </c>
      <c r="W863" s="168"/>
    </row>
    <row r="864" spans="1:23" ht="15.75" customHeight="1" x14ac:dyDescent="0.25">
      <c r="A864" s="178" t="s">
        <v>1594</v>
      </c>
      <c r="B864" s="178" t="s">
        <v>654</v>
      </c>
      <c r="C864" s="178" t="str">
        <f>VLOOKUP(A864,CUSTOMER!$A:$C,3,0)</f>
        <v>ME_CH90</v>
      </c>
      <c r="D864" s="178" t="s">
        <v>674</v>
      </c>
      <c r="E864" s="178" t="str">
        <f>VLOOKUP(A868,CUSTOMER!$A$2:$H$1094,5,0)</f>
        <v>TRAN THI THAO NGUYEN</v>
      </c>
      <c r="F864" s="178" t="str">
        <f>VLOOKUP(A868,CUSTOMER!$A$2:$I$1094,6,0)</f>
        <v>VACANCY</v>
      </c>
      <c r="G864" s="178" t="s">
        <v>676</v>
      </c>
      <c r="H864" s="179">
        <f t="shared" si="137"/>
        <v>0</v>
      </c>
      <c r="I864" s="180" t="str">
        <f t="shared" si="138"/>
        <v/>
      </c>
      <c r="J864" s="181">
        <f t="shared" si="139"/>
        <v>0</v>
      </c>
      <c r="K864" s="182">
        <v>0</v>
      </c>
      <c r="L864" s="180" t="str">
        <f t="shared" si="133"/>
        <v/>
      </c>
      <c r="M864" s="218">
        <f>SUMIFS(DATA!$L:$L,DATA!$O:$O,$B868,DATA!$N:$N,$A868,DATA!$M:$M,'SALES BY SYSTEM'!$O$1)</f>
        <v>0</v>
      </c>
      <c r="N864" s="182">
        <v>0</v>
      </c>
      <c r="O864" s="180" t="str">
        <f t="shared" si="134"/>
        <v/>
      </c>
      <c r="P864" s="218">
        <f>SUMIFS(DATA!$L:$L,DATA!$O:$O,$B868,DATA!$N:$N,$A868,DATA!$M:$M,'SALES BY SYSTEM'!$O$2)</f>
        <v>0</v>
      </c>
      <c r="Q864" s="182">
        <v>0</v>
      </c>
      <c r="R864" s="180" t="str">
        <f t="shared" si="135"/>
        <v/>
      </c>
      <c r="S864" s="218">
        <f>SUMIFS(DATA!$L:$L,DATA!$O:$O,$B868,DATA!$N:$N,$A868,DATA!$M:$M,'SALES BY SYSTEM'!$O$4)</f>
        <v>0</v>
      </c>
      <c r="T864" s="182">
        <v>0</v>
      </c>
      <c r="U864" s="180" t="str">
        <f t="shared" si="136"/>
        <v/>
      </c>
      <c r="V864" s="218">
        <f>SUMIFS(DATA!$L:$L,DATA!$O:$O,$B868,DATA!$N:$N,$A868,DATA!$M:$M,'SALES BY SYSTEM'!$O$3)</f>
        <v>0</v>
      </c>
      <c r="W864" s="168"/>
    </row>
    <row r="865" spans="1:23" ht="15.75" customHeight="1" x14ac:dyDescent="0.25">
      <c r="A865" s="178" t="s">
        <v>1596</v>
      </c>
      <c r="B865" s="178" t="s">
        <v>654</v>
      </c>
      <c r="C865" s="178" t="str">
        <f>VLOOKUP(A865,CUSTOMER!$A:$C,3,0)</f>
        <v>ME_CH14</v>
      </c>
      <c r="D865" s="178" t="s">
        <v>674</v>
      </c>
      <c r="E865" s="178" t="str">
        <f>VLOOKUP(A869,CUSTOMER!$A$2:$H$1094,5,0)</f>
        <v>TRAN THI THAO NGUYEN</v>
      </c>
      <c r="F865" s="178" t="str">
        <f>VLOOKUP(A869,CUSTOMER!$A$2:$I$1094,6,0)</f>
        <v>VACANCY</v>
      </c>
      <c r="G865" s="178" t="s">
        <v>676</v>
      </c>
      <c r="H865" s="179">
        <f t="shared" si="137"/>
        <v>0</v>
      </c>
      <c r="I865" s="180" t="str">
        <f t="shared" si="138"/>
        <v/>
      </c>
      <c r="J865" s="181">
        <f t="shared" si="139"/>
        <v>0</v>
      </c>
      <c r="K865" s="182">
        <v>0</v>
      </c>
      <c r="L865" s="180" t="str">
        <f t="shared" si="133"/>
        <v/>
      </c>
      <c r="M865" s="218">
        <f>SUMIFS(DATA!$L:$L,DATA!$O:$O,$B869,DATA!$N:$N,$A869,DATA!$M:$M,'SALES BY SYSTEM'!$O$1)</f>
        <v>0</v>
      </c>
      <c r="N865" s="182">
        <v>0</v>
      </c>
      <c r="O865" s="180" t="str">
        <f t="shared" si="134"/>
        <v/>
      </c>
      <c r="P865" s="218">
        <f>SUMIFS(DATA!$L:$L,DATA!$O:$O,$B869,DATA!$N:$N,$A869,DATA!$M:$M,'SALES BY SYSTEM'!$O$2)</f>
        <v>0</v>
      </c>
      <c r="Q865" s="182">
        <v>0</v>
      </c>
      <c r="R865" s="180" t="str">
        <f t="shared" si="135"/>
        <v/>
      </c>
      <c r="S865" s="218">
        <f>SUMIFS(DATA!$L:$L,DATA!$O:$O,$B869,DATA!$N:$N,$A869,DATA!$M:$M,'SALES BY SYSTEM'!$O$4)</f>
        <v>0</v>
      </c>
      <c r="T865" s="182">
        <v>0</v>
      </c>
      <c r="U865" s="180" t="str">
        <f t="shared" si="136"/>
        <v/>
      </c>
      <c r="V865" s="218">
        <f>SUMIFS(DATA!$L:$L,DATA!$O:$O,$B869,DATA!$N:$N,$A869,DATA!$M:$M,'SALES BY SYSTEM'!$O$3)</f>
        <v>0</v>
      </c>
      <c r="W865" s="168"/>
    </row>
    <row r="866" spans="1:23" ht="15.75" customHeight="1" x14ac:dyDescent="0.25">
      <c r="A866" s="178" t="s">
        <v>1598</v>
      </c>
      <c r="B866" s="178" t="s">
        <v>654</v>
      </c>
      <c r="C866" s="178" t="str">
        <f>VLOOKUP(A866,CUSTOMER!$A:$C,3,0)</f>
        <v>ME_CH142</v>
      </c>
      <c r="D866" s="178" t="s">
        <v>674</v>
      </c>
      <c r="E866" s="178" t="str">
        <f>VLOOKUP(A870,CUSTOMER!$A$2:$H$1094,5,0)</f>
        <v>TRAN THI THAO NGUYEN</v>
      </c>
      <c r="F866" s="178" t="str">
        <f>VLOOKUP(A870,CUSTOMER!$A$2:$I$1094,6,0)</f>
        <v>VACANCY</v>
      </c>
      <c r="G866" s="178" t="s">
        <v>676</v>
      </c>
      <c r="H866" s="179">
        <f t="shared" si="137"/>
        <v>0</v>
      </c>
      <c r="I866" s="180" t="str">
        <f t="shared" si="138"/>
        <v/>
      </c>
      <c r="J866" s="181">
        <f t="shared" si="139"/>
        <v>0</v>
      </c>
      <c r="K866" s="182">
        <v>0</v>
      </c>
      <c r="L866" s="180" t="str">
        <f t="shared" si="133"/>
        <v/>
      </c>
      <c r="M866" s="218">
        <f>SUMIFS(DATA!$L:$L,DATA!$O:$O,$B870,DATA!$N:$N,$A870,DATA!$M:$M,'SALES BY SYSTEM'!$O$1)</f>
        <v>0</v>
      </c>
      <c r="N866" s="182">
        <v>0</v>
      </c>
      <c r="O866" s="180" t="str">
        <f t="shared" si="134"/>
        <v/>
      </c>
      <c r="P866" s="218">
        <f>SUMIFS(DATA!$L:$L,DATA!$O:$O,$B870,DATA!$N:$N,$A870,DATA!$M:$M,'SALES BY SYSTEM'!$O$2)</f>
        <v>0</v>
      </c>
      <c r="Q866" s="182">
        <v>0</v>
      </c>
      <c r="R866" s="180" t="str">
        <f t="shared" si="135"/>
        <v/>
      </c>
      <c r="S866" s="218">
        <f>SUMIFS(DATA!$L:$L,DATA!$O:$O,$B870,DATA!$N:$N,$A870,DATA!$M:$M,'SALES BY SYSTEM'!$O$4)</f>
        <v>0</v>
      </c>
      <c r="T866" s="182">
        <v>0</v>
      </c>
      <c r="U866" s="180" t="str">
        <f t="shared" si="136"/>
        <v/>
      </c>
      <c r="V866" s="218">
        <f>SUMIFS(DATA!$L:$L,DATA!$O:$O,$B870,DATA!$N:$N,$A870,DATA!$M:$M,'SALES BY SYSTEM'!$O$3)</f>
        <v>0</v>
      </c>
      <c r="W866" s="168"/>
    </row>
    <row r="867" spans="1:23" ht="15.75" customHeight="1" x14ac:dyDescent="0.25">
      <c r="A867" s="178" t="s">
        <v>1600</v>
      </c>
      <c r="B867" s="178" t="s">
        <v>654</v>
      </c>
      <c r="C867" s="178" t="str">
        <f>VLOOKUP(A867,CUSTOMER!$A:$C,3,0)</f>
        <v>ME_CH82</v>
      </c>
      <c r="D867" s="178" t="s">
        <v>674</v>
      </c>
      <c r="E867" s="178" t="str">
        <f>VLOOKUP(A871,CUSTOMER!$A$2:$H$1094,5,0)</f>
        <v>TRAN THI THAO NGUYEN</v>
      </c>
      <c r="F867" s="178" t="str">
        <f>VLOOKUP(A871,CUSTOMER!$A$2:$I$1094,6,0)</f>
        <v>VACANCY</v>
      </c>
      <c r="G867" s="178" t="s">
        <v>676</v>
      </c>
      <c r="H867" s="179">
        <f t="shared" si="137"/>
        <v>0</v>
      </c>
      <c r="I867" s="180" t="str">
        <f t="shared" si="138"/>
        <v/>
      </c>
      <c r="J867" s="181">
        <f t="shared" si="139"/>
        <v>0</v>
      </c>
      <c r="K867" s="182">
        <v>0</v>
      </c>
      <c r="L867" s="180" t="str">
        <f t="shared" si="133"/>
        <v/>
      </c>
      <c r="M867" s="218">
        <f>SUMIFS(DATA!$L:$L,DATA!$O:$O,$B871,DATA!$N:$N,$A871,DATA!$M:$M,'SALES BY SYSTEM'!$O$1)</f>
        <v>0</v>
      </c>
      <c r="N867" s="182">
        <v>0</v>
      </c>
      <c r="O867" s="180" t="str">
        <f t="shared" si="134"/>
        <v/>
      </c>
      <c r="P867" s="218">
        <f>SUMIFS(DATA!$L:$L,DATA!$O:$O,$B871,DATA!$N:$N,$A871,DATA!$M:$M,'SALES BY SYSTEM'!$O$2)</f>
        <v>0</v>
      </c>
      <c r="Q867" s="182">
        <v>0</v>
      </c>
      <c r="R867" s="180" t="str">
        <f t="shared" si="135"/>
        <v/>
      </c>
      <c r="S867" s="218">
        <f>SUMIFS(DATA!$L:$L,DATA!$O:$O,$B871,DATA!$N:$N,$A871,DATA!$M:$M,'SALES BY SYSTEM'!$O$4)</f>
        <v>0</v>
      </c>
      <c r="T867" s="182">
        <v>0</v>
      </c>
      <c r="U867" s="180" t="str">
        <f t="shared" si="136"/>
        <v/>
      </c>
      <c r="V867" s="218">
        <f>SUMIFS(DATA!$L:$L,DATA!$O:$O,$B871,DATA!$N:$N,$A871,DATA!$M:$M,'SALES BY SYSTEM'!$O$3)</f>
        <v>0</v>
      </c>
      <c r="W867" s="168"/>
    </row>
    <row r="868" spans="1:23" ht="15.75" customHeight="1" x14ac:dyDescent="0.25">
      <c r="A868" s="178" t="s">
        <v>1602</v>
      </c>
      <c r="B868" s="178" t="s">
        <v>654</v>
      </c>
      <c r="C868" s="178" t="str">
        <f>VLOOKUP(A868,CUSTOMER!$A:$C,3,0)</f>
        <v>ME_CH72</v>
      </c>
      <c r="D868" s="178" t="s">
        <v>674</v>
      </c>
      <c r="E868" s="178" t="str">
        <f>VLOOKUP(A872,CUSTOMER!$A$2:$H$1094,5,0)</f>
        <v>TRAN THI THAO NGUYEN</v>
      </c>
      <c r="F868" s="178" t="str">
        <f>VLOOKUP(A872,CUSTOMER!$A$2:$I$1094,6,0)</f>
        <v>VACANCY</v>
      </c>
      <c r="G868" s="178" t="s">
        <v>676</v>
      </c>
      <c r="H868" s="179">
        <f t="shared" si="137"/>
        <v>0</v>
      </c>
      <c r="I868" s="180" t="str">
        <f t="shared" si="138"/>
        <v/>
      </c>
      <c r="J868" s="181">
        <f t="shared" si="139"/>
        <v>0</v>
      </c>
      <c r="K868" s="182">
        <v>0</v>
      </c>
      <c r="L868" s="180" t="str">
        <f t="shared" si="133"/>
        <v/>
      </c>
      <c r="M868" s="218">
        <f>SUMIFS(DATA!$L:$L,DATA!$O:$O,$B872,DATA!$N:$N,$A872,DATA!$M:$M,'SALES BY SYSTEM'!$O$1)</f>
        <v>0</v>
      </c>
      <c r="N868" s="182">
        <v>0</v>
      </c>
      <c r="O868" s="180" t="str">
        <f t="shared" si="134"/>
        <v/>
      </c>
      <c r="P868" s="218">
        <f>SUMIFS(DATA!$L:$L,DATA!$O:$O,$B872,DATA!$N:$N,$A872,DATA!$M:$M,'SALES BY SYSTEM'!$O$2)</f>
        <v>0</v>
      </c>
      <c r="Q868" s="182">
        <v>0</v>
      </c>
      <c r="R868" s="180" t="str">
        <f t="shared" si="135"/>
        <v/>
      </c>
      <c r="S868" s="218">
        <f>SUMIFS(DATA!$L:$L,DATA!$O:$O,$B872,DATA!$N:$N,$A872,DATA!$M:$M,'SALES BY SYSTEM'!$O$4)</f>
        <v>0</v>
      </c>
      <c r="T868" s="182">
        <v>0</v>
      </c>
      <c r="U868" s="180" t="str">
        <f t="shared" si="136"/>
        <v/>
      </c>
      <c r="V868" s="218">
        <f>SUMIFS(DATA!$L:$L,DATA!$O:$O,$B872,DATA!$N:$N,$A872,DATA!$M:$M,'SALES BY SYSTEM'!$O$3)</f>
        <v>0</v>
      </c>
      <c r="W868" s="168"/>
    </row>
    <row r="869" spans="1:23" ht="15.75" customHeight="1" x14ac:dyDescent="0.25">
      <c r="A869" s="178" t="s">
        <v>1604</v>
      </c>
      <c r="B869" s="178" t="s">
        <v>654</v>
      </c>
      <c r="C869" s="178" t="str">
        <f>VLOOKUP(A869,CUSTOMER!$A:$C,3,0)</f>
        <v>ME_CH2</v>
      </c>
      <c r="D869" s="178" t="s">
        <v>674</v>
      </c>
      <c r="E869" s="178" t="str">
        <f>VLOOKUP(A873,CUSTOMER!$A$2:$H$1094,5,0)</f>
        <v>TRAN THI THAO NGUYEN</v>
      </c>
      <c r="F869" s="178" t="str">
        <f>VLOOKUP(A873,CUSTOMER!$A$2:$I$1094,6,0)</f>
        <v>VACANCY</v>
      </c>
      <c r="G869" s="178" t="s">
        <v>676</v>
      </c>
      <c r="H869" s="179">
        <f t="shared" si="137"/>
        <v>0</v>
      </c>
      <c r="I869" s="180" t="str">
        <f t="shared" si="138"/>
        <v/>
      </c>
      <c r="J869" s="181">
        <f t="shared" si="139"/>
        <v>0</v>
      </c>
      <c r="K869" s="182">
        <v>0</v>
      </c>
      <c r="L869" s="180" t="str">
        <f t="shared" si="133"/>
        <v/>
      </c>
      <c r="M869" s="218">
        <f>SUMIFS(DATA!$L:$L,DATA!$O:$O,$B873,DATA!$N:$N,$A873,DATA!$M:$M,'SALES BY SYSTEM'!$O$1)</f>
        <v>0</v>
      </c>
      <c r="N869" s="182">
        <v>0</v>
      </c>
      <c r="O869" s="180" t="str">
        <f t="shared" si="134"/>
        <v/>
      </c>
      <c r="P869" s="218">
        <f>SUMIFS(DATA!$L:$L,DATA!$O:$O,$B873,DATA!$N:$N,$A873,DATA!$M:$M,'SALES BY SYSTEM'!$O$2)</f>
        <v>0</v>
      </c>
      <c r="Q869" s="182">
        <v>0</v>
      </c>
      <c r="R869" s="180" t="str">
        <f t="shared" si="135"/>
        <v/>
      </c>
      <c r="S869" s="218">
        <f>SUMIFS(DATA!$L:$L,DATA!$O:$O,$B873,DATA!$N:$N,$A873,DATA!$M:$M,'SALES BY SYSTEM'!$O$4)</f>
        <v>0</v>
      </c>
      <c r="T869" s="182">
        <v>0</v>
      </c>
      <c r="U869" s="180" t="str">
        <f t="shared" si="136"/>
        <v/>
      </c>
      <c r="V869" s="218">
        <f>SUMIFS(DATA!$L:$L,DATA!$O:$O,$B873,DATA!$N:$N,$A873,DATA!$M:$M,'SALES BY SYSTEM'!$O$3)</f>
        <v>0</v>
      </c>
      <c r="W869" s="168"/>
    </row>
    <row r="870" spans="1:23" ht="15.75" customHeight="1" x14ac:dyDescent="0.25">
      <c r="A870" s="178" t="s">
        <v>1606</v>
      </c>
      <c r="B870" s="178" t="s">
        <v>654</v>
      </c>
      <c r="C870" s="178" t="str">
        <f>VLOOKUP(A870,CUSTOMER!$A:$C,3,0)</f>
        <v>ME_CH66</v>
      </c>
      <c r="D870" s="178" t="s">
        <v>674</v>
      </c>
      <c r="E870" s="178" t="str">
        <f>VLOOKUP(A874,CUSTOMER!$A$2:$H$1094,5,0)</f>
        <v>TRAN THI THAO NGUYEN</v>
      </c>
      <c r="F870" s="178" t="str">
        <f>VLOOKUP(A874,CUSTOMER!$A$2:$I$1094,6,0)</f>
        <v>VACANCY</v>
      </c>
      <c r="G870" s="178" t="s">
        <v>676</v>
      </c>
      <c r="H870" s="179">
        <f t="shared" si="137"/>
        <v>0</v>
      </c>
      <c r="I870" s="180" t="str">
        <f t="shared" si="138"/>
        <v/>
      </c>
      <c r="J870" s="181">
        <f t="shared" si="139"/>
        <v>0</v>
      </c>
      <c r="K870" s="182">
        <v>0</v>
      </c>
      <c r="L870" s="180" t="str">
        <f t="shared" si="133"/>
        <v/>
      </c>
      <c r="M870" s="218">
        <f>SUMIFS(DATA!$L:$L,DATA!$O:$O,$B874,DATA!$N:$N,$A874,DATA!$M:$M,'SALES BY SYSTEM'!$O$1)</f>
        <v>0</v>
      </c>
      <c r="N870" s="182">
        <v>0</v>
      </c>
      <c r="O870" s="180" t="str">
        <f t="shared" si="134"/>
        <v/>
      </c>
      <c r="P870" s="218">
        <f>SUMIFS(DATA!$L:$L,DATA!$O:$O,$B874,DATA!$N:$N,$A874,DATA!$M:$M,'SALES BY SYSTEM'!$O$2)</f>
        <v>0</v>
      </c>
      <c r="Q870" s="182">
        <v>0</v>
      </c>
      <c r="R870" s="180" t="str">
        <f t="shared" si="135"/>
        <v/>
      </c>
      <c r="S870" s="218">
        <f>SUMIFS(DATA!$L:$L,DATA!$O:$O,$B874,DATA!$N:$N,$A874,DATA!$M:$M,'SALES BY SYSTEM'!$O$4)</f>
        <v>0</v>
      </c>
      <c r="T870" s="182">
        <v>0</v>
      </c>
      <c r="U870" s="180" t="str">
        <f t="shared" si="136"/>
        <v/>
      </c>
      <c r="V870" s="218">
        <f>SUMIFS(DATA!$L:$L,DATA!$O:$O,$B874,DATA!$N:$N,$A874,DATA!$M:$M,'SALES BY SYSTEM'!$O$3)</f>
        <v>0</v>
      </c>
      <c r="W870" s="168"/>
    </row>
    <row r="871" spans="1:23" ht="15.75" customHeight="1" x14ac:dyDescent="0.25">
      <c r="A871" s="178" t="s">
        <v>1608</v>
      </c>
      <c r="B871" s="178" t="s">
        <v>654</v>
      </c>
      <c r="C871" s="178" t="str">
        <f>VLOOKUP(A871,CUSTOMER!$A:$C,3,0)</f>
        <v>ME_CH68</v>
      </c>
      <c r="D871" s="178" t="s">
        <v>674</v>
      </c>
      <c r="E871" s="178" t="str">
        <f>VLOOKUP(A875,CUSTOMER!$A$2:$H$1094,5,0)</f>
        <v>TRAN THI THAO NGUYEN</v>
      </c>
      <c r="F871" s="178" t="str">
        <f>VLOOKUP(A875,CUSTOMER!$A$2:$I$1094,6,0)</f>
        <v>VACANCY</v>
      </c>
      <c r="G871" s="178" t="s">
        <v>676</v>
      </c>
      <c r="H871" s="179">
        <f t="shared" si="137"/>
        <v>0</v>
      </c>
      <c r="I871" s="180" t="str">
        <f t="shared" si="138"/>
        <v/>
      </c>
      <c r="J871" s="181">
        <f t="shared" si="139"/>
        <v>0</v>
      </c>
      <c r="K871" s="182">
        <v>0</v>
      </c>
      <c r="L871" s="180" t="str">
        <f t="shared" si="133"/>
        <v/>
      </c>
      <c r="M871" s="218">
        <f>SUMIFS(DATA!$L:$L,DATA!$O:$O,$B875,DATA!$N:$N,$A875,DATA!$M:$M,'SALES BY SYSTEM'!$O$1)</f>
        <v>0</v>
      </c>
      <c r="N871" s="182">
        <v>0</v>
      </c>
      <c r="O871" s="180" t="str">
        <f t="shared" si="134"/>
        <v/>
      </c>
      <c r="P871" s="218">
        <f>SUMIFS(DATA!$L:$L,DATA!$O:$O,$B875,DATA!$N:$N,$A875,DATA!$M:$M,'SALES BY SYSTEM'!$O$2)</f>
        <v>0</v>
      </c>
      <c r="Q871" s="182">
        <v>0</v>
      </c>
      <c r="R871" s="180" t="str">
        <f t="shared" si="135"/>
        <v/>
      </c>
      <c r="S871" s="218">
        <f>SUMIFS(DATA!$L:$L,DATA!$O:$O,$B875,DATA!$N:$N,$A875,DATA!$M:$M,'SALES BY SYSTEM'!$O$4)</f>
        <v>0</v>
      </c>
      <c r="T871" s="182">
        <v>0</v>
      </c>
      <c r="U871" s="180" t="str">
        <f t="shared" si="136"/>
        <v/>
      </c>
      <c r="V871" s="218">
        <f>SUMIFS(DATA!$L:$L,DATA!$O:$O,$B875,DATA!$N:$N,$A875,DATA!$M:$M,'SALES BY SYSTEM'!$O$3)</f>
        <v>0</v>
      </c>
      <c r="W871" s="168"/>
    </row>
    <row r="872" spans="1:23" ht="15.75" customHeight="1" x14ac:dyDescent="0.25">
      <c r="A872" s="178" t="s">
        <v>1611</v>
      </c>
      <c r="B872" s="178" t="s">
        <v>654</v>
      </c>
      <c r="C872" s="178" t="str">
        <f>VLOOKUP(A872,CUSTOMER!$A:$C,3,0)</f>
        <v>ME_CH89</v>
      </c>
      <c r="D872" s="178" t="s">
        <v>674</v>
      </c>
      <c r="E872" s="178" t="str">
        <f>VLOOKUP(A876,CUSTOMER!$A$2:$H$1094,5,0)</f>
        <v>TRAN THI THAO NGUYEN</v>
      </c>
      <c r="F872" s="178" t="str">
        <f>VLOOKUP(A876,CUSTOMER!$A$2:$I$1094,6,0)</f>
        <v>VACANCY</v>
      </c>
      <c r="G872" s="178" t="s">
        <v>676</v>
      </c>
      <c r="H872" s="179">
        <f t="shared" si="137"/>
        <v>0</v>
      </c>
      <c r="I872" s="180" t="str">
        <f t="shared" si="138"/>
        <v/>
      </c>
      <c r="J872" s="181">
        <f t="shared" si="139"/>
        <v>0</v>
      </c>
      <c r="K872" s="182">
        <v>0</v>
      </c>
      <c r="L872" s="180" t="str">
        <f t="shared" si="133"/>
        <v/>
      </c>
      <c r="M872" s="218">
        <f>SUMIFS(DATA!$L:$L,DATA!$O:$O,$B876,DATA!$N:$N,$A876,DATA!$M:$M,'SALES BY SYSTEM'!$O$1)</f>
        <v>0</v>
      </c>
      <c r="N872" s="182">
        <v>0</v>
      </c>
      <c r="O872" s="180" t="str">
        <f t="shared" si="134"/>
        <v/>
      </c>
      <c r="P872" s="218">
        <f>SUMIFS(DATA!$L:$L,DATA!$O:$O,$B876,DATA!$N:$N,$A876,DATA!$M:$M,'SALES BY SYSTEM'!$O$2)</f>
        <v>0</v>
      </c>
      <c r="Q872" s="182">
        <v>0</v>
      </c>
      <c r="R872" s="180" t="str">
        <f t="shared" si="135"/>
        <v/>
      </c>
      <c r="S872" s="218">
        <f>SUMIFS(DATA!$L:$L,DATA!$O:$O,$B876,DATA!$N:$N,$A876,DATA!$M:$M,'SALES BY SYSTEM'!$O$4)</f>
        <v>0</v>
      </c>
      <c r="T872" s="182">
        <v>0</v>
      </c>
      <c r="U872" s="180" t="str">
        <f t="shared" si="136"/>
        <v/>
      </c>
      <c r="V872" s="218">
        <f>SUMIFS(DATA!$L:$L,DATA!$O:$O,$B876,DATA!$N:$N,$A876,DATA!$M:$M,'SALES BY SYSTEM'!$O$3)</f>
        <v>0</v>
      </c>
      <c r="W872" s="168"/>
    </row>
    <row r="873" spans="1:23" ht="15.75" customHeight="1" x14ac:dyDescent="0.25">
      <c r="A873" s="178" t="s">
        <v>1613</v>
      </c>
      <c r="B873" s="178" t="s">
        <v>654</v>
      </c>
      <c r="C873" s="178" t="str">
        <f>VLOOKUP(A873,CUSTOMER!$A:$C,3,0)</f>
        <v>ME_CH108</v>
      </c>
      <c r="D873" s="178" t="s">
        <v>674</v>
      </c>
      <c r="E873" s="178" t="str">
        <f>VLOOKUP(A877,CUSTOMER!$A$2:$H$1094,5,0)</f>
        <v>TRAN THI THAO NGUYEN</v>
      </c>
      <c r="F873" s="178" t="str">
        <f>VLOOKUP(A877,CUSTOMER!$A$2:$I$1094,6,0)</f>
        <v>VACANCY</v>
      </c>
      <c r="G873" s="178" t="s">
        <v>676</v>
      </c>
      <c r="H873" s="179">
        <f t="shared" si="137"/>
        <v>0</v>
      </c>
      <c r="I873" s="180" t="str">
        <f t="shared" si="138"/>
        <v/>
      </c>
      <c r="J873" s="181">
        <f t="shared" si="139"/>
        <v>0</v>
      </c>
      <c r="K873" s="182">
        <v>0</v>
      </c>
      <c r="L873" s="180" t="str">
        <f t="shared" si="133"/>
        <v/>
      </c>
      <c r="M873" s="218">
        <f>SUMIFS(DATA!$L:$L,DATA!$O:$O,$B877,DATA!$N:$N,$A877,DATA!$M:$M,'SALES BY SYSTEM'!$O$1)</f>
        <v>0</v>
      </c>
      <c r="N873" s="182">
        <v>0</v>
      </c>
      <c r="O873" s="180" t="str">
        <f t="shared" si="134"/>
        <v/>
      </c>
      <c r="P873" s="218">
        <f>SUMIFS(DATA!$L:$L,DATA!$O:$O,$B877,DATA!$N:$N,$A877,DATA!$M:$M,'SALES BY SYSTEM'!$O$2)</f>
        <v>0</v>
      </c>
      <c r="Q873" s="182">
        <v>0</v>
      </c>
      <c r="R873" s="180" t="str">
        <f t="shared" si="135"/>
        <v/>
      </c>
      <c r="S873" s="218">
        <f>SUMIFS(DATA!$L:$L,DATA!$O:$O,$B877,DATA!$N:$N,$A877,DATA!$M:$M,'SALES BY SYSTEM'!$O$4)</f>
        <v>0</v>
      </c>
      <c r="T873" s="182">
        <v>0</v>
      </c>
      <c r="U873" s="180" t="str">
        <f t="shared" si="136"/>
        <v/>
      </c>
      <c r="V873" s="218">
        <f>SUMIFS(DATA!$L:$L,DATA!$O:$O,$B877,DATA!$N:$N,$A877,DATA!$M:$M,'SALES BY SYSTEM'!$O$3)</f>
        <v>0</v>
      </c>
      <c r="W873" s="168"/>
    </row>
    <row r="874" spans="1:23" ht="15.75" customHeight="1" x14ac:dyDescent="0.25">
      <c r="A874" s="178" t="s">
        <v>1616</v>
      </c>
      <c r="B874" s="178" t="s">
        <v>654</v>
      </c>
      <c r="C874" s="178" t="str">
        <f>VLOOKUP(A874,CUSTOMER!$A:$C,3,0)</f>
        <v>ME_CH73</v>
      </c>
      <c r="D874" s="178" t="s">
        <v>674</v>
      </c>
      <c r="E874" s="178" t="str">
        <f>VLOOKUP(A878,CUSTOMER!$A$2:$H$1094,5,0)</f>
        <v>TRAN THI THAO NGUYEN</v>
      </c>
      <c r="F874" s="178" t="str">
        <f>VLOOKUP(A878,CUSTOMER!$A$2:$I$1094,6,0)</f>
        <v>VACANCY</v>
      </c>
      <c r="G874" s="178" t="s">
        <v>676</v>
      </c>
      <c r="H874" s="179">
        <f t="shared" si="137"/>
        <v>0</v>
      </c>
      <c r="I874" s="180" t="str">
        <f t="shared" si="138"/>
        <v/>
      </c>
      <c r="J874" s="181">
        <f t="shared" si="139"/>
        <v>0</v>
      </c>
      <c r="K874" s="182">
        <v>0</v>
      </c>
      <c r="L874" s="180" t="str">
        <f t="shared" si="133"/>
        <v/>
      </c>
      <c r="M874" s="218">
        <f>SUMIFS(DATA!$L:$L,DATA!$O:$O,$B878,DATA!$N:$N,$A878,DATA!$M:$M,'SALES BY SYSTEM'!$O$1)</f>
        <v>0</v>
      </c>
      <c r="N874" s="182">
        <v>0</v>
      </c>
      <c r="O874" s="180" t="str">
        <f t="shared" si="134"/>
        <v/>
      </c>
      <c r="P874" s="218">
        <f>SUMIFS(DATA!$L:$L,DATA!$O:$O,$B878,DATA!$N:$N,$A878,DATA!$M:$M,'SALES BY SYSTEM'!$O$2)</f>
        <v>0</v>
      </c>
      <c r="Q874" s="182">
        <v>0</v>
      </c>
      <c r="R874" s="180" t="str">
        <f t="shared" si="135"/>
        <v/>
      </c>
      <c r="S874" s="218">
        <f>SUMIFS(DATA!$L:$L,DATA!$O:$O,$B878,DATA!$N:$N,$A878,DATA!$M:$M,'SALES BY SYSTEM'!$O$4)</f>
        <v>0</v>
      </c>
      <c r="T874" s="182">
        <v>0</v>
      </c>
      <c r="U874" s="180" t="str">
        <f t="shared" si="136"/>
        <v/>
      </c>
      <c r="V874" s="218">
        <f>SUMIFS(DATA!$L:$L,DATA!$O:$O,$B878,DATA!$N:$N,$A878,DATA!$M:$M,'SALES BY SYSTEM'!$O$3)</f>
        <v>0</v>
      </c>
      <c r="W874" s="168"/>
    </row>
    <row r="875" spans="1:23" ht="15.75" customHeight="1" x14ac:dyDescent="0.25">
      <c r="A875" s="178" t="s">
        <v>1618</v>
      </c>
      <c r="B875" s="178" t="s">
        <v>654</v>
      </c>
      <c r="C875" s="178" t="str">
        <f>VLOOKUP(A875,CUSTOMER!$A:$C,3,0)</f>
        <v>ME_CH118</v>
      </c>
      <c r="D875" s="178" t="s">
        <v>674</v>
      </c>
      <c r="E875" s="178" t="str">
        <f>VLOOKUP(A879,CUSTOMER!$A$2:$H$1094,5,0)</f>
        <v>TRAN THI THAO NGUYEN</v>
      </c>
      <c r="F875" s="178" t="str">
        <f>VLOOKUP(A879,CUSTOMER!$A$2:$I$1094,6,0)</f>
        <v>VACANCY</v>
      </c>
      <c r="G875" s="178" t="s">
        <v>676</v>
      </c>
      <c r="H875" s="179">
        <f t="shared" si="137"/>
        <v>0</v>
      </c>
      <c r="I875" s="180" t="str">
        <f t="shared" si="138"/>
        <v/>
      </c>
      <c r="J875" s="181">
        <f t="shared" si="139"/>
        <v>0</v>
      </c>
      <c r="K875" s="182">
        <v>0</v>
      </c>
      <c r="L875" s="180" t="str">
        <f t="shared" si="133"/>
        <v/>
      </c>
      <c r="M875" s="218">
        <f>SUMIFS(DATA!$L:$L,DATA!$O:$O,$B879,DATA!$N:$N,$A879,DATA!$M:$M,'SALES BY SYSTEM'!$O$1)</f>
        <v>0</v>
      </c>
      <c r="N875" s="182">
        <v>0</v>
      </c>
      <c r="O875" s="180" t="str">
        <f t="shared" si="134"/>
        <v/>
      </c>
      <c r="P875" s="218">
        <f>SUMIFS(DATA!$L:$L,DATA!$O:$O,$B879,DATA!$N:$N,$A879,DATA!$M:$M,'SALES BY SYSTEM'!$O$2)</f>
        <v>0</v>
      </c>
      <c r="Q875" s="182">
        <v>0</v>
      </c>
      <c r="R875" s="180" t="str">
        <f t="shared" si="135"/>
        <v/>
      </c>
      <c r="S875" s="218">
        <f>SUMIFS(DATA!$L:$L,DATA!$O:$O,$B879,DATA!$N:$N,$A879,DATA!$M:$M,'SALES BY SYSTEM'!$O$4)</f>
        <v>0</v>
      </c>
      <c r="T875" s="182">
        <v>0</v>
      </c>
      <c r="U875" s="180" t="str">
        <f t="shared" si="136"/>
        <v/>
      </c>
      <c r="V875" s="218">
        <f>SUMIFS(DATA!$L:$L,DATA!$O:$O,$B879,DATA!$N:$N,$A879,DATA!$M:$M,'SALES BY SYSTEM'!$O$3)</f>
        <v>0</v>
      </c>
      <c r="W875" s="168"/>
    </row>
    <row r="876" spans="1:23" ht="15.75" customHeight="1" x14ac:dyDescent="0.25">
      <c r="A876" s="178" t="s">
        <v>1620</v>
      </c>
      <c r="B876" s="178" t="s">
        <v>654</v>
      </c>
      <c r="C876" s="178" t="str">
        <f>VLOOKUP(A876,CUSTOMER!$A:$C,3,0)</f>
        <v>ME_CH132</v>
      </c>
      <c r="D876" s="178" t="s">
        <v>674</v>
      </c>
      <c r="E876" s="178" t="str">
        <f>VLOOKUP(A880,CUSTOMER!$A$2:$H$1094,5,0)</f>
        <v>TRAN THI THAO NGUYEN</v>
      </c>
      <c r="F876" s="178" t="str">
        <f>VLOOKUP(A880,CUSTOMER!$A$2:$I$1094,6,0)</f>
        <v>VACANCY</v>
      </c>
      <c r="G876" s="178" t="s">
        <v>676</v>
      </c>
      <c r="H876" s="179">
        <f t="shared" si="137"/>
        <v>0</v>
      </c>
      <c r="I876" s="180" t="str">
        <f t="shared" si="138"/>
        <v/>
      </c>
      <c r="J876" s="181">
        <f t="shared" si="139"/>
        <v>0</v>
      </c>
      <c r="K876" s="182">
        <v>0</v>
      </c>
      <c r="L876" s="180" t="str">
        <f t="shared" si="133"/>
        <v/>
      </c>
      <c r="M876" s="218">
        <f>SUMIFS(DATA!$L:$L,DATA!$O:$O,$B880,DATA!$N:$N,$A880,DATA!$M:$M,'SALES BY SYSTEM'!$O$1)</f>
        <v>0</v>
      </c>
      <c r="N876" s="182">
        <v>0</v>
      </c>
      <c r="O876" s="180" t="str">
        <f t="shared" si="134"/>
        <v/>
      </c>
      <c r="P876" s="218">
        <f>SUMIFS(DATA!$L:$L,DATA!$O:$O,$B880,DATA!$N:$N,$A880,DATA!$M:$M,'SALES BY SYSTEM'!$O$2)</f>
        <v>0</v>
      </c>
      <c r="Q876" s="182">
        <v>0</v>
      </c>
      <c r="R876" s="180" t="str">
        <f t="shared" si="135"/>
        <v/>
      </c>
      <c r="S876" s="218">
        <f>SUMIFS(DATA!$L:$L,DATA!$O:$O,$B880,DATA!$N:$N,$A880,DATA!$M:$M,'SALES BY SYSTEM'!$O$4)</f>
        <v>0</v>
      </c>
      <c r="T876" s="182">
        <v>0</v>
      </c>
      <c r="U876" s="180" t="str">
        <f t="shared" si="136"/>
        <v/>
      </c>
      <c r="V876" s="218">
        <f>SUMIFS(DATA!$L:$L,DATA!$O:$O,$B880,DATA!$N:$N,$A880,DATA!$M:$M,'SALES BY SYSTEM'!$O$3)</f>
        <v>0</v>
      </c>
      <c r="W876" s="168"/>
    </row>
    <row r="877" spans="1:23" ht="15.75" customHeight="1" x14ac:dyDescent="0.25">
      <c r="A877" s="178" t="s">
        <v>1622</v>
      </c>
      <c r="B877" s="178" t="s">
        <v>654</v>
      </c>
      <c r="C877" s="178" t="str">
        <f>VLOOKUP(A877,CUSTOMER!$A:$C,3,0)</f>
        <v>ME_CH113</v>
      </c>
      <c r="D877" s="178" t="s">
        <v>674</v>
      </c>
      <c r="E877" s="178" t="str">
        <f>VLOOKUP(A881,CUSTOMER!$A$2:$H$1094,5,0)</f>
        <v>TRAN THI THAO NGUYEN</v>
      </c>
      <c r="F877" s="178" t="str">
        <f>VLOOKUP(A881,CUSTOMER!$A$2:$I$1094,6,0)</f>
        <v>VACANCY</v>
      </c>
      <c r="G877" s="178" t="s">
        <v>676</v>
      </c>
      <c r="H877" s="179">
        <f t="shared" si="137"/>
        <v>0</v>
      </c>
      <c r="I877" s="180" t="str">
        <f t="shared" si="138"/>
        <v/>
      </c>
      <c r="J877" s="181">
        <f t="shared" si="139"/>
        <v>0</v>
      </c>
      <c r="K877" s="182">
        <v>0</v>
      </c>
      <c r="L877" s="180" t="str">
        <f t="shared" si="133"/>
        <v/>
      </c>
      <c r="M877" s="218">
        <f>SUMIFS(DATA!$L:$L,DATA!$O:$O,$B881,DATA!$N:$N,$A881,DATA!$M:$M,'SALES BY SYSTEM'!$O$1)</f>
        <v>0</v>
      </c>
      <c r="N877" s="182">
        <v>0</v>
      </c>
      <c r="O877" s="180" t="str">
        <f t="shared" si="134"/>
        <v/>
      </c>
      <c r="P877" s="218">
        <f>SUMIFS(DATA!$L:$L,DATA!$O:$O,$B881,DATA!$N:$N,$A881,DATA!$M:$M,'SALES BY SYSTEM'!$O$2)</f>
        <v>0</v>
      </c>
      <c r="Q877" s="182">
        <v>0</v>
      </c>
      <c r="R877" s="180" t="str">
        <f t="shared" si="135"/>
        <v/>
      </c>
      <c r="S877" s="218">
        <f>SUMIFS(DATA!$L:$L,DATA!$O:$O,$B881,DATA!$N:$N,$A881,DATA!$M:$M,'SALES BY SYSTEM'!$O$4)</f>
        <v>0</v>
      </c>
      <c r="T877" s="182">
        <v>0</v>
      </c>
      <c r="U877" s="180" t="str">
        <f t="shared" si="136"/>
        <v/>
      </c>
      <c r="V877" s="218">
        <f>SUMIFS(DATA!$L:$L,DATA!$O:$O,$B881,DATA!$N:$N,$A881,DATA!$M:$M,'SALES BY SYSTEM'!$O$3)</f>
        <v>0</v>
      </c>
      <c r="W877" s="168"/>
    </row>
    <row r="878" spans="1:23" ht="15.75" customHeight="1" x14ac:dyDescent="0.25">
      <c r="A878" s="178" t="s">
        <v>1624</v>
      </c>
      <c r="B878" s="178" t="s">
        <v>654</v>
      </c>
      <c r="C878" s="178" t="str">
        <f>VLOOKUP(A878,CUSTOMER!$A:$C,3,0)</f>
        <v>ME_CH121</v>
      </c>
      <c r="D878" s="178" t="s">
        <v>674</v>
      </c>
      <c r="E878" s="178" t="str">
        <f>VLOOKUP(A882,CUSTOMER!$A$2:$H$1094,5,0)</f>
        <v>TRAN THI THAO NGUYEN</v>
      </c>
      <c r="F878" s="178" t="str">
        <f>VLOOKUP(A882,CUSTOMER!$A$2:$I$1094,6,0)</f>
        <v>VACANCY</v>
      </c>
      <c r="G878" s="178" t="s">
        <v>676</v>
      </c>
      <c r="H878" s="179">
        <f t="shared" si="137"/>
        <v>0</v>
      </c>
      <c r="I878" s="180" t="str">
        <f t="shared" si="138"/>
        <v/>
      </c>
      <c r="J878" s="181">
        <f t="shared" si="139"/>
        <v>0</v>
      </c>
      <c r="K878" s="182">
        <v>0</v>
      </c>
      <c r="L878" s="180" t="str">
        <f t="shared" si="133"/>
        <v/>
      </c>
      <c r="M878" s="218">
        <f>SUMIFS(DATA!$L:$L,DATA!$O:$O,$B882,DATA!$N:$N,$A882,DATA!$M:$M,'SALES BY SYSTEM'!$O$1)</f>
        <v>0</v>
      </c>
      <c r="N878" s="182">
        <v>0</v>
      </c>
      <c r="O878" s="180" t="str">
        <f t="shared" si="134"/>
        <v/>
      </c>
      <c r="P878" s="218">
        <f>SUMIFS(DATA!$L:$L,DATA!$O:$O,$B882,DATA!$N:$N,$A882,DATA!$M:$M,'SALES BY SYSTEM'!$O$2)</f>
        <v>0</v>
      </c>
      <c r="Q878" s="182">
        <v>0</v>
      </c>
      <c r="R878" s="180" t="str">
        <f t="shared" si="135"/>
        <v/>
      </c>
      <c r="S878" s="218">
        <f>SUMIFS(DATA!$L:$L,DATA!$O:$O,$B882,DATA!$N:$N,$A882,DATA!$M:$M,'SALES BY SYSTEM'!$O$4)</f>
        <v>0</v>
      </c>
      <c r="T878" s="182">
        <v>0</v>
      </c>
      <c r="U878" s="180" t="str">
        <f t="shared" si="136"/>
        <v/>
      </c>
      <c r="V878" s="218">
        <f>SUMIFS(DATA!$L:$L,DATA!$O:$O,$B882,DATA!$N:$N,$A882,DATA!$M:$M,'SALES BY SYSTEM'!$O$3)</f>
        <v>0</v>
      </c>
      <c r="W878" s="168"/>
    </row>
    <row r="879" spans="1:23" ht="15.75" customHeight="1" x14ac:dyDescent="0.25">
      <c r="A879" s="178" t="s">
        <v>1626</v>
      </c>
      <c r="B879" s="178" t="s">
        <v>654</v>
      </c>
      <c r="C879" s="178" t="str">
        <f>VLOOKUP(A879,CUSTOMER!$A:$C,3,0)</f>
        <v>ME_CH128</v>
      </c>
      <c r="D879" s="178" t="s">
        <v>674</v>
      </c>
      <c r="E879" s="178" t="str">
        <f>VLOOKUP(A883,CUSTOMER!$A$2:$H$1094,5,0)</f>
        <v>TRAN THI THAO NGUYEN</v>
      </c>
      <c r="F879" s="178" t="str">
        <f>VLOOKUP(A883,CUSTOMER!$A$2:$I$1094,6,0)</f>
        <v>VACANCY</v>
      </c>
      <c r="G879" s="178" t="s">
        <v>676</v>
      </c>
      <c r="H879" s="179">
        <f t="shared" si="137"/>
        <v>0</v>
      </c>
      <c r="I879" s="180" t="str">
        <f t="shared" si="138"/>
        <v/>
      </c>
      <c r="J879" s="181">
        <f t="shared" si="139"/>
        <v>0</v>
      </c>
      <c r="K879" s="182">
        <v>0</v>
      </c>
      <c r="L879" s="180" t="str">
        <f t="shared" si="133"/>
        <v/>
      </c>
      <c r="M879" s="218">
        <f>SUMIFS(DATA!$L:$L,DATA!$O:$O,$B883,DATA!$N:$N,$A883,DATA!$M:$M,'SALES BY SYSTEM'!$O$1)</f>
        <v>0</v>
      </c>
      <c r="N879" s="182">
        <v>0</v>
      </c>
      <c r="O879" s="180" t="str">
        <f t="shared" si="134"/>
        <v/>
      </c>
      <c r="P879" s="218">
        <f>SUMIFS(DATA!$L:$L,DATA!$O:$O,$B883,DATA!$N:$N,$A883,DATA!$M:$M,'SALES BY SYSTEM'!$O$2)</f>
        <v>0</v>
      </c>
      <c r="Q879" s="182">
        <v>0</v>
      </c>
      <c r="R879" s="180" t="str">
        <f t="shared" si="135"/>
        <v/>
      </c>
      <c r="S879" s="218">
        <f>SUMIFS(DATA!$L:$L,DATA!$O:$O,$B883,DATA!$N:$N,$A883,DATA!$M:$M,'SALES BY SYSTEM'!$O$4)</f>
        <v>0</v>
      </c>
      <c r="T879" s="182">
        <v>0</v>
      </c>
      <c r="U879" s="180" t="str">
        <f t="shared" si="136"/>
        <v/>
      </c>
      <c r="V879" s="218">
        <f>SUMIFS(DATA!$L:$L,DATA!$O:$O,$B883,DATA!$N:$N,$A883,DATA!$M:$M,'SALES BY SYSTEM'!$O$3)</f>
        <v>0</v>
      </c>
      <c r="W879" s="168"/>
    </row>
    <row r="880" spans="1:23" ht="15.75" customHeight="1" x14ac:dyDescent="0.25">
      <c r="A880" s="178" t="s">
        <v>1628</v>
      </c>
      <c r="B880" s="178" t="s">
        <v>654</v>
      </c>
      <c r="C880" s="178" t="str">
        <f>VLOOKUP(A880,CUSTOMER!$A:$C,3,0)</f>
        <v>ME_CH127</v>
      </c>
      <c r="D880" s="178" t="s">
        <v>674</v>
      </c>
      <c r="E880" s="178" t="str">
        <f>VLOOKUP(A884,CUSTOMER!$A$2:$H$1094,5,0)</f>
        <v>TRAN THI THAO NGUYEN</v>
      </c>
      <c r="F880" s="178" t="str">
        <f>VLOOKUP(A884,CUSTOMER!$A$2:$I$1094,6,0)</f>
        <v>VACANCY</v>
      </c>
      <c r="G880" s="178" t="s">
        <v>676</v>
      </c>
      <c r="H880" s="179">
        <f t="shared" si="137"/>
        <v>0</v>
      </c>
      <c r="I880" s="180" t="str">
        <f t="shared" si="138"/>
        <v/>
      </c>
      <c r="J880" s="181">
        <f t="shared" si="139"/>
        <v>0</v>
      </c>
      <c r="K880" s="182">
        <v>0</v>
      </c>
      <c r="L880" s="180" t="str">
        <f t="shared" si="133"/>
        <v/>
      </c>
      <c r="M880" s="218">
        <f>SUMIFS(DATA!$L:$L,DATA!$O:$O,$B884,DATA!$N:$N,$A884,DATA!$M:$M,'SALES BY SYSTEM'!$O$1)</f>
        <v>0</v>
      </c>
      <c r="N880" s="182">
        <v>0</v>
      </c>
      <c r="O880" s="180" t="str">
        <f t="shared" si="134"/>
        <v/>
      </c>
      <c r="P880" s="218">
        <f>SUMIFS(DATA!$L:$L,DATA!$O:$O,$B884,DATA!$N:$N,$A884,DATA!$M:$M,'SALES BY SYSTEM'!$O$2)</f>
        <v>0</v>
      </c>
      <c r="Q880" s="182">
        <v>0</v>
      </c>
      <c r="R880" s="180" t="str">
        <f t="shared" si="135"/>
        <v/>
      </c>
      <c r="S880" s="218">
        <f>SUMIFS(DATA!$L:$L,DATA!$O:$O,$B884,DATA!$N:$N,$A884,DATA!$M:$M,'SALES BY SYSTEM'!$O$4)</f>
        <v>0</v>
      </c>
      <c r="T880" s="182">
        <v>0</v>
      </c>
      <c r="U880" s="180" t="str">
        <f t="shared" si="136"/>
        <v/>
      </c>
      <c r="V880" s="218">
        <f>SUMIFS(DATA!$L:$L,DATA!$O:$O,$B884,DATA!$N:$N,$A884,DATA!$M:$M,'SALES BY SYSTEM'!$O$3)</f>
        <v>0</v>
      </c>
      <c r="W880" s="168"/>
    </row>
    <row r="881" spans="1:23" ht="15.75" customHeight="1" x14ac:dyDescent="0.25">
      <c r="A881" s="178" t="s">
        <v>1630</v>
      </c>
      <c r="B881" s="178" t="s">
        <v>654</v>
      </c>
      <c r="C881" s="178" t="str">
        <f>VLOOKUP(A881,CUSTOMER!$A:$C,3,0)</f>
        <v>ME_CH129</v>
      </c>
      <c r="D881" s="178" t="s">
        <v>674</v>
      </c>
      <c r="E881" s="178" t="str">
        <f>VLOOKUP(A885,CUSTOMER!$A$2:$H$1094,5,0)</f>
        <v>TRAN THI THAO NGUYEN</v>
      </c>
      <c r="F881" s="178" t="str">
        <f>VLOOKUP(A885,CUSTOMER!$A$2:$I$1094,6,0)</f>
        <v>VACANCY</v>
      </c>
      <c r="G881" s="178" t="s">
        <v>676</v>
      </c>
      <c r="H881" s="179">
        <f t="shared" si="137"/>
        <v>0</v>
      </c>
      <c r="I881" s="180" t="str">
        <f t="shared" si="138"/>
        <v/>
      </c>
      <c r="J881" s="181">
        <f t="shared" si="139"/>
        <v>0</v>
      </c>
      <c r="K881" s="182">
        <v>0</v>
      </c>
      <c r="L881" s="180" t="str">
        <f t="shared" si="133"/>
        <v/>
      </c>
      <c r="M881" s="218">
        <f>SUMIFS(DATA!$L:$L,DATA!$O:$O,$B885,DATA!$N:$N,$A885,DATA!$M:$M,'SALES BY SYSTEM'!$O$1)</f>
        <v>0</v>
      </c>
      <c r="N881" s="182">
        <v>0</v>
      </c>
      <c r="O881" s="180" t="str">
        <f t="shared" si="134"/>
        <v/>
      </c>
      <c r="P881" s="218">
        <f>SUMIFS(DATA!$L:$L,DATA!$O:$O,$B885,DATA!$N:$N,$A885,DATA!$M:$M,'SALES BY SYSTEM'!$O$2)</f>
        <v>0</v>
      </c>
      <c r="Q881" s="182">
        <v>0</v>
      </c>
      <c r="R881" s="180" t="str">
        <f t="shared" si="135"/>
        <v/>
      </c>
      <c r="S881" s="218">
        <f>SUMIFS(DATA!$L:$L,DATA!$O:$O,$B885,DATA!$N:$N,$A885,DATA!$M:$M,'SALES BY SYSTEM'!$O$4)</f>
        <v>0</v>
      </c>
      <c r="T881" s="182">
        <v>0</v>
      </c>
      <c r="U881" s="180" t="str">
        <f t="shared" si="136"/>
        <v/>
      </c>
      <c r="V881" s="218">
        <f>SUMIFS(DATA!$L:$L,DATA!$O:$O,$B885,DATA!$N:$N,$A885,DATA!$M:$M,'SALES BY SYSTEM'!$O$3)</f>
        <v>0</v>
      </c>
      <c r="W881" s="168"/>
    </row>
    <row r="882" spans="1:23" ht="15.75" customHeight="1" x14ac:dyDescent="0.25">
      <c r="A882" s="178" t="s">
        <v>1632</v>
      </c>
      <c r="B882" s="178" t="s">
        <v>654</v>
      </c>
      <c r="C882" s="178" t="str">
        <f>VLOOKUP(A882,CUSTOMER!$A:$C,3,0)</f>
        <v>ME_CH83</v>
      </c>
      <c r="D882" s="178" t="s">
        <v>674</v>
      </c>
      <c r="E882" s="178" t="str">
        <f>VLOOKUP(A886,CUSTOMER!$A$2:$H$1094,5,0)</f>
        <v>TRAN THI THAO NGUYEN</v>
      </c>
      <c r="F882" s="178" t="str">
        <f>VLOOKUP(A886,CUSTOMER!$A$2:$I$1094,6,0)</f>
        <v>VACANCY</v>
      </c>
      <c r="G882" s="178" t="s">
        <v>676</v>
      </c>
      <c r="H882" s="179">
        <f t="shared" si="137"/>
        <v>0</v>
      </c>
      <c r="I882" s="180" t="str">
        <f t="shared" si="138"/>
        <v/>
      </c>
      <c r="J882" s="181">
        <f t="shared" si="139"/>
        <v>0</v>
      </c>
      <c r="K882" s="182">
        <v>0</v>
      </c>
      <c r="L882" s="180" t="str">
        <f t="shared" si="133"/>
        <v/>
      </c>
      <c r="M882" s="218">
        <f>SUMIFS(DATA!$L:$L,DATA!$O:$O,$B886,DATA!$N:$N,$A886,DATA!$M:$M,'SALES BY SYSTEM'!$O$1)</f>
        <v>0</v>
      </c>
      <c r="N882" s="182">
        <v>0</v>
      </c>
      <c r="O882" s="180" t="str">
        <f t="shared" si="134"/>
        <v/>
      </c>
      <c r="P882" s="218">
        <f>SUMIFS(DATA!$L:$L,DATA!$O:$O,$B886,DATA!$N:$N,$A886,DATA!$M:$M,'SALES BY SYSTEM'!$O$2)</f>
        <v>0</v>
      </c>
      <c r="Q882" s="182">
        <v>0</v>
      </c>
      <c r="R882" s="180" t="str">
        <f t="shared" si="135"/>
        <v/>
      </c>
      <c r="S882" s="218">
        <f>SUMIFS(DATA!$L:$L,DATA!$O:$O,$B886,DATA!$N:$N,$A886,DATA!$M:$M,'SALES BY SYSTEM'!$O$4)</f>
        <v>0</v>
      </c>
      <c r="T882" s="182">
        <v>0</v>
      </c>
      <c r="U882" s="180" t="str">
        <f t="shared" si="136"/>
        <v/>
      </c>
      <c r="V882" s="218">
        <f>SUMIFS(DATA!$L:$L,DATA!$O:$O,$B886,DATA!$N:$N,$A886,DATA!$M:$M,'SALES BY SYSTEM'!$O$3)</f>
        <v>0</v>
      </c>
      <c r="W882" s="168"/>
    </row>
    <row r="883" spans="1:23" ht="15.75" customHeight="1" x14ac:dyDescent="0.25">
      <c r="A883" s="178" t="s">
        <v>1634</v>
      </c>
      <c r="B883" s="178" t="s">
        <v>654</v>
      </c>
      <c r="C883" s="178" t="str">
        <f>VLOOKUP(A883,CUSTOMER!$A:$C,3,0)</f>
        <v>ME_CH81</v>
      </c>
      <c r="D883" s="178" t="s">
        <v>674</v>
      </c>
      <c r="E883" s="178" t="str">
        <f>VLOOKUP(A887,CUSTOMER!$A$2:$H$1094,5,0)</f>
        <v>TRAN THI THAO NGUYEN</v>
      </c>
      <c r="F883" s="178" t="str">
        <f>VLOOKUP(A887,CUSTOMER!$A$2:$I$1094,6,0)</f>
        <v>VACANCY</v>
      </c>
      <c r="G883" s="178" t="s">
        <v>676</v>
      </c>
      <c r="H883" s="179">
        <f t="shared" si="137"/>
        <v>0</v>
      </c>
      <c r="I883" s="180" t="str">
        <f t="shared" si="138"/>
        <v/>
      </c>
      <c r="J883" s="181">
        <f t="shared" si="139"/>
        <v>0</v>
      </c>
      <c r="K883" s="182">
        <v>0</v>
      </c>
      <c r="L883" s="180" t="str">
        <f t="shared" si="133"/>
        <v/>
      </c>
      <c r="M883" s="218">
        <f>SUMIFS(DATA!$L:$L,DATA!$O:$O,$B887,DATA!$N:$N,$A887,DATA!$M:$M,'SALES BY SYSTEM'!$O$1)</f>
        <v>0</v>
      </c>
      <c r="N883" s="182">
        <v>0</v>
      </c>
      <c r="O883" s="180" t="str">
        <f t="shared" si="134"/>
        <v/>
      </c>
      <c r="P883" s="218">
        <f>SUMIFS(DATA!$L:$L,DATA!$O:$O,$B887,DATA!$N:$N,$A887,DATA!$M:$M,'SALES BY SYSTEM'!$O$2)</f>
        <v>0</v>
      </c>
      <c r="Q883" s="182">
        <v>0</v>
      </c>
      <c r="R883" s="180" t="str">
        <f t="shared" si="135"/>
        <v/>
      </c>
      <c r="S883" s="218">
        <f>SUMIFS(DATA!$L:$L,DATA!$O:$O,$B887,DATA!$N:$N,$A887,DATA!$M:$M,'SALES BY SYSTEM'!$O$4)</f>
        <v>0</v>
      </c>
      <c r="T883" s="182">
        <v>0</v>
      </c>
      <c r="U883" s="180" t="str">
        <f t="shared" si="136"/>
        <v/>
      </c>
      <c r="V883" s="218">
        <f>SUMIFS(DATA!$L:$L,DATA!$O:$O,$B887,DATA!$N:$N,$A887,DATA!$M:$M,'SALES BY SYSTEM'!$O$3)</f>
        <v>0</v>
      </c>
      <c r="W883" s="168"/>
    </row>
    <row r="884" spans="1:23" ht="15.75" customHeight="1" x14ac:dyDescent="0.25">
      <c r="A884" s="178" t="s">
        <v>1636</v>
      </c>
      <c r="B884" s="178" t="s">
        <v>654</v>
      </c>
      <c r="C884" s="178" t="str">
        <f>VLOOKUP(A884,CUSTOMER!$A:$C,3,0)</f>
        <v>ME_CH126</v>
      </c>
      <c r="D884" s="178" t="s">
        <v>674</v>
      </c>
      <c r="E884" s="178" t="str">
        <f>VLOOKUP(A888,CUSTOMER!$A$2:$H$1094,5,0)</f>
        <v>TRAN THI THAO NGUYEN</v>
      </c>
      <c r="F884" s="178" t="str">
        <f>VLOOKUP(A888,CUSTOMER!$A$2:$I$1094,6,0)</f>
        <v>VACANCY</v>
      </c>
      <c r="G884" s="178" t="s">
        <v>676</v>
      </c>
      <c r="H884" s="179">
        <f t="shared" si="137"/>
        <v>0</v>
      </c>
      <c r="I884" s="180" t="str">
        <f t="shared" si="138"/>
        <v/>
      </c>
      <c r="J884" s="181">
        <f t="shared" si="139"/>
        <v>0</v>
      </c>
      <c r="K884" s="182">
        <v>0</v>
      </c>
      <c r="L884" s="180" t="str">
        <f t="shared" si="133"/>
        <v/>
      </c>
      <c r="M884" s="218">
        <f>SUMIFS(DATA!$L:$L,DATA!$O:$O,$B888,DATA!$N:$N,$A888,DATA!$M:$M,'SALES BY SYSTEM'!$O$1)</f>
        <v>0</v>
      </c>
      <c r="N884" s="182">
        <v>0</v>
      </c>
      <c r="O884" s="180" t="str">
        <f t="shared" si="134"/>
        <v/>
      </c>
      <c r="P884" s="218">
        <f>SUMIFS(DATA!$L:$L,DATA!$O:$O,$B888,DATA!$N:$N,$A888,DATA!$M:$M,'SALES BY SYSTEM'!$O$2)</f>
        <v>0</v>
      </c>
      <c r="Q884" s="182">
        <v>0</v>
      </c>
      <c r="R884" s="180" t="str">
        <f t="shared" si="135"/>
        <v/>
      </c>
      <c r="S884" s="218">
        <f>SUMIFS(DATA!$L:$L,DATA!$O:$O,$B888,DATA!$N:$N,$A888,DATA!$M:$M,'SALES BY SYSTEM'!$O$4)</f>
        <v>0</v>
      </c>
      <c r="T884" s="182">
        <v>0</v>
      </c>
      <c r="U884" s="180" t="str">
        <f t="shared" si="136"/>
        <v/>
      </c>
      <c r="V884" s="218">
        <f>SUMIFS(DATA!$L:$L,DATA!$O:$O,$B888,DATA!$N:$N,$A888,DATA!$M:$M,'SALES BY SYSTEM'!$O$3)</f>
        <v>0</v>
      </c>
      <c r="W884" s="168"/>
    </row>
    <row r="885" spans="1:23" ht="15.75" customHeight="1" x14ac:dyDescent="0.25">
      <c r="A885" s="178" t="s">
        <v>1643</v>
      </c>
      <c r="B885" s="178" t="s">
        <v>654</v>
      </c>
      <c r="C885" s="178" t="str">
        <f>VLOOKUP(A885,CUSTOMER!$A:$C,3,0)</f>
        <v>ME_CH135</v>
      </c>
      <c r="D885" s="178" t="s">
        <v>674</v>
      </c>
      <c r="E885" s="178" t="str">
        <f>VLOOKUP(A889,CUSTOMER!$A$2:$H$1094,5,0)</f>
        <v>TRAN THI THAO NGUYEN</v>
      </c>
      <c r="F885" s="178" t="str">
        <f>VLOOKUP(A889,CUSTOMER!$A$2:$I$1094,6,0)</f>
        <v>VACANCY</v>
      </c>
      <c r="G885" s="178" t="s">
        <v>676</v>
      </c>
      <c r="H885" s="179">
        <f t="shared" si="137"/>
        <v>0</v>
      </c>
      <c r="I885" s="180" t="str">
        <f t="shared" si="138"/>
        <v/>
      </c>
      <c r="J885" s="181">
        <f t="shared" si="139"/>
        <v>0</v>
      </c>
      <c r="K885" s="182">
        <v>0</v>
      </c>
      <c r="L885" s="180" t="str">
        <f t="shared" si="133"/>
        <v/>
      </c>
      <c r="M885" s="218">
        <f>SUMIFS(DATA!$L:$L,DATA!$O:$O,$B889,DATA!$N:$N,$A889,DATA!$M:$M,'SALES BY SYSTEM'!$O$1)</f>
        <v>0</v>
      </c>
      <c r="N885" s="182">
        <v>0</v>
      </c>
      <c r="O885" s="180" t="str">
        <f t="shared" si="134"/>
        <v/>
      </c>
      <c r="P885" s="218">
        <f>SUMIFS(DATA!$L:$L,DATA!$O:$O,$B889,DATA!$N:$N,$A889,DATA!$M:$M,'SALES BY SYSTEM'!$O$2)</f>
        <v>0</v>
      </c>
      <c r="Q885" s="182">
        <v>0</v>
      </c>
      <c r="R885" s="180" t="str">
        <f t="shared" si="135"/>
        <v/>
      </c>
      <c r="S885" s="218">
        <f>SUMIFS(DATA!$L:$L,DATA!$O:$O,$B889,DATA!$N:$N,$A889,DATA!$M:$M,'SALES BY SYSTEM'!$O$4)</f>
        <v>0</v>
      </c>
      <c r="T885" s="182">
        <v>0</v>
      </c>
      <c r="U885" s="180" t="str">
        <f t="shared" si="136"/>
        <v/>
      </c>
      <c r="V885" s="218">
        <f>SUMIFS(DATA!$L:$L,DATA!$O:$O,$B889,DATA!$N:$N,$A889,DATA!$M:$M,'SALES BY SYSTEM'!$O$3)</f>
        <v>0</v>
      </c>
      <c r="W885" s="168"/>
    </row>
    <row r="886" spans="1:23" ht="15.75" customHeight="1" x14ac:dyDescent="0.25">
      <c r="A886" s="178" t="s">
        <v>1645</v>
      </c>
      <c r="B886" s="178" t="s">
        <v>654</v>
      </c>
      <c r="C886" s="178" t="str">
        <f>VLOOKUP(A886,CUSTOMER!$A:$C,3,0)</f>
        <v>ME_CH109</v>
      </c>
      <c r="D886" s="178" t="s">
        <v>674</v>
      </c>
      <c r="E886" s="178" t="str">
        <f>VLOOKUP(A890,CUSTOMER!$A$2:$H$1094,5,0)</f>
        <v>TRAN THI THAO NGUYEN</v>
      </c>
      <c r="F886" s="178" t="str">
        <f>VLOOKUP(A890,CUSTOMER!$A$2:$I$1094,6,0)</f>
        <v>VACANCY</v>
      </c>
      <c r="G886" s="178" t="s">
        <v>676</v>
      </c>
      <c r="H886" s="179">
        <f t="shared" si="137"/>
        <v>0</v>
      </c>
      <c r="I886" s="180" t="str">
        <f t="shared" si="138"/>
        <v/>
      </c>
      <c r="J886" s="181">
        <f t="shared" si="139"/>
        <v>0</v>
      </c>
      <c r="K886" s="182">
        <v>0</v>
      </c>
      <c r="L886" s="180" t="str">
        <f t="shared" si="133"/>
        <v/>
      </c>
      <c r="M886" s="218">
        <f>SUMIFS(DATA!$L:$L,DATA!$O:$O,$B890,DATA!$N:$N,$A890,DATA!$M:$M,'SALES BY SYSTEM'!$O$1)</f>
        <v>0</v>
      </c>
      <c r="N886" s="182">
        <v>0</v>
      </c>
      <c r="O886" s="180" t="str">
        <f t="shared" si="134"/>
        <v/>
      </c>
      <c r="P886" s="218">
        <f>SUMIFS(DATA!$L:$L,DATA!$O:$O,$B890,DATA!$N:$N,$A890,DATA!$M:$M,'SALES BY SYSTEM'!$O$2)</f>
        <v>0</v>
      </c>
      <c r="Q886" s="182">
        <v>0</v>
      </c>
      <c r="R886" s="180" t="str">
        <f t="shared" si="135"/>
        <v/>
      </c>
      <c r="S886" s="218">
        <f>SUMIFS(DATA!$L:$L,DATA!$O:$O,$B890,DATA!$N:$N,$A890,DATA!$M:$M,'SALES BY SYSTEM'!$O$4)</f>
        <v>0</v>
      </c>
      <c r="T886" s="182">
        <v>0</v>
      </c>
      <c r="U886" s="180" t="str">
        <f t="shared" si="136"/>
        <v/>
      </c>
      <c r="V886" s="218">
        <f>SUMIFS(DATA!$L:$L,DATA!$O:$O,$B890,DATA!$N:$N,$A890,DATA!$M:$M,'SALES BY SYSTEM'!$O$3)</f>
        <v>0</v>
      </c>
      <c r="W886" s="168"/>
    </row>
    <row r="887" spans="1:23" ht="15.75" customHeight="1" x14ac:dyDescent="0.25">
      <c r="A887" s="178" t="s">
        <v>1649</v>
      </c>
      <c r="B887" s="178" t="s">
        <v>654</v>
      </c>
      <c r="C887" s="178" t="str">
        <f>VLOOKUP(A887,CUSTOMER!$A:$C,3,0)</f>
        <v>ME_CH61</v>
      </c>
      <c r="D887" s="178" t="s">
        <v>674</v>
      </c>
      <c r="E887" s="178" t="str">
        <f>VLOOKUP(A891,CUSTOMER!$A$2:$H$1094,5,0)</f>
        <v>TRAN THI THAO NGUYEN</v>
      </c>
      <c r="F887" s="178" t="str">
        <f>VLOOKUP(A891,CUSTOMER!$A$2:$I$1094,6,0)</f>
        <v>VACANCY</v>
      </c>
      <c r="G887" s="178" t="s">
        <v>676</v>
      </c>
      <c r="H887" s="179">
        <f t="shared" si="137"/>
        <v>0</v>
      </c>
      <c r="I887" s="180" t="str">
        <f t="shared" si="138"/>
        <v/>
      </c>
      <c r="J887" s="181">
        <f t="shared" si="139"/>
        <v>0</v>
      </c>
      <c r="K887" s="182">
        <v>0</v>
      </c>
      <c r="L887" s="180" t="str">
        <f t="shared" si="133"/>
        <v/>
      </c>
      <c r="M887" s="218">
        <f>SUMIFS(DATA!$L:$L,DATA!$O:$O,$B891,DATA!$N:$N,$A891,DATA!$M:$M,'SALES BY SYSTEM'!$O$1)</f>
        <v>0</v>
      </c>
      <c r="N887" s="182">
        <v>0</v>
      </c>
      <c r="O887" s="180" t="str">
        <f t="shared" si="134"/>
        <v/>
      </c>
      <c r="P887" s="218">
        <f>SUMIFS(DATA!$L:$L,DATA!$O:$O,$B891,DATA!$N:$N,$A891,DATA!$M:$M,'SALES BY SYSTEM'!$O$2)</f>
        <v>0</v>
      </c>
      <c r="Q887" s="182">
        <v>0</v>
      </c>
      <c r="R887" s="180" t="str">
        <f t="shared" si="135"/>
        <v/>
      </c>
      <c r="S887" s="218">
        <f>SUMIFS(DATA!$L:$L,DATA!$O:$O,$B891,DATA!$N:$N,$A891,DATA!$M:$M,'SALES BY SYSTEM'!$O$4)</f>
        <v>0</v>
      </c>
      <c r="T887" s="182">
        <v>0</v>
      </c>
      <c r="U887" s="180" t="str">
        <f t="shared" si="136"/>
        <v/>
      </c>
      <c r="V887" s="218">
        <f>SUMIFS(DATA!$L:$L,DATA!$O:$O,$B891,DATA!$N:$N,$A891,DATA!$M:$M,'SALES BY SYSTEM'!$O$3)</f>
        <v>0</v>
      </c>
      <c r="W887" s="168"/>
    </row>
    <row r="888" spans="1:23" ht="15.75" customHeight="1" x14ac:dyDescent="0.25">
      <c r="A888" s="178" t="s">
        <v>1655</v>
      </c>
      <c r="B888" s="178" t="s">
        <v>654</v>
      </c>
      <c r="C888" s="178" t="str">
        <f>VLOOKUP(A888,CUSTOMER!$A:$C,3,0)</f>
        <v>ME_CH125</v>
      </c>
      <c r="D888" s="178" t="s">
        <v>674</v>
      </c>
      <c r="E888" s="178" t="str">
        <f>VLOOKUP(A892,CUSTOMER!$A$2:$H$1094,5,0)</f>
        <v>TRAN THI THAO NGUYEN</v>
      </c>
      <c r="F888" s="178" t="str">
        <f>VLOOKUP(A892,CUSTOMER!$A$2:$I$1094,6,0)</f>
        <v>VACANCY</v>
      </c>
      <c r="G888" s="178" t="s">
        <v>676</v>
      </c>
      <c r="H888" s="179">
        <f t="shared" si="137"/>
        <v>0</v>
      </c>
      <c r="I888" s="180" t="str">
        <f t="shared" si="138"/>
        <v/>
      </c>
      <c r="J888" s="181">
        <f t="shared" si="139"/>
        <v>0</v>
      </c>
      <c r="K888" s="182">
        <v>0</v>
      </c>
      <c r="L888" s="180" t="str">
        <f t="shared" ref="L888:L919" si="140">IFERROR(M892/K892,"")</f>
        <v/>
      </c>
      <c r="M888" s="218">
        <f>SUMIFS(DATA!$L:$L,DATA!$O:$O,$B892,DATA!$N:$N,$A892,DATA!$M:$M,'SALES BY SYSTEM'!$O$1)</f>
        <v>0</v>
      </c>
      <c r="N888" s="182">
        <v>0</v>
      </c>
      <c r="O888" s="180" t="str">
        <f t="shared" ref="O888:O919" si="141">IFERROR(P892/N892,"")</f>
        <v/>
      </c>
      <c r="P888" s="218">
        <f>SUMIFS(DATA!$L:$L,DATA!$O:$O,$B892,DATA!$N:$N,$A892,DATA!$M:$M,'SALES BY SYSTEM'!$O$2)</f>
        <v>0</v>
      </c>
      <c r="Q888" s="182">
        <v>0</v>
      </c>
      <c r="R888" s="180" t="str">
        <f t="shared" ref="R888:R919" si="142">IFERROR(S892/Q892,"")</f>
        <v/>
      </c>
      <c r="S888" s="218">
        <f>SUMIFS(DATA!$L:$L,DATA!$O:$O,$B892,DATA!$N:$N,$A892,DATA!$M:$M,'SALES BY SYSTEM'!$O$4)</f>
        <v>0</v>
      </c>
      <c r="T888" s="182">
        <v>0</v>
      </c>
      <c r="U888" s="180" t="str">
        <f t="shared" ref="U888:U919" si="143">IFERROR(V892/T892,"")</f>
        <v/>
      </c>
      <c r="V888" s="218">
        <f>SUMIFS(DATA!$L:$L,DATA!$O:$O,$B892,DATA!$N:$N,$A892,DATA!$M:$M,'SALES BY SYSTEM'!$O$3)</f>
        <v>0</v>
      </c>
      <c r="W888" s="168"/>
    </row>
    <row r="889" spans="1:23" ht="15.75" customHeight="1" x14ac:dyDescent="0.25">
      <c r="A889" s="178" t="s">
        <v>1657</v>
      </c>
      <c r="B889" s="178" t="s">
        <v>654</v>
      </c>
      <c r="C889" s="178" t="str">
        <f>VLOOKUP(A889,CUSTOMER!$A:$C,3,0)</f>
        <v>ME_CH80</v>
      </c>
      <c r="D889" s="178" t="s">
        <v>674</v>
      </c>
      <c r="E889" s="178" t="str">
        <f>VLOOKUP(A893,CUSTOMER!$A$2:$H$1094,5,0)</f>
        <v>TRAN THI THAO NGUYEN</v>
      </c>
      <c r="F889" s="178" t="str">
        <f>VLOOKUP(A893,CUSTOMER!$A$2:$I$1094,6,0)</f>
        <v>VACANCY</v>
      </c>
      <c r="G889" s="178" t="s">
        <v>676</v>
      </c>
      <c r="H889" s="179">
        <f t="shared" si="137"/>
        <v>0</v>
      </c>
      <c r="I889" s="180" t="str">
        <f t="shared" si="138"/>
        <v/>
      </c>
      <c r="J889" s="181">
        <f t="shared" si="139"/>
        <v>0</v>
      </c>
      <c r="K889" s="182">
        <v>0</v>
      </c>
      <c r="L889" s="180" t="str">
        <f t="shared" si="140"/>
        <v/>
      </c>
      <c r="M889" s="218">
        <f>SUMIFS(DATA!$L:$L,DATA!$O:$O,$B893,DATA!$N:$N,$A893,DATA!$M:$M,'SALES BY SYSTEM'!$O$1)</f>
        <v>0</v>
      </c>
      <c r="N889" s="182">
        <v>0</v>
      </c>
      <c r="O889" s="180" t="str">
        <f t="shared" si="141"/>
        <v/>
      </c>
      <c r="P889" s="218">
        <f>SUMIFS(DATA!$L:$L,DATA!$O:$O,$B893,DATA!$N:$N,$A893,DATA!$M:$M,'SALES BY SYSTEM'!$O$2)</f>
        <v>0</v>
      </c>
      <c r="Q889" s="182">
        <v>0</v>
      </c>
      <c r="R889" s="180" t="str">
        <f t="shared" si="142"/>
        <v/>
      </c>
      <c r="S889" s="218">
        <f>SUMIFS(DATA!$L:$L,DATA!$O:$O,$B893,DATA!$N:$N,$A893,DATA!$M:$M,'SALES BY SYSTEM'!$O$4)</f>
        <v>0</v>
      </c>
      <c r="T889" s="182">
        <v>0</v>
      </c>
      <c r="U889" s="180" t="str">
        <f t="shared" si="143"/>
        <v/>
      </c>
      <c r="V889" s="218">
        <f>SUMIFS(DATA!$L:$L,DATA!$O:$O,$B893,DATA!$N:$N,$A893,DATA!$M:$M,'SALES BY SYSTEM'!$O$3)</f>
        <v>0</v>
      </c>
      <c r="W889" s="168"/>
    </row>
    <row r="890" spans="1:23" ht="15.75" customHeight="1" x14ac:dyDescent="0.25">
      <c r="A890" s="178" t="s">
        <v>1659</v>
      </c>
      <c r="B890" s="178" t="s">
        <v>654</v>
      </c>
      <c r="C890" s="178" t="str">
        <f>VLOOKUP(A890,CUSTOMER!$A:$C,3,0)</f>
        <v>ME_CH93</v>
      </c>
      <c r="D890" s="178" t="s">
        <v>674</v>
      </c>
      <c r="E890" s="178" t="str">
        <f>VLOOKUP(A894,CUSTOMER!$A$2:$H$1094,5,0)</f>
        <v>TRAN THI THAO NGUYEN</v>
      </c>
      <c r="F890" s="178" t="str">
        <f>VLOOKUP(A894,CUSTOMER!$A$2:$I$1094,6,0)</f>
        <v>VACANCY</v>
      </c>
      <c r="G890" s="178" t="s">
        <v>676</v>
      </c>
      <c r="H890" s="179">
        <f t="shared" si="137"/>
        <v>0</v>
      </c>
      <c r="I890" s="180" t="str">
        <f t="shared" si="138"/>
        <v/>
      </c>
      <c r="J890" s="181">
        <f t="shared" si="139"/>
        <v>0</v>
      </c>
      <c r="K890" s="182">
        <v>0</v>
      </c>
      <c r="L890" s="180" t="str">
        <f t="shared" si="140"/>
        <v/>
      </c>
      <c r="M890" s="218">
        <f>SUMIFS(DATA!$L:$L,DATA!$O:$O,$B894,DATA!$N:$N,$A894,DATA!$M:$M,'SALES BY SYSTEM'!$O$1)</f>
        <v>0</v>
      </c>
      <c r="N890" s="182">
        <v>0</v>
      </c>
      <c r="O890" s="180" t="str">
        <f t="shared" si="141"/>
        <v/>
      </c>
      <c r="P890" s="218">
        <f>SUMIFS(DATA!$L:$L,DATA!$O:$O,$B894,DATA!$N:$N,$A894,DATA!$M:$M,'SALES BY SYSTEM'!$O$2)</f>
        <v>0</v>
      </c>
      <c r="Q890" s="182">
        <v>0</v>
      </c>
      <c r="R890" s="180" t="str">
        <f t="shared" si="142"/>
        <v/>
      </c>
      <c r="S890" s="218">
        <f>SUMIFS(DATA!$L:$L,DATA!$O:$O,$B894,DATA!$N:$N,$A894,DATA!$M:$M,'SALES BY SYSTEM'!$O$4)</f>
        <v>0</v>
      </c>
      <c r="T890" s="182">
        <v>0</v>
      </c>
      <c r="U890" s="180" t="str">
        <f t="shared" si="143"/>
        <v/>
      </c>
      <c r="V890" s="218">
        <f>SUMIFS(DATA!$L:$L,DATA!$O:$O,$B894,DATA!$N:$N,$A894,DATA!$M:$M,'SALES BY SYSTEM'!$O$3)</f>
        <v>0</v>
      </c>
      <c r="W890" s="168"/>
    </row>
    <row r="891" spans="1:23" ht="15.75" customHeight="1" x14ac:dyDescent="0.25">
      <c r="A891" s="178" t="s">
        <v>1661</v>
      </c>
      <c r="B891" s="178" t="s">
        <v>654</v>
      </c>
      <c r="C891" s="178" t="str">
        <f>VLOOKUP(A891,CUSTOMER!$A:$C,3,0)</f>
        <v>ME_CH104</v>
      </c>
      <c r="D891" s="178" t="s">
        <v>674</v>
      </c>
      <c r="E891" s="178" t="str">
        <f>VLOOKUP(A895,CUSTOMER!$A$2:$H$1094,5,0)</f>
        <v>TRAN THI THAO NGUYEN</v>
      </c>
      <c r="F891" s="178" t="str">
        <f>VLOOKUP(A895,CUSTOMER!$A$2:$I$1094,6,0)</f>
        <v>VACANCY</v>
      </c>
      <c r="G891" s="178" t="s">
        <v>676</v>
      </c>
      <c r="H891" s="179">
        <f t="shared" si="137"/>
        <v>0</v>
      </c>
      <c r="I891" s="180" t="str">
        <f t="shared" si="138"/>
        <v/>
      </c>
      <c r="J891" s="181">
        <f t="shared" si="139"/>
        <v>0</v>
      </c>
      <c r="K891" s="182">
        <v>0</v>
      </c>
      <c r="L891" s="180" t="str">
        <f t="shared" si="140"/>
        <v/>
      </c>
      <c r="M891" s="218">
        <f>SUMIFS(DATA!$L:$L,DATA!$O:$O,$B895,DATA!$N:$N,$A895,DATA!$M:$M,'SALES BY SYSTEM'!$O$1)</f>
        <v>0</v>
      </c>
      <c r="N891" s="182">
        <v>0</v>
      </c>
      <c r="O891" s="180" t="str">
        <f t="shared" si="141"/>
        <v/>
      </c>
      <c r="P891" s="218">
        <f>SUMIFS(DATA!$L:$L,DATA!$O:$O,$B895,DATA!$N:$N,$A895,DATA!$M:$M,'SALES BY SYSTEM'!$O$2)</f>
        <v>0</v>
      </c>
      <c r="Q891" s="182">
        <v>0</v>
      </c>
      <c r="R891" s="180" t="str">
        <f t="shared" si="142"/>
        <v/>
      </c>
      <c r="S891" s="218">
        <f>SUMIFS(DATA!$L:$L,DATA!$O:$O,$B895,DATA!$N:$N,$A895,DATA!$M:$M,'SALES BY SYSTEM'!$O$4)</f>
        <v>0</v>
      </c>
      <c r="T891" s="182">
        <v>0</v>
      </c>
      <c r="U891" s="180" t="str">
        <f t="shared" si="143"/>
        <v/>
      </c>
      <c r="V891" s="218">
        <f>SUMIFS(DATA!$L:$L,DATA!$O:$O,$B895,DATA!$N:$N,$A895,DATA!$M:$M,'SALES BY SYSTEM'!$O$3)</f>
        <v>0</v>
      </c>
      <c r="W891" s="168"/>
    </row>
    <row r="892" spans="1:23" ht="15.75" customHeight="1" x14ac:dyDescent="0.25">
      <c r="A892" s="178" t="s">
        <v>1663</v>
      </c>
      <c r="B892" s="178" t="s">
        <v>654</v>
      </c>
      <c r="C892" s="178" t="str">
        <f>VLOOKUP(A892,CUSTOMER!$A:$C,3,0)</f>
        <v>ME_CH120</v>
      </c>
      <c r="D892" s="178" t="s">
        <v>674</v>
      </c>
      <c r="E892" s="178" t="str">
        <f>VLOOKUP(A896,CUSTOMER!$A$2:$H$1094,5,0)</f>
        <v>TRAN THI THAO NGUYEN</v>
      </c>
      <c r="F892" s="178" t="str">
        <f>VLOOKUP(A896,CUSTOMER!$A$2:$I$1094,6,0)</f>
        <v>VACANCY</v>
      </c>
      <c r="G892" s="178" t="s">
        <v>676</v>
      </c>
      <c r="H892" s="179">
        <f t="shared" si="137"/>
        <v>0</v>
      </c>
      <c r="I892" s="180" t="str">
        <f t="shared" si="138"/>
        <v/>
      </c>
      <c r="J892" s="181">
        <f t="shared" si="139"/>
        <v>0</v>
      </c>
      <c r="K892" s="182">
        <v>0</v>
      </c>
      <c r="L892" s="180" t="str">
        <f t="shared" si="140"/>
        <v/>
      </c>
      <c r="M892" s="218">
        <f>SUMIFS(DATA!$L:$L,DATA!$O:$O,$B896,DATA!$N:$N,$A896,DATA!$M:$M,'SALES BY SYSTEM'!$O$1)</f>
        <v>0</v>
      </c>
      <c r="N892" s="182">
        <v>0</v>
      </c>
      <c r="O892" s="180" t="str">
        <f t="shared" si="141"/>
        <v/>
      </c>
      <c r="P892" s="218">
        <f>SUMIFS(DATA!$L:$L,DATA!$O:$O,$B896,DATA!$N:$N,$A896,DATA!$M:$M,'SALES BY SYSTEM'!$O$2)</f>
        <v>0</v>
      </c>
      <c r="Q892" s="182">
        <v>0</v>
      </c>
      <c r="R892" s="180" t="str">
        <f t="shared" si="142"/>
        <v/>
      </c>
      <c r="S892" s="218">
        <f>SUMIFS(DATA!$L:$L,DATA!$O:$O,$B896,DATA!$N:$N,$A896,DATA!$M:$M,'SALES BY SYSTEM'!$O$4)</f>
        <v>0</v>
      </c>
      <c r="T892" s="182">
        <v>0</v>
      </c>
      <c r="U892" s="180" t="str">
        <f t="shared" si="143"/>
        <v/>
      </c>
      <c r="V892" s="218">
        <f>SUMIFS(DATA!$L:$L,DATA!$O:$O,$B896,DATA!$N:$N,$A896,DATA!$M:$M,'SALES BY SYSTEM'!$O$3)</f>
        <v>0</v>
      </c>
      <c r="W892" s="168"/>
    </row>
    <row r="893" spans="1:23" ht="15.75" customHeight="1" x14ac:dyDescent="0.25">
      <c r="A893" s="178" t="s">
        <v>1665</v>
      </c>
      <c r="B893" s="178" t="s">
        <v>654</v>
      </c>
      <c r="C893" s="178" t="str">
        <f>VLOOKUP(A893,CUSTOMER!$A:$C,3,0)</f>
        <v>ME_CH110</v>
      </c>
      <c r="D893" s="178" t="s">
        <v>674</v>
      </c>
      <c r="E893" s="178" t="str">
        <f>VLOOKUP(A897,CUSTOMER!$A$2:$H$1094,5,0)</f>
        <v>TRAN THI THAO NGUYEN</v>
      </c>
      <c r="F893" s="178" t="str">
        <f>VLOOKUP(A897,CUSTOMER!$A$2:$I$1094,6,0)</f>
        <v>VACANCY</v>
      </c>
      <c r="G893" s="178" t="s">
        <v>676</v>
      </c>
      <c r="H893" s="179">
        <f t="shared" si="137"/>
        <v>0</v>
      </c>
      <c r="I893" s="180" t="str">
        <f t="shared" si="138"/>
        <v/>
      </c>
      <c r="J893" s="181">
        <f t="shared" si="139"/>
        <v>0</v>
      </c>
      <c r="K893" s="182">
        <v>0</v>
      </c>
      <c r="L893" s="180" t="str">
        <f t="shared" si="140"/>
        <v/>
      </c>
      <c r="M893" s="218">
        <f>SUMIFS(DATA!$L:$L,DATA!$O:$O,$B897,DATA!$N:$N,$A897,DATA!$M:$M,'SALES BY SYSTEM'!$O$1)</f>
        <v>0</v>
      </c>
      <c r="N893" s="182">
        <v>0</v>
      </c>
      <c r="O893" s="180" t="str">
        <f t="shared" si="141"/>
        <v/>
      </c>
      <c r="P893" s="218">
        <f>SUMIFS(DATA!$L:$L,DATA!$O:$O,$B897,DATA!$N:$N,$A897,DATA!$M:$M,'SALES BY SYSTEM'!$O$2)</f>
        <v>0</v>
      </c>
      <c r="Q893" s="182">
        <v>0</v>
      </c>
      <c r="R893" s="180" t="str">
        <f t="shared" si="142"/>
        <v/>
      </c>
      <c r="S893" s="218">
        <f>SUMIFS(DATA!$L:$L,DATA!$O:$O,$B897,DATA!$N:$N,$A897,DATA!$M:$M,'SALES BY SYSTEM'!$O$4)</f>
        <v>0</v>
      </c>
      <c r="T893" s="182">
        <v>0</v>
      </c>
      <c r="U893" s="180" t="str">
        <f t="shared" si="143"/>
        <v/>
      </c>
      <c r="V893" s="218">
        <f>SUMIFS(DATA!$L:$L,DATA!$O:$O,$B897,DATA!$N:$N,$A897,DATA!$M:$M,'SALES BY SYSTEM'!$O$3)</f>
        <v>0</v>
      </c>
      <c r="W893" s="168"/>
    </row>
    <row r="894" spans="1:23" ht="15.75" customHeight="1" x14ac:dyDescent="0.25">
      <c r="A894" s="178" t="s">
        <v>1668</v>
      </c>
      <c r="B894" s="178" t="s">
        <v>654</v>
      </c>
      <c r="C894" s="178" t="str">
        <f>VLOOKUP(A894,CUSTOMER!$A:$C,3,0)</f>
        <v>ME_CH98</v>
      </c>
      <c r="D894" s="178" t="s">
        <v>674</v>
      </c>
      <c r="E894" s="178" t="str">
        <f>VLOOKUP(A898,CUSTOMER!$A$2:$H$1094,5,0)</f>
        <v>TRAN THI THAO NGUYEN</v>
      </c>
      <c r="F894" s="178" t="str">
        <f>VLOOKUP(A898,CUSTOMER!$A$2:$I$1094,6,0)</f>
        <v>"NO SALE"</v>
      </c>
      <c r="G894" s="178" t="s">
        <v>676</v>
      </c>
      <c r="H894" s="179">
        <f t="shared" si="137"/>
        <v>0</v>
      </c>
      <c r="I894" s="180" t="str">
        <f t="shared" si="138"/>
        <v/>
      </c>
      <c r="J894" s="181">
        <f t="shared" si="139"/>
        <v>0</v>
      </c>
      <c r="K894" s="182">
        <v>0</v>
      </c>
      <c r="L894" s="180" t="str">
        <f t="shared" si="140"/>
        <v/>
      </c>
      <c r="M894" s="218">
        <f>SUMIFS(DATA!$L:$L,DATA!$O:$O,$B898,DATA!$N:$N,$A898,DATA!$M:$M,'SALES BY SYSTEM'!$O$1)</f>
        <v>0</v>
      </c>
      <c r="N894" s="182">
        <v>0</v>
      </c>
      <c r="O894" s="180" t="str">
        <f t="shared" si="141"/>
        <v/>
      </c>
      <c r="P894" s="218">
        <f>SUMIFS(DATA!$L:$L,DATA!$O:$O,$B898,DATA!$N:$N,$A898,DATA!$M:$M,'SALES BY SYSTEM'!$O$2)</f>
        <v>0</v>
      </c>
      <c r="Q894" s="182">
        <v>0</v>
      </c>
      <c r="R894" s="180" t="str">
        <f t="shared" si="142"/>
        <v/>
      </c>
      <c r="S894" s="218">
        <f>SUMIFS(DATA!$L:$L,DATA!$O:$O,$B898,DATA!$N:$N,$A898,DATA!$M:$M,'SALES BY SYSTEM'!$O$4)</f>
        <v>0</v>
      </c>
      <c r="T894" s="182">
        <v>0</v>
      </c>
      <c r="U894" s="180" t="str">
        <f t="shared" si="143"/>
        <v/>
      </c>
      <c r="V894" s="218">
        <f>SUMIFS(DATA!$L:$L,DATA!$O:$O,$B898,DATA!$N:$N,$A898,DATA!$M:$M,'SALES BY SYSTEM'!$O$3)</f>
        <v>0</v>
      </c>
      <c r="W894" s="168"/>
    </row>
    <row r="895" spans="1:23" ht="15.75" customHeight="1" x14ac:dyDescent="0.25">
      <c r="A895" s="178" t="s">
        <v>1670</v>
      </c>
      <c r="B895" s="178" t="s">
        <v>654</v>
      </c>
      <c r="C895" s="178" t="str">
        <f>VLOOKUP(A895,CUSTOMER!$A:$C,3,0)</f>
        <v>ME_CH101</v>
      </c>
      <c r="D895" s="178" t="s">
        <v>674</v>
      </c>
      <c r="E895" s="178" t="str">
        <f>VLOOKUP(A899,CUSTOMER!$A$2:$H$1094,5,0)</f>
        <v>TRAN THI THAO NGUYEN</v>
      </c>
      <c r="F895" s="178" t="str">
        <f>VLOOKUP(A899,CUSTOMER!$A$2:$I$1094,6,0)</f>
        <v>NO SALE</v>
      </c>
      <c r="G895" s="178" t="s">
        <v>676</v>
      </c>
      <c r="H895" s="179">
        <f t="shared" si="137"/>
        <v>0</v>
      </c>
      <c r="I895" s="180" t="str">
        <f t="shared" si="138"/>
        <v/>
      </c>
      <c r="J895" s="181">
        <f t="shared" si="139"/>
        <v>0</v>
      </c>
      <c r="K895" s="182">
        <v>0</v>
      </c>
      <c r="L895" s="180" t="str">
        <f t="shared" si="140"/>
        <v/>
      </c>
      <c r="M895" s="218">
        <f>SUMIFS(DATA!$L:$L,DATA!$O:$O,$B899,DATA!$N:$N,$A899,DATA!$M:$M,'SALES BY SYSTEM'!$O$1)</f>
        <v>0</v>
      </c>
      <c r="N895" s="182">
        <v>0</v>
      </c>
      <c r="O895" s="180" t="str">
        <f t="shared" si="141"/>
        <v/>
      </c>
      <c r="P895" s="218">
        <f>SUMIFS(DATA!$L:$L,DATA!$O:$O,$B899,DATA!$N:$N,$A899,DATA!$M:$M,'SALES BY SYSTEM'!$O$2)</f>
        <v>0</v>
      </c>
      <c r="Q895" s="182">
        <v>0</v>
      </c>
      <c r="R895" s="180" t="str">
        <f t="shared" si="142"/>
        <v/>
      </c>
      <c r="S895" s="218">
        <f>SUMIFS(DATA!$L:$L,DATA!$O:$O,$B899,DATA!$N:$N,$A899,DATA!$M:$M,'SALES BY SYSTEM'!$O$4)</f>
        <v>0</v>
      </c>
      <c r="T895" s="182">
        <v>0</v>
      </c>
      <c r="U895" s="180" t="str">
        <f t="shared" si="143"/>
        <v/>
      </c>
      <c r="V895" s="218">
        <f>SUMIFS(DATA!$L:$L,DATA!$O:$O,$B899,DATA!$N:$N,$A899,DATA!$M:$M,'SALES BY SYSTEM'!$O$3)</f>
        <v>0</v>
      </c>
      <c r="W895" s="168"/>
    </row>
    <row r="896" spans="1:23" ht="15.75" customHeight="1" x14ac:dyDescent="0.25">
      <c r="A896" s="178" t="s">
        <v>1672</v>
      </c>
      <c r="B896" s="178" t="s">
        <v>654</v>
      </c>
      <c r="C896" s="178" t="str">
        <f>VLOOKUP(A896,CUSTOMER!$A:$C,3,0)</f>
        <v>ME_CH88</v>
      </c>
      <c r="D896" s="178" t="s">
        <v>674</v>
      </c>
      <c r="E896" s="178" t="str">
        <f>VLOOKUP(A900,CUSTOMER!$A$2:$H$1094,5,0)</f>
        <v>TRAN THI THAO NGUYEN</v>
      </c>
      <c r="F896" s="178" t="str">
        <f>VLOOKUP(A900,CUSTOMER!$A$2:$I$1094,6,0)</f>
        <v>NO SALE</v>
      </c>
      <c r="G896" s="178" t="s">
        <v>676</v>
      </c>
      <c r="H896" s="179">
        <f t="shared" si="137"/>
        <v>0</v>
      </c>
      <c r="I896" s="180" t="str">
        <f t="shared" si="138"/>
        <v/>
      </c>
      <c r="J896" s="181">
        <f t="shared" si="139"/>
        <v>0</v>
      </c>
      <c r="K896" s="182">
        <v>0</v>
      </c>
      <c r="L896" s="180" t="str">
        <f t="shared" si="140"/>
        <v/>
      </c>
      <c r="M896" s="218">
        <f>SUMIFS(DATA!$L:$L,DATA!$O:$O,$B900,DATA!$N:$N,$A900,DATA!$M:$M,'SALES BY SYSTEM'!$O$1)</f>
        <v>0</v>
      </c>
      <c r="N896" s="182">
        <v>0</v>
      </c>
      <c r="O896" s="180" t="str">
        <f t="shared" si="141"/>
        <v/>
      </c>
      <c r="P896" s="218">
        <f>SUMIFS(DATA!$L:$L,DATA!$O:$O,$B900,DATA!$N:$N,$A900,DATA!$M:$M,'SALES BY SYSTEM'!$O$2)</f>
        <v>0</v>
      </c>
      <c r="Q896" s="182">
        <v>0</v>
      </c>
      <c r="R896" s="180" t="str">
        <f t="shared" si="142"/>
        <v/>
      </c>
      <c r="S896" s="218">
        <f>SUMIFS(DATA!$L:$L,DATA!$O:$O,$B900,DATA!$N:$N,$A900,DATA!$M:$M,'SALES BY SYSTEM'!$O$4)</f>
        <v>0</v>
      </c>
      <c r="T896" s="182">
        <v>0</v>
      </c>
      <c r="U896" s="180" t="str">
        <f t="shared" si="143"/>
        <v/>
      </c>
      <c r="V896" s="218">
        <f>SUMIFS(DATA!$L:$L,DATA!$O:$O,$B900,DATA!$N:$N,$A900,DATA!$M:$M,'SALES BY SYSTEM'!$O$3)</f>
        <v>0</v>
      </c>
      <c r="W896" s="168"/>
    </row>
    <row r="897" spans="1:23" ht="15.75" customHeight="1" x14ac:dyDescent="0.25">
      <c r="A897" s="178" t="s">
        <v>1682</v>
      </c>
      <c r="B897" s="178" t="s">
        <v>654</v>
      </c>
      <c r="C897" s="178" t="str">
        <f>VLOOKUP(A897,CUSTOMER!$A:$C,3,0)</f>
        <v>ME_CH112</v>
      </c>
      <c r="D897" s="178" t="s">
        <v>674</v>
      </c>
      <c r="E897" s="178" t="str">
        <f>VLOOKUP(A901,CUSTOMER!$A$2:$H$1094,5,0)</f>
        <v>TRAN THI THAO NGUYEN</v>
      </c>
      <c r="F897" s="178" t="str">
        <f>VLOOKUP(A901,CUSTOMER!$A$2:$I$1094,6,0)</f>
        <v>NO SALE</v>
      </c>
      <c r="G897" s="178" t="s">
        <v>676</v>
      </c>
      <c r="H897" s="179">
        <f t="shared" si="137"/>
        <v>0</v>
      </c>
      <c r="I897" s="180" t="str">
        <f t="shared" si="138"/>
        <v/>
      </c>
      <c r="J897" s="181">
        <f t="shared" si="139"/>
        <v>0</v>
      </c>
      <c r="K897" s="182">
        <v>0</v>
      </c>
      <c r="L897" s="180" t="str">
        <f t="shared" si="140"/>
        <v/>
      </c>
      <c r="M897" s="218">
        <f>SUMIFS(DATA!$L:$L,DATA!$O:$O,$B901,DATA!$N:$N,$A901,DATA!$M:$M,'SALES BY SYSTEM'!$O$1)</f>
        <v>0</v>
      </c>
      <c r="N897" s="182">
        <v>0</v>
      </c>
      <c r="O897" s="180" t="str">
        <f t="shared" si="141"/>
        <v/>
      </c>
      <c r="P897" s="218">
        <f>SUMIFS(DATA!$L:$L,DATA!$O:$O,$B901,DATA!$N:$N,$A901,DATA!$M:$M,'SALES BY SYSTEM'!$O$2)</f>
        <v>0</v>
      </c>
      <c r="Q897" s="182">
        <v>0</v>
      </c>
      <c r="R897" s="180" t="str">
        <f t="shared" si="142"/>
        <v/>
      </c>
      <c r="S897" s="218">
        <f>SUMIFS(DATA!$L:$L,DATA!$O:$O,$B901,DATA!$N:$N,$A901,DATA!$M:$M,'SALES BY SYSTEM'!$O$4)</f>
        <v>0</v>
      </c>
      <c r="T897" s="182">
        <v>0</v>
      </c>
      <c r="U897" s="180" t="str">
        <f t="shared" si="143"/>
        <v/>
      </c>
      <c r="V897" s="218">
        <f>SUMIFS(DATA!$L:$L,DATA!$O:$O,$B901,DATA!$N:$N,$A901,DATA!$M:$M,'SALES BY SYSTEM'!$O$3)</f>
        <v>0</v>
      </c>
      <c r="W897" s="168"/>
    </row>
    <row r="898" spans="1:23" ht="15.75" customHeight="1" x14ac:dyDescent="0.25">
      <c r="A898" s="178" t="s">
        <v>1724</v>
      </c>
      <c r="B898" s="178" t="s">
        <v>650</v>
      </c>
      <c r="C898" s="178" t="str">
        <f>VLOOKUP(A898,CUSTOMER!$A:$C,3,0)</f>
        <v>ST_G7</v>
      </c>
      <c r="D898" s="178" t="s">
        <v>674</v>
      </c>
      <c r="E898" s="178" t="str">
        <f>VLOOKUP(A902,CUSTOMER!$A$2:$H$1094,5,0)</f>
        <v>TRAN THI THAO NGUYEN</v>
      </c>
      <c r="F898" s="178" t="str">
        <f>VLOOKUP(A902,CUSTOMER!$A$2:$I$1094,6,0)</f>
        <v>LE THI HONG DIEP</v>
      </c>
      <c r="G898" s="178" t="s">
        <v>676</v>
      </c>
      <c r="H898" s="179">
        <f t="shared" si="137"/>
        <v>0</v>
      </c>
      <c r="I898" s="180" t="str">
        <f t="shared" si="138"/>
        <v/>
      </c>
      <c r="J898" s="181">
        <f t="shared" si="139"/>
        <v>0</v>
      </c>
      <c r="K898" s="182">
        <v>0</v>
      </c>
      <c r="L898" s="180" t="str">
        <f t="shared" si="140"/>
        <v/>
      </c>
      <c r="M898" s="218">
        <f>SUMIFS(DATA!$L:$L,DATA!$O:$O,$B902,DATA!$N:$N,$A902,DATA!$M:$M,'SALES BY SYSTEM'!$O$1)</f>
        <v>0</v>
      </c>
      <c r="N898" s="182">
        <v>0</v>
      </c>
      <c r="O898" s="180" t="str">
        <f t="shared" si="141"/>
        <v/>
      </c>
      <c r="P898" s="218">
        <f>SUMIFS(DATA!$L:$L,DATA!$O:$O,$B902,DATA!$N:$N,$A902,DATA!$M:$M,'SALES BY SYSTEM'!$O$2)</f>
        <v>0</v>
      </c>
      <c r="Q898" s="182">
        <v>0</v>
      </c>
      <c r="R898" s="180" t="str">
        <f t="shared" si="142"/>
        <v/>
      </c>
      <c r="S898" s="218">
        <f>SUMIFS(DATA!$L:$L,DATA!$O:$O,$B902,DATA!$N:$N,$A902,DATA!$M:$M,'SALES BY SYSTEM'!$O$4)</f>
        <v>0</v>
      </c>
      <c r="T898" s="182">
        <v>0</v>
      </c>
      <c r="U898" s="180" t="str">
        <f t="shared" si="143"/>
        <v/>
      </c>
      <c r="V898" s="218">
        <f>SUMIFS(DATA!$L:$L,DATA!$O:$O,$B902,DATA!$N:$N,$A902,DATA!$M:$M,'SALES BY SYSTEM'!$O$3)</f>
        <v>0</v>
      </c>
      <c r="W898" s="168"/>
    </row>
    <row r="899" spans="1:23" ht="15.75" customHeight="1" x14ac:dyDescent="0.25">
      <c r="A899" s="139" t="s">
        <v>794</v>
      </c>
      <c r="B899" s="139" t="s">
        <v>593</v>
      </c>
      <c r="C899" s="178" t="str">
        <f>VLOOKUP(A899,CUSTOMER!$A:$C,3,0)</f>
        <v>BD_BTHANH</v>
      </c>
      <c r="D899" s="178" t="s">
        <v>674</v>
      </c>
      <c r="E899" s="178" t="str">
        <f>VLOOKUP(A903,CUSTOMER!$A$2:$H$1094,5,0)</f>
        <v>TRAN THI THAO NGUYEN</v>
      </c>
      <c r="F899" s="178" t="str">
        <f>VLOOKUP(A903,CUSTOMER!$A$2:$I$1094,6,0)</f>
        <v>VACANCY</v>
      </c>
      <c r="G899" s="178" t="s">
        <v>676</v>
      </c>
      <c r="H899" s="179">
        <f t="shared" si="137"/>
        <v>0</v>
      </c>
      <c r="I899" s="180" t="str">
        <f t="shared" si="138"/>
        <v/>
      </c>
      <c r="J899" s="181">
        <f t="shared" si="139"/>
        <v>0</v>
      </c>
      <c r="K899" s="182">
        <v>0</v>
      </c>
      <c r="L899" s="180" t="str">
        <f t="shared" si="140"/>
        <v/>
      </c>
      <c r="M899" s="218">
        <f>SUMIFS(DATA!$L:$L,DATA!$O:$O,$B903,DATA!$N:$N,$A903,DATA!$M:$M,'SALES BY SYSTEM'!$O$1)</f>
        <v>0</v>
      </c>
      <c r="N899" s="182">
        <v>0</v>
      </c>
      <c r="O899" s="180" t="str">
        <f t="shared" si="141"/>
        <v/>
      </c>
      <c r="P899" s="218">
        <f>SUMIFS(DATA!$L:$L,DATA!$O:$O,$B903,DATA!$N:$N,$A903,DATA!$M:$M,'SALES BY SYSTEM'!$O$2)</f>
        <v>0</v>
      </c>
      <c r="Q899" s="182">
        <v>0</v>
      </c>
      <c r="R899" s="180" t="str">
        <f t="shared" si="142"/>
        <v/>
      </c>
      <c r="S899" s="218">
        <f>SUMIFS(DATA!$L:$L,DATA!$O:$O,$B903,DATA!$N:$N,$A903,DATA!$M:$M,'SALES BY SYSTEM'!$O$4)</f>
        <v>0</v>
      </c>
      <c r="T899" s="182">
        <v>0</v>
      </c>
      <c r="U899" s="180" t="str">
        <f t="shared" si="143"/>
        <v/>
      </c>
      <c r="V899" s="218">
        <f>SUMIFS(DATA!$L:$L,DATA!$O:$O,$B903,DATA!$N:$N,$A903,DATA!$M:$M,'SALES BY SYSTEM'!$O$3)</f>
        <v>0</v>
      </c>
      <c r="W899" s="168"/>
    </row>
    <row r="900" spans="1:23" ht="15.75" customHeight="1" x14ac:dyDescent="0.25">
      <c r="A900" s="139" t="s">
        <v>797</v>
      </c>
      <c r="B900" s="139" t="s">
        <v>593</v>
      </c>
      <c r="C900" s="178" t="str">
        <f>VLOOKUP(A900,CUSTOMER!$A:$C,3,0)</f>
        <v>BD_PNHUAN</v>
      </c>
      <c r="D900" s="178" t="s">
        <v>674</v>
      </c>
      <c r="E900" s="178" t="str">
        <f>VLOOKUP(A904,CUSTOMER!$A$2:$H$1094,5,0)</f>
        <v>VACANCY</v>
      </c>
      <c r="F900" s="178" t="str">
        <f>VLOOKUP(A904,CUSTOMER!$A$2:$I$1094,6,0)</f>
        <v>VACANCY</v>
      </c>
      <c r="G900" s="178" t="s">
        <v>676</v>
      </c>
      <c r="H900" s="179">
        <f t="shared" si="137"/>
        <v>0</v>
      </c>
      <c r="I900" s="180" t="str">
        <f t="shared" si="138"/>
        <v/>
      </c>
      <c r="J900" s="181">
        <f t="shared" si="139"/>
        <v>0</v>
      </c>
      <c r="K900" s="182">
        <v>0</v>
      </c>
      <c r="L900" s="180" t="str">
        <f t="shared" si="140"/>
        <v/>
      </c>
      <c r="M900" s="218">
        <f>SUMIFS(DATA!$L:$L,DATA!$O:$O,$B904,DATA!$N:$N,$A904,DATA!$M:$M,'SALES BY SYSTEM'!$O$1)</f>
        <v>0</v>
      </c>
      <c r="N900" s="182">
        <v>0</v>
      </c>
      <c r="O900" s="180" t="str">
        <f t="shared" si="141"/>
        <v/>
      </c>
      <c r="P900" s="218">
        <f>SUMIFS(DATA!$L:$L,DATA!$O:$O,$B904,DATA!$N:$N,$A904,DATA!$M:$M,'SALES BY SYSTEM'!$O$2)</f>
        <v>0</v>
      </c>
      <c r="Q900" s="182">
        <v>0</v>
      </c>
      <c r="R900" s="180" t="str">
        <f t="shared" si="142"/>
        <v/>
      </c>
      <c r="S900" s="218">
        <f>SUMIFS(DATA!$L:$L,DATA!$O:$O,$B904,DATA!$N:$N,$A904,DATA!$M:$M,'SALES BY SYSTEM'!$O$4)</f>
        <v>0</v>
      </c>
      <c r="T900" s="182">
        <v>0</v>
      </c>
      <c r="U900" s="180" t="str">
        <f t="shared" si="143"/>
        <v/>
      </c>
      <c r="V900" s="218">
        <f>SUMIFS(DATA!$L:$L,DATA!$O:$O,$B904,DATA!$N:$N,$A904,DATA!$M:$M,'SALES BY SYSTEM'!$O$3)</f>
        <v>0</v>
      </c>
      <c r="W900" s="168"/>
    </row>
    <row r="901" spans="1:23" ht="15.75" customHeight="1" x14ac:dyDescent="0.25">
      <c r="A901" s="139" t="s">
        <v>799</v>
      </c>
      <c r="B901" s="139" t="s">
        <v>593</v>
      </c>
      <c r="C901" s="178" t="str">
        <f>VLOOKUP(A901,CUSTOMER!$A:$C,3,0)</f>
        <v>BD_CUCHI</v>
      </c>
      <c r="D901" s="178" t="s">
        <v>674</v>
      </c>
      <c r="E901" s="178" t="str">
        <f>VLOOKUP(A905,CUSTOMER!$A$2:$H$1094,5,0)</f>
        <v>VACANCY</v>
      </c>
      <c r="F901" s="178" t="str">
        <f>VLOOKUP(A905,CUSTOMER!$A$2:$I$1094,6,0)</f>
        <v>"NO SALE"</v>
      </c>
      <c r="G901" s="178" t="s">
        <v>676</v>
      </c>
      <c r="H901" s="179">
        <f t="shared" si="137"/>
        <v>0</v>
      </c>
      <c r="I901" s="180" t="str">
        <f t="shared" si="138"/>
        <v/>
      </c>
      <c r="J901" s="181">
        <f t="shared" si="139"/>
        <v>0</v>
      </c>
      <c r="K901" s="182">
        <v>0</v>
      </c>
      <c r="L901" s="180" t="str">
        <f t="shared" si="140"/>
        <v/>
      </c>
      <c r="M901" s="218">
        <f>SUMIFS(DATA!$L:$L,DATA!$O:$O,$B905,DATA!$N:$N,$A905,DATA!$M:$M,'SALES BY SYSTEM'!$O$1)</f>
        <v>0</v>
      </c>
      <c r="N901" s="182">
        <v>0</v>
      </c>
      <c r="O901" s="180" t="str">
        <f t="shared" si="141"/>
        <v/>
      </c>
      <c r="P901" s="218">
        <f>SUMIFS(DATA!$L:$L,DATA!$O:$O,$B905,DATA!$N:$N,$A905,DATA!$M:$M,'SALES BY SYSTEM'!$O$2)</f>
        <v>0</v>
      </c>
      <c r="Q901" s="182">
        <v>0</v>
      </c>
      <c r="R901" s="180" t="str">
        <f t="shared" si="142"/>
        <v/>
      </c>
      <c r="S901" s="218">
        <f>SUMIFS(DATA!$L:$L,DATA!$O:$O,$B905,DATA!$N:$N,$A905,DATA!$M:$M,'SALES BY SYSTEM'!$O$4)</f>
        <v>0</v>
      </c>
      <c r="T901" s="182">
        <v>0</v>
      </c>
      <c r="U901" s="180" t="str">
        <f t="shared" si="143"/>
        <v/>
      </c>
      <c r="V901" s="218">
        <f>SUMIFS(DATA!$L:$L,DATA!$O:$O,$B905,DATA!$N:$N,$A905,DATA!$M:$M,'SALES BY SYSTEM'!$O$3)</f>
        <v>0</v>
      </c>
      <c r="W901" s="168"/>
    </row>
    <row r="902" spans="1:23" ht="15.75" customHeight="1" x14ac:dyDescent="0.25">
      <c r="A902" s="139" t="s">
        <v>1517</v>
      </c>
      <c r="B902" s="139" t="s">
        <v>60</v>
      </c>
      <c r="C902" s="178" t="str">
        <f>VLOOKUP(A902,CUSTOMER!$A:$C,3,0)</f>
        <v>LOTTE_DDA</v>
      </c>
      <c r="D902" s="178" t="s">
        <v>674</v>
      </c>
      <c r="E902" s="178" t="str">
        <f>VLOOKUP(A906,CUSTOMER!$A$2:$H$1094,5,0)</f>
        <v>VACANCY</v>
      </c>
      <c r="F902" s="178" t="str">
        <f>VLOOKUP(A906,CUSTOMER!$A$2:$I$1094,6,0)</f>
        <v>"NO SALE"</v>
      </c>
      <c r="G902" s="178" t="str">
        <f>VLOOKUP(A906,CUSTOMER!$A$1:$J$1160,7,0)</f>
        <v>"NO PG"</v>
      </c>
      <c r="H902" s="179">
        <f t="shared" si="137"/>
        <v>0</v>
      </c>
      <c r="I902" s="180" t="str">
        <f t="shared" si="138"/>
        <v/>
      </c>
      <c r="J902" s="181">
        <f t="shared" si="139"/>
        <v>0</v>
      </c>
      <c r="K902" s="182">
        <v>0</v>
      </c>
      <c r="L902" s="180" t="str">
        <f t="shared" si="140"/>
        <v/>
      </c>
      <c r="M902" s="218">
        <f>SUMIFS(DATA!$L:$L,DATA!$O:$O,$B906,DATA!$N:$N,$A906,DATA!$M:$M,'SALES BY SYSTEM'!$O$1)</f>
        <v>0</v>
      </c>
      <c r="N902" s="182">
        <v>0</v>
      </c>
      <c r="O902" s="180" t="str">
        <f t="shared" si="141"/>
        <v/>
      </c>
      <c r="P902" s="218">
        <f>SUMIFS(DATA!$L:$L,DATA!$O:$O,$B906,DATA!$N:$N,$A906,DATA!$M:$M,'SALES BY SYSTEM'!$O$2)</f>
        <v>0</v>
      </c>
      <c r="Q902" s="182">
        <v>0</v>
      </c>
      <c r="R902" s="180" t="str">
        <f t="shared" si="142"/>
        <v/>
      </c>
      <c r="S902" s="218">
        <f>SUMIFS(DATA!$L:$L,DATA!$O:$O,$B906,DATA!$N:$N,$A906,DATA!$M:$M,'SALES BY SYSTEM'!$O$4)</f>
        <v>0</v>
      </c>
      <c r="T902" s="182">
        <v>0</v>
      </c>
      <c r="U902" s="180" t="str">
        <f t="shared" si="143"/>
        <v/>
      </c>
      <c r="V902" s="218">
        <f>SUMIFS(DATA!$L:$L,DATA!$O:$O,$B906,DATA!$N:$N,$A906,DATA!$M:$M,'SALES BY SYSTEM'!$O$3)</f>
        <v>0</v>
      </c>
      <c r="W902" s="168"/>
    </row>
    <row r="903" spans="1:23" ht="15.75" customHeight="1" x14ac:dyDescent="0.25">
      <c r="A903" s="139" t="s">
        <v>1519</v>
      </c>
      <c r="B903" s="139" t="s">
        <v>60</v>
      </c>
      <c r="C903" s="178" t="str">
        <f>VLOOKUP(A903,CUSTOMER!$A:$C,3,0)</f>
        <v>LOTTE_S_Q11</v>
      </c>
      <c r="D903" s="178" t="s">
        <v>674</v>
      </c>
      <c r="E903" s="178" t="str">
        <f>VLOOKUP(A907,CUSTOMER!$A$2:$H$1094,5,0)</f>
        <v>VACANCY</v>
      </c>
      <c r="F903" s="178" t="str">
        <f>VLOOKUP(A907,CUSTOMER!$A$2:$I$1094,6,0)</f>
        <v>VACANCY</v>
      </c>
      <c r="G903" s="178" t="str">
        <f>VLOOKUP(A907,CUSTOMER!$A$1:$J$1160,7,0)</f>
        <v>"NO PG"</v>
      </c>
      <c r="H903" s="179">
        <f t="shared" si="137"/>
        <v>0</v>
      </c>
      <c r="I903" s="180" t="str">
        <f t="shared" si="138"/>
        <v/>
      </c>
      <c r="J903" s="181">
        <f t="shared" si="139"/>
        <v>0</v>
      </c>
      <c r="K903" s="182">
        <v>0</v>
      </c>
      <c r="L903" s="180" t="str">
        <f t="shared" si="140"/>
        <v/>
      </c>
      <c r="M903" s="218">
        <f>SUMIFS(DATA!$L:$L,DATA!$O:$O,$B907,DATA!$N:$N,$A907,DATA!$M:$M,'SALES BY SYSTEM'!$O$1)</f>
        <v>0</v>
      </c>
      <c r="N903" s="182">
        <v>0</v>
      </c>
      <c r="O903" s="180" t="str">
        <f t="shared" si="141"/>
        <v/>
      </c>
      <c r="P903" s="218">
        <f>SUMIFS(DATA!$L:$L,DATA!$O:$O,$B907,DATA!$N:$N,$A907,DATA!$M:$M,'SALES BY SYSTEM'!$O$2)</f>
        <v>0</v>
      </c>
      <c r="Q903" s="182">
        <v>0</v>
      </c>
      <c r="R903" s="180" t="str">
        <f t="shared" si="142"/>
        <v/>
      </c>
      <c r="S903" s="218">
        <f>SUMIFS(DATA!$L:$L,DATA!$O:$O,$B907,DATA!$N:$N,$A907,DATA!$M:$M,'SALES BY SYSTEM'!$O$4)</f>
        <v>0</v>
      </c>
      <c r="T903" s="182">
        <v>0</v>
      </c>
      <c r="U903" s="180" t="str">
        <f t="shared" si="143"/>
        <v/>
      </c>
      <c r="V903" s="218">
        <f>SUMIFS(DATA!$L:$L,DATA!$O:$O,$B907,DATA!$N:$N,$A907,DATA!$M:$M,'SALES BY SYSTEM'!$O$3)</f>
        <v>0</v>
      </c>
      <c r="W903" s="168"/>
    </row>
    <row r="904" spans="1:23" ht="15.75" customHeight="1" x14ac:dyDescent="0.25">
      <c r="A904" s="178" t="s">
        <v>2171</v>
      </c>
      <c r="B904" s="178" t="s">
        <v>1755</v>
      </c>
      <c r="C904" s="178" t="str">
        <f>VLOOKUP(A904,CUSTOMER!$A:$C,3,0)</f>
        <v>SATRA_F14LTT</v>
      </c>
      <c r="D904" s="178" t="s">
        <v>674</v>
      </c>
      <c r="E904" s="178" t="str">
        <f>VLOOKUP(A908,CUSTOMER!$A$2:$H$1094,5,0)</f>
        <v>VACANCY</v>
      </c>
      <c r="F904" s="178" t="str">
        <f>VLOOKUP(A908,CUSTOMER!$A$2:$I$1094,6,0)</f>
        <v>VACANCY</v>
      </c>
      <c r="G904" s="178" t="s">
        <v>676</v>
      </c>
      <c r="H904" s="179">
        <f t="shared" si="137"/>
        <v>0</v>
      </c>
      <c r="I904" s="180" t="str">
        <f t="shared" si="138"/>
        <v/>
      </c>
      <c r="J904" s="181">
        <f t="shared" si="139"/>
        <v>0</v>
      </c>
      <c r="K904" s="182">
        <v>0</v>
      </c>
      <c r="L904" s="180" t="str">
        <f t="shared" si="140"/>
        <v/>
      </c>
      <c r="M904" s="218">
        <f>SUMIFS(DATA!$L:$L,DATA!$O:$O,$B908,DATA!$N:$N,$A908,DATA!$M:$M,'SALES BY SYSTEM'!$O$1)</f>
        <v>0</v>
      </c>
      <c r="N904" s="182">
        <v>0</v>
      </c>
      <c r="O904" s="180" t="str">
        <f t="shared" si="141"/>
        <v/>
      </c>
      <c r="P904" s="218">
        <f>SUMIFS(DATA!$L:$L,DATA!$O:$O,$B908,DATA!$N:$N,$A908,DATA!$M:$M,'SALES BY SYSTEM'!$O$2)</f>
        <v>0</v>
      </c>
      <c r="Q904" s="182">
        <v>0</v>
      </c>
      <c r="R904" s="180" t="str">
        <f t="shared" si="142"/>
        <v/>
      </c>
      <c r="S904" s="218">
        <f>SUMIFS(DATA!$L:$L,DATA!$O:$O,$B908,DATA!$N:$N,$A908,DATA!$M:$M,'SALES BY SYSTEM'!$O$4)</f>
        <v>0</v>
      </c>
      <c r="T904" s="182">
        <v>0</v>
      </c>
      <c r="U904" s="180" t="str">
        <f t="shared" si="143"/>
        <v/>
      </c>
      <c r="V904" s="218">
        <f>SUMIFS(DATA!$L:$L,DATA!$O:$O,$B908,DATA!$N:$N,$A908,DATA!$M:$M,'SALES BY SYSTEM'!$O$3)</f>
        <v>0</v>
      </c>
      <c r="W904" s="168"/>
    </row>
    <row r="905" spans="1:23" ht="15.75" customHeight="1" x14ac:dyDescent="0.25">
      <c r="A905" s="178" t="s">
        <v>2174</v>
      </c>
      <c r="B905" s="178" t="s">
        <v>1755</v>
      </c>
      <c r="C905" s="178" t="str">
        <f>VLOOKUP(A905,CUSTOMER!$A:$C,3,0)</f>
        <v>SATRA_260TNAO</v>
      </c>
      <c r="D905" s="178" t="s">
        <v>674</v>
      </c>
      <c r="E905" s="178" t="str">
        <f>VLOOKUP(A909,CUSTOMER!$A$2:$H$1094,5,0)</f>
        <v>VACANCY</v>
      </c>
      <c r="F905" s="178" t="str">
        <f>VLOOKUP(A909,CUSTOMER!$A$2:$I$1094,6,0)</f>
        <v>VACANCY</v>
      </c>
      <c r="G905" s="178" t="s">
        <v>676</v>
      </c>
      <c r="H905" s="179">
        <f t="shared" si="137"/>
        <v>0</v>
      </c>
      <c r="I905" s="180" t="str">
        <f t="shared" si="138"/>
        <v/>
      </c>
      <c r="J905" s="181">
        <f t="shared" si="139"/>
        <v>0</v>
      </c>
      <c r="K905" s="182">
        <v>0</v>
      </c>
      <c r="L905" s="180" t="str">
        <f t="shared" si="140"/>
        <v/>
      </c>
      <c r="M905" s="218">
        <f>SUMIFS(DATA!$L:$L,DATA!$O:$O,$B909,DATA!$N:$N,$A909,DATA!$M:$M,'SALES BY SYSTEM'!$O$1)</f>
        <v>0</v>
      </c>
      <c r="N905" s="182">
        <v>0</v>
      </c>
      <c r="O905" s="180" t="str">
        <f t="shared" si="141"/>
        <v/>
      </c>
      <c r="P905" s="218">
        <f>SUMIFS(DATA!$L:$L,DATA!$O:$O,$B909,DATA!$N:$N,$A909,DATA!$M:$M,'SALES BY SYSTEM'!$O$2)</f>
        <v>0</v>
      </c>
      <c r="Q905" s="182">
        <v>0</v>
      </c>
      <c r="R905" s="180" t="str">
        <f t="shared" si="142"/>
        <v/>
      </c>
      <c r="S905" s="218">
        <f>SUMIFS(DATA!$L:$L,DATA!$O:$O,$B909,DATA!$N:$N,$A909,DATA!$M:$M,'SALES BY SYSTEM'!$O$4)</f>
        <v>0</v>
      </c>
      <c r="T905" s="182">
        <v>0</v>
      </c>
      <c r="U905" s="180" t="str">
        <f t="shared" si="143"/>
        <v/>
      </c>
      <c r="V905" s="218">
        <f>SUMIFS(DATA!$L:$L,DATA!$O:$O,$B909,DATA!$N:$N,$A909,DATA!$M:$M,'SALES BY SYSTEM'!$O$3)</f>
        <v>0</v>
      </c>
      <c r="W905" s="168"/>
    </row>
    <row r="906" spans="1:23" ht="15.75" customHeight="1" x14ac:dyDescent="0.25">
      <c r="A906" s="178" t="s">
        <v>1423</v>
      </c>
      <c r="B906" s="178" t="s">
        <v>1423</v>
      </c>
      <c r="C906" s="178" t="str">
        <f>VLOOKUP(A906,CUSTOMER!$A:$C,3,0)</f>
        <v>6351</v>
      </c>
      <c r="D906" s="178" t="s">
        <v>674</v>
      </c>
      <c r="E906" s="178" t="str">
        <f>VLOOKUP(A910,CUSTOMER!$A$2:$H$1094,5,0)</f>
        <v>VACANCY</v>
      </c>
      <c r="F906" s="178" t="str">
        <f>VLOOKUP(A910,CUSTOMER!$A$2:$I$1094,6,0)</f>
        <v>VACANCY</v>
      </c>
      <c r="G906" s="178" t="s">
        <v>676</v>
      </c>
      <c r="H906" s="179">
        <f t="shared" si="137"/>
        <v>0</v>
      </c>
      <c r="I906" s="180" t="str">
        <f t="shared" si="138"/>
        <v/>
      </c>
      <c r="J906" s="181">
        <f t="shared" si="139"/>
        <v>0</v>
      </c>
      <c r="K906" s="182">
        <v>0</v>
      </c>
      <c r="L906" s="180" t="str">
        <f t="shared" si="140"/>
        <v/>
      </c>
      <c r="M906" s="218">
        <f>SUMIFS(DATA!$L:$L,DATA!$O:$O,$B910,DATA!$N:$N,$A910,DATA!$M:$M,'SALES BY SYSTEM'!$O$1)</f>
        <v>0</v>
      </c>
      <c r="N906" s="182">
        <v>0</v>
      </c>
      <c r="O906" s="180" t="str">
        <f t="shared" si="141"/>
        <v/>
      </c>
      <c r="P906" s="218">
        <f>SUMIFS(DATA!$L:$L,DATA!$O:$O,$B910,DATA!$N:$N,$A910,DATA!$M:$M,'SALES BY SYSTEM'!$O$2)</f>
        <v>0</v>
      </c>
      <c r="Q906" s="182">
        <v>0</v>
      </c>
      <c r="R906" s="180" t="str">
        <f t="shared" si="142"/>
        <v/>
      </c>
      <c r="S906" s="218">
        <f>SUMIFS(DATA!$L:$L,DATA!$O:$O,$B910,DATA!$N:$N,$A910,DATA!$M:$M,'SALES BY SYSTEM'!$O$4)</f>
        <v>0</v>
      </c>
      <c r="T906" s="182">
        <v>0</v>
      </c>
      <c r="U906" s="180" t="str">
        <f t="shared" si="143"/>
        <v/>
      </c>
      <c r="V906" s="218">
        <f>SUMIFS(DATA!$L:$L,DATA!$O:$O,$B910,DATA!$N:$N,$A910,DATA!$M:$M,'SALES BY SYSTEM'!$O$3)</f>
        <v>0</v>
      </c>
      <c r="W906" s="168"/>
    </row>
    <row r="907" spans="1:23" ht="15.75" customHeight="1" x14ac:dyDescent="0.25">
      <c r="A907" s="178" t="s">
        <v>2186</v>
      </c>
      <c r="B907" s="178" t="s">
        <v>2184</v>
      </c>
      <c r="C907" s="178" t="str">
        <f>VLOOKUP(A907,CUSTOMER!$A:$C,3,0)</f>
        <v>TNM_AEONBDUONG</v>
      </c>
      <c r="D907" s="178" t="s">
        <v>674</v>
      </c>
      <c r="E907" s="178" t="str">
        <f>VLOOKUP(A911,CUSTOMER!$A$2:$H$1094,5,0)</f>
        <v>VACANCY</v>
      </c>
      <c r="F907" s="178" t="str">
        <f>VLOOKUP(A911,CUSTOMER!$A$2:$I$1094,6,0)</f>
        <v>VACANCY</v>
      </c>
      <c r="G907" s="178" t="s">
        <v>676</v>
      </c>
      <c r="H907" s="179">
        <f t="shared" si="137"/>
        <v>0</v>
      </c>
      <c r="I907" s="180" t="str">
        <f t="shared" si="138"/>
        <v/>
      </c>
      <c r="J907" s="181">
        <f t="shared" si="139"/>
        <v>0</v>
      </c>
      <c r="K907" s="182">
        <v>0</v>
      </c>
      <c r="L907" s="180" t="str">
        <f t="shared" si="140"/>
        <v/>
      </c>
      <c r="M907" s="218">
        <f>SUMIFS(DATA!$L:$L,DATA!$O:$O,$B911,DATA!$N:$N,$A911,DATA!$M:$M,'SALES BY SYSTEM'!$O$1)</f>
        <v>0</v>
      </c>
      <c r="N907" s="182">
        <v>0</v>
      </c>
      <c r="O907" s="180" t="str">
        <f t="shared" si="141"/>
        <v/>
      </c>
      <c r="P907" s="218">
        <f>SUMIFS(DATA!$L:$L,DATA!$O:$O,$B911,DATA!$N:$N,$A911,DATA!$M:$M,'SALES BY SYSTEM'!$O$2)</f>
        <v>0</v>
      </c>
      <c r="Q907" s="182">
        <v>0</v>
      </c>
      <c r="R907" s="180" t="str">
        <f t="shared" si="142"/>
        <v/>
      </c>
      <c r="S907" s="218">
        <f>SUMIFS(DATA!$L:$L,DATA!$O:$O,$B911,DATA!$N:$N,$A911,DATA!$M:$M,'SALES BY SYSTEM'!$O$4)</f>
        <v>0</v>
      </c>
      <c r="T907" s="182">
        <v>0</v>
      </c>
      <c r="U907" s="180" t="str">
        <f t="shared" si="143"/>
        <v/>
      </c>
      <c r="V907" s="218">
        <f>SUMIFS(DATA!$L:$L,DATA!$O:$O,$B911,DATA!$N:$N,$A911,DATA!$M:$M,'SALES BY SYSTEM'!$O$3)</f>
        <v>0</v>
      </c>
      <c r="W907" s="168"/>
    </row>
    <row r="908" spans="1:23" ht="15.75" customHeight="1" x14ac:dyDescent="0.25">
      <c r="A908" s="178" t="s">
        <v>2188</v>
      </c>
      <c r="B908" s="178" t="s">
        <v>2184</v>
      </c>
      <c r="C908" s="178" t="str">
        <f>VLOOKUP(A908,CUSTOMER!$A:$C,3,0)</f>
        <v>TNM_AEONBT</v>
      </c>
      <c r="D908" s="178" t="s">
        <v>674</v>
      </c>
      <c r="E908" s="178" t="str">
        <f>VLOOKUP(A912,CUSTOMER!$A$2:$H$1094,5,0)</f>
        <v>VACANCY</v>
      </c>
      <c r="F908" s="178" t="str">
        <f>VLOOKUP(A912,CUSTOMER!$A$2:$I$1094,6,0)</f>
        <v>VACANCY</v>
      </c>
      <c r="G908" s="178" t="s">
        <v>676</v>
      </c>
      <c r="H908" s="179">
        <f t="shared" si="137"/>
        <v>0</v>
      </c>
      <c r="I908" s="180" t="str">
        <f t="shared" si="138"/>
        <v/>
      </c>
      <c r="J908" s="181">
        <f t="shared" si="139"/>
        <v>0</v>
      </c>
      <c r="K908" s="182">
        <v>0</v>
      </c>
      <c r="L908" s="180" t="str">
        <f t="shared" si="140"/>
        <v/>
      </c>
      <c r="M908" s="218">
        <f>SUMIFS(DATA!$L:$L,DATA!$O:$O,$B912,DATA!$N:$N,$A912,DATA!$M:$M,'SALES BY SYSTEM'!$O$1)</f>
        <v>0</v>
      </c>
      <c r="N908" s="182">
        <v>0</v>
      </c>
      <c r="O908" s="180" t="str">
        <f t="shared" si="141"/>
        <v/>
      </c>
      <c r="P908" s="218">
        <f>SUMIFS(DATA!$L:$L,DATA!$O:$O,$B912,DATA!$N:$N,$A912,DATA!$M:$M,'SALES BY SYSTEM'!$O$2)</f>
        <v>0</v>
      </c>
      <c r="Q908" s="182">
        <v>0</v>
      </c>
      <c r="R908" s="180" t="str">
        <f t="shared" si="142"/>
        <v/>
      </c>
      <c r="S908" s="218">
        <f>SUMIFS(DATA!$L:$L,DATA!$O:$O,$B912,DATA!$N:$N,$A912,DATA!$M:$M,'SALES BY SYSTEM'!$O$4)</f>
        <v>0</v>
      </c>
      <c r="T908" s="182">
        <v>0</v>
      </c>
      <c r="U908" s="180" t="str">
        <f t="shared" si="143"/>
        <v/>
      </c>
      <c r="V908" s="218">
        <f>SUMIFS(DATA!$L:$L,DATA!$O:$O,$B912,DATA!$N:$N,$A912,DATA!$M:$M,'SALES BY SYSTEM'!$O$3)</f>
        <v>0</v>
      </c>
      <c r="W908" s="168"/>
    </row>
    <row r="909" spans="1:23" ht="15.75" customHeight="1" x14ac:dyDescent="0.25">
      <c r="A909" s="178" t="s">
        <v>2190</v>
      </c>
      <c r="B909" s="178" t="s">
        <v>2184</v>
      </c>
      <c r="C909" s="178" t="str">
        <f>VLOOKUP(A909,CUSTOMER!$A:$C,3,0)</f>
        <v>TNM_AEONHDONG</v>
      </c>
      <c r="D909" s="178" t="s">
        <v>674</v>
      </c>
      <c r="E909" s="178" t="str">
        <f>VLOOKUP(A913,CUSTOMER!$A$2:$H$1094,5,0)</f>
        <v>VACANCY</v>
      </c>
      <c r="F909" s="178" t="str">
        <f>VLOOKUP(A913,CUSTOMER!$A$2:$I$1094,6,0)</f>
        <v>VACANCY</v>
      </c>
      <c r="G909" s="178" t="s">
        <v>676</v>
      </c>
      <c r="H909" s="179">
        <f t="shared" si="137"/>
        <v>0</v>
      </c>
      <c r="I909" s="180" t="str">
        <f t="shared" si="138"/>
        <v/>
      </c>
      <c r="J909" s="181">
        <f t="shared" si="139"/>
        <v>0</v>
      </c>
      <c r="K909" s="182">
        <v>0</v>
      </c>
      <c r="L909" s="180" t="str">
        <f t="shared" si="140"/>
        <v/>
      </c>
      <c r="M909" s="218">
        <f>SUMIFS(DATA!$L:$L,DATA!$O:$O,$B913,DATA!$N:$N,$A913,DATA!$M:$M,'SALES BY SYSTEM'!$O$1)</f>
        <v>0</v>
      </c>
      <c r="N909" s="182">
        <v>0</v>
      </c>
      <c r="O909" s="180" t="str">
        <f t="shared" si="141"/>
        <v/>
      </c>
      <c r="P909" s="218">
        <f>SUMIFS(DATA!$L:$L,DATA!$O:$O,$B913,DATA!$N:$N,$A913,DATA!$M:$M,'SALES BY SYSTEM'!$O$2)</f>
        <v>0</v>
      </c>
      <c r="Q909" s="182">
        <v>0</v>
      </c>
      <c r="R909" s="180" t="str">
        <f t="shared" si="142"/>
        <v/>
      </c>
      <c r="S909" s="218">
        <f>SUMIFS(DATA!$L:$L,DATA!$O:$O,$B913,DATA!$N:$N,$A913,DATA!$M:$M,'SALES BY SYSTEM'!$O$4)</f>
        <v>0</v>
      </c>
      <c r="T909" s="182">
        <v>0</v>
      </c>
      <c r="U909" s="180" t="str">
        <f t="shared" si="143"/>
        <v/>
      </c>
      <c r="V909" s="218">
        <f>SUMIFS(DATA!$L:$L,DATA!$O:$O,$B913,DATA!$N:$N,$A913,DATA!$M:$M,'SALES BY SYSTEM'!$O$3)</f>
        <v>0</v>
      </c>
      <c r="W909" s="168"/>
    </row>
    <row r="910" spans="1:23" ht="15.75" customHeight="1" x14ac:dyDescent="0.25">
      <c r="A910" s="178" t="s">
        <v>2294</v>
      </c>
      <c r="B910" s="178" t="s">
        <v>2184</v>
      </c>
      <c r="C910" s="178" t="str">
        <f>VLOOKUP(A910,CUSTOMER!$A:$C,3,0)</f>
        <v>TNM_AEONHPHONG</v>
      </c>
      <c r="D910" s="178" t="s">
        <v>674</v>
      </c>
      <c r="E910" s="178" t="str">
        <f>VLOOKUP(A914,CUSTOMER!$A$2:$H$1094,5,0)</f>
        <v>VACANCY</v>
      </c>
      <c r="F910" s="178" t="str">
        <f>VLOOKUP(A914,CUSTOMER!$A$2:$I$1094,6,0)</f>
        <v>VACANCY</v>
      </c>
      <c r="G910" s="178" t="s">
        <v>676</v>
      </c>
      <c r="H910" s="179">
        <f t="shared" si="137"/>
        <v>0</v>
      </c>
      <c r="I910" s="180" t="str">
        <f t="shared" si="138"/>
        <v/>
      </c>
      <c r="J910" s="181">
        <f t="shared" si="139"/>
        <v>0</v>
      </c>
      <c r="K910" s="182">
        <v>0</v>
      </c>
      <c r="L910" s="180" t="str">
        <f t="shared" si="140"/>
        <v/>
      </c>
      <c r="M910" s="218">
        <f>SUMIFS(DATA!$L:$L,DATA!$O:$O,$B914,DATA!$N:$N,$A914,DATA!$M:$M,'SALES BY SYSTEM'!$O$1)</f>
        <v>0</v>
      </c>
      <c r="N910" s="182">
        <v>0</v>
      </c>
      <c r="O910" s="180" t="str">
        <f t="shared" si="141"/>
        <v/>
      </c>
      <c r="P910" s="218">
        <f>SUMIFS(DATA!$L:$L,DATA!$O:$O,$B914,DATA!$N:$N,$A914,DATA!$M:$M,'SALES BY SYSTEM'!$O$2)</f>
        <v>0</v>
      </c>
      <c r="Q910" s="182">
        <v>0</v>
      </c>
      <c r="R910" s="180" t="str">
        <f t="shared" si="142"/>
        <v/>
      </c>
      <c r="S910" s="218">
        <f>SUMIFS(DATA!$L:$L,DATA!$O:$O,$B914,DATA!$N:$N,$A914,DATA!$M:$M,'SALES BY SYSTEM'!$O$4)</f>
        <v>0</v>
      </c>
      <c r="T910" s="182">
        <v>0</v>
      </c>
      <c r="U910" s="180" t="str">
        <f t="shared" si="143"/>
        <v/>
      </c>
      <c r="V910" s="218">
        <f>SUMIFS(DATA!$L:$L,DATA!$O:$O,$B914,DATA!$N:$N,$A914,DATA!$M:$M,'SALES BY SYSTEM'!$O$3)</f>
        <v>0</v>
      </c>
      <c r="W910" s="168"/>
    </row>
    <row r="911" spans="1:23" ht="15.75" customHeight="1" x14ac:dyDescent="0.25">
      <c r="A911" s="178" t="s">
        <v>2192</v>
      </c>
      <c r="B911" s="178" t="s">
        <v>2184</v>
      </c>
      <c r="C911" s="178" t="str">
        <f>VLOOKUP(A911,CUSTOMER!$A:$C,3,0)</f>
        <v>TNM_AEONLBIEN</v>
      </c>
      <c r="D911" s="178" t="s">
        <v>674</v>
      </c>
      <c r="E911" s="178" t="str">
        <f>VLOOKUP(A915,CUSTOMER!$A$2:$H$1094,5,0)</f>
        <v>VACANCY</v>
      </c>
      <c r="F911" s="178" t="str">
        <f>VLOOKUP(A915,CUSTOMER!$A$2:$I$1094,6,0)</f>
        <v>VACANCY</v>
      </c>
      <c r="G911" s="178" t="s">
        <v>676</v>
      </c>
      <c r="H911" s="179">
        <f t="shared" si="137"/>
        <v>0</v>
      </c>
      <c r="I911" s="180" t="str">
        <f t="shared" si="138"/>
        <v/>
      </c>
      <c r="J911" s="181">
        <f t="shared" si="139"/>
        <v>0</v>
      </c>
      <c r="K911" s="182">
        <v>0</v>
      </c>
      <c r="L911" s="180" t="str">
        <f t="shared" si="140"/>
        <v/>
      </c>
      <c r="M911" s="218">
        <f>SUMIFS(DATA!$L:$L,DATA!$O:$O,$B915,DATA!$N:$N,$A915,DATA!$M:$M,'SALES BY SYSTEM'!$O$1)</f>
        <v>0</v>
      </c>
      <c r="N911" s="182">
        <v>0</v>
      </c>
      <c r="O911" s="180" t="str">
        <f t="shared" si="141"/>
        <v/>
      </c>
      <c r="P911" s="218">
        <f>SUMIFS(DATA!$L:$L,DATA!$O:$O,$B915,DATA!$N:$N,$A915,DATA!$M:$M,'SALES BY SYSTEM'!$O$2)</f>
        <v>0</v>
      </c>
      <c r="Q911" s="182">
        <v>0</v>
      </c>
      <c r="R911" s="180" t="str">
        <f t="shared" si="142"/>
        <v/>
      </c>
      <c r="S911" s="218">
        <f>SUMIFS(DATA!$L:$L,DATA!$O:$O,$B915,DATA!$N:$N,$A915,DATA!$M:$M,'SALES BY SYSTEM'!$O$4)</f>
        <v>0</v>
      </c>
      <c r="T911" s="182">
        <v>0</v>
      </c>
      <c r="U911" s="180" t="str">
        <f t="shared" si="143"/>
        <v/>
      </c>
      <c r="V911" s="218">
        <f>SUMIFS(DATA!$L:$L,DATA!$O:$O,$B915,DATA!$N:$N,$A915,DATA!$M:$M,'SALES BY SYSTEM'!$O$3)</f>
        <v>0</v>
      </c>
      <c r="W911" s="168"/>
    </row>
    <row r="912" spans="1:23" ht="15.75" customHeight="1" x14ac:dyDescent="0.25">
      <c r="A912" s="178" t="s">
        <v>2194</v>
      </c>
      <c r="B912" s="178" t="s">
        <v>2184</v>
      </c>
      <c r="C912" s="178" t="str">
        <f>VLOOKUP(A912,CUSTOMER!$A:$C,3,0)</f>
        <v>TNM_AEONTP</v>
      </c>
      <c r="D912" s="178" t="s">
        <v>674</v>
      </c>
      <c r="E912" s="178" t="str">
        <f>VLOOKUP(A916,CUSTOMER!$A$2:$H$1094,5,0)</f>
        <v>VACANCY</v>
      </c>
      <c r="F912" s="178" t="str">
        <f>VLOOKUP(A916,CUSTOMER!$A$2:$I$1094,6,0)</f>
        <v>VACANCY</v>
      </c>
      <c r="G912" s="178" t="s">
        <v>676</v>
      </c>
      <c r="H912" s="179">
        <f t="shared" si="137"/>
        <v>0</v>
      </c>
      <c r="I912" s="180" t="str">
        <f t="shared" si="138"/>
        <v/>
      </c>
      <c r="J912" s="181">
        <f t="shared" si="139"/>
        <v>0</v>
      </c>
      <c r="K912" s="182">
        <v>0</v>
      </c>
      <c r="L912" s="180" t="str">
        <f t="shared" si="140"/>
        <v/>
      </c>
      <c r="M912" s="218">
        <f>SUMIFS(DATA!$L:$L,DATA!$O:$O,$B916,DATA!$N:$N,$A916,DATA!$M:$M,'SALES BY SYSTEM'!$O$1)</f>
        <v>0</v>
      </c>
      <c r="N912" s="182">
        <v>0</v>
      </c>
      <c r="O912" s="180" t="str">
        <f t="shared" si="141"/>
        <v/>
      </c>
      <c r="P912" s="218">
        <f>SUMIFS(DATA!$L:$L,DATA!$O:$O,$B916,DATA!$N:$N,$A916,DATA!$M:$M,'SALES BY SYSTEM'!$O$2)</f>
        <v>0</v>
      </c>
      <c r="Q912" s="182">
        <v>0</v>
      </c>
      <c r="R912" s="180" t="str">
        <f t="shared" si="142"/>
        <v/>
      </c>
      <c r="S912" s="218">
        <f>SUMIFS(DATA!$L:$L,DATA!$O:$O,$B916,DATA!$N:$N,$A916,DATA!$M:$M,'SALES BY SYSTEM'!$O$4)</f>
        <v>0</v>
      </c>
      <c r="T912" s="182">
        <v>0</v>
      </c>
      <c r="U912" s="180" t="str">
        <f t="shared" si="143"/>
        <v/>
      </c>
      <c r="V912" s="218">
        <f>SUMIFS(DATA!$L:$L,DATA!$O:$O,$B916,DATA!$N:$N,$A916,DATA!$M:$M,'SALES BY SYSTEM'!$O$3)</f>
        <v>0</v>
      </c>
      <c r="W912" s="168"/>
    </row>
    <row r="913" spans="1:23" ht="15.75" customHeight="1" x14ac:dyDescent="0.25">
      <c r="A913" s="178" t="s">
        <v>2200</v>
      </c>
      <c r="B913" s="178" t="s">
        <v>2184</v>
      </c>
      <c r="C913" s="178" t="str">
        <f>VLOOKUP(A913,CUSTOMER!$A:$C,3,0)</f>
        <v>TNM_COOPACO</v>
      </c>
      <c r="D913" s="178" t="s">
        <v>674</v>
      </c>
      <c r="E913" s="178" t="str">
        <f>VLOOKUP(A917,CUSTOMER!$A$2:$H$1094,5,0)</f>
        <v>VACANCY</v>
      </c>
      <c r="F913" s="178" t="str">
        <f>VLOOKUP(A917,CUSTOMER!$A$2:$I$1094,6,0)</f>
        <v>VACANCY</v>
      </c>
      <c r="G913" s="178" t="s">
        <v>676</v>
      </c>
      <c r="H913" s="179">
        <f t="shared" si="137"/>
        <v>0</v>
      </c>
      <c r="I913" s="180" t="str">
        <f t="shared" si="138"/>
        <v/>
      </c>
      <c r="J913" s="181">
        <f t="shared" si="139"/>
        <v>0</v>
      </c>
      <c r="K913" s="182">
        <v>0</v>
      </c>
      <c r="L913" s="180" t="str">
        <f t="shared" si="140"/>
        <v/>
      </c>
      <c r="M913" s="218">
        <f>SUMIFS(DATA!$L:$L,DATA!$O:$O,$B917,DATA!$N:$N,$A917,DATA!$M:$M,'SALES BY SYSTEM'!$O$1)</f>
        <v>0</v>
      </c>
      <c r="N913" s="182">
        <v>0</v>
      </c>
      <c r="O913" s="180" t="str">
        <f t="shared" si="141"/>
        <v/>
      </c>
      <c r="P913" s="218">
        <f>SUMIFS(DATA!$L:$L,DATA!$O:$O,$B917,DATA!$N:$N,$A917,DATA!$M:$M,'SALES BY SYSTEM'!$O$2)</f>
        <v>0</v>
      </c>
      <c r="Q913" s="182">
        <v>0</v>
      </c>
      <c r="R913" s="180" t="str">
        <f t="shared" si="142"/>
        <v/>
      </c>
      <c r="S913" s="218">
        <f>SUMIFS(DATA!$L:$L,DATA!$O:$O,$B917,DATA!$N:$N,$A917,DATA!$M:$M,'SALES BY SYSTEM'!$O$4)</f>
        <v>0</v>
      </c>
      <c r="T913" s="182">
        <v>0</v>
      </c>
      <c r="U913" s="180" t="str">
        <f t="shared" si="143"/>
        <v/>
      </c>
      <c r="V913" s="218">
        <f>SUMIFS(DATA!$L:$L,DATA!$O:$O,$B917,DATA!$N:$N,$A917,DATA!$M:$M,'SALES BY SYSTEM'!$O$3)</f>
        <v>0</v>
      </c>
      <c r="W913" s="168"/>
    </row>
    <row r="914" spans="1:23" ht="15.75" customHeight="1" x14ac:dyDescent="0.25">
      <c r="A914" s="178" t="s">
        <v>2212</v>
      </c>
      <c r="B914" s="178" t="s">
        <v>2184</v>
      </c>
      <c r="C914" s="178" t="str">
        <f>VLOOKUP(A914,CUSTOMER!$A:$C,3,0)</f>
        <v>TNM_CRESMALL</v>
      </c>
      <c r="D914" s="178" t="s">
        <v>674</v>
      </c>
      <c r="E914" s="178" t="str">
        <f>VLOOKUP(A918,CUSTOMER!$A$2:$H$1094,5,0)</f>
        <v>VACANCY</v>
      </c>
      <c r="F914" s="178" t="str">
        <f>VLOOKUP(A918,CUSTOMER!$A$2:$I$1094,6,0)</f>
        <v>VACANCY</v>
      </c>
      <c r="G914" s="178" t="s">
        <v>676</v>
      </c>
      <c r="H914" s="179">
        <f t="shared" si="137"/>
        <v>0</v>
      </c>
      <c r="I914" s="180" t="str">
        <f t="shared" si="138"/>
        <v/>
      </c>
      <c r="J914" s="181">
        <f t="shared" si="139"/>
        <v>0</v>
      </c>
      <c r="K914" s="182">
        <v>0</v>
      </c>
      <c r="L914" s="180" t="str">
        <f t="shared" si="140"/>
        <v/>
      </c>
      <c r="M914" s="218">
        <f>SUMIFS(DATA!$L:$L,DATA!$O:$O,$B918,DATA!$N:$N,$A918,DATA!$M:$M,'SALES BY SYSTEM'!$O$1)</f>
        <v>0</v>
      </c>
      <c r="N914" s="182">
        <v>0</v>
      </c>
      <c r="O914" s="180" t="str">
        <f t="shared" si="141"/>
        <v/>
      </c>
      <c r="P914" s="218">
        <f>SUMIFS(DATA!$L:$L,DATA!$O:$O,$B918,DATA!$N:$N,$A918,DATA!$M:$M,'SALES BY SYSTEM'!$O$2)</f>
        <v>0</v>
      </c>
      <c r="Q914" s="182">
        <v>0</v>
      </c>
      <c r="R914" s="180" t="str">
        <f t="shared" si="142"/>
        <v/>
      </c>
      <c r="S914" s="218">
        <f>SUMIFS(DATA!$L:$L,DATA!$O:$O,$B918,DATA!$N:$N,$A918,DATA!$M:$M,'SALES BY SYSTEM'!$O$4)</f>
        <v>0</v>
      </c>
      <c r="T914" s="182">
        <v>0</v>
      </c>
      <c r="U914" s="180" t="str">
        <f t="shared" si="143"/>
        <v/>
      </c>
      <c r="V914" s="218">
        <f>SUMIFS(DATA!$L:$L,DATA!$O:$O,$B918,DATA!$N:$N,$A918,DATA!$M:$M,'SALES BY SYSTEM'!$O$3)</f>
        <v>0</v>
      </c>
      <c r="W914" s="168"/>
    </row>
    <row r="915" spans="1:23" ht="15.75" customHeight="1" x14ac:dyDescent="0.25">
      <c r="A915" s="178" t="s">
        <v>2214</v>
      </c>
      <c r="B915" s="178" t="s">
        <v>2184</v>
      </c>
      <c r="C915" s="178" t="str">
        <f>VLOOKUP(A915,CUSTOMER!$A:$C,3,0)</f>
        <v>TNM_VTAU</v>
      </c>
      <c r="D915" s="178" t="s">
        <v>674</v>
      </c>
      <c r="E915" s="178" t="str">
        <f>VLOOKUP(A919,CUSTOMER!$A$2:$H$1094,5,0)</f>
        <v>VACANCY</v>
      </c>
      <c r="F915" s="178" t="str">
        <f>VLOOKUP(A919,CUSTOMER!$A$2:$I$1094,6,0)</f>
        <v>VACANCY</v>
      </c>
      <c r="G915" s="178" t="s">
        <v>676</v>
      </c>
      <c r="H915" s="179">
        <f t="shared" si="137"/>
        <v>0</v>
      </c>
      <c r="I915" s="180" t="str">
        <f t="shared" si="138"/>
        <v/>
      </c>
      <c r="J915" s="181">
        <f t="shared" si="139"/>
        <v>0</v>
      </c>
      <c r="K915" s="182">
        <v>0</v>
      </c>
      <c r="L915" s="180" t="str">
        <f t="shared" si="140"/>
        <v/>
      </c>
      <c r="M915" s="218">
        <f>SUMIFS(DATA!$L:$L,DATA!$O:$O,$B919,DATA!$N:$N,$A919,DATA!$M:$M,'SALES BY SYSTEM'!$O$1)</f>
        <v>0</v>
      </c>
      <c r="N915" s="182">
        <v>0</v>
      </c>
      <c r="O915" s="180" t="str">
        <f t="shared" si="141"/>
        <v/>
      </c>
      <c r="P915" s="218">
        <f>SUMIFS(DATA!$L:$L,DATA!$O:$O,$B919,DATA!$N:$N,$A919,DATA!$M:$M,'SALES BY SYSTEM'!$O$2)</f>
        <v>0</v>
      </c>
      <c r="Q915" s="182">
        <v>0</v>
      </c>
      <c r="R915" s="180" t="str">
        <f t="shared" si="142"/>
        <v/>
      </c>
      <c r="S915" s="218">
        <f>SUMIFS(DATA!$L:$L,DATA!$O:$O,$B919,DATA!$N:$N,$A919,DATA!$M:$M,'SALES BY SYSTEM'!$O$4)</f>
        <v>0</v>
      </c>
      <c r="T915" s="182">
        <v>0</v>
      </c>
      <c r="U915" s="180" t="str">
        <f t="shared" si="143"/>
        <v/>
      </c>
      <c r="V915" s="218">
        <f>SUMIFS(DATA!$L:$L,DATA!$O:$O,$B919,DATA!$N:$N,$A919,DATA!$M:$M,'SALES BY SYSTEM'!$O$3)</f>
        <v>0</v>
      </c>
      <c r="W915" s="168"/>
    </row>
    <row r="916" spans="1:23" ht="15.75" customHeight="1" x14ac:dyDescent="0.25">
      <c r="A916" s="178" t="s">
        <v>2216</v>
      </c>
      <c r="B916" s="178" t="s">
        <v>2184</v>
      </c>
      <c r="C916" s="178" t="str">
        <f>VLOOKUP(A916,CUSTOMER!$A:$C,3,0)</f>
        <v>TNM_ESTELLA</v>
      </c>
      <c r="D916" s="178" t="s">
        <v>674</v>
      </c>
      <c r="E916" s="178" t="str">
        <f>VLOOKUP(A920,CUSTOMER!$A$2:$H$1094,5,0)</f>
        <v>VACANCY</v>
      </c>
      <c r="F916" s="178" t="str">
        <f>VLOOKUP(A920,CUSTOMER!$A$2:$I$1094,6,0)</f>
        <v>VACANCY</v>
      </c>
      <c r="G916" s="178" t="s">
        <v>676</v>
      </c>
      <c r="H916" s="179">
        <f t="shared" si="137"/>
        <v>0</v>
      </c>
      <c r="I916" s="180" t="str">
        <f t="shared" si="138"/>
        <v/>
      </c>
      <c r="J916" s="181">
        <f t="shared" si="139"/>
        <v>0</v>
      </c>
      <c r="K916" s="182">
        <v>0</v>
      </c>
      <c r="L916" s="180" t="str">
        <f t="shared" si="140"/>
        <v/>
      </c>
      <c r="M916" s="218">
        <f>SUMIFS(DATA!$L:$L,DATA!$O:$O,$B920,DATA!$N:$N,$A920,DATA!$M:$M,'SALES BY SYSTEM'!$O$1)</f>
        <v>0</v>
      </c>
      <c r="N916" s="182">
        <v>0</v>
      </c>
      <c r="O916" s="180" t="str">
        <f t="shared" si="141"/>
        <v/>
      </c>
      <c r="P916" s="218">
        <f>SUMIFS(DATA!$L:$L,DATA!$O:$O,$B920,DATA!$N:$N,$A920,DATA!$M:$M,'SALES BY SYSTEM'!$O$2)</f>
        <v>0</v>
      </c>
      <c r="Q916" s="182">
        <v>0</v>
      </c>
      <c r="R916" s="180" t="str">
        <f t="shared" si="142"/>
        <v/>
      </c>
      <c r="S916" s="218">
        <f>SUMIFS(DATA!$L:$L,DATA!$O:$O,$B920,DATA!$N:$N,$A920,DATA!$M:$M,'SALES BY SYSTEM'!$O$4)</f>
        <v>0</v>
      </c>
      <c r="T916" s="182">
        <v>0</v>
      </c>
      <c r="U916" s="180" t="str">
        <f t="shared" si="143"/>
        <v/>
      </c>
      <c r="V916" s="218">
        <f>SUMIFS(DATA!$L:$L,DATA!$O:$O,$B920,DATA!$N:$N,$A920,DATA!$M:$M,'SALES BY SYSTEM'!$O$3)</f>
        <v>0</v>
      </c>
      <c r="W916" s="168"/>
    </row>
    <row r="917" spans="1:23" ht="15.75" customHeight="1" x14ac:dyDescent="0.25">
      <c r="A917" s="178" t="s">
        <v>2218</v>
      </c>
      <c r="B917" s="178" t="s">
        <v>2184</v>
      </c>
      <c r="C917" s="178" t="str">
        <f>VLOOKUP(A917,CUSTOMER!$A:$C,3,0)</f>
        <v>TNM_GIGA</v>
      </c>
      <c r="D917" s="178" t="s">
        <v>674</v>
      </c>
      <c r="E917" s="178" t="str">
        <f>VLOOKUP(A921,CUSTOMER!$A$2:$H$1094,5,0)</f>
        <v>VACANCY</v>
      </c>
      <c r="F917" s="178" t="str">
        <f>VLOOKUP(A921,CUSTOMER!$A$2:$I$1094,6,0)</f>
        <v>VACANCY</v>
      </c>
      <c r="G917" s="178" t="s">
        <v>676</v>
      </c>
      <c r="H917" s="179">
        <f t="shared" si="137"/>
        <v>0</v>
      </c>
      <c r="I917" s="180" t="str">
        <f t="shared" si="138"/>
        <v/>
      </c>
      <c r="J917" s="181">
        <f t="shared" si="139"/>
        <v>0</v>
      </c>
      <c r="K917" s="182">
        <v>0</v>
      </c>
      <c r="L917" s="180" t="str">
        <f t="shared" si="140"/>
        <v/>
      </c>
      <c r="M917" s="218">
        <f>SUMIFS(DATA!$L:$L,DATA!$O:$O,$B921,DATA!$N:$N,$A921,DATA!$M:$M,'SALES BY SYSTEM'!$O$1)</f>
        <v>0</v>
      </c>
      <c r="N917" s="182">
        <v>0</v>
      </c>
      <c r="O917" s="180" t="str">
        <f t="shared" si="141"/>
        <v/>
      </c>
      <c r="P917" s="218">
        <f>SUMIFS(DATA!$L:$L,DATA!$O:$O,$B921,DATA!$N:$N,$A921,DATA!$M:$M,'SALES BY SYSTEM'!$O$2)</f>
        <v>0</v>
      </c>
      <c r="Q917" s="182">
        <v>0</v>
      </c>
      <c r="R917" s="180" t="str">
        <f t="shared" si="142"/>
        <v/>
      </c>
      <c r="S917" s="218">
        <f>SUMIFS(DATA!$L:$L,DATA!$O:$O,$B921,DATA!$N:$N,$A921,DATA!$M:$M,'SALES BY SYSTEM'!$O$4)</f>
        <v>0</v>
      </c>
      <c r="T917" s="182">
        <v>0</v>
      </c>
      <c r="U917" s="180" t="str">
        <f t="shared" si="143"/>
        <v/>
      </c>
      <c r="V917" s="218">
        <f>SUMIFS(DATA!$L:$L,DATA!$O:$O,$B921,DATA!$N:$N,$A921,DATA!$M:$M,'SALES BY SYSTEM'!$O$3)</f>
        <v>0</v>
      </c>
      <c r="W917" s="168"/>
    </row>
    <row r="918" spans="1:23" ht="15.75" customHeight="1" x14ac:dyDescent="0.25">
      <c r="A918" s="178" t="s">
        <v>2220</v>
      </c>
      <c r="B918" s="178" t="s">
        <v>2184</v>
      </c>
      <c r="C918" s="178" t="str">
        <f>VLOOKUP(A918,CUSTOMER!$A:$C,3,0)</f>
        <v>TNM_THUYKHE</v>
      </c>
      <c r="D918" s="178" t="s">
        <v>674</v>
      </c>
      <c r="E918" s="178" t="str">
        <f>VLOOKUP(A922,CUSTOMER!$A$2:$H$1094,5,0)</f>
        <v>VACANCY</v>
      </c>
      <c r="F918" s="178" t="str">
        <f>VLOOKUP(A922,CUSTOMER!$A$2:$I$1094,6,0)</f>
        <v>"NO SALE"</v>
      </c>
      <c r="G918" s="178" t="s">
        <v>676</v>
      </c>
      <c r="H918" s="179">
        <f t="shared" si="137"/>
        <v>0</v>
      </c>
      <c r="I918" s="180" t="str">
        <f t="shared" si="138"/>
        <v/>
      </c>
      <c r="J918" s="181">
        <f t="shared" si="139"/>
        <v>0</v>
      </c>
      <c r="K918" s="182">
        <v>0</v>
      </c>
      <c r="L918" s="180" t="str">
        <f t="shared" si="140"/>
        <v/>
      </c>
      <c r="M918" s="218">
        <f>SUMIFS(DATA!$L:$L,DATA!$O:$O,$B922,DATA!$N:$N,$A922,DATA!$M:$M,'SALES BY SYSTEM'!$O$1)</f>
        <v>0</v>
      </c>
      <c r="N918" s="182">
        <v>0</v>
      </c>
      <c r="O918" s="180" t="str">
        <f t="shared" si="141"/>
        <v/>
      </c>
      <c r="P918" s="218">
        <f>SUMIFS(DATA!$L:$L,DATA!$O:$O,$B922,DATA!$N:$N,$A922,DATA!$M:$M,'SALES BY SYSTEM'!$O$2)</f>
        <v>0</v>
      </c>
      <c r="Q918" s="182">
        <v>0</v>
      </c>
      <c r="R918" s="180" t="str">
        <f t="shared" si="142"/>
        <v/>
      </c>
      <c r="S918" s="218">
        <f>SUMIFS(DATA!$L:$L,DATA!$O:$O,$B922,DATA!$N:$N,$A922,DATA!$M:$M,'SALES BY SYSTEM'!$O$4)</f>
        <v>0</v>
      </c>
      <c r="T918" s="182">
        <v>0</v>
      </c>
      <c r="U918" s="180" t="str">
        <f t="shared" si="143"/>
        <v/>
      </c>
      <c r="V918" s="218">
        <f>SUMIFS(DATA!$L:$L,DATA!$O:$O,$B922,DATA!$N:$N,$A922,DATA!$M:$M,'SALES BY SYSTEM'!$O$3)</f>
        <v>0</v>
      </c>
      <c r="W918" s="168"/>
    </row>
    <row r="919" spans="1:23" ht="15.75" customHeight="1" x14ac:dyDescent="0.25">
      <c r="A919" s="178" t="s">
        <v>2224</v>
      </c>
      <c r="B919" s="178" t="s">
        <v>2184</v>
      </c>
      <c r="C919" s="178" t="str">
        <f>VLOOKUP(A919,CUSTOMER!$A:$C,3,0)</f>
        <v>TNM_IPH</v>
      </c>
      <c r="D919" s="178" t="s">
        <v>674</v>
      </c>
      <c r="E919" s="178" t="str">
        <f>VLOOKUP(A923,CUSTOMER!$A$2:$H$1094,5,0)</f>
        <v>VACANCY</v>
      </c>
      <c r="F919" s="178" t="str">
        <f>VLOOKUP(A923,CUSTOMER!$A$2:$I$1094,6,0)</f>
        <v>VACANCY</v>
      </c>
      <c r="G919" s="178" t="s">
        <v>676</v>
      </c>
      <c r="H919" s="179">
        <f t="shared" si="137"/>
        <v>0</v>
      </c>
      <c r="I919" s="180" t="str">
        <f t="shared" si="138"/>
        <v/>
      </c>
      <c r="J919" s="181">
        <f t="shared" si="139"/>
        <v>0</v>
      </c>
      <c r="K919" s="182">
        <v>0</v>
      </c>
      <c r="L919" s="180" t="str">
        <f t="shared" si="140"/>
        <v/>
      </c>
      <c r="M919" s="218">
        <f>SUMIFS(DATA!$L:$L,DATA!$O:$O,$B923,DATA!$N:$N,$A923,DATA!$M:$M,'SALES BY SYSTEM'!$O$1)</f>
        <v>0</v>
      </c>
      <c r="N919" s="182">
        <v>0</v>
      </c>
      <c r="O919" s="180" t="str">
        <f t="shared" si="141"/>
        <v/>
      </c>
      <c r="P919" s="218">
        <f>SUMIFS(DATA!$L:$L,DATA!$O:$O,$B923,DATA!$N:$N,$A923,DATA!$M:$M,'SALES BY SYSTEM'!$O$2)</f>
        <v>0</v>
      </c>
      <c r="Q919" s="182">
        <v>0</v>
      </c>
      <c r="R919" s="180" t="str">
        <f t="shared" si="142"/>
        <v/>
      </c>
      <c r="S919" s="218">
        <f>SUMIFS(DATA!$L:$L,DATA!$O:$O,$B923,DATA!$N:$N,$A923,DATA!$M:$M,'SALES BY SYSTEM'!$O$4)</f>
        <v>0</v>
      </c>
      <c r="T919" s="182">
        <v>0</v>
      </c>
      <c r="U919" s="180" t="str">
        <f t="shared" si="143"/>
        <v/>
      </c>
      <c r="V919" s="218">
        <f>SUMIFS(DATA!$L:$L,DATA!$O:$O,$B923,DATA!$N:$N,$A923,DATA!$M:$M,'SALES BY SYSTEM'!$O$3)</f>
        <v>0</v>
      </c>
      <c r="W919" s="168"/>
    </row>
    <row r="920" spans="1:23" ht="15.75" customHeight="1" x14ac:dyDescent="0.25">
      <c r="A920" s="178" t="s">
        <v>2227</v>
      </c>
      <c r="B920" s="178" t="s">
        <v>2184</v>
      </c>
      <c r="C920" s="178" t="str">
        <f>VLOOKUP(A920,CUSTOMER!$A:$C,3,0)</f>
        <v>TNM_LAND81</v>
      </c>
      <c r="D920" s="178" t="s">
        <v>674</v>
      </c>
      <c r="E920" s="178" t="str">
        <f>VLOOKUP(A924,CUSTOMER!$A$2:$H$1094,5,0)</f>
        <v>VACANCY</v>
      </c>
      <c r="F920" s="178" t="str">
        <f>VLOOKUP(A924,CUSTOMER!$A$2:$I$1094,6,0)</f>
        <v>VACANCY</v>
      </c>
      <c r="G920" s="178" t="s">
        <v>676</v>
      </c>
      <c r="H920" s="179">
        <f t="shared" si="137"/>
        <v>0</v>
      </c>
      <c r="I920" s="180" t="str">
        <f t="shared" si="138"/>
        <v/>
      </c>
      <c r="J920" s="181">
        <f t="shared" si="139"/>
        <v>0</v>
      </c>
      <c r="K920" s="182">
        <v>0</v>
      </c>
      <c r="L920" s="180" t="str">
        <f t="shared" ref="L920:L943" si="144">IFERROR(M924/K924,"")</f>
        <v/>
      </c>
      <c r="M920" s="218">
        <f>SUMIFS(DATA!$L:$L,DATA!$O:$O,$B924,DATA!$N:$N,$A924,DATA!$M:$M,'SALES BY SYSTEM'!$O$1)</f>
        <v>0</v>
      </c>
      <c r="N920" s="182">
        <v>0</v>
      </c>
      <c r="O920" s="180" t="str">
        <f t="shared" ref="O920:O943" si="145">IFERROR(P924/N924,"")</f>
        <v/>
      </c>
      <c r="P920" s="218">
        <f>SUMIFS(DATA!$L:$L,DATA!$O:$O,$B924,DATA!$N:$N,$A924,DATA!$M:$M,'SALES BY SYSTEM'!$O$2)</f>
        <v>0</v>
      </c>
      <c r="Q920" s="182">
        <v>0</v>
      </c>
      <c r="R920" s="180" t="str">
        <f t="shared" ref="R920:R943" si="146">IFERROR(S924/Q924,"")</f>
        <v/>
      </c>
      <c r="S920" s="218">
        <f>SUMIFS(DATA!$L:$L,DATA!$O:$O,$B924,DATA!$N:$N,$A924,DATA!$M:$M,'SALES BY SYSTEM'!$O$4)</f>
        <v>0</v>
      </c>
      <c r="T920" s="182">
        <v>0</v>
      </c>
      <c r="U920" s="180" t="str">
        <f t="shared" ref="U920:U943" si="147">IFERROR(V924/T924,"")</f>
        <v/>
      </c>
      <c r="V920" s="218">
        <f>SUMIFS(DATA!$L:$L,DATA!$O:$O,$B924,DATA!$N:$N,$A924,DATA!$M:$M,'SALES BY SYSTEM'!$O$3)</f>
        <v>0</v>
      </c>
      <c r="W920" s="168"/>
    </row>
    <row r="921" spans="1:23" ht="15.75" customHeight="1" x14ac:dyDescent="0.25">
      <c r="A921" s="178" t="s">
        <v>2229</v>
      </c>
      <c r="B921" s="178" t="s">
        <v>2184</v>
      </c>
      <c r="C921" s="178" t="str">
        <f>VLOOKUP(A921,CUSTOMER!$A:$C,3,0)</f>
        <v>TNM_XDIEU</v>
      </c>
      <c r="D921" s="178" t="s">
        <v>674</v>
      </c>
      <c r="E921" s="178" t="str">
        <f>VLOOKUP(A925,CUSTOMER!$A$2:$H$1094,5,0)</f>
        <v>VACANCY</v>
      </c>
      <c r="F921" s="178" t="str">
        <f>VLOOKUP(A925,CUSTOMER!$A$2:$I$1094,6,0)</f>
        <v>VACANCY</v>
      </c>
      <c r="G921" s="178" t="s">
        <v>676</v>
      </c>
      <c r="H921" s="179">
        <f t="shared" si="137"/>
        <v>0</v>
      </c>
      <c r="I921" s="180" t="str">
        <f t="shared" si="138"/>
        <v/>
      </c>
      <c r="J921" s="181">
        <f t="shared" si="139"/>
        <v>0</v>
      </c>
      <c r="K921" s="182">
        <v>0</v>
      </c>
      <c r="L921" s="180" t="str">
        <f t="shared" si="144"/>
        <v/>
      </c>
      <c r="M921" s="218">
        <f>SUMIFS(DATA!$L:$L,DATA!$O:$O,$B925,DATA!$N:$N,$A925,DATA!$M:$M,'SALES BY SYSTEM'!$O$1)</f>
        <v>0</v>
      </c>
      <c r="N921" s="182">
        <v>0</v>
      </c>
      <c r="O921" s="180" t="str">
        <f t="shared" si="145"/>
        <v/>
      </c>
      <c r="P921" s="218">
        <f>SUMIFS(DATA!$L:$L,DATA!$O:$O,$B925,DATA!$N:$N,$A925,DATA!$M:$M,'SALES BY SYSTEM'!$O$2)</f>
        <v>0</v>
      </c>
      <c r="Q921" s="182">
        <v>0</v>
      </c>
      <c r="R921" s="180" t="str">
        <f t="shared" si="146"/>
        <v/>
      </c>
      <c r="S921" s="218">
        <f>SUMIFS(DATA!$L:$L,DATA!$O:$O,$B925,DATA!$N:$N,$A925,DATA!$M:$M,'SALES BY SYSTEM'!$O$4)</f>
        <v>0</v>
      </c>
      <c r="T921" s="182">
        <v>0</v>
      </c>
      <c r="U921" s="180" t="str">
        <f t="shared" si="147"/>
        <v/>
      </c>
      <c r="V921" s="218">
        <f>SUMIFS(DATA!$L:$L,DATA!$O:$O,$B925,DATA!$N:$N,$A925,DATA!$M:$M,'SALES BY SYSTEM'!$O$3)</f>
        <v>0</v>
      </c>
      <c r="W921" s="168"/>
    </row>
    <row r="922" spans="1:23" ht="15.75" customHeight="1" x14ac:dyDescent="0.25">
      <c r="A922" s="178" t="s">
        <v>2231</v>
      </c>
      <c r="B922" s="178" t="s">
        <v>2184</v>
      </c>
      <c r="C922" s="178" t="str">
        <f>VLOOKUP(A922,CUSTOMER!$A:$C,3,0)</f>
        <v>TNM_LOTTECT</v>
      </c>
      <c r="D922" s="178" t="s">
        <v>674</v>
      </c>
      <c r="E922" s="178" t="str">
        <f>VLOOKUP(A926,CUSTOMER!$A$2:$H$1094,5,0)</f>
        <v>VACANCY</v>
      </c>
      <c r="F922" s="178" t="str">
        <f>VLOOKUP(A926,CUSTOMER!$A$2:$I$1094,6,0)</f>
        <v>VACANCY</v>
      </c>
      <c r="G922" s="178" t="s">
        <v>676</v>
      </c>
      <c r="H922" s="179">
        <f t="shared" si="137"/>
        <v>0</v>
      </c>
      <c r="I922" s="180" t="str">
        <f t="shared" si="138"/>
        <v/>
      </c>
      <c r="J922" s="181">
        <f t="shared" si="139"/>
        <v>0</v>
      </c>
      <c r="K922" s="182">
        <v>0</v>
      </c>
      <c r="L922" s="180" t="str">
        <f t="shared" si="144"/>
        <v/>
      </c>
      <c r="M922" s="218">
        <f>SUMIFS(DATA!$L:$L,DATA!$O:$O,$B926,DATA!$N:$N,$A926,DATA!$M:$M,'SALES BY SYSTEM'!$O$1)</f>
        <v>0</v>
      </c>
      <c r="N922" s="182">
        <v>0</v>
      </c>
      <c r="O922" s="180" t="str">
        <f t="shared" si="145"/>
        <v/>
      </c>
      <c r="P922" s="218">
        <f>SUMIFS(DATA!$L:$L,DATA!$O:$O,$B926,DATA!$N:$N,$A926,DATA!$M:$M,'SALES BY SYSTEM'!$O$2)</f>
        <v>0</v>
      </c>
      <c r="Q922" s="182">
        <v>0</v>
      </c>
      <c r="R922" s="180" t="str">
        <f t="shared" si="146"/>
        <v/>
      </c>
      <c r="S922" s="218">
        <f>SUMIFS(DATA!$L:$L,DATA!$O:$O,$B926,DATA!$N:$N,$A926,DATA!$M:$M,'SALES BY SYSTEM'!$O$4)</f>
        <v>0</v>
      </c>
      <c r="T922" s="182">
        <v>0</v>
      </c>
      <c r="U922" s="180" t="str">
        <f t="shared" si="147"/>
        <v/>
      </c>
      <c r="V922" s="218">
        <f>SUMIFS(DATA!$L:$L,DATA!$O:$O,$B926,DATA!$N:$N,$A926,DATA!$M:$M,'SALES BY SYSTEM'!$O$3)</f>
        <v>0</v>
      </c>
      <c r="W922" s="168"/>
    </row>
    <row r="923" spans="1:23" ht="15.75" customHeight="1" x14ac:dyDescent="0.25">
      <c r="A923" s="178" t="s">
        <v>2183</v>
      </c>
      <c r="B923" s="178" t="s">
        <v>2184</v>
      </c>
      <c r="C923" s="178" t="str">
        <f>VLOOKUP(A923,CUSTOMER!$A:$C,3,0)</f>
        <v>TNM_LTK</v>
      </c>
      <c r="D923" s="178" t="s">
        <v>674</v>
      </c>
      <c r="E923" s="178" t="str">
        <f>VLOOKUP(A927,CUSTOMER!$A$2:$H$1094,5,0)</f>
        <v>VACANCY</v>
      </c>
      <c r="F923" s="178" t="str">
        <f>VLOOKUP(A927,CUSTOMER!$A$2:$I$1094,6,0)</f>
        <v>VACANCY</v>
      </c>
      <c r="G923" s="178" t="str">
        <f>VLOOKUP(A927,CUSTOMER!$A$1:$J$1160,7,0)</f>
        <v>"NO PG"</v>
      </c>
      <c r="H923" s="179">
        <f t="shared" ref="H923:H981" si="148">SUM(K923,N923,Q923,T923)</f>
        <v>0</v>
      </c>
      <c r="I923" s="180" t="str">
        <f t="shared" ref="I923:I981" si="149">IFERROR(J923/H923,"")</f>
        <v/>
      </c>
      <c r="J923" s="181">
        <f t="shared" ref="J923:J980" si="150">SUM(M923,P923,S923,V923)</f>
        <v>0</v>
      </c>
      <c r="K923" s="182">
        <v>0</v>
      </c>
      <c r="L923" s="180" t="str">
        <f t="shared" si="144"/>
        <v/>
      </c>
      <c r="M923" s="218">
        <f>SUMIFS(DATA!$L:$L,DATA!$O:$O,$B927,DATA!$N:$N,$A927,DATA!$M:$M,'SALES BY SYSTEM'!$O$1)</f>
        <v>0</v>
      </c>
      <c r="N923" s="182">
        <v>0</v>
      </c>
      <c r="O923" s="180" t="str">
        <f t="shared" si="145"/>
        <v/>
      </c>
      <c r="P923" s="218">
        <f>SUMIFS(DATA!$L:$L,DATA!$O:$O,$B927,DATA!$N:$N,$A927,DATA!$M:$M,'SALES BY SYSTEM'!$O$2)</f>
        <v>0</v>
      </c>
      <c r="Q923" s="182">
        <v>0</v>
      </c>
      <c r="R923" s="180" t="str">
        <f t="shared" si="146"/>
        <v/>
      </c>
      <c r="S923" s="218">
        <f>SUMIFS(DATA!$L:$L,DATA!$O:$O,$B927,DATA!$N:$N,$A927,DATA!$M:$M,'SALES BY SYSTEM'!$O$4)</f>
        <v>0</v>
      </c>
      <c r="T923" s="182">
        <v>0</v>
      </c>
      <c r="U923" s="180" t="str">
        <f t="shared" si="147"/>
        <v/>
      </c>
      <c r="V923" s="218">
        <f>SUMIFS(DATA!$L:$L,DATA!$O:$O,$B927,DATA!$N:$N,$A927,DATA!$M:$M,'SALES BY SYSTEM'!$O$3)</f>
        <v>0</v>
      </c>
      <c r="W923" s="168"/>
    </row>
    <row r="924" spans="1:23" ht="15.75" customHeight="1" x14ac:dyDescent="0.25">
      <c r="A924" s="178" t="s">
        <v>2237</v>
      </c>
      <c r="B924" s="178" t="s">
        <v>2184</v>
      </c>
      <c r="C924" s="178" t="str">
        <f>VLOOKUP(A924,CUSTOMER!$A:$C,3,0)</f>
        <v>TNM_NOWZONE</v>
      </c>
      <c r="D924" s="178" t="s">
        <v>674</v>
      </c>
      <c r="E924" s="178" t="str">
        <f>VLOOKUP(A928,CUSTOMER!$A$2:$H$1094,5,0)</f>
        <v>VACANCY</v>
      </c>
      <c r="F924" s="178" t="str">
        <f>VLOOKUP(A928,CUSTOMER!$A$2:$I$1094,6,0)</f>
        <v>VACANCY</v>
      </c>
      <c r="G924" s="178" t="s">
        <v>676</v>
      </c>
      <c r="H924" s="179">
        <f t="shared" si="148"/>
        <v>0</v>
      </c>
      <c r="I924" s="180" t="str">
        <f t="shared" si="149"/>
        <v/>
      </c>
      <c r="J924" s="181">
        <f t="shared" si="150"/>
        <v>0</v>
      </c>
      <c r="K924" s="182">
        <v>0</v>
      </c>
      <c r="L924" s="180" t="str">
        <f t="shared" si="144"/>
        <v/>
      </c>
      <c r="M924" s="218">
        <f>SUMIFS(DATA!$L:$L,DATA!$O:$O,$B928,DATA!$N:$N,$A928,DATA!$M:$M,'SALES BY SYSTEM'!$O$1)</f>
        <v>0</v>
      </c>
      <c r="N924" s="182">
        <v>0</v>
      </c>
      <c r="O924" s="180" t="str">
        <f t="shared" si="145"/>
        <v/>
      </c>
      <c r="P924" s="218">
        <f>SUMIFS(DATA!$L:$L,DATA!$O:$O,$B928,DATA!$N:$N,$A928,DATA!$M:$M,'SALES BY SYSTEM'!$O$2)</f>
        <v>0</v>
      </c>
      <c r="Q924" s="182">
        <v>0</v>
      </c>
      <c r="R924" s="180" t="str">
        <f t="shared" si="146"/>
        <v/>
      </c>
      <c r="S924" s="218">
        <f>SUMIFS(DATA!$L:$L,DATA!$O:$O,$B928,DATA!$N:$N,$A928,DATA!$M:$M,'SALES BY SYSTEM'!$O$4)</f>
        <v>0</v>
      </c>
      <c r="T924" s="182">
        <v>0</v>
      </c>
      <c r="U924" s="180" t="str">
        <f t="shared" si="147"/>
        <v/>
      </c>
      <c r="V924" s="218">
        <f>SUMIFS(DATA!$L:$L,DATA!$O:$O,$B928,DATA!$N:$N,$A928,DATA!$M:$M,'SALES BY SYSTEM'!$O$3)</f>
        <v>0</v>
      </c>
      <c r="W924" s="168"/>
    </row>
    <row r="925" spans="1:23" ht="15.75" customHeight="1" x14ac:dyDescent="0.25">
      <c r="A925" s="178" t="s">
        <v>2243</v>
      </c>
      <c r="B925" s="178" t="s">
        <v>2184</v>
      </c>
      <c r="C925" s="178" t="str">
        <f>VLOOKUP(A925,CUSTOMER!$A:$C,3,0)</f>
        <v>TNM_CENTERLL</v>
      </c>
      <c r="D925" s="178" t="s">
        <v>674</v>
      </c>
      <c r="E925" s="178" t="str">
        <f>VLOOKUP(A929,CUSTOMER!$A$2:$H$1094,5,0)</f>
        <v>VACANCY</v>
      </c>
      <c r="F925" s="178" t="str">
        <f>VLOOKUP(A929,CUSTOMER!$A$2:$I$1094,6,0)</f>
        <v>VACANCY</v>
      </c>
      <c r="G925" s="178" t="s">
        <v>676</v>
      </c>
      <c r="H925" s="179">
        <f t="shared" si="148"/>
        <v>0</v>
      </c>
      <c r="I925" s="180" t="str">
        <f t="shared" si="149"/>
        <v/>
      </c>
      <c r="J925" s="181">
        <f t="shared" si="150"/>
        <v>0</v>
      </c>
      <c r="K925" s="182">
        <v>0</v>
      </c>
      <c r="L925" s="180" t="str">
        <f t="shared" si="144"/>
        <v/>
      </c>
      <c r="M925" s="218">
        <f>SUMIFS(DATA!$L:$L,DATA!$O:$O,$B929,DATA!$N:$N,$A929,DATA!$M:$M,'SALES BY SYSTEM'!$O$1)</f>
        <v>0</v>
      </c>
      <c r="N925" s="182">
        <v>0</v>
      </c>
      <c r="O925" s="180" t="str">
        <f t="shared" si="145"/>
        <v/>
      </c>
      <c r="P925" s="218">
        <f>SUMIFS(DATA!$L:$L,DATA!$O:$O,$B929,DATA!$N:$N,$A929,DATA!$M:$M,'SALES BY SYSTEM'!$O$2)</f>
        <v>0</v>
      </c>
      <c r="Q925" s="182">
        <v>0</v>
      </c>
      <c r="R925" s="180" t="str">
        <f t="shared" si="146"/>
        <v/>
      </c>
      <c r="S925" s="218">
        <f>SUMIFS(DATA!$L:$L,DATA!$O:$O,$B929,DATA!$N:$N,$A929,DATA!$M:$M,'SALES BY SYSTEM'!$O$4)</f>
        <v>0</v>
      </c>
      <c r="T925" s="182">
        <v>0</v>
      </c>
      <c r="U925" s="180" t="str">
        <f t="shared" si="147"/>
        <v/>
      </c>
      <c r="V925" s="218">
        <f>SUMIFS(DATA!$L:$L,DATA!$O:$O,$B929,DATA!$N:$N,$A929,DATA!$M:$M,'SALES BY SYSTEM'!$O$3)</f>
        <v>0</v>
      </c>
      <c r="W925" s="168"/>
    </row>
    <row r="926" spans="1:23" ht="15.75" customHeight="1" x14ac:dyDescent="0.25">
      <c r="A926" s="178" t="s">
        <v>2246</v>
      </c>
      <c r="B926" s="178" t="s">
        <v>2184</v>
      </c>
      <c r="C926" s="178" t="str">
        <f>VLOOKUP(A926,CUSTOMER!$A:$C,3,0)</f>
        <v>TNM_SATRAPH</v>
      </c>
      <c r="D926" s="178" t="s">
        <v>674</v>
      </c>
      <c r="E926" s="178" t="str">
        <f>VLOOKUP(A930,CUSTOMER!$A$2:$H$1094,5,0)</f>
        <v>VACANCY</v>
      </c>
      <c r="F926" s="178" t="str">
        <f>VLOOKUP(A930,CUSTOMER!$A$2:$I$1094,6,0)</f>
        <v>VACANCY</v>
      </c>
      <c r="G926" s="178" t="s">
        <v>676</v>
      </c>
      <c r="H926" s="179">
        <f t="shared" si="148"/>
        <v>0</v>
      </c>
      <c r="I926" s="180" t="str">
        <f t="shared" si="149"/>
        <v/>
      </c>
      <c r="J926" s="181">
        <f t="shared" si="150"/>
        <v>0</v>
      </c>
      <c r="K926" s="182">
        <v>0</v>
      </c>
      <c r="L926" s="180" t="str">
        <f t="shared" si="144"/>
        <v/>
      </c>
      <c r="M926" s="218">
        <f>SUMIFS(DATA!$L:$L,DATA!$O:$O,$B930,DATA!$N:$N,$A930,DATA!$M:$M,'SALES BY SYSTEM'!$O$1)</f>
        <v>0</v>
      </c>
      <c r="N926" s="182">
        <v>0</v>
      </c>
      <c r="O926" s="180" t="str">
        <f t="shared" si="145"/>
        <v/>
      </c>
      <c r="P926" s="218">
        <f>SUMIFS(DATA!$L:$L,DATA!$O:$O,$B930,DATA!$N:$N,$A930,DATA!$M:$M,'SALES BY SYSTEM'!$O$2)</f>
        <v>0</v>
      </c>
      <c r="Q926" s="182">
        <v>0</v>
      </c>
      <c r="R926" s="180" t="str">
        <f t="shared" si="146"/>
        <v/>
      </c>
      <c r="S926" s="218">
        <f>SUMIFS(DATA!$L:$L,DATA!$O:$O,$B930,DATA!$N:$N,$A930,DATA!$M:$M,'SALES BY SYSTEM'!$O$4)</f>
        <v>0</v>
      </c>
      <c r="T926" s="182">
        <v>0</v>
      </c>
      <c r="U926" s="180" t="str">
        <f t="shared" si="147"/>
        <v/>
      </c>
      <c r="V926" s="218">
        <f>SUMIFS(DATA!$L:$L,DATA!$O:$O,$B930,DATA!$N:$N,$A930,DATA!$M:$M,'SALES BY SYSTEM'!$O$3)</f>
        <v>0</v>
      </c>
      <c r="W926" s="168"/>
    </row>
    <row r="927" spans="1:23" ht="15.75" customHeight="1" x14ac:dyDescent="0.25">
      <c r="A927" s="178" t="s">
        <v>2248</v>
      </c>
      <c r="B927" s="178" t="s">
        <v>2184</v>
      </c>
      <c r="C927" s="178" t="str">
        <f>VLOOKUP(A927,CUSTOMER!$A:$C,3,0)</f>
        <v>TNM_VINAG</v>
      </c>
      <c r="D927" s="178" t="s">
        <v>674</v>
      </c>
      <c r="E927" s="178" t="str">
        <f>VLOOKUP(A931,CUSTOMER!$A$2:$H$1094,5,0)</f>
        <v>VACANCY</v>
      </c>
      <c r="F927" s="178" t="str">
        <f>VLOOKUP(A931,CUSTOMER!$A$2:$I$1094,6,0)</f>
        <v>VACANCY</v>
      </c>
      <c r="G927" s="178" t="s">
        <v>676</v>
      </c>
      <c r="H927" s="179">
        <f t="shared" si="148"/>
        <v>0</v>
      </c>
      <c r="I927" s="180" t="str">
        <f t="shared" si="149"/>
        <v/>
      </c>
      <c r="J927" s="181">
        <f t="shared" si="150"/>
        <v>0</v>
      </c>
      <c r="K927" s="182">
        <v>0</v>
      </c>
      <c r="L927" s="180" t="str">
        <f t="shared" si="144"/>
        <v/>
      </c>
      <c r="M927" s="218">
        <f>SUMIFS(DATA!$L:$L,DATA!$O:$O,$B931,DATA!$N:$N,$A931,DATA!$M:$M,'SALES BY SYSTEM'!$O$1)</f>
        <v>0</v>
      </c>
      <c r="N927" s="182">
        <v>0</v>
      </c>
      <c r="O927" s="180" t="str">
        <f t="shared" si="145"/>
        <v/>
      </c>
      <c r="P927" s="218">
        <f>SUMIFS(DATA!$L:$L,DATA!$O:$O,$B931,DATA!$N:$N,$A931,DATA!$M:$M,'SALES BY SYSTEM'!$O$2)</f>
        <v>0</v>
      </c>
      <c r="Q927" s="182">
        <v>0</v>
      </c>
      <c r="R927" s="180" t="str">
        <f t="shared" si="146"/>
        <v/>
      </c>
      <c r="S927" s="218">
        <f>SUMIFS(DATA!$L:$L,DATA!$O:$O,$B931,DATA!$N:$N,$A931,DATA!$M:$M,'SALES BY SYSTEM'!$O$4)</f>
        <v>0</v>
      </c>
      <c r="T927" s="182">
        <v>0</v>
      </c>
      <c r="U927" s="180" t="str">
        <f t="shared" si="147"/>
        <v/>
      </c>
      <c r="V927" s="218">
        <f>SUMIFS(DATA!$L:$L,DATA!$O:$O,$B931,DATA!$N:$N,$A931,DATA!$M:$M,'SALES BY SYSTEM'!$O$3)</f>
        <v>0</v>
      </c>
      <c r="W927" s="168"/>
    </row>
    <row r="928" spans="1:23" ht="15.75" customHeight="1" x14ac:dyDescent="0.25">
      <c r="A928" s="178" t="s">
        <v>2250</v>
      </c>
      <c r="B928" s="178" t="s">
        <v>2184</v>
      </c>
      <c r="C928" s="178" t="str">
        <f>VLOOKUP(A928,CUSTOMER!$A:$C,3,0)</f>
        <v>TNM_VINBTRIEU</v>
      </c>
      <c r="D928" s="178" t="s">
        <v>674</v>
      </c>
      <c r="E928" s="178" t="str">
        <f>VLOOKUP(A932,CUSTOMER!$A$2:$H$1094,5,0)</f>
        <v>VACANCY</v>
      </c>
      <c r="F928" s="178" t="str">
        <f>VLOOKUP(A932,CUSTOMER!$A$2:$I$1094,6,0)</f>
        <v>"NO SALE"</v>
      </c>
      <c r="G928" s="178" t="s">
        <v>676</v>
      </c>
      <c r="H928" s="179">
        <f t="shared" si="148"/>
        <v>0</v>
      </c>
      <c r="I928" s="180" t="str">
        <f t="shared" si="149"/>
        <v/>
      </c>
      <c r="J928" s="181">
        <f t="shared" si="150"/>
        <v>0</v>
      </c>
      <c r="K928" s="182">
        <v>0</v>
      </c>
      <c r="L928" s="180" t="str">
        <f t="shared" si="144"/>
        <v/>
      </c>
      <c r="M928" s="218">
        <f>SUMIFS(DATA!$L:$L,DATA!$O:$O,$B932,DATA!$N:$N,$A932,DATA!$M:$M,'SALES BY SYSTEM'!$O$1)</f>
        <v>0</v>
      </c>
      <c r="N928" s="182">
        <v>0</v>
      </c>
      <c r="O928" s="180" t="str">
        <f t="shared" si="145"/>
        <v/>
      </c>
      <c r="P928" s="218">
        <f>SUMIFS(DATA!$L:$L,DATA!$O:$O,$B932,DATA!$N:$N,$A932,DATA!$M:$M,'SALES BY SYSTEM'!$O$2)</f>
        <v>0</v>
      </c>
      <c r="Q928" s="182">
        <v>0</v>
      </c>
      <c r="R928" s="180" t="str">
        <f t="shared" si="146"/>
        <v/>
      </c>
      <c r="S928" s="218">
        <f>SUMIFS(DATA!$L:$L,DATA!$O:$O,$B932,DATA!$N:$N,$A932,DATA!$M:$M,'SALES BY SYSTEM'!$O$4)</f>
        <v>0</v>
      </c>
      <c r="T928" s="182">
        <v>0</v>
      </c>
      <c r="U928" s="180" t="str">
        <f t="shared" si="147"/>
        <v/>
      </c>
      <c r="V928" s="218">
        <f>SUMIFS(DATA!$L:$L,DATA!$O:$O,$B932,DATA!$N:$N,$A932,DATA!$M:$M,'SALES BY SYSTEM'!$O$3)</f>
        <v>0</v>
      </c>
      <c r="W928" s="168"/>
    </row>
    <row r="929" spans="1:23" ht="15.75" customHeight="1" x14ac:dyDescent="0.25">
      <c r="A929" s="178" t="s">
        <v>2252</v>
      </c>
      <c r="B929" s="178" t="s">
        <v>2184</v>
      </c>
      <c r="C929" s="178" t="str">
        <f>VLOOKUP(A929,CUSTOMER!$A:$C,3,0)</f>
        <v>TNM_VINBNINH</v>
      </c>
      <c r="D929" s="178" t="s">
        <v>674</v>
      </c>
      <c r="E929" s="178" t="str">
        <f>VLOOKUP(A933,CUSTOMER!$A$2:$H$1094,5,0)</f>
        <v>VACANCY</v>
      </c>
      <c r="F929" s="178" t="str">
        <f>VLOOKUP(A933,CUSTOMER!$A$2:$I$1094,6,0)</f>
        <v>"NO SALE"</v>
      </c>
      <c r="G929" s="178" t="s">
        <v>676</v>
      </c>
      <c r="H929" s="179">
        <f t="shared" si="148"/>
        <v>0</v>
      </c>
      <c r="I929" s="180" t="str">
        <f t="shared" si="149"/>
        <v/>
      </c>
      <c r="J929" s="181">
        <f t="shared" si="150"/>
        <v>0</v>
      </c>
      <c r="K929" s="182">
        <v>0</v>
      </c>
      <c r="L929" s="180" t="str">
        <f t="shared" si="144"/>
        <v/>
      </c>
      <c r="M929" s="218">
        <f>SUMIFS(DATA!$L:$L,DATA!$O:$O,$B933,DATA!$N:$N,$A933,DATA!$M:$M,'SALES BY SYSTEM'!$O$1)</f>
        <v>0</v>
      </c>
      <c r="N929" s="182">
        <v>0</v>
      </c>
      <c r="O929" s="180" t="str">
        <f t="shared" si="145"/>
        <v/>
      </c>
      <c r="P929" s="218">
        <f>SUMIFS(DATA!$L:$L,DATA!$O:$O,$B933,DATA!$N:$N,$A933,DATA!$M:$M,'SALES BY SYSTEM'!$O$2)</f>
        <v>0</v>
      </c>
      <c r="Q929" s="182">
        <v>0</v>
      </c>
      <c r="R929" s="180" t="str">
        <f t="shared" si="146"/>
        <v/>
      </c>
      <c r="S929" s="218">
        <f>SUMIFS(DATA!$L:$L,DATA!$O:$O,$B933,DATA!$N:$N,$A933,DATA!$M:$M,'SALES BY SYSTEM'!$O$4)</f>
        <v>0</v>
      </c>
      <c r="T929" s="182">
        <v>0</v>
      </c>
      <c r="U929" s="180" t="str">
        <f t="shared" si="147"/>
        <v/>
      </c>
      <c r="V929" s="218">
        <f>SUMIFS(DATA!$L:$L,DATA!$O:$O,$B933,DATA!$N:$N,$A933,DATA!$M:$M,'SALES BY SYSTEM'!$O$3)</f>
        <v>0</v>
      </c>
      <c r="W929" s="168"/>
    </row>
    <row r="930" spans="1:23" ht="15.75" customHeight="1" x14ac:dyDescent="0.25">
      <c r="A930" s="178" t="s">
        <v>2254</v>
      </c>
      <c r="B930" s="178" t="s">
        <v>2184</v>
      </c>
      <c r="C930" s="178" t="str">
        <f>VLOOKUP(A930,CUSTOMER!$A:$C,3,0)</f>
        <v>TNM_VINBTLIEM</v>
      </c>
      <c r="D930" s="178" t="s">
        <v>674</v>
      </c>
      <c r="E930" s="178" t="str">
        <f>VLOOKUP(A934,CUSTOMER!$A$2:$H$1094,5,0)</f>
        <v>VACANCY</v>
      </c>
      <c r="F930" s="178" t="str">
        <f>VLOOKUP(A934,CUSTOMER!$A$2:$I$1094,6,0)</f>
        <v>VACANCY</v>
      </c>
      <c r="G930" s="178" t="s">
        <v>676</v>
      </c>
      <c r="H930" s="179">
        <f t="shared" si="148"/>
        <v>0</v>
      </c>
      <c r="I930" s="180" t="str">
        <f t="shared" si="149"/>
        <v/>
      </c>
      <c r="J930" s="181">
        <f t="shared" si="150"/>
        <v>0</v>
      </c>
      <c r="K930" s="182">
        <v>0</v>
      </c>
      <c r="L930" s="180" t="str">
        <f t="shared" si="144"/>
        <v/>
      </c>
      <c r="M930" s="218">
        <f>SUMIFS(DATA!$L:$L,DATA!$O:$O,$B934,DATA!$N:$N,$A934,DATA!$M:$M,'SALES BY SYSTEM'!$O$1)</f>
        <v>0</v>
      </c>
      <c r="N930" s="182">
        <v>0</v>
      </c>
      <c r="O930" s="180" t="str">
        <f t="shared" si="145"/>
        <v/>
      </c>
      <c r="P930" s="218">
        <f>SUMIFS(DATA!$L:$L,DATA!$O:$O,$B934,DATA!$N:$N,$A934,DATA!$M:$M,'SALES BY SYSTEM'!$O$2)</f>
        <v>0</v>
      </c>
      <c r="Q930" s="182">
        <v>0</v>
      </c>
      <c r="R930" s="180" t="str">
        <f t="shared" si="146"/>
        <v/>
      </c>
      <c r="S930" s="218">
        <f>SUMIFS(DATA!$L:$L,DATA!$O:$O,$B934,DATA!$N:$N,$A934,DATA!$M:$M,'SALES BY SYSTEM'!$O$4)</f>
        <v>0</v>
      </c>
      <c r="T930" s="182">
        <v>0</v>
      </c>
      <c r="U930" s="180" t="str">
        <f t="shared" si="147"/>
        <v/>
      </c>
      <c r="V930" s="218">
        <f>SUMIFS(DATA!$L:$L,DATA!$O:$O,$B934,DATA!$N:$N,$A934,DATA!$M:$M,'SALES BY SYSTEM'!$O$3)</f>
        <v>0</v>
      </c>
      <c r="W930" s="168"/>
    </row>
    <row r="931" spans="1:23" ht="15.75" customHeight="1" x14ac:dyDescent="0.25">
      <c r="A931" s="178" t="s">
        <v>2256</v>
      </c>
      <c r="B931" s="178" t="s">
        <v>2184</v>
      </c>
      <c r="C931" s="178" t="str">
        <f>VLOOKUP(A931,CUSTOMER!$A:$C,3,0)</f>
        <v>TNM_VINBHOA</v>
      </c>
      <c r="D931" s="178" t="s">
        <v>674</v>
      </c>
      <c r="E931" s="178" t="str">
        <f>VLOOKUP(A935,CUSTOMER!$A$2:$H$1094,5,0)</f>
        <v>VACANCY</v>
      </c>
      <c r="F931" s="178" t="str">
        <f>VLOOKUP(A935,CUSTOMER!$A$2:$I$1094,6,0)</f>
        <v>VACANCY</v>
      </c>
      <c r="G931" s="178" t="s">
        <v>676</v>
      </c>
      <c r="H931" s="179">
        <f t="shared" si="148"/>
        <v>0</v>
      </c>
      <c r="I931" s="180" t="str">
        <f t="shared" si="149"/>
        <v/>
      </c>
      <c r="J931" s="181">
        <f t="shared" si="150"/>
        <v>0</v>
      </c>
      <c r="K931" s="182">
        <v>0</v>
      </c>
      <c r="L931" s="180" t="str">
        <f t="shared" si="144"/>
        <v/>
      </c>
      <c r="M931" s="218">
        <f>SUMIFS(DATA!$L:$L,DATA!$O:$O,$B935,DATA!$N:$N,$A935,DATA!$M:$M,'SALES BY SYSTEM'!$O$1)</f>
        <v>0</v>
      </c>
      <c r="N931" s="182">
        <v>0</v>
      </c>
      <c r="O931" s="180" t="str">
        <f t="shared" si="145"/>
        <v/>
      </c>
      <c r="P931" s="218">
        <f>SUMIFS(DATA!$L:$L,DATA!$O:$O,$B935,DATA!$N:$N,$A935,DATA!$M:$M,'SALES BY SYSTEM'!$O$2)</f>
        <v>0</v>
      </c>
      <c r="Q931" s="182">
        <v>0</v>
      </c>
      <c r="R931" s="180" t="str">
        <f t="shared" si="146"/>
        <v/>
      </c>
      <c r="S931" s="218">
        <f>SUMIFS(DATA!$L:$L,DATA!$O:$O,$B935,DATA!$N:$N,$A935,DATA!$M:$M,'SALES BY SYSTEM'!$O$4)</f>
        <v>0</v>
      </c>
      <c r="T931" s="182">
        <v>0</v>
      </c>
      <c r="U931" s="180" t="str">
        <f t="shared" si="147"/>
        <v/>
      </c>
      <c r="V931" s="218">
        <f>SUMIFS(DATA!$L:$L,DATA!$O:$O,$B935,DATA!$N:$N,$A935,DATA!$M:$M,'SALES BY SYSTEM'!$O$3)</f>
        <v>0</v>
      </c>
      <c r="W931" s="168"/>
    </row>
    <row r="932" spans="1:23" ht="15.75" customHeight="1" x14ac:dyDescent="0.25">
      <c r="A932" s="178" t="s">
        <v>2259</v>
      </c>
      <c r="B932" s="178" t="s">
        <v>2184</v>
      </c>
      <c r="C932" s="178" t="str">
        <f>VLOOKUP(A932,CUSTOMER!$A:$C,3,0)</f>
        <v>TNM_VINCT</v>
      </c>
      <c r="D932" s="178" t="s">
        <v>674</v>
      </c>
      <c r="E932" s="178" t="str">
        <f>VLOOKUP(A936,CUSTOMER!$A$2:$H$1094,5,0)</f>
        <v>VACANCY</v>
      </c>
      <c r="F932" s="178" t="str">
        <f>VLOOKUP(A936,CUSTOMER!$A$2:$I$1094,6,0)</f>
        <v>VACANCY</v>
      </c>
      <c r="G932" s="178" t="s">
        <v>676</v>
      </c>
      <c r="H932" s="179">
        <f t="shared" si="148"/>
        <v>0</v>
      </c>
      <c r="I932" s="180" t="str">
        <f t="shared" si="149"/>
        <v/>
      </c>
      <c r="J932" s="181">
        <f t="shared" si="150"/>
        <v>0</v>
      </c>
      <c r="K932" s="182">
        <v>0</v>
      </c>
      <c r="L932" s="180" t="str">
        <f t="shared" si="144"/>
        <v/>
      </c>
      <c r="M932" s="218">
        <f>SUMIFS(DATA!$L:$L,DATA!$O:$O,$B936,DATA!$N:$N,$A936,DATA!$M:$M,'SALES BY SYSTEM'!$O$1)</f>
        <v>0</v>
      </c>
      <c r="N932" s="182">
        <v>0</v>
      </c>
      <c r="O932" s="180" t="str">
        <f t="shared" si="145"/>
        <v/>
      </c>
      <c r="P932" s="218">
        <f>SUMIFS(DATA!$L:$L,DATA!$O:$O,$B936,DATA!$N:$N,$A936,DATA!$M:$M,'SALES BY SYSTEM'!$O$2)</f>
        <v>0</v>
      </c>
      <c r="Q932" s="182">
        <v>0</v>
      </c>
      <c r="R932" s="180" t="str">
        <f t="shared" si="146"/>
        <v/>
      </c>
      <c r="S932" s="218">
        <f>SUMIFS(DATA!$L:$L,DATA!$O:$O,$B936,DATA!$N:$N,$A936,DATA!$M:$M,'SALES BY SYSTEM'!$O$4)</f>
        <v>0</v>
      </c>
      <c r="T932" s="182">
        <v>0</v>
      </c>
      <c r="U932" s="180" t="str">
        <f t="shared" si="147"/>
        <v/>
      </c>
      <c r="V932" s="218">
        <f>SUMIFS(DATA!$L:$L,DATA!$O:$O,$B936,DATA!$N:$N,$A936,DATA!$M:$M,'SALES BY SYSTEM'!$O$3)</f>
        <v>0</v>
      </c>
      <c r="W932" s="168"/>
    </row>
    <row r="933" spans="1:23" ht="15.75" customHeight="1" x14ac:dyDescent="0.25">
      <c r="A933" s="178" t="s">
        <v>2261</v>
      </c>
      <c r="B933" s="178" t="s">
        <v>2184</v>
      </c>
      <c r="C933" s="178" t="str">
        <f>VLOOKUP(A933,CUSTOMER!$A:$C,3,0)</f>
        <v>TNM_VINDN</v>
      </c>
      <c r="D933" s="178" t="s">
        <v>674</v>
      </c>
      <c r="E933" s="178" t="str">
        <f>VLOOKUP(A937,CUSTOMER!$A$2:$H$1094,5,0)</f>
        <v>VACANCY</v>
      </c>
      <c r="F933" s="178" t="str">
        <f>VLOOKUP(A937,CUSTOMER!$A$2:$I$1094,6,0)</f>
        <v>VACANCY</v>
      </c>
      <c r="G933" s="178" t="s">
        <v>676</v>
      </c>
      <c r="H933" s="179">
        <f t="shared" si="148"/>
        <v>0</v>
      </c>
      <c r="I933" s="180" t="str">
        <f t="shared" si="149"/>
        <v/>
      </c>
      <c r="J933" s="181">
        <f t="shared" si="150"/>
        <v>0</v>
      </c>
      <c r="K933" s="182">
        <v>0</v>
      </c>
      <c r="L933" s="180" t="str">
        <f t="shared" si="144"/>
        <v/>
      </c>
      <c r="M933" s="218">
        <f>SUMIFS(DATA!$L:$L,DATA!$O:$O,$B937,DATA!$N:$N,$A937,DATA!$M:$M,'SALES BY SYSTEM'!$O$1)</f>
        <v>0</v>
      </c>
      <c r="N933" s="182">
        <v>0</v>
      </c>
      <c r="O933" s="180" t="str">
        <f t="shared" si="145"/>
        <v/>
      </c>
      <c r="P933" s="218">
        <f>SUMIFS(DATA!$L:$L,DATA!$O:$O,$B937,DATA!$N:$N,$A937,DATA!$M:$M,'SALES BY SYSTEM'!$O$2)</f>
        <v>0</v>
      </c>
      <c r="Q933" s="182">
        <v>0</v>
      </c>
      <c r="R933" s="180" t="str">
        <f t="shared" si="146"/>
        <v/>
      </c>
      <c r="S933" s="218">
        <f>SUMIFS(DATA!$L:$L,DATA!$O:$O,$B937,DATA!$N:$N,$A937,DATA!$M:$M,'SALES BY SYSTEM'!$O$4)</f>
        <v>0</v>
      </c>
      <c r="T933" s="182">
        <v>0</v>
      </c>
      <c r="U933" s="180" t="str">
        <f t="shared" si="147"/>
        <v/>
      </c>
      <c r="V933" s="218">
        <f>SUMIFS(DATA!$L:$L,DATA!$O:$O,$B937,DATA!$N:$N,$A937,DATA!$M:$M,'SALES BY SYSTEM'!$O$3)</f>
        <v>0</v>
      </c>
      <c r="W933" s="168"/>
    </row>
    <row r="934" spans="1:23" ht="15.75" customHeight="1" x14ac:dyDescent="0.25">
      <c r="A934" s="178" t="s">
        <v>2263</v>
      </c>
      <c r="B934" s="178" t="s">
        <v>2184</v>
      </c>
      <c r="C934" s="178" t="str">
        <f>VLOOKUP(A934,CUSTOMER!$A:$C,3,0)</f>
        <v>TNM_VINDK</v>
      </c>
      <c r="D934" s="178" t="s">
        <v>674</v>
      </c>
      <c r="E934" s="178" t="str">
        <f>VLOOKUP(A938,CUSTOMER!$A$2:$H$1094,5,0)</f>
        <v>VACANCY</v>
      </c>
      <c r="F934" s="178" t="str">
        <f>VLOOKUP(A938,CUSTOMER!$A$2:$I$1094,6,0)</f>
        <v>VACANCY</v>
      </c>
      <c r="G934" s="178" t="s">
        <v>676</v>
      </c>
      <c r="H934" s="179">
        <f t="shared" si="148"/>
        <v>0</v>
      </c>
      <c r="I934" s="180" t="str">
        <f t="shared" si="149"/>
        <v/>
      </c>
      <c r="J934" s="181">
        <f t="shared" si="150"/>
        <v>0</v>
      </c>
      <c r="K934" s="182">
        <v>0</v>
      </c>
      <c r="L934" s="180" t="str">
        <f t="shared" si="144"/>
        <v/>
      </c>
      <c r="M934" s="218">
        <f>SUMIFS(DATA!$L:$L,DATA!$O:$O,$B938,DATA!$N:$N,$A938,DATA!$M:$M,'SALES BY SYSTEM'!$O$1)</f>
        <v>0</v>
      </c>
      <c r="N934" s="182">
        <v>0</v>
      </c>
      <c r="O934" s="180" t="str">
        <f t="shared" si="145"/>
        <v/>
      </c>
      <c r="P934" s="218">
        <f>SUMIFS(DATA!$L:$L,DATA!$O:$O,$B938,DATA!$N:$N,$A938,DATA!$M:$M,'SALES BY SYSTEM'!$O$2)</f>
        <v>0</v>
      </c>
      <c r="Q934" s="182">
        <v>0</v>
      </c>
      <c r="R934" s="180" t="str">
        <f t="shared" si="146"/>
        <v/>
      </c>
      <c r="S934" s="218">
        <f>SUMIFS(DATA!$L:$L,DATA!$O:$O,$B938,DATA!$N:$N,$A938,DATA!$M:$M,'SALES BY SYSTEM'!$O$4)</f>
        <v>0</v>
      </c>
      <c r="T934" s="182">
        <v>0</v>
      </c>
      <c r="U934" s="180" t="str">
        <f t="shared" si="147"/>
        <v/>
      </c>
      <c r="V934" s="218">
        <f>SUMIFS(DATA!$L:$L,DATA!$O:$O,$B938,DATA!$N:$N,$A938,DATA!$M:$M,'SALES BY SYSTEM'!$O$3)</f>
        <v>0</v>
      </c>
      <c r="W934" s="168"/>
    </row>
    <row r="935" spans="1:23" ht="15.75" customHeight="1" x14ac:dyDescent="0.25">
      <c r="A935" s="178" t="s">
        <v>2265</v>
      </c>
      <c r="B935" s="178" t="s">
        <v>2184</v>
      </c>
      <c r="C935" s="178" t="str">
        <f>VLOOKUP(A935,CUSTOMER!$A:$C,3,0)</f>
        <v>TNM_VINHPHONG</v>
      </c>
      <c r="D935" s="178" t="s">
        <v>674</v>
      </c>
      <c r="E935" s="178" t="str">
        <f>VLOOKUP(A939,CUSTOMER!$A$2:$H$1094,5,0)</f>
        <v>VACANCY</v>
      </c>
      <c r="F935" s="178" t="str">
        <f>VLOOKUP(A939,CUSTOMER!$A$2:$I$1094,6,0)</f>
        <v>VACANCY</v>
      </c>
      <c r="G935" s="178" t="s">
        <v>676</v>
      </c>
      <c r="H935" s="179">
        <f t="shared" si="148"/>
        <v>0</v>
      </c>
      <c r="I935" s="180" t="str">
        <f t="shared" si="149"/>
        <v/>
      </c>
      <c r="J935" s="181">
        <f t="shared" si="150"/>
        <v>0</v>
      </c>
      <c r="K935" s="182">
        <v>0</v>
      </c>
      <c r="L935" s="180" t="str">
        <f t="shared" si="144"/>
        <v/>
      </c>
      <c r="M935" s="218">
        <f>SUMIFS(DATA!$L:$L,DATA!$O:$O,$B939,DATA!$N:$N,$A939,DATA!$M:$M,'SALES BY SYSTEM'!$O$1)</f>
        <v>0</v>
      </c>
      <c r="N935" s="182">
        <v>0</v>
      </c>
      <c r="O935" s="180" t="str">
        <f t="shared" si="145"/>
        <v/>
      </c>
      <c r="P935" s="218">
        <f>SUMIFS(DATA!$L:$L,DATA!$O:$O,$B939,DATA!$N:$N,$A939,DATA!$M:$M,'SALES BY SYSTEM'!$O$2)</f>
        <v>0</v>
      </c>
      <c r="Q935" s="182">
        <v>0</v>
      </c>
      <c r="R935" s="180" t="str">
        <f t="shared" si="146"/>
        <v/>
      </c>
      <c r="S935" s="218">
        <f>SUMIFS(DATA!$L:$L,DATA!$O:$O,$B939,DATA!$N:$N,$A939,DATA!$M:$M,'SALES BY SYSTEM'!$O$4)</f>
        <v>0</v>
      </c>
      <c r="T935" s="182">
        <v>0</v>
      </c>
      <c r="U935" s="180" t="str">
        <f t="shared" si="147"/>
        <v/>
      </c>
      <c r="V935" s="218">
        <f>SUMIFS(DATA!$L:$L,DATA!$O:$O,$B939,DATA!$N:$N,$A939,DATA!$M:$M,'SALES BY SYSTEM'!$O$3)</f>
        <v>0</v>
      </c>
      <c r="W935" s="168"/>
    </row>
    <row r="936" spans="1:23" ht="15.75" customHeight="1" x14ac:dyDescent="0.25">
      <c r="A936" s="178" t="s">
        <v>2267</v>
      </c>
      <c r="B936" s="178" t="s">
        <v>2184</v>
      </c>
      <c r="C936" s="178" t="str">
        <f>VLOOKUP(A936,CUSTOMER!$A:$C,3,0)</f>
        <v>TNM_VINLAN</v>
      </c>
      <c r="D936" s="178" t="s">
        <v>674</v>
      </c>
      <c r="E936" s="178" t="str">
        <f>VLOOKUP(A940,CUSTOMER!$A$2:$H$1094,5,0)</f>
        <v>VACANCY</v>
      </c>
      <c r="F936" s="178" t="str">
        <f>VLOOKUP(A940,CUSTOMER!$A$2:$I$1094,6,0)</f>
        <v>VACANCY</v>
      </c>
      <c r="G936" s="178" t="s">
        <v>676</v>
      </c>
      <c r="H936" s="179">
        <f t="shared" si="148"/>
        <v>0</v>
      </c>
      <c r="I936" s="180" t="str">
        <f t="shared" si="149"/>
        <v/>
      </c>
      <c r="J936" s="181">
        <f t="shared" si="150"/>
        <v>0</v>
      </c>
      <c r="K936" s="182">
        <v>0</v>
      </c>
      <c r="L936" s="180" t="str">
        <f t="shared" si="144"/>
        <v/>
      </c>
      <c r="M936" s="218">
        <f>SUMIFS(DATA!$L:$L,DATA!$O:$O,$B940,DATA!$N:$N,$A940,DATA!$M:$M,'SALES BY SYSTEM'!$O$1)</f>
        <v>0</v>
      </c>
      <c r="N936" s="182">
        <v>0</v>
      </c>
      <c r="O936" s="180" t="str">
        <f t="shared" si="145"/>
        <v/>
      </c>
      <c r="P936" s="218">
        <f>SUMIFS(DATA!$L:$L,DATA!$O:$O,$B940,DATA!$N:$N,$A940,DATA!$M:$M,'SALES BY SYSTEM'!$O$2)</f>
        <v>0</v>
      </c>
      <c r="Q936" s="182">
        <v>0</v>
      </c>
      <c r="R936" s="180" t="str">
        <f t="shared" si="146"/>
        <v/>
      </c>
      <c r="S936" s="218">
        <f>SUMIFS(DATA!$L:$L,DATA!$O:$O,$B940,DATA!$N:$N,$A940,DATA!$M:$M,'SALES BY SYSTEM'!$O$4)</f>
        <v>0</v>
      </c>
      <c r="T936" s="182">
        <v>0</v>
      </c>
      <c r="U936" s="180" t="str">
        <f t="shared" si="147"/>
        <v/>
      </c>
      <c r="V936" s="218">
        <f>SUMIFS(DATA!$L:$L,DATA!$O:$O,$B940,DATA!$N:$N,$A940,DATA!$M:$M,'SALES BY SYSTEM'!$O$3)</f>
        <v>0</v>
      </c>
      <c r="W936" s="168"/>
    </row>
    <row r="937" spans="1:23" ht="15.75" customHeight="1" x14ac:dyDescent="0.25">
      <c r="A937" s="178" t="s">
        <v>2272</v>
      </c>
      <c r="B937" s="178" t="s">
        <v>2184</v>
      </c>
      <c r="C937" s="178" t="str">
        <f>VLOOKUP(A937,CUSTOMER!$A:$C,3,0)</f>
        <v>TNM_VINNCT</v>
      </c>
      <c r="D937" s="178" t="s">
        <v>674</v>
      </c>
      <c r="E937" s="178" t="str">
        <f>VLOOKUP(A941,CUSTOMER!$A$2:$H$1094,5,0)</f>
        <v>VACANCY</v>
      </c>
      <c r="F937" s="178" t="str">
        <f>VLOOKUP(A941,CUSTOMER!$A$2:$I$1094,6,0)</f>
        <v>VACANCY</v>
      </c>
      <c r="G937" s="178" t="s">
        <v>676</v>
      </c>
      <c r="H937" s="179">
        <f t="shared" si="148"/>
        <v>0</v>
      </c>
      <c r="I937" s="180" t="str">
        <f t="shared" si="149"/>
        <v/>
      </c>
      <c r="J937" s="181">
        <f t="shared" si="150"/>
        <v>0</v>
      </c>
      <c r="K937" s="182">
        <v>0</v>
      </c>
      <c r="L937" s="180" t="str">
        <f t="shared" si="144"/>
        <v/>
      </c>
      <c r="M937" s="218">
        <f>SUMIFS(DATA!$L:$L,DATA!$O:$O,$B941,DATA!$N:$N,$A941,DATA!$M:$M,'SALES BY SYSTEM'!$O$1)</f>
        <v>0</v>
      </c>
      <c r="N937" s="182">
        <v>0</v>
      </c>
      <c r="O937" s="180" t="str">
        <f t="shared" si="145"/>
        <v/>
      </c>
      <c r="P937" s="218">
        <f>SUMIFS(DATA!$L:$L,DATA!$O:$O,$B941,DATA!$N:$N,$A941,DATA!$M:$M,'SALES BY SYSTEM'!$O$2)</f>
        <v>0</v>
      </c>
      <c r="Q937" s="182">
        <v>0</v>
      </c>
      <c r="R937" s="180" t="str">
        <f t="shared" si="146"/>
        <v/>
      </c>
      <c r="S937" s="218">
        <f>SUMIFS(DATA!$L:$L,DATA!$O:$O,$B941,DATA!$N:$N,$A941,DATA!$M:$M,'SALES BY SYSTEM'!$O$4)</f>
        <v>0</v>
      </c>
      <c r="T937" s="182">
        <v>0</v>
      </c>
      <c r="U937" s="180" t="str">
        <f t="shared" si="147"/>
        <v/>
      </c>
      <c r="V937" s="218">
        <f>SUMIFS(DATA!$L:$L,DATA!$O:$O,$B941,DATA!$N:$N,$A941,DATA!$M:$M,'SALES BY SYSTEM'!$O$3)</f>
        <v>0</v>
      </c>
      <c r="W937" s="168"/>
    </row>
    <row r="938" spans="1:23" ht="15.75" customHeight="1" x14ac:dyDescent="0.25">
      <c r="A938" s="178" t="s">
        <v>2274</v>
      </c>
      <c r="B938" s="178" t="s">
        <v>2184</v>
      </c>
      <c r="C938" s="178" t="str">
        <f>VLOOKUP(A938,CUSTOMER!$A:$C,3,0)</f>
        <v>TNM_VINROYAL</v>
      </c>
      <c r="D938" s="178" t="s">
        <v>674</v>
      </c>
      <c r="E938" s="178" t="str">
        <f>VLOOKUP(A942,CUSTOMER!$A$2:$H$1094,5,0)</f>
        <v>VACANCY</v>
      </c>
      <c r="F938" s="178" t="str">
        <f>VLOOKUP(A942,CUSTOMER!$A$2:$I$1094,6,0)</f>
        <v>"NO SALE"</v>
      </c>
      <c r="G938" s="178" t="s">
        <v>676</v>
      </c>
      <c r="H938" s="179">
        <f t="shared" si="148"/>
        <v>0</v>
      </c>
      <c r="I938" s="180" t="str">
        <f t="shared" si="149"/>
        <v/>
      </c>
      <c r="J938" s="181">
        <f t="shared" si="150"/>
        <v>0</v>
      </c>
      <c r="K938" s="182">
        <v>0</v>
      </c>
      <c r="L938" s="180" t="str">
        <f t="shared" si="144"/>
        <v/>
      </c>
      <c r="M938" s="218">
        <f>SUMIFS(DATA!$L:$L,DATA!$O:$O,$B942,DATA!$N:$N,$A942,DATA!$M:$M,'SALES BY SYSTEM'!$O$1)</f>
        <v>0</v>
      </c>
      <c r="N938" s="182">
        <v>0</v>
      </c>
      <c r="O938" s="180" t="str">
        <f t="shared" si="145"/>
        <v/>
      </c>
      <c r="P938" s="218">
        <f>SUMIFS(DATA!$L:$L,DATA!$O:$O,$B942,DATA!$N:$N,$A942,DATA!$M:$M,'SALES BY SYSTEM'!$O$2)</f>
        <v>0</v>
      </c>
      <c r="Q938" s="182">
        <v>0</v>
      </c>
      <c r="R938" s="180" t="str">
        <f t="shared" si="146"/>
        <v/>
      </c>
      <c r="S938" s="218">
        <f>SUMIFS(DATA!$L:$L,DATA!$O:$O,$B942,DATA!$N:$N,$A942,DATA!$M:$M,'SALES BY SYSTEM'!$O$4)</f>
        <v>0</v>
      </c>
      <c r="T938" s="182">
        <v>0</v>
      </c>
      <c r="U938" s="180" t="str">
        <f t="shared" si="147"/>
        <v/>
      </c>
      <c r="V938" s="218">
        <f>SUMIFS(DATA!$L:$L,DATA!$O:$O,$B942,DATA!$N:$N,$A942,DATA!$M:$M,'SALES BY SYSTEM'!$O$3)</f>
        <v>0</v>
      </c>
      <c r="W938" s="168"/>
    </row>
    <row r="939" spans="1:23" ht="15.75" customHeight="1" x14ac:dyDescent="0.25">
      <c r="A939" s="178" t="s">
        <v>2276</v>
      </c>
      <c r="B939" s="178" t="s">
        <v>2184</v>
      </c>
      <c r="C939" s="178" t="str">
        <f>VLOOKUP(A939,CUSTOMER!$A:$C,3,0)</f>
        <v>TNM_VINTD</v>
      </c>
      <c r="D939" s="178" t="s">
        <v>674</v>
      </c>
      <c r="E939" s="178" t="str">
        <f>VLOOKUP(A943,CUSTOMER!$A$2:$H$1094,5,0)</f>
        <v>VACANCY</v>
      </c>
      <c r="F939" s="178" t="str">
        <f>VLOOKUP(A943,CUSTOMER!$A$2:$I$1094,6,0)</f>
        <v>VACANCY</v>
      </c>
      <c r="G939" s="178" t="s">
        <v>676</v>
      </c>
      <c r="H939" s="179">
        <f t="shared" si="148"/>
        <v>0</v>
      </c>
      <c r="I939" s="180" t="str">
        <f t="shared" si="149"/>
        <v/>
      </c>
      <c r="J939" s="181">
        <f t="shared" si="150"/>
        <v>0</v>
      </c>
      <c r="K939" s="182">
        <v>0</v>
      </c>
      <c r="L939" s="180" t="str">
        <f t="shared" si="144"/>
        <v/>
      </c>
      <c r="M939" s="218">
        <f>SUMIFS(DATA!$L:$L,DATA!$O:$O,$B943,DATA!$N:$N,$A943,DATA!$M:$M,'SALES BY SYSTEM'!$O$1)</f>
        <v>0</v>
      </c>
      <c r="N939" s="182">
        <v>0</v>
      </c>
      <c r="O939" s="180" t="str">
        <f t="shared" si="145"/>
        <v/>
      </c>
      <c r="P939" s="218">
        <f>SUMIFS(DATA!$L:$L,DATA!$O:$O,$B943,DATA!$N:$N,$A943,DATA!$M:$M,'SALES BY SYSTEM'!$O$2)</f>
        <v>0</v>
      </c>
      <c r="Q939" s="182">
        <v>0</v>
      </c>
      <c r="R939" s="180" t="str">
        <f t="shared" si="146"/>
        <v/>
      </c>
      <c r="S939" s="218">
        <f>SUMIFS(DATA!$L:$L,DATA!$O:$O,$B943,DATA!$N:$N,$A943,DATA!$M:$M,'SALES BY SYSTEM'!$O$4)</f>
        <v>0</v>
      </c>
      <c r="T939" s="182">
        <v>0</v>
      </c>
      <c r="U939" s="180" t="str">
        <f t="shared" si="147"/>
        <v/>
      </c>
      <c r="V939" s="218">
        <f>SUMIFS(DATA!$L:$L,DATA!$O:$O,$B943,DATA!$N:$N,$A943,DATA!$M:$M,'SALES BY SYSTEM'!$O$3)</f>
        <v>0</v>
      </c>
      <c r="W939" s="168"/>
    </row>
    <row r="940" spans="1:23" ht="15.75" customHeight="1" x14ac:dyDescent="0.25">
      <c r="A940" s="178" t="s">
        <v>2278</v>
      </c>
      <c r="B940" s="178" t="s">
        <v>2184</v>
      </c>
      <c r="C940" s="178" t="str">
        <f>VLOOKUP(A940,CUSTOMER!$A:$C,3,0)</f>
        <v>TNM_TIMESCITY</v>
      </c>
      <c r="D940" s="178" t="s">
        <v>674</v>
      </c>
      <c r="E940" s="178" t="str">
        <f>VLOOKUP(A944,CUSTOMER!$A$2:$H$1094,5,0)</f>
        <v>VACANCY</v>
      </c>
      <c r="F940" s="178" t="str">
        <f>VLOOKUP(A944,CUSTOMER!$A$2:$I$1094,6,0)</f>
        <v>"NO SALE"</v>
      </c>
      <c r="G940" s="178" t="s">
        <v>676</v>
      </c>
      <c r="H940" s="179">
        <f t="shared" si="148"/>
        <v>0</v>
      </c>
      <c r="I940" s="180" t="str">
        <f t="shared" si="149"/>
        <v/>
      </c>
      <c r="J940" s="181">
        <f t="shared" si="150"/>
        <v>0</v>
      </c>
      <c r="K940" s="182">
        <v>0</v>
      </c>
      <c r="L940" s="180" t="str">
        <f t="shared" si="144"/>
        <v/>
      </c>
      <c r="M940" s="218">
        <f>SUMIFS(DATA!$L:$L,DATA!$O:$O,$B944,DATA!$N:$N,$A944,DATA!$M:$M,'SALES BY SYSTEM'!$O$1)</f>
        <v>0</v>
      </c>
      <c r="N940" s="182">
        <v>0</v>
      </c>
      <c r="O940" s="180" t="str">
        <f t="shared" si="145"/>
        <v/>
      </c>
      <c r="P940" s="218">
        <f>SUMIFS(DATA!$L:$L,DATA!$O:$O,$B944,DATA!$N:$N,$A944,DATA!$M:$M,'SALES BY SYSTEM'!$O$2)</f>
        <v>0</v>
      </c>
      <c r="Q940" s="182">
        <v>0</v>
      </c>
      <c r="R940" s="180" t="str">
        <f t="shared" si="146"/>
        <v/>
      </c>
      <c r="S940" s="218">
        <f>SUMIFS(DATA!$L:$L,DATA!$O:$O,$B944,DATA!$N:$N,$A944,DATA!$M:$M,'SALES BY SYSTEM'!$O$4)</f>
        <v>0</v>
      </c>
      <c r="T940" s="182">
        <v>0</v>
      </c>
      <c r="U940" s="180" t="str">
        <f t="shared" si="147"/>
        <v/>
      </c>
      <c r="V940" s="218">
        <f>SUMIFS(DATA!$L:$L,DATA!$O:$O,$B944,DATA!$N:$N,$A944,DATA!$M:$M,'SALES BY SYSTEM'!$O$3)</f>
        <v>0</v>
      </c>
      <c r="W940" s="168"/>
    </row>
    <row r="941" spans="1:23" ht="15.75" customHeight="1" x14ac:dyDescent="0.25">
      <c r="A941" s="178" t="s">
        <v>2280</v>
      </c>
      <c r="B941" s="178" t="s">
        <v>2184</v>
      </c>
      <c r="C941" s="178" t="str">
        <f>VLOOKUP(A941,CUSTOMER!$A:$C,3,0)</f>
        <v>TNM_VINTDH</v>
      </c>
      <c r="D941" s="178" t="s">
        <v>674</v>
      </c>
      <c r="E941" s="178" t="str">
        <f>VLOOKUP(A945,CUSTOMER!$A$2:$H$1094,5,0)</f>
        <v>VACANCY</v>
      </c>
      <c r="F941" s="178" t="str">
        <f>VLOOKUP(A945,CUSTOMER!$A$2:$I$1094,6,0)</f>
        <v>VACANCY</v>
      </c>
      <c r="G941" s="178" t="s">
        <v>676</v>
      </c>
      <c r="H941" s="179">
        <f t="shared" si="148"/>
        <v>0</v>
      </c>
      <c r="I941" s="180" t="str">
        <f t="shared" si="149"/>
        <v/>
      </c>
      <c r="J941" s="181">
        <f t="shared" si="150"/>
        <v>0</v>
      </c>
      <c r="K941" s="182">
        <v>0</v>
      </c>
      <c r="L941" s="180" t="str">
        <f t="shared" si="144"/>
        <v/>
      </c>
      <c r="M941" s="218">
        <f>SUMIFS(DATA!$L:$L,DATA!$O:$O,$B945,DATA!$N:$N,$A945,DATA!$M:$M,'SALES BY SYSTEM'!$O$1)</f>
        <v>0</v>
      </c>
      <c r="N941" s="182">
        <v>0</v>
      </c>
      <c r="O941" s="180" t="str">
        <f t="shared" si="145"/>
        <v/>
      </c>
      <c r="P941" s="218">
        <f>SUMIFS(DATA!$L:$L,DATA!$O:$O,$B945,DATA!$N:$N,$A945,DATA!$M:$M,'SALES BY SYSTEM'!$O$2)</f>
        <v>0</v>
      </c>
      <c r="Q941" s="182">
        <v>0</v>
      </c>
      <c r="R941" s="180" t="str">
        <f t="shared" si="146"/>
        <v/>
      </c>
      <c r="S941" s="218">
        <f>SUMIFS(DATA!$L:$L,DATA!$O:$O,$B945,DATA!$N:$N,$A945,DATA!$M:$M,'SALES BY SYSTEM'!$O$4)</f>
        <v>0</v>
      </c>
      <c r="T941" s="182">
        <v>0</v>
      </c>
      <c r="U941" s="180" t="str">
        <f t="shared" si="147"/>
        <v/>
      </c>
      <c r="V941" s="218">
        <f>SUMIFS(DATA!$L:$L,DATA!$O:$O,$B945,DATA!$N:$N,$A945,DATA!$M:$M,'SALES BY SYSTEM'!$O$3)</f>
        <v>0</v>
      </c>
      <c r="W941" s="168"/>
    </row>
    <row r="942" spans="1:23" ht="15.75" customHeight="1" x14ac:dyDescent="0.25">
      <c r="A942" s="178" t="s">
        <v>2282</v>
      </c>
      <c r="B942" s="178" t="s">
        <v>2184</v>
      </c>
      <c r="C942" s="178" t="str">
        <f>VLOOKUP(A942,CUSTOMER!$A:$C,3,0)</f>
        <v>TNM_VIN_VTRI</v>
      </c>
      <c r="D942" s="178" t="s">
        <v>674</v>
      </c>
      <c r="E942" s="178" t="str">
        <f>VLOOKUP(A946,CUSTOMER!$A$2:$H$1094,5,0)</f>
        <v>TRAN THI THAO NGUYEN</v>
      </c>
      <c r="F942" s="178" t="str">
        <f>VLOOKUP(A946,CUSTOMER!$A$2:$I$1094,6,0)</f>
        <v>VACANCY</v>
      </c>
      <c r="G942" s="178" t="s">
        <v>676</v>
      </c>
      <c r="H942" s="179">
        <f t="shared" si="148"/>
        <v>0</v>
      </c>
      <c r="I942" s="180" t="str">
        <f t="shared" si="149"/>
        <v/>
      </c>
      <c r="J942" s="181">
        <f t="shared" si="150"/>
        <v>0</v>
      </c>
      <c r="K942" s="182">
        <v>0</v>
      </c>
      <c r="L942" s="180" t="str">
        <f t="shared" si="144"/>
        <v/>
      </c>
      <c r="M942" s="218">
        <f>SUMIFS(DATA!$L:$L,DATA!$O:$O,$B946,DATA!$N:$N,$A946,DATA!$M:$M,'SALES BY SYSTEM'!$O$1)</f>
        <v>0</v>
      </c>
      <c r="N942" s="182">
        <v>0</v>
      </c>
      <c r="O942" s="180" t="str">
        <f t="shared" si="145"/>
        <v/>
      </c>
      <c r="P942" s="218">
        <f>SUMIFS(DATA!$L:$L,DATA!$O:$O,$B946,DATA!$N:$N,$A946,DATA!$M:$M,'SALES BY SYSTEM'!$O$2)</f>
        <v>0</v>
      </c>
      <c r="Q942" s="182">
        <v>0</v>
      </c>
      <c r="R942" s="180" t="str">
        <f t="shared" si="146"/>
        <v/>
      </c>
      <c r="S942" s="218">
        <f>SUMIFS(DATA!$L:$L,DATA!$O:$O,$B946,DATA!$N:$N,$A946,DATA!$M:$M,'SALES BY SYSTEM'!$O$4)</f>
        <v>0</v>
      </c>
      <c r="T942" s="182">
        <v>0</v>
      </c>
      <c r="U942" s="180" t="str">
        <f t="shared" si="147"/>
        <v/>
      </c>
      <c r="V942" s="218">
        <f>SUMIFS(DATA!$L:$L,DATA!$O:$O,$B946,DATA!$N:$N,$A946,DATA!$M:$M,'SALES BY SYSTEM'!$O$3)</f>
        <v>0</v>
      </c>
      <c r="W942" s="168"/>
    </row>
    <row r="943" spans="1:23" ht="15.75" customHeight="1" x14ac:dyDescent="0.25">
      <c r="A943" s="178" t="s">
        <v>2284</v>
      </c>
      <c r="B943" s="178" t="s">
        <v>2184</v>
      </c>
      <c r="C943" s="178" t="str">
        <f>VLOOKUP(A943,CUSTOMER!$A:$C,3,0)</f>
        <v>TNM_VINH</v>
      </c>
      <c r="D943" s="178" t="s">
        <v>674</v>
      </c>
      <c r="E943" s="178" t="str">
        <f>VLOOKUP(A947,CUSTOMER!$A$2:$H$1094,5,0)</f>
        <v>TRAN THI THAO NGUYEN</v>
      </c>
      <c r="F943" s="178" t="str">
        <f>VLOOKUP(A947,CUSTOMER!$A$2:$I$1094,6,0)</f>
        <v>VACANCY</v>
      </c>
      <c r="G943" s="178" t="s">
        <v>676</v>
      </c>
      <c r="H943" s="179">
        <f t="shared" si="148"/>
        <v>0</v>
      </c>
      <c r="I943" s="180" t="str">
        <f t="shared" si="149"/>
        <v/>
      </c>
      <c r="J943" s="181">
        <f t="shared" si="150"/>
        <v>0</v>
      </c>
      <c r="K943" s="182">
        <v>0</v>
      </c>
      <c r="L943" s="180" t="str">
        <f t="shared" si="144"/>
        <v/>
      </c>
      <c r="M943" s="218">
        <f>SUMIFS(DATA!$L:$L,DATA!$O:$O,$B947,DATA!$N:$N,$A947,DATA!$M:$M,'SALES BY SYSTEM'!$O$1)</f>
        <v>0</v>
      </c>
      <c r="N943" s="182">
        <v>0</v>
      </c>
      <c r="O943" s="180" t="str">
        <f t="shared" si="145"/>
        <v/>
      </c>
      <c r="P943" s="218">
        <f>SUMIFS(DATA!$L:$L,DATA!$O:$O,$B947,DATA!$N:$N,$A947,DATA!$M:$M,'SALES BY SYSTEM'!$O$2)</f>
        <v>0</v>
      </c>
      <c r="Q943" s="182">
        <v>0</v>
      </c>
      <c r="R943" s="180" t="str">
        <f t="shared" si="146"/>
        <v/>
      </c>
      <c r="S943" s="218">
        <f>SUMIFS(DATA!$L:$L,DATA!$O:$O,$B947,DATA!$N:$N,$A947,DATA!$M:$M,'SALES BY SYSTEM'!$O$4)</f>
        <v>0</v>
      </c>
      <c r="T943" s="182">
        <v>0</v>
      </c>
      <c r="U943" s="180" t="str">
        <f t="shared" si="147"/>
        <v/>
      </c>
      <c r="V943" s="218">
        <f>SUMIFS(DATA!$L:$L,DATA!$O:$O,$B947,DATA!$N:$N,$A947,DATA!$M:$M,'SALES BY SYSTEM'!$O$3)</f>
        <v>0</v>
      </c>
      <c r="W943" s="168"/>
    </row>
    <row r="944" spans="1:23" ht="15.75" customHeight="1" x14ac:dyDescent="0.25">
      <c r="A944" s="13" t="s">
        <v>2286</v>
      </c>
      <c r="B944" s="13" t="s">
        <v>2184</v>
      </c>
      <c r="C944" s="178" t="str">
        <f>VLOOKUP(A944,CUSTOMER!$A:$C,3,0)</f>
        <v>TNM_VINCTHO</v>
      </c>
      <c r="D944" s="178" t="s">
        <v>674</v>
      </c>
      <c r="E944" s="178" t="e">
        <f>VLOOKUP(#REF!,CUSTOMER!$A$2:$H$1094,5,0)</f>
        <v>#REF!</v>
      </c>
      <c r="F944" s="178" t="e">
        <f>VLOOKUP(#REF!,CUSTOMER!$A$2:$I$1094,6,0)</f>
        <v>#REF!</v>
      </c>
      <c r="G944" s="178" t="s">
        <v>676</v>
      </c>
      <c r="H944" s="179">
        <f t="shared" si="148"/>
        <v>0</v>
      </c>
      <c r="I944" s="180" t="str">
        <f t="shared" si="149"/>
        <v/>
      </c>
      <c r="J944" s="181">
        <f t="shared" si="150"/>
        <v>0</v>
      </c>
      <c r="K944" s="182">
        <v>0</v>
      </c>
      <c r="L944" s="180" t="str">
        <f>IFERROR(#REF!/#REF!,"")</f>
        <v/>
      </c>
      <c r="M944" s="218">
        <f>SUMIFS(DATA!$L:$L,DATA!$O:$O,#REF!,DATA!$N:$N,#REF!,DATA!$M:$M,'SALES BY SYSTEM'!$O$1)</f>
        <v>0</v>
      </c>
      <c r="N944" s="182">
        <v>0</v>
      </c>
      <c r="O944" s="180" t="str">
        <f>IFERROR(#REF!/#REF!,"")</f>
        <v/>
      </c>
      <c r="P944" s="218">
        <f>SUMIFS(DATA!$L:$L,DATA!$O:$O,#REF!,DATA!$N:$N,#REF!,DATA!$M:$M,'SALES BY SYSTEM'!$O$2)</f>
        <v>0</v>
      </c>
      <c r="Q944" s="182">
        <v>0</v>
      </c>
      <c r="R944" s="180" t="str">
        <f>IFERROR(#REF!/#REF!,"")</f>
        <v/>
      </c>
      <c r="S944" s="218">
        <f>SUMIFS(DATA!$L:$L,DATA!$O:$O,#REF!,DATA!$N:$N,#REF!,DATA!$M:$M,'SALES BY SYSTEM'!$O$4)</f>
        <v>0</v>
      </c>
      <c r="T944" s="182">
        <v>0</v>
      </c>
      <c r="U944" s="180" t="str">
        <f>IFERROR(#REF!/#REF!,"")</f>
        <v/>
      </c>
      <c r="V944" s="218">
        <f>SUMIFS(DATA!$L:$L,DATA!$O:$O,#REF!,DATA!$N:$N,#REF!,DATA!$M:$M,'SALES BY SYSTEM'!$O$3)</f>
        <v>0</v>
      </c>
      <c r="W944" s="168"/>
    </row>
    <row r="945" spans="1:23" ht="15.75" customHeight="1" x14ac:dyDescent="0.25">
      <c r="A945" s="13" t="s">
        <v>2288</v>
      </c>
      <c r="B945" s="13" t="s">
        <v>2184</v>
      </c>
      <c r="C945" s="178" t="str">
        <f>VLOOKUP(A945,CUSTOMER!$A:$C,3,0)</f>
        <v>TNM_VINLVV</v>
      </c>
      <c r="D945" s="178" t="s">
        <v>674</v>
      </c>
      <c r="E945" s="178" t="e">
        <f>VLOOKUP(#REF!,CUSTOMER!$A$2:$H$1094,5,0)</f>
        <v>#REF!</v>
      </c>
      <c r="F945" s="178" t="e">
        <f>VLOOKUP(#REF!,CUSTOMER!$A$2:$I$1094,6,0)</f>
        <v>#REF!</v>
      </c>
      <c r="G945" s="178" t="s">
        <v>676</v>
      </c>
      <c r="H945" s="179">
        <f t="shared" si="148"/>
        <v>0</v>
      </c>
      <c r="I945" s="180" t="str">
        <f t="shared" si="149"/>
        <v/>
      </c>
      <c r="J945" s="181">
        <f t="shared" si="150"/>
        <v>0</v>
      </c>
      <c r="K945" s="182">
        <v>0</v>
      </c>
      <c r="L945" s="180" t="str">
        <f>IFERROR(#REF!/#REF!,"")</f>
        <v/>
      </c>
      <c r="M945" s="218">
        <f>SUMIFS(DATA!$L:$L,DATA!$O:$O,#REF!,DATA!$N:$N,#REF!,DATA!$M:$M,'SALES BY SYSTEM'!$O$1)</f>
        <v>0</v>
      </c>
      <c r="N945" s="182">
        <v>0</v>
      </c>
      <c r="O945" s="180" t="str">
        <f>IFERROR(#REF!/#REF!,"")</f>
        <v/>
      </c>
      <c r="P945" s="218">
        <f>SUMIFS(DATA!$L:$L,DATA!$O:$O,#REF!,DATA!$N:$N,#REF!,DATA!$M:$M,'SALES BY SYSTEM'!$O$2)</f>
        <v>0</v>
      </c>
      <c r="Q945" s="182">
        <v>0</v>
      </c>
      <c r="R945" s="180" t="str">
        <f>IFERROR(#REF!/#REF!,"")</f>
        <v/>
      </c>
      <c r="S945" s="218">
        <f>SUMIFS(DATA!$L:$L,DATA!$O:$O,#REF!,DATA!$N:$N,#REF!,DATA!$M:$M,'SALES BY SYSTEM'!$O$4)</f>
        <v>0</v>
      </c>
      <c r="T945" s="182">
        <v>0</v>
      </c>
      <c r="U945" s="180" t="str">
        <f>IFERROR(#REF!/#REF!,"")</f>
        <v/>
      </c>
      <c r="V945" s="218">
        <f>SUMIFS(DATA!$L:$L,DATA!$O:$O,#REF!,DATA!$N:$N,#REF!,DATA!$M:$M,'SALES BY SYSTEM'!$O$3)</f>
        <v>0</v>
      </c>
      <c r="W945" s="168"/>
    </row>
    <row r="946" spans="1:23" ht="15.75" customHeight="1" x14ac:dyDescent="0.25">
      <c r="A946" t="s">
        <v>1733</v>
      </c>
      <c r="B946" t="s">
        <v>40</v>
      </c>
      <c r="C946" s="13" t="str">
        <f>VLOOKUP(A946,CUSTOMER!$A:$C,3,0)</f>
        <v>NH_BDUONG</v>
      </c>
      <c r="D946" s="178" t="s">
        <v>674</v>
      </c>
      <c r="E946" s="178"/>
      <c r="F946" s="178"/>
      <c r="G946" s="178"/>
      <c r="H946" s="179">
        <f t="shared" si="148"/>
        <v>0</v>
      </c>
      <c r="I946" s="180" t="str">
        <f t="shared" si="149"/>
        <v/>
      </c>
      <c r="J946" s="181">
        <f t="shared" si="150"/>
        <v>0</v>
      </c>
      <c r="K946" s="182"/>
      <c r="L946" s="180" t="str">
        <f>IFERROR(#REF!/#REF!,"")</f>
        <v/>
      </c>
      <c r="M946" s="218">
        <f>SUMIFS(DATA!$L:$L,DATA!$O:$O,#REF!,DATA!$N:$N,#REF!,DATA!$M:$M,'SALES BY SYSTEM'!$O$1)</f>
        <v>0</v>
      </c>
      <c r="N946" s="182">
        <v>0</v>
      </c>
      <c r="O946" s="180" t="str">
        <f>IFERROR(#REF!/#REF!,"")</f>
        <v/>
      </c>
      <c r="P946" s="218">
        <f>SUMIFS(DATA!$L:$L,DATA!$O:$O,#REF!,DATA!$N:$N,#REF!,DATA!$M:$M,'SALES BY SYSTEM'!$O$2)</f>
        <v>0</v>
      </c>
      <c r="Q946" s="182">
        <v>0</v>
      </c>
      <c r="R946" s="180" t="str">
        <f>IFERROR(#REF!/#REF!,"")</f>
        <v/>
      </c>
      <c r="S946" s="218">
        <f>SUMIFS(DATA!$L:$L,DATA!$O:$O,#REF!,DATA!$N:$N,#REF!,DATA!$M:$M,'SALES BY SYSTEM'!$O$4)</f>
        <v>0</v>
      </c>
      <c r="T946" s="182"/>
      <c r="U946" s="180" t="str">
        <f>IFERROR(#REF!/#REF!,"")</f>
        <v/>
      </c>
      <c r="V946" s="218">
        <f>SUMIFS(DATA!$L:$L,DATA!$O:$O,#REF!,DATA!$N:$N,#REF!,DATA!$M:$M,'SALES BY SYSTEM'!$O$3)</f>
        <v>0</v>
      </c>
      <c r="W946" s="168"/>
    </row>
    <row r="947" spans="1:23" ht="15.75" customHeight="1" x14ac:dyDescent="0.25">
      <c r="A947" t="s">
        <v>39</v>
      </c>
      <c r="B947" t="s">
        <v>40</v>
      </c>
      <c r="C947" s="13" t="str">
        <f>VLOOKUP(A947,CUSTOMER!$A:$C,3,0)</f>
        <v>NH_HMAI</v>
      </c>
      <c r="D947" s="178" t="s">
        <v>674</v>
      </c>
      <c r="E947" s="178"/>
      <c r="F947" s="178"/>
      <c r="G947" s="178"/>
      <c r="H947" s="179">
        <f t="shared" si="148"/>
        <v>0</v>
      </c>
      <c r="I947" s="180" t="str">
        <f t="shared" si="149"/>
        <v/>
      </c>
      <c r="J947" s="181">
        <f t="shared" si="150"/>
        <v>0</v>
      </c>
      <c r="K947" s="182"/>
      <c r="L947" s="180" t="str">
        <f>IFERROR(#REF!/#REF!,"")</f>
        <v/>
      </c>
      <c r="M947" s="218">
        <f>SUMIFS(DATA!$L:$L,DATA!$O:$O,#REF!,DATA!$N:$N,#REF!,DATA!$M:$M,'SALES BY SYSTEM'!$O$1)</f>
        <v>0</v>
      </c>
      <c r="N947" s="182"/>
      <c r="O947" s="180" t="str">
        <f>IFERROR(#REF!/#REF!,"")</f>
        <v/>
      </c>
      <c r="P947" s="218">
        <f>SUMIFS(DATA!$L:$L,DATA!$O:$O,#REF!,DATA!$N:$N,#REF!,DATA!$M:$M,'SALES BY SYSTEM'!$O$2)</f>
        <v>0</v>
      </c>
      <c r="Q947" s="182">
        <v>0</v>
      </c>
      <c r="R947" s="180" t="str">
        <f>IFERROR(#REF!/#REF!,"")</f>
        <v/>
      </c>
      <c r="S947" s="218">
        <f>SUMIFS(DATA!$L:$L,DATA!$O:$O,#REF!,DATA!$N:$N,#REF!,DATA!$M:$M,'SALES BY SYSTEM'!$O$4)</f>
        <v>0</v>
      </c>
      <c r="T947" s="182"/>
      <c r="U947" s="180" t="str">
        <f>IFERROR(#REF!/#REF!,"")</f>
        <v/>
      </c>
      <c r="V947" s="218">
        <f>SUMIFS(DATA!$L:$L,DATA!$O:$O,#REF!,DATA!$N:$N,#REF!,DATA!$M:$M,'SALES BY SYSTEM'!$O$3)</f>
        <v>0</v>
      </c>
      <c r="W947" s="168"/>
    </row>
    <row r="948" spans="1:23" ht="15.75" customHeight="1" x14ac:dyDescent="0.25">
      <c r="A948" s="126" t="s">
        <v>2481</v>
      </c>
      <c r="B948" t="s">
        <v>16</v>
      </c>
      <c r="C948" s="126" t="str">
        <f>VLOOKUP(A948,CUSTOMER!$A:$C,3,0)</f>
        <v>COOP_F_NDU</v>
      </c>
      <c r="D948" s="178"/>
      <c r="E948" s="178"/>
      <c r="F948" s="178"/>
      <c r="G948" s="178"/>
      <c r="H948" s="179">
        <f t="shared" si="148"/>
        <v>0</v>
      </c>
      <c r="I948" s="180" t="str">
        <f t="shared" si="149"/>
        <v/>
      </c>
      <c r="J948" s="181">
        <f t="shared" si="150"/>
        <v>0</v>
      </c>
      <c r="K948" s="182"/>
      <c r="L948" s="180"/>
      <c r="M948" s="218">
        <f>SUMIFS(DATA!$L:$L,DATA!$O:$O,$B952,DATA!$N:$N,$A952,DATA!$M:$M,'SALES BY SYSTEM'!$O$1)</f>
        <v>0</v>
      </c>
      <c r="N948" s="182"/>
      <c r="O948" s="180"/>
      <c r="P948" s="218">
        <f>SUMIFS(DATA!$L:$L,DATA!$O:$O,$B952,DATA!$N:$N,$A952,DATA!$M:$M,'SALES BY SYSTEM'!$O$2)</f>
        <v>0</v>
      </c>
      <c r="Q948" s="182">
        <v>0</v>
      </c>
      <c r="R948" s="180"/>
      <c r="S948" s="218">
        <f>SUMIFS(DATA!$L:$L,DATA!$O:$O,$B952,DATA!$N:$N,$A952,DATA!$M:$M,'SALES BY SYSTEM'!$O$4)</f>
        <v>0</v>
      </c>
      <c r="T948" s="182"/>
      <c r="U948" s="180"/>
      <c r="V948" s="218">
        <f>SUMIFS(DATA!$L:$L,DATA!$O:$O,$B952,DATA!$N:$N,$A952,DATA!$M:$M,'SALES BY SYSTEM'!$O$3)</f>
        <v>0</v>
      </c>
      <c r="W948" s="168"/>
    </row>
    <row r="949" spans="1:23" ht="15.75" customHeight="1" x14ac:dyDescent="0.25">
      <c r="A949" s="126" t="s">
        <v>2482</v>
      </c>
      <c r="B949" t="s">
        <v>16</v>
      </c>
      <c r="C949" s="126" t="str">
        <f>VLOOKUP(A949,CUSTOMER!$A:$C,3,0)</f>
        <v>COOP_F_PHUU</v>
      </c>
      <c r="D949" s="178"/>
      <c r="E949" s="178"/>
      <c r="F949" s="178"/>
      <c r="G949" s="178"/>
      <c r="H949" s="179">
        <f t="shared" si="148"/>
        <v>0</v>
      </c>
      <c r="I949" s="180" t="str">
        <f t="shared" si="149"/>
        <v/>
      </c>
      <c r="J949" s="181">
        <f t="shared" si="150"/>
        <v>0</v>
      </c>
      <c r="K949" s="182"/>
      <c r="L949" s="180"/>
      <c r="M949" s="218">
        <f>SUMIFS(DATA!$L:$L,DATA!$O:$O,$B953,DATA!$N:$N,$A953,DATA!$M:$M,'SALES BY SYSTEM'!$O$1)</f>
        <v>0</v>
      </c>
      <c r="N949" s="182"/>
      <c r="O949" s="180"/>
      <c r="P949" s="218">
        <f>SUMIFS(DATA!$L:$L,DATA!$O:$O,$B953,DATA!$N:$N,$A953,DATA!$M:$M,'SALES BY SYSTEM'!$O$2)</f>
        <v>0</v>
      </c>
      <c r="Q949" s="182">
        <v>0</v>
      </c>
      <c r="R949" s="180"/>
      <c r="S949" s="218">
        <f>SUMIFS(DATA!$L:$L,DATA!$O:$O,$B953,DATA!$N:$N,$A953,DATA!$M:$M,'SALES BY SYSTEM'!$O$4)</f>
        <v>0</v>
      </c>
      <c r="T949" s="182"/>
      <c r="U949" s="180"/>
      <c r="V949" s="218">
        <f>SUMIFS(DATA!$L:$L,DATA!$O:$O,$B953,DATA!$N:$N,$A953,DATA!$M:$M,'SALES BY SYSTEM'!$O$3)</f>
        <v>0</v>
      </c>
      <c r="W949" s="168"/>
    </row>
    <row r="950" spans="1:23" ht="15.75" customHeight="1" x14ac:dyDescent="0.25">
      <c r="A950" t="s">
        <v>448</v>
      </c>
      <c r="B950" t="s">
        <v>432</v>
      </c>
      <c r="C950" s="178" t="str">
        <f>VLOOKUP(A950,CUSTOMER!$A:$C,3,0)</f>
        <v>BIGC_CUCHI_1515</v>
      </c>
      <c r="D950" s="178" t="s">
        <v>674</v>
      </c>
      <c r="E950" s="178" t="e">
        <f>VLOOKUP(A950,CUSTOMER!$A$2:$H$1094,5,0)</f>
        <v>#N/A</v>
      </c>
      <c r="F950" s="178" t="e">
        <f>VLOOKUP(A950,CUSTOMER!$A$2:$I$1094,6,0)</f>
        <v>#N/A</v>
      </c>
      <c r="G950" s="178" t="s">
        <v>676</v>
      </c>
      <c r="H950" s="179">
        <f t="shared" si="148"/>
        <v>0</v>
      </c>
      <c r="I950" s="180" t="str">
        <f t="shared" si="149"/>
        <v/>
      </c>
      <c r="J950" s="181">
        <f t="shared" si="150"/>
        <v>0</v>
      </c>
      <c r="K950" s="182">
        <v>0</v>
      </c>
      <c r="L950" s="180" t="str">
        <f t="shared" ref="L950:L980" si="151">IFERROR(M950/K950,"")</f>
        <v/>
      </c>
      <c r="M950" s="218">
        <f>SUMIFS(DATA!$L:$L,DATA!$O:$O,$B950,DATA!$N:$N,$A950,DATA!$M:$M,'SALES BY SYSTEM'!$O$1)</f>
        <v>0</v>
      </c>
      <c r="N950" s="182">
        <v>0</v>
      </c>
      <c r="O950" s="180" t="str">
        <f t="shared" ref="O950:O980" si="152">IFERROR(P950/N950,"")</f>
        <v/>
      </c>
      <c r="P950" s="218">
        <f>SUMIFS(DATA!$L:$L,DATA!$O:$O,$B950,DATA!$N:$N,$A950,DATA!$M:$M,'SALES BY SYSTEM'!$O$2)</f>
        <v>0</v>
      </c>
      <c r="Q950" s="182">
        <v>0</v>
      </c>
      <c r="R950" s="180" t="str">
        <f t="shared" ref="R950:R980" si="153">IFERROR(S950/Q950,"")</f>
        <v/>
      </c>
      <c r="S950" s="218">
        <f>SUMIFS(DATA!$L:$L,DATA!$O:$O,$B950,DATA!$N:$N,$A950,DATA!$M:$M,'SALES BY SYSTEM'!$O$4)</f>
        <v>0</v>
      </c>
      <c r="T950" s="182">
        <v>0</v>
      </c>
      <c r="U950" s="180" t="str">
        <f t="shared" ref="U950:U980" si="154">IFERROR(V950/T950,"")</f>
        <v/>
      </c>
      <c r="V950" s="218">
        <f>SUMIFS(DATA!$L:$L,DATA!$O:$O,$B950,DATA!$N:$N,$A950,DATA!$M:$M,'SALES BY SYSTEM'!$O$3)</f>
        <v>0</v>
      </c>
      <c r="W950" s="168"/>
    </row>
    <row r="951" spans="1:23" ht="15.75" customHeight="1" x14ac:dyDescent="0.25">
      <c r="A951" t="s">
        <v>323</v>
      </c>
      <c r="B951" t="s">
        <v>16</v>
      </c>
      <c r="C951" s="178" t="str">
        <f>VLOOKUP(A951,CUSTOMER!$A:$C,3,0)</f>
        <v>COOP_F_THDAO_BD</v>
      </c>
      <c r="D951" s="178" t="s">
        <v>674</v>
      </c>
      <c r="E951" s="178" t="e">
        <f>VLOOKUP(A951,CUSTOMER!$A$2:$H$1094,5,0)</f>
        <v>#N/A</v>
      </c>
      <c r="F951" s="178" t="e">
        <f>VLOOKUP(A951,CUSTOMER!$A$2:$I$1094,6,0)</f>
        <v>#N/A</v>
      </c>
      <c r="G951" s="178" t="s">
        <v>676</v>
      </c>
      <c r="H951" s="179">
        <f t="shared" si="148"/>
        <v>0</v>
      </c>
      <c r="I951" s="180" t="str">
        <f t="shared" si="149"/>
        <v/>
      </c>
      <c r="J951" s="181">
        <f t="shared" si="150"/>
        <v>0</v>
      </c>
      <c r="K951" s="182">
        <v>0</v>
      </c>
      <c r="L951" s="180" t="str">
        <f t="shared" si="151"/>
        <v/>
      </c>
      <c r="M951" s="218">
        <f>SUMIFS(DATA!$L:$L,DATA!$O:$O,$B951,DATA!$N:$N,$A951,DATA!$M:$M,'SALES BY SYSTEM'!$O$1)</f>
        <v>0</v>
      </c>
      <c r="N951" s="182">
        <v>0</v>
      </c>
      <c r="O951" s="180" t="str">
        <f t="shared" si="152"/>
        <v/>
      </c>
      <c r="P951" s="218">
        <f>SUMIFS(DATA!$L:$L,DATA!$O:$O,$B951,DATA!$N:$N,$A951,DATA!$M:$M,'SALES BY SYSTEM'!$O$2)</f>
        <v>0</v>
      </c>
      <c r="Q951" s="182">
        <v>0</v>
      </c>
      <c r="R951" s="180" t="str">
        <f t="shared" si="153"/>
        <v/>
      </c>
      <c r="S951" s="218">
        <f>SUMIFS(DATA!$L:$L,DATA!$O:$O,$B951,DATA!$N:$N,$A951,DATA!$M:$M,'SALES BY SYSTEM'!$O$4)</f>
        <v>0</v>
      </c>
      <c r="T951" s="182">
        <v>0</v>
      </c>
      <c r="U951" s="180" t="str">
        <f t="shared" si="154"/>
        <v/>
      </c>
      <c r="V951" s="218">
        <f>SUMIFS(DATA!$L:$L,DATA!$O:$O,$B951,DATA!$N:$N,$A951,DATA!$M:$M,'SALES BY SYSTEM'!$O$3)</f>
        <v>0</v>
      </c>
      <c r="W951" s="168"/>
    </row>
    <row r="952" spans="1:23" ht="15.75" customHeight="1" x14ac:dyDescent="0.25">
      <c r="A952" t="s">
        <v>37</v>
      </c>
      <c r="B952" t="s">
        <v>19</v>
      </c>
      <c r="C952" s="178" t="str">
        <f>VLOOKUP(A952,CUSTOMER!$A:$C,3,0)</f>
        <v>VIN_PTHO</v>
      </c>
      <c r="D952" s="178" t="s">
        <v>674</v>
      </c>
      <c r="E952" s="178" t="e">
        <f>VLOOKUP(A952,CUSTOMER!$A$2:$H$1094,5,0)</f>
        <v>#N/A</v>
      </c>
      <c r="F952" s="178" t="e">
        <f>VLOOKUP(A952,CUSTOMER!$A$2:$I$1094,6,0)</f>
        <v>#N/A</v>
      </c>
      <c r="G952" s="178" t="s">
        <v>676</v>
      </c>
      <c r="H952" s="179">
        <f t="shared" si="148"/>
        <v>0</v>
      </c>
      <c r="I952" s="180" t="str">
        <f t="shared" si="149"/>
        <v/>
      </c>
      <c r="J952" s="181">
        <f t="shared" si="150"/>
        <v>0</v>
      </c>
      <c r="K952" s="182">
        <v>0</v>
      </c>
      <c r="L952" s="180" t="str">
        <f t="shared" si="151"/>
        <v/>
      </c>
      <c r="M952" s="218">
        <f>SUMIFS(DATA!$L:$L,DATA!$O:$O,$B952,DATA!$N:$N,$A952,DATA!$M:$M,'SALES BY SYSTEM'!$O$1)</f>
        <v>0</v>
      </c>
      <c r="N952" s="182">
        <v>0</v>
      </c>
      <c r="O952" s="180" t="str">
        <f t="shared" si="152"/>
        <v/>
      </c>
      <c r="P952" s="218">
        <f>SUMIFS(DATA!$L:$L,DATA!$O:$O,$B952,DATA!$N:$N,$A952,DATA!$M:$M,'SALES BY SYSTEM'!$O$2)</f>
        <v>0</v>
      </c>
      <c r="Q952" s="182">
        <v>0</v>
      </c>
      <c r="R952" s="180" t="str">
        <f t="shared" si="153"/>
        <v/>
      </c>
      <c r="S952" s="218">
        <f>SUMIFS(DATA!$L:$L,DATA!$O:$O,$B952,DATA!$N:$N,$A952,DATA!$M:$M,'SALES BY SYSTEM'!$O$4)</f>
        <v>0</v>
      </c>
      <c r="T952" s="182">
        <v>0</v>
      </c>
      <c r="U952" s="180" t="str">
        <f t="shared" si="154"/>
        <v/>
      </c>
      <c r="V952" s="218">
        <f>SUMIFS(DATA!$L:$L,DATA!$O:$O,$B952,DATA!$N:$N,$A952,DATA!$M:$M,'SALES BY SYSTEM'!$O$3)</f>
        <v>0</v>
      </c>
      <c r="W952" s="168"/>
    </row>
    <row r="953" spans="1:23" ht="15.75" customHeight="1" x14ac:dyDescent="0.25">
      <c r="A953" t="s">
        <v>319</v>
      </c>
      <c r="B953" t="s">
        <v>16</v>
      </c>
      <c r="C953" s="178" t="str">
        <f>VLOOKUP(A953,CUSTOMER!$A:$C,3,0)</f>
        <v>COOP_F_RBOWNS3</v>
      </c>
      <c r="D953" s="178" t="s">
        <v>674</v>
      </c>
      <c r="E953" s="178" t="e">
        <f>VLOOKUP(A953,CUSTOMER!$A$2:$H$1094,5,0)</f>
        <v>#N/A</v>
      </c>
      <c r="F953" s="178" t="e">
        <f>VLOOKUP(A953,CUSTOMER!$A$2:$I$1094,6,0)</f>
        <v>#N/A</v>
      </c>
      <c r="G953" s="178" t="s">
        <v>676</v>
      </c>
      <c r="H953" s="179">
        <f t="shared" si="148"/>
        <v>0</v>
      </c>
      <c r="I953" s="180" t="str">
        <f t="shared" si="149"/>
        <v/>
      </c>
      <c r="J953" s="181">
        <f t="shared" si="150"/>
        <v>0</v>
      </c>
      <c r="K953" s="182">
        <v>0</v>
      </c>
      <c r="L953" s="180" t="str">
        <f t="shared" si="151"/>
        <v/>
      </c>
      <c r="M953" s="218">
        <f>SUMIFS(DATA!$L:$L,DATA!$O:$O,$B953,DATA!$N:$N,$A953,DATA!$M:$M,'SALES BY SYSTEM'!$O$1)</f>
        <v>0</v>
      </c>
      <c r="N953" s="182">
        <v>0</v>
      </c>
      <c r="O953" s="180" t="str">
        <f t="shared" si="152"/>
        <v/>
      </c>
      <c r="P953" s="218">
        <f>SUMIFS(DATA!$L:$L,DATA!$O:$O,$B953,DATA!$N:$N,$A953,DATA!$M:$M,'SALES BY SYSTEM'!$O$2)</f>
        <v>0</v>
      </c>
      <c r="Q953" s="182">
        <v>0</v>
      </c>
      <c r="R953" s="180" t="str">
        <f t="shared" si="153"/>
        <v/>
      </c>
      <c r="S953" s="218">
        <f>SUMIFS(DATA!$L:$L,DATA!$O:$O,$B953,DATA!$N:$N,$A953,DATA!$M:$M,'SALES BY SYSTEM'!$O$4)</f>
        <v>0</v>
      </c>
      <c r="T953" s="182">
        <v>0</v>
      </c>
      <c r="U953" s="180" t="str">
        <f t="shared" si="154"/>
        <v/>
      </c>
      <c r="V953" s="218">
        <f>SUMIFS(DATA!$L:$L,DATA!$O:$O,$B953,DATA!$N:$N,$A953,DATA!$M:$M,'SALES BY SYSTEM'!$O$3)</f>
        <v>0</v>
      </c>
      <c r="W953" s="168"/>
    </row>
    <row r="954" spans="1:23" x14ac:dyDescent="0.25">
      <c r="A954" t="s">
        <v>321</v>
      </c>
      <c r="B954" t="s">
        <v>16</v>
      </c>
      <c r="C954" s="178" t="str">
        <f>VLOOKUP(A954,CUSTOMER!$A:$C,3,0)</f>
        <v>COOP_F_TANKY</v>
      </c>
      <c r="D954" s="178" t="s">
        <v>674</v>
      </c>
      <c r="E954" s="178" t="e">
        <f>VLOOKUP(A954,CUSTOMER!$A$2:$H$1094,5,0)</f>
        <v>#N/A</v>
      </c>
      <c r="F954" s="178" t="e">
        <f>VLOOKUP(A954,CUSTOMER!$A$2:$I$1094,6,0)</f>
        <v>#N/A</v>
      </c>
      <c r="G954" s="178" t="s">
        <v>676</v>
      </c>
      <c r="H954" s="179">
        <f t="shared" si="148"/>
        <v>0</v>
      </c>
      <c r="I954" s="180" t="str">
        <f t="shared" si="149"/>
        <v/>
      </c>
      <c r="J954" s="181">
        <f t="shared" si="150"/>
        <v>0</v>
      </c>
      <c r="K954" s="182">
        <v>0</v>
      </c>
      <c r="L954" s="180" t="str">
        <f t="shared" si="151"/>
        <v/>
      </c>
      <c r="M954" s="218">
        <f>SUMIFS(DATA!$L:$L,DATA!$O:$O,$B954,DATA!$N:$N,$A954,DATA!$M:$M,'SALES BY SYSTEM'!$O$1)</f>
        <v>0</v>
      </c>
      <c r="N954" s="182">
        <v>0</v>
      </c>
      <c r="O954" s="180" t="str">
        <f t="shared" si="152"/>
        <v/>
      </c>
      <c r="P954" s="218">
        <f>SUMIFS(DATA!$L:$L,DATA!$O:$O,$B954,DATA!$N:$N,$A954,DATA!$M:$M,'SALES BY SYSTEM'!$O$2)</f>
        <v>0</v>
      </c>
      <c r="Q954" s="182">
        <v>0</v>
      </c>
      <c r="R954" s="180" t="str">
        <f t="shared" si="153"/>
        <v/>
      </c>
      <c r="S954" s="218">
        <f>SUMIFS(DATA!$L:$L,DATA!$O:$O,$B954,DATA!$N:$N,$A954,DATA!$M:$M,'SALES BY SYSTEM'!$O$4)</f>
        <v>0</v>
      </c>
      <c r="T954" s="182">
        <v>0</v>
      </c>
      <c r="U954" s="180" t="str">
        <f t="shared" si="154"/>
        <v/>
      </c>
      <c r="V954" s="218">
        <f>SUMIFS(DATA!$L:$L,DATA!$O:$O,$B954,DATA!$N:$N,$A954,DATA!$M:$M,'SALES BY SYSTEM'!$O$3)</f>
        <v>0</v>
      </c>
      <c r="W954" s="168"/>
    </row>
    <row r="955" spans="1:23" x14ac:dyDescent="0.25">
      <c r="A955" t="s">
        <v>15</v>
      </c>
      <c r="B955" t="s">
        <v>16</v>
      </c>
      <c r="C955" s="178" t="str">
        <f>VLOOKUP(A955,CUSTOMER!$A:$C,3,0)</f>
        <v>COOP_F_LDONG</v>
      </c>
      <c r="D955" s="178" t="s">
        <v>674</v>
      </c>
      <c r="E955" s="178" t="e">
        <f>VLOOKUP(A955,CUSTOMER!$A$2:$H$1094,5,0)</f>
        <v>#N/A</v>
      </c>
      <c r="F955" s="178" t="e">
        <f>VLOOKUP(A955,CUSTOMER!$A$2:$I$1094,6,0)</f>
        <v>#N/A</v>
      </c>
      <c r="G955" s="178" t="s">
        <v>676</v>
      </c>
      <c r="H955" s="179">
        <f t="shared" si="148"/>
        <v>0</v>
      </c>
      <c r="I955" s="180" t="str">
        <f t="shared" si="149"/>
        <v/>
      </c>
      <c r="J955" s="181">
        <f t="shared" si="150"/>
        <v>0</v>
      </c>
      <c r="K955" s="182">
        <v>0</v>
      </c>
      <c r="L955" s="180" t="str">
        <f t="shared" si="151"/>
        <v/>
      </c>
      <c r="M955" s="218">
        <f>SUMIFS(DATA!$L:$L,DATA!$O:$O,$B955,DATA!$N:$N,$A955,DATA!$M:$M,'SALES BY SYSTEM'!$O$1)</f>
        <v>0</v>
      </c>
      <c r="N955" s="182">
        <v>0</v>
      </c>
      <c r="O955" s="180" t="str">
        <f t="shared" si="152"/>
        <v/>
      </c>
      <c r="P955" s="218">
        <f>SUMIFS(DATA!$L:$L,DATA!$O:$O,$B955,DATA!$N:$N,$A955,DATA!$M:$M,'SALES BY SYSTEM'!$O$2)</f>
        <v>0</v>
      </c>
      <c r="Q955" s="182">
        <v>0</v>
      </c>
      <c r="R955" s="180" t="str">
        <f t="shared" si="153"/>
        <v/>
      </c>
      <c r="S955" s="218">
        <f>SUMIFS(DATA!$L:$L,DATA!$O:$O,$B955,DATA!$N:$N,$A955,DATA!$M:$M,'SALES BY SYSTEM'!$O$4)</f>
        <v>0</v>
      </c>
      <c r="T955" s="182">
        <v>0</v>
      </c>
      <c r="U955" s="180" t="str">
        <f t="shared" si="154"/>
        <v/>
      </c>
      <c r="V955" s="218">
        <f>SUMIFS(DATA!$L:$L,DATA!$O:$O,$B955,DATA!$N:$N,$A955,DATA!$M:$M,'SALES BY SYSTEM'!$O$3)</f>
        <v>0</v>
      </c>
      <c r="W955" s="168"/>
    </row>
    <row r="956" spans="1:23" x14ac:dyDescent="0.25">
      <c r="A956" t="s">
        <v>592</v>
      </c>
      <c r="B956" t="s">
        <v>593</v>
      </c>
      <c r="C956" s="178" t="str">
        <f>VLOOKUP(A956,CUSTOMER!$A:$C,3,0)</f>
        <v>BD_TPHU</v>
      </c>
      <c r="D956" s="178" t="s">
        <v>674</v>
      </c>
      <c r="E956" s="178" t="e">
        <f>VLOOKUP(A956,CUSTOMER!$A$2:$H$1094,5,0)</f>
        <v>#N/A</v>
      </c>
      <c r="F956" s="178" t="e">
        <f>VLOOKUP(A956,CUSTOMER!$A$2:$I$1094,6,0)</f>
        <v>#N/A</v>
      </c>
      <c r="G956" s="178" t="s">
        <v>676</v>
      </c>
      <c r="H956" s="179">
        <f t="shared" si="148"/>
        <v>0</v>
      </c>
      <c r="I956" s="180" t="str">
        <f t="shared" si="149"/>
        <v/>
      </c>
      <c r="J956" s="181">
        <f t="shared" si="150"/>
        <v>0</v>
      </c>
      <c r="K956" s="182">
        <v>0</v>
      </c>
      <c r="L956" s="180" t="str">
        <f t="shared" si="151"/>
        <v/>
      </c>
      <c r="M956" s="218">
        <f>SUMIFS(DATA!$L:$L,DATA!$O:$O,$B956,DATA!$N:$N,$A956,DATA!$M:$M,'SALES BY SYSTEM'!$O$1)</f>
        <v>0</v>
      </c>
      <c r="N956" s="182">
        <v>0</v>
      </c>
      <c r="O956" s="180" t="str">
        <f t="shared" si="152"/>
        <v/>
      </c>
      <c r="P956" s="218">
        <f>SUMIFS(DATA!$L:$L,DATA!$O:$O,$B956,DATA!$N:$N,$A956,DATA!$M:$M,'SALES BY SYSTEM'!$O$2)</f>
        <v>0</v>
      </c>
      <c r="Q956" s="182">
        <v>0</v>
      </c>
      <c r="R956" s="180" t="str">
        <f t="shared" si="153"/>
        <v/>
      </c>
      <c r="S956" s="218">
        <f>SUMIFS(DATA!$L:$L,DATA!$O:$O,$B956,DATA!$N:$N,$A956,DATA!$M:$M,'SALES BY SYSTEM'!$O$4)</f>
        <v>0</v>
      </c>
      <c r="T956" s="182">
        <v>0</v>
      </c>
      <c r="U956" s="180" t="str">
        <f t="shared" si="154"/>
        <v/>
      </c>
      <c r="V956" s="218">
        <f>SUMIFS(DATA!$L:$L,DATA!$O:$O,$B956,DATA!$N:$N,$A956,DATA!$M:$M,'SALES BY SYSTEM'!$O$3)</f>
        <v>0</v>
      </c>
      <c r="W956" s="168"/>
    </row>
    <row r="957" spans="1:23" x14ac:dyDescent="0.25">
      <c r="A957" t="s">
        <v>616</v>
      </c>
      <c r="B957" t="s">
        <v>617</v>
      </c>
      <c r="C957" s="178" t="str">
        <f>VLOOKUP(A957,CUSTOMER!$A:$C,3,0)</f>
        <v>ACE_HOME_TDIEN</v>
      </c>
      <c r="D957" s="178" t="s">
        <v>674</v>
      </c>
      <c r="E957" s="178" t="e">
        <f>VLOOKUP(A957,CUSTOMER!$A$2:$H$1094,5,0)</f>
        <v>#N/A</v>
      </c>
      <c r="F957" s="178" t="e">
        <f>VLOOKUP(A957,CUSTOMER!$A$2:$I$1094,6,0)</f>
        <v>#N/A</v>
      </c>
      <c r="G957" s="178" t="s">
        <v>676</v>
      </c>
      <c r="H957" s="179">
        <f t="shared" si="148"/>
        <v>0</v>
      </c>
      <c r="I957" s="180" t="str">
        <f t="shared" si="149"/>
        <v/>
      </c>
      <c r="J957" s="181">
        <f t="shared" si="150"/>
        <v>0</v>
      </c>
      <c r="K957" s="182">
        <v>0</v>
      </c>
      <c r="L957" s="180" t="str">
        <f t="shared" si="151"/>
        <v/>
      </c>
      <c r="M957" s="218">
        <f>SUMIFS(DATA!$L:$L,DATA!$O:$O,$B957,DATA!$N:$N,$A957,DATA!$M:$M,'SALES BY SYSTEM'!$O$1)</f>
        <v>0</v>
      </c>
      <c r="N957" s="182">
        <v>0</v>
      </c>
      <c r="O957" s="180" t="str">
        <f t="shared" si="152"/>
        <v/>
      </c>
      <c r="P957" s="218">
        <f>SUMIFS(DATA!$L:$L,DATA!$O:$O,$B957,DATA!$N:$N,$A957,DATA!$M:$M,'SALES BY SYSTEM'!$O$2)</f>
        <v>0</v>
      </c>
      <c r="Q957" s="182">
        <v>0</v>
      </c>
      <c r="R957" s="180" t="str">
        <f t="shared" si="153"/>
        <v/>
      </c>
      <c r="S957" s="218">
        <f>SUMIFS(DATA!$L:$L,DATA!$O:$O,$B957,DATA!$N:$N,$A957,DATA!$M:$M,'SALES BY SYSTEM'!$O$4)</f>
        <v>0</v>
      </c>
      <c r="T957" s="182">
        <v>0</v>
      </c>
      <c r="U957" s="180" t="str">
        <f t="shared" si="154"/>
        <v/>
      </c>
      <c r="V957" s="218">
        <f>SUMIFS(DATA!$L:$L,DATA!$O:$O,$B957,DATA!$N:$N,$A957,DATA!$M:$M,'SALES BY SYSTEM'!$O$3)</f>
        <v>0</v>
      </c>
      <c r="W957" s="168"/>
    </row>
    <row r="958" spans="1:23" x14ac:dyDescent="0.25">
      <c r="A958" t="s">
        <v>337</v>
      </c>
      <c r="B958" t="s">
        <v>16</v>
      </c>
      <c r="C958" s="178" t="str">
        <f>VLOOKUP(A958,CUSTOMER!$A:$C,3,0)</f>
        <v>COOP_F_ANLOC</v>
      </c>
      <c r="D958" s="178" t="s">
        <v>674</v>
      </c>
      <c r="E958" s="178" t="e">
        <f>VLOOKUP(A958,CUSTOMER!$A$2:$H$1094,5,0)</f>
        <v>#N/A</v>
      </c>
      <c r="F958" s="178" t="e">
        <f>VLOOKUP(A958,CUSTOMER!$A$2:$I$1094,6,0)</f>
        <v>#N/A</v>
      </c>
      <c r="G958" s="178" t="s">
        <v>676</v>
      </c>
      <c r="H958" s="179">
        <f t="shared" si="148"/>
        <v>0</v>
      </c>
      <c r="I958" s="180" t="str">
        <f t="shared" si="149"/>
        <v/>
      </c>
      <c r="J958" s="181">
        <f t="shared" si="150"/>
        <v>0</v>
      </c>
      <c r="K958" s="182">
        <v>0</v>
      </c>
      <c r="L958" s="180" t="str">
        <f t="shared" si="151"/>
        <v/>
      </c>
      <c r="M958" s="218">
        <f>SUMIFS(DATA!$L:$L,DATA!$O:$O,$B958,DATA!$N:$N,$A958,DATA!$M:$M,'SALES BY SYSTEM'!$O$1)</f>
        <v>0</v>
      </c>
      <c r="N958" s="182">
        <v>0</v>
      </c>
      <c r="O958" s="180" t="str">
        <f t="shared" si="152"/>
        <v/>
      </c>
      <c r="P958" s="218">
        <f>SUMIFS(DATA!$L:$L,DATA!$O:$O,$B958,DATA!$N:$N,$A958,DATA!$M:$M,'SALES BY SYSTEM'!$O$2)</f>
        <v>0</v>
      </c>
      <c r="Q958" s="182">
        <v>0</v>
      </c>
      <c r="R958" s="180" t="str">
        <f t="shared" si="153"/>
        <v/>
      </c>
      <c r="S958" s="218">
        <f>SUMIFS(DATA!$L:$L,DATA!$O:$O,$B958,DATA!$N:$N,$A958,DATA!$M:$M,'SALES BY SYSTEM'!$O$4)</f>
        <v>0</v>
      </c>
      <c r="T958" s="182">
        <v>0</v>
      </c>
      <c r="U958" s="180" t="str">
        <f t="shared" si="154"/>
        <v/>
      </c>
      <c r="V958" s="218">
        <f>SUMIFS(DATA!$L:$L,DATA!$O:$O,$B958,DATA!$N:$N,$A958,DATA!$M:$M,'SALES BY SYSTEM'!$O$3)</f>
        <v>0</v>
      </c>
      <c r="W958" s="168"/>
    </row>
    <row r="959" spans="1:23" x14ac:dyDescent="0.25">
      <c r="A959" t="s">
        <v>577</v>
      </c>
      <c r="B959" t="s">
        <v>561</v>
      </c>
      <c r="C959" s="178" t="str">
        <f>VLOOKUP(A959,CUSTOMER!$A:$C,3,0)</f>
        <v>BHX_28097_NBINH</v>
      </c>
      <c r="D959" s="178" t="s">
        <v>674</v>
      </c>
      <c r="E959" s="178" t="e">
        <f>VLOOKUP(A959,CUSTOMER!$A$2:$H$1094,5,0)</f>
        <v>#N/A</v>
      </c>
      <c r="F959" s="178" t="e">
        <f>VLOOKUP(A959,CUSTOMER!$A$2:$I$1094,6,0)</f>
        <v>#N/A</v>
      </c>
      <c r="G959" s="178" t="s">
        <v>676</v>
      </c>
      <c r="H959" s="179">
        <f t="shared" si="148"/>
        <v>0</v>
      </c>
      <c r="I959" s="180" t="str">
        <f t="shared" si="149"/>
        <v/>
      </c>
      <c r="J959" s="181">
        <f t="shared" si="150"/>
        <v>0</v>
      </c>
      <c r="K959" s="182">
        <v>0</v>
      </c>
      <c r="L959" s="180" t="str">
        <f t="shared" si="151"/>
        <v/>
      </c>
      <c r="M959" s="218">
        <f>SUMIFS(DATA!$L:$L,DATA!$O:$O,$B959,DATA!$N:$N,$A959,DATA!$M:$M,'SALES BY SYSTEM'!$O$1)</f>
        <v>0</v>
      </c>
      <c r="N959" s="182">
        <v>0</v>
      </c>
      <c r="O959" s="180" t="str">
        <f t="shared" si="152"/>
        <v/>
      </c>
      <c r="P959" s="218">
        <f>SUMIFS(DATA!$L:$L,DATA!$O:$O,$B959,DATA!$N:$N,$A959,DATA!$M:$M,'SALES BY SYSTEM'!$O$2)</f>
        <v>0</v>
      </c>
      <c r="Q959" s="182">
        <v>0</v>
      </c>
      <c r="R959" s="180" t="str">
        <f t="shared" si="153"/>
        <v/>
      </c>
      <c r="S959" s="218">
        <f>SUMIFS(DATA!$L:$L,DATA!$O:$O,$B959,DATA!$N:$N,$A959,DATA!$M:$M,'SALES BY SYSTEM'!$O$4)</f>
        <v>0</v>
      </c>
      <c r="T959" s="182">
        <v>0</v>
      </c>
      <c r="U959" s="180" t="str">
        <f t="shared" si="154"/>
        <v/>
      </c>
      <c r="V959" s="218">
        <f>SUMIFS(DATA!$L:$L,DATA!$O:$O,$B959,DATA!$N:$N,$A959,DATA!$M:$M,'SALES BY SYSTEM'!$O$3)</f>
        <v>0</v>
      </c>
      <c r="W959" s="168"/>
    </row>
    <row r="960" spans="1:23" x14ac:dyDescent="0.25">
      <c r="A960" t="s">
        <v>374</v>
      </c>
      <c r="B960" t="s">
        <v>16</v>
      </c>
      <c r="C960" s="178" t="str">
        <f>VLOOKUP(A960,CUSTOMER!$A:$C,3,0)</f>
        <v>COOP_F_NLONG</v>
      </c>
      <c r="D960" s="178" t="s">
        <v>674</v>
      </c>
      <c r="E960" s="178" t="str">
        <f>VLOOKUP(A960,CUSTOMER!$A$2:$H$1094,5,0)</f>
        <v>VAVANCY-VU MINH TUAN</v>
      </c>
      <c r="F960" s="178" t="str">
        <f>VLOOKUP(A960,CUSTOMER!$A$2:$I$1094,6,0)</f>
        <v>VACANCY</v>
      </c>
      <c r="G960" s="178" t="s">
        <v>676</v>
      </c>
      <c r="H960" s="179">
        <f t="shared" si="148"/>
        <v>0</v>
      </c>
      <c r="I960" s="180" t="str">
        <f t="shared" si="149"/>
        <v/>
      </c>
      <c r="J960" s="181">
        <f t="shared" si="150"/>
        <v>0</v>
      </c>
      <c r="K960" s="182">
        <v>0</v>
      </c>
      <c r="L960" s="180" t="str">
        <f t="shared" si="151"/>
        <v/>
      </c>
      <c r="M960" s="218">
        <f>SUMIFS(DATA!$L:$L,DATA!$O:$O,$B960,DATA!$N:$N,$A960,DATA!$M:$M,'SALES BY SYSTEM'!$O$1)</f>
        <v>0</v>
      </c>
      <c r="N960" s="182">
        <v>0</v>
      </c>
      <c r="O960" s="180" t="str">
        <f t="shared" si="152"/>
        <v/>
      </c>
      <c r="P960" s="218">
        <f>SUMIFS(DATA!$L:$L,DATA!$O:$O,$B960,DATA!$N:$N,$A960,DATA!$M:$M,'SALES BY SYSTEM'!$O$2)</f>
        <v>0</v>
      </c>
      <c r="Q960" s="182">
        <v>0</v>
      </c>
      <c r="R960" s="180" t="str">
        <f t="shared" si="153"/>
        <v/>
      </c>
      <c r="S960" s="218">
        <f>SUMIFS(DATA!$L:$L,DATA!$O:$O,$B960,DATA!$N:$N,$A960,DATA!$M:$M,'SALES BY SYSTEM'!$O$4)</f>
        <v>0</v>
      </c>
      <c r="T960" s="182">
        <v>0</v>
      </c>
      <c r="U960" s="180" t="str">
        <f t="shared" si="154"/>
        <v/>
      </c>
      <c r="V960" s="218">
        <f>SUMIFS(DATA!$L:$L,DATA!$O:$O,$B960,DATA!$N:$N,$A960,DATA!$M:$M,'SALES BY SYSTEM'!$O$3)</f>
        <v>0</v>
      </c>
      <c r="W960" s="168"/>
    </row>
    <row r="961" spans="1:23" x14ac:dyDescent="0.25">
      <c r="A961" t="s">
        <v>590</v>
      </c>
      <c r="B961" t="s">
        <v>561</v>
      </c>
      <c r="C961" s="178" t="str">
        <f>VLOOKUP(A961,CUSTOMER!$A:$C,3,0)</f>
        <v>BHX_14158_DBAN</v>
      </c>
      <c r="D961" s="178" t="s">
        <v>674</v>
      </c>
      <c r="E961" s="178" t="e">
        <f>VLOOKUP(A961,CUSTOMER!$A$2:$H$1094,5,0)</f>
        <v>#N/A</v>
      </c>
      <c r="F961" s="178" t="e">
        <f>VLOOKUP(A961,CUSTOMER!$A$2:$I$1094,6,0)</f>
        <v>#N/A</v>
      </c>
      <c r="G961" s="178" t="s">
        <v>676</v>
      </c>
      <c r="H961" s="179">
        <f t="shared" si="148"/>
        <v>0</v>
      </c>
      <c r="I961" s="180" t="str">
        <f t="shared" si="149"/>
        <v/>
      </c>
      <c r="J961" s="181">
        <f t="shared" si="150"/>
        <v>0</v>
      </c>
      <c r="K961" s="182">
        <v>0</v>
      </c>
      <c r="L961" s="180" t="str">
        <f t="shared" si="151"/>
        <v/>
      </c>
      <c r="M961" s="218">
        <f>SUMIFS(DATA!$L:$L,DATA!$O:$O,$B961,DATA!$N:$N,$A961,DATA!$M:$M,'SALES BY SYSTEM'!$O$1)</f>
        <v>0</v>
      </c>
      <c r="N961" s="182">
        <v>0</v>
      </c>
      <c r="O961" s="180" t="str">
        <f t="shared" si="152"/>
        <v/>
      </c>
      <c r="P961" s="218">
        <f>SUMIFS(DATA!$L:$L,DATA!$O:$O,$B961,DATA!$N:$N,$A961,DATA!$M:$M,'SALES BY SYSTEM'!$O$2)</f>
        <v>0</v>
      </c>
      <c r="Q961" s="182">
        <v>0</v>
      </c>
      <c r="R961" s="180" t="str">
        <f t="shared" si="153"/>
        <v/>
      </c>
      <c r="S961" s="218">
        <f>SUMIFS(DATA!$L:$L,DATA!$O:$O,$B961,DATA!$N:$N,$A961,DATA!$M:$M,'SALES BY SYSTEM'!$O$4)</f>
        <v>0</v>
      </c>
      <c r="T961" s="182">
        <v>0</v>
      </c>
      <c r="U961" s="180" t="str">
        <f t="shared" si="154"/>
        <v/>
      </c>
      <c r="V961" s="218">
        <f>SUMIFS(DATA!$L:$L,DATA!$O:$O,$B961,DATA!$N:$N,$A961,DATA!$M:$M,'SALES BY SYSTEM'!$O$3)</f>
        <v>0</v>
      </c>
      <c r="W961" s="168"/>
    </row>
    <row r="962" spans="1:23" x14ac:dyDescent="0.25">
      <c r="A962" t="s">
        <v>586</v>
      </c>
      <c r="B962" t="s">
        <v>561</v>
      </c>
      <c r="C962" s="178" t="str">
        <f>VLOOKUP(A962,CUSTOMER!$A:$C,3,0)</f>
        <v>BHX_28585_QNGAI</v>
      </c>
      <c r="D962" s="178" t="s">
        <v>674</v>
      </c>
      <c r="E962" s="178" t="e">
        <f>VLOOKUP(A962,CUSTOMER!$A$2:$H$1094,5,0)</f>
        <v>#N/A</v>
      </c>
      <c r="F962" s="178" t="e">
        <f>VLOOKUP(A962,CUSTOMER!$A$2:$I$1094,6,0)</f>
        <v>#N/A</v>
      </c>
      <c r="G962" s="178" t="s">
        <v>676</v>
      </c>
      <c r="H962" s="179">
        <f t="shared" si="148"/>
        <v>0</v>
      </c>
      <c r="I962" s="180" t="str">
        <f t="shared" si="149"/>
        <v/>
      </c>
      <c r="J962" s="181">
        <f t="shared" si="150"/>
        <v>0</v>
      </c>
      <c r="K962" s="182">
        <v>0</v>
      </c>
      <c r="L962" s="180" t="str">
        <f t="shared" si="151"/>
        <v/>
      </c>
      <c r="M962" s="218">
        <f>SUMIFS(DATA!$L:$L,DATA!$O:$O,$B962,DATA!$N:$N,$A962,DATA!$M:$M,'SALES BY SYSTEM'!$O$1)</f>
        <v>0</v>
      </c>
      <c r="N962" s="182">
        <v>0</v>
      </c>
      <c r="O962" s="180" t="str">
        <f t="shared" si="152"/>
        <v/>
      </c>
      <c r="P962" s="218">
        <f>SUMIFS(DATA!$L:$L,DATA!$O:$O,$B962,DATA!$N:$N,$A962,DATA!$M:$M,'SALES BY SYSTEM'!$O$2)</f>
        <v>0</v>
      </c>
      <c r="Q962" s="182">
        <v>0</v>
      </c>
      <c r="R962" s="180" t="str">
        <f t="shared" si="153"/>
        <v/>
      </c>
      <c r="S962" s="218">
        <f>SUMIFS(DATA!$L:$L,DATA!$O:$O,$B962,DATA!$N:$N,$A962,DATA!$M:$M,'SALES BY SYSTEM'!$O$4)</f>
        <v>0</v>
      </c>
      <c r="T962" s="182">
        <v>0</v>
      </c>
      <c r="U962" s="180" t="str">
        <f t="shared" si="154"/>
        <v/>
      </c>
      <c r="V962" s="218">
        <f>SUMIFS(DATA!$L:$L,DATA!$O:$O,$B962,DATA!$N:$N,$A962,DATA!$M:$M,'SALES BY SYSTEM'!$O$3)</f>
        <v>0</v>
      </c>
      <c r="W962" s="168"/>
    </row>
    <row r="963" spans="1:23" x14ac:dyDescent="0.25">
      <c r="A963" t="s">
        <v>416</v>
      </c>
      <c r="B963" t="s">
        <v>16</v>
      </c>
      <c r="C963" s="178" t="str">
        <f>VLOOKUP(A963,CUSTOMER!$A:$C,3,0)</f>
        <v>COOP_F_TLUONG</v>
      </c>
      <c r="D963" s="178" t="s">
        <v>674</v>
      </c>
      <c r="E963" s="178" t="str">
        <f>VLOOKUP(A963,CUSTOMER!$A$2:$H$1094,5,0)</f>
        <v>VAVANCY-VU MINH TUAN</v>
      </c>
      <c r="F963" s="178">
        <f>VLOOKUP(A963,CUSTOMER!$A$2:$I$1094,6,0)</f>
        <v>0</v>
      </c>
      <c r="G963" s="178" t="s">
        <v>676</v>
      </c>
      <c r="H963" s="179">
        <f t="shared" si="148"/>
        <v>0</v>
      </c>
      <c r="I963" s="180" t="str">
        <f t="shared" si="149"/>
        <v/>
      </c>
      <c r="J963" s="181">
        <f t="shared" si="150"/>
        <v>0</v>
      </c>
      <c r="K963" s="182">
        <v>0</v>
      </c>
      <c r="L963" s="180" t="str">
        <f t="shared" si="151"/>
        <v/>
      </c>
      <c r="M963" s="218">
        <f>SUMIFS(DATA!$L:$L,DATA!$O:$O,$B963,DATA!$N:$N,$A963,DATA!$M:$M,'SALES BY SYSTEM'!$O$1)</f>
        <v>0</v>
      </c>
      <c r="N963" s="182">
        <v>0</v>
      </c>
      <c r="O963" s="180" t="str">
        <f t="shared" si="152"/>
        <v/>
      </c>
      <c r="P963" s="218">
        <f>SUMIFS(DATA!$L:$L,DATA!$O:$O,$B963,DATA!$N:$N,$A963,DATA!$M:$M,'SALES BY SYSTEM'!$O$2)</f>
        <v>0</v>
      </c>
      <c r="Q963" s="182">
        <v>0</v>
      </c>
      <c r="R963" s="180" t="str">
        <f t="shared" si="153"/>
        <v/>
      </c>
      <c r="S963" s="218">
        <f>SUMIFS(DATA!$L:$L,DATA!$O:$O,$B963,DATA!$N:$N,$A963,DATA!$M:$M,'SALES BY SYSTEM'!$O$4)</f>
        <v>0</v>
      </c>
      <c r="T963" s="182">
        <v>0</v>
      </c>
      <c r="U963" s="180" t="str">
        <f t="shared" si="154"/>
        <v/>
      </c>
      <c r="V963" s="218">
        <f>SUMIFS(DATA!$L:$L,DATA!$O:$O,$B963,DATA!$N:$N,$A963,DATA!$M:$M,'SALES BY SYSTEM'!$O$3)</f>
        <v>0</v>
      </c>
      <c r="W963" s="168"/>
    </row>
    <row r="964" spans="1:23" x14ac:dyDescent="0.25">
      <c r="A964" t="s">
        <v>360</v>
      </c>
      <c r="B964" t="s">
        <v>16</v>
      </c>
      <c r="C964" s="178" t="str">
        <f>VLOOKUP(A964,CUSTOMER!$A:$C,3,0)</f>
        <v>COOP_F_TCCHIEU</v>
      </c>
      <c r="D964" s="178" t="s">
        <v>674</v>
      </c>
      <c r="E964" s="178" t="e">
        <f>VLOOKUP(A964,CUSTOMER!$A$2:$H$1094,5,0)</f>
        <v>#N/A</v>
      </c>
      <c r="F964" s="178" t="e">
        <f>VLOOKUP(A964,CUSTOMER!$A$2:$I$1094,6,0)</f>
        <v>#N/A</v>
      </c>
      <c r="G964" s="178" t="s">
        <v>676</v>
      </c>
      <c r="H964" s="179">
        <f t="shared" si="148"/>
        <v>0</v>
      </c>
      <c r="I964" s="180" t="str">
        <f t="shared" si="149"/>
        <v/>
      </c>
      <c r="J964" s="181">
        <f t="shared" si="150"/>
        <v>0</v>
      </c>
      <c r="K964" s="182">
        <v>0</v>
      </c>
      <c r="L964" s="180" t="str">
        <f t="shared" si="151"/>
        <v/>
      </c>
      <c r="M964" s="218">
        <f>SUMIFS(DATA!$L:$L,DATA!$O:$O,$B964,DATA!$N:$N,$A964,DATA!$M:$M,'SALES BY SYSTEM'!$O$1)</f>
        <v>0</v>
      </c>
      <c r="N964" s="182">
        <v>0</v>
      </c>
      <c r="O964" s="180" t="str">
        <f t="shared" si="152"/>
        <v/>
      </c>
      <c r="P964" s="218">
        <f>SUMIFS(DATA!$L:$L,DATA!$O:$O,$B964,DATA!$N:$N,$A964,DATA!$M:$M,'SALES BY SYSTEM'!$O$2)</f>
        <v>0</v>
      </c>
      <c r="Q964" s="182">
        <v>0</v>
      </c>
      <c r="R964" s="180" t="str">
        <f t="shared" si="153"/>
        <v/>
      </c>
      <c r="S964" s="218">
        <f>SUMIFS(DATA!$L:$L,DATA!$O:$O,$B964,DATA!$N:$N,$A964,DATA!$M:$M,'SALES BY SYSTEM'!$O$4)</f>
        <v>0</v>
      </c>
      <c r="T964" s="182">
        <v>0</v>
      </c>
      <c r="U964" s="180" t="str">
        <f t="shared" si="154"/>
        <v/>
      </c>
      <c r="V964" s="218">
        <f>SUMIFS(DATA!$L:$L,DATA!$O:$O,$B964,DATA!$N:$N,$A964,DATA!$M:$M,'SALES BY SYSTEM'!$O$3)</f>
        <v>0</v>
      </c>
      <c r="W964" s="168"/>
    </row>
    <row r="965" spans="1:23" x14ac:dyDescent="0.25">
      <c r="A965" t="s">
        <v>388</v>
      </c>
      <c r="B965" t="s">
        <v>16</v>
      </c>
      <c r="C965" s="178" t="str">
        <f>VLOOKUP(A965,CUSTOMER!$A:$C,3,0)</f>
        <v>COOP_F_DHT02</v>
      </c>
      <c r="D965" s="178" t="s">
        <v>674</v>
      </c>
      <c r="E965" s="178" t="str">
        <f>VLOOKUP(A965,CUSTOMER!$A$2:$H$1094,5,0)</f>
        <v>VAVANCY-VU MINH TUAN</v>
      </c>
      <c r="F965" s="178" t="str">
        <f>VLOOKUP(A965,CUSTOMER!$A$2:$I$1094,6,0)</f>
        <v>VACANCY</v>
      </c>
      <c r="G965" s="178" t="s">
        <v>676</v>
      </c>
      <c r="H965" s="179">
        <f t="shared" si="148"/>
        <v>0</v>
      </c>
      <c r="I965" s="180" t="str">
        <f t="shared" si="149"/>
        <v/>
      </c>
      <c r="J965" s="181">
        <f t="shared" si="150"/>
        <v>0</v>
      </c>
      <c r="K965" s="182">
        <v>0</v>
      </c>
      <c r="L965" s="180" t="str">
        <f t="shared" si="151"/>
        <v/>
      </c>
      <c r="M965" s="218">
        <f>SUMIFS(DATA!$L:$L,DATA!$O:$O,$B965,DATA!$N:$N,$A965,DATA!$M:$M,'SALES BY SYSTEM'!$O$1)</f>
        <v>0</v>
      </c>
      <c r="N965" s="182">
        <v>0</v>
      </c>
      <c r="O965" s="180" t="str">
        <f t="shared" si="152"/>
        <v/>
      </c>
      <c r="P965" s="218">
        <f>SUMIFS(DATA!$L:$L,DATA!$O:$O,$B965,DATA!$N:$N,$A965,DATA!$M:$M,'SALES BY SYSTEM'!$O$2)</f>
        <v>0</v>
      </c>
      <c r="Q965" s="182">
        <v>0</v>
      </c>
      <c r="R965" s="180" t="str">
        <f t="shared" si="153"/>
        <v/>
      </c>
      <c r="S965" s="218">
        <f>SUMIFS(DATA!$L:$L,DATA!$O:$O,$B965,DATA!$N:$N,$A965,DATA!$M:$M,'SALES BY SYSTEM'!$O$4)</f>
        <v>0</v>
      </c>
      <c r="T965" s="182">
        <v>0</v>
      </c>
      <c r="U965" s="180" t="str">
        <f t="shared" si="154"/>
        <v/>
      </c>
      <c r="V965" s="218">
        <f>SUMIFS(DATA!$L:$L,DATA!$O:$O,$B965,DATA!$N:$N,$A965,DATA!$M:$M,'SALES BY SYSTEM'!$O$3)</f>
        <v>0</v>
      </c>
      <c r="W965" s="168"/>
    </row>
    <row r="966" spans="1:23" x14ac:dyDescent="0.25">
      <c r="A966" t="s">
        <v>320</v>
      </c>
      <c r="B966" t="s">
        <v>16</v>
      </c>
      <c r="C966" s="178" t="str">
        <f>VLOOKUP(A966,CUSTOMER!$A:$C,3,0)</f>
        <v>COOP_F_NVTIET</v>
      </c>
      <c r="D966" s="178" t="s">
        <v>674</v>
      </c>
      <c r="E966" s="178" t="e">
        <f>VLOOKUP(A966,CUSTOMER!$A$2:$H$1094,5,0)</f>
        <v>#N/A</v>
      </c>
      <c r="F966" s="178" t="e">
        <f>VLOOKUP(A966,CUSTOMER!$A$2:$I$1094,6,0)</f>
        <v>#N/A</v>
      </c>
      <c r="G966" s="178" t="s">
        <v>676</v>
      </c>
      <c r="H966" s="179">
        <f t="shared" si="148"/>
        <v>0</v>
      </c>
      <c r="I966" s="180" t="str">
        <f t="shared" si="149"/>
        <v/>
      </c>
      <c r="J966" s="181">
        <f t="shared" si="150"/>
        <v>0</v>
      </c>
      <c r="K966" s="182">
        <v>0</v>
      </c>
      <c r="L966" s="180" t="str">
        <f t="shared" si="151"/>
        <v/>
      </c>
      <c r="M966" s="218">
        <f>SUMIFS(DATA!$L:$L,DATA!$O:$O,$B966,DATA!$N:$N,$A966,DATA!$M:$M,'SALES BY SYSTEM'!$O$1)</f>
        <v>0</v>
      </c>
      <c r="N966" s="182">
        <v>0</v>
      </c>
      <c r="O966" s="180" t="str">
        <f t="shared" si="152"/>
        <v/>
      </c>
      <c r="P966" s="218">
        <f>SUMIFS(DATA!$L:$L,DATA!$O:$O,$B966,DATA!$N:$N,$A966,DATA!$M:$M,'SALES BY SYSTEM'!$O$2)</f>
        <v>0</v>
      </c>
      <c r="Q966" s="182">
        <v>0</v>
      </c>
      <c r="R966" s="180" t="str">
        <f t="shared" si="153"/>
        <v/>
      </c>
      <c r="S966" s="218">
        <f>SUMIFS(DATA!$L:$L,DATA!$O:$O,$B966,DATA!$N:$N,$A966,DATA!$M:$M,'SALES BY SYSTEM'!$O$4)</f>
        <v>0</v>
      </c>
      <c r="T966" s="182">
        <v>0</v>
      </c>
      <c r="U966" s="180" t="str">
        <f t="shared" si="154"/>
        <v/>
      </c>
      <c r="V966" s="218">
        <f>SUMIFS(DATA!$L:$L,DATA!$O:$O,$B966,DATA!$N:$N,$A966,DATA!$M:$M,'SALES BY SYSTEM'!$O$3)</f>
        <v>0</v>
      </c>
      <c r="W966" s="168"/>
    </row>
    <row r="967" spans="1:23" x14ac:dyDescent="0.25">
      <c r="A967" t="s">
        <v>344</v>
      </c>
      <c r="B967" t="s">
        <v>16</v>
      </c>
      <c r="C967" s="178" t="str">
        <f>VLOOKUP(A967,CUSTOMER!$A:$C,3,0)</f>
        <v>COOP_F_PAN</v>
      </c>
      <c r="D967" s="178" t="s">
        <v>674</v>
      </c>
      <c r="E967" s="178" t="e">
        <f>VLOOKUP(A967,CUSTOMER!$A$2:$H$1094,5,0)</f>
        <v>#N/A</v>
      </c>
      <c r="F967" s="178" t="e">
        <f>VLOOKUP(A967,CUSTOMER!$A$2:$I$1094,6,0)</f>
        <v>#N/A</v>
      </c>
      <c r="G967" s="178" t="s">
        <v>676</v>
      </c>
      <c r="H967" s="179">
        <f t="shared" si="148"/>
        <v>0</v>
      </c>
      <c r="I967" s="180" t="str">
        <f t="shared" si="149"/>
        <v/>
      </c>
      <c r="J967" s="181">
        <f t="shared" si="150"/>
        <v>0</v>
      </c>
      <c r="K967" s="182">
        <v>0</v>
      </c>
      <c r="L967" s="180" t="str">
        <f t="shared" si="151"/>
        <v/>
      </c>
      <c r="M967" s="218">
        <f>SUMIFS(DATA!$L:$L,DATA!$O:$O,$B967,DATA!$N:$N,$A967,DATA!$M:$M,'SALES BY SYSTEM'!$O$1)</f>
        <v>0</v>
      </c>
      <c r="N967" s="182">
        <v>0</v>
      </c>
      <c r="O967" s="180" t="str">
        <f t="shared" si="152"/>
        <v/>
      </c>
      <c r="P967" s="218">
        <f>SUMIFS(DATA!$L:$L,DATA!$O:$O,$B967,DATA!$N:$N,$A967,DATA!$M:$M,'SALES BY SYSTEM'!$O$2)</f>
        <v>0</v>
      </c>
      <c r="Q967" s="182">
        <v>0</v>
      </c>
      <c r="R967" s="180" t="str">
        <f t="shared" si="153"/>
        <v/>
      </c>
      <c r="S967" s="218">
        <f>SUMIFS(DATA!$L:$L,DATA!$O:$O,$B967,DATA!$N:$N,$A967,DATA!$M:$M,'SALES BY SYSTEM'!$O$4)</f>
        <v>0</v>
      </c>
      <c r="T967" s="182">
        <v>0</v>
      </c>
      <c r="U967" s="180" t="str">
        <f t="shared" si="154"/>
        <v/>
      </c>
      <c r="V967" s="218">
        <f>SUMIFS(DATA!$L:$L,DATA!$O:$O,$B967,DATA!$N:$N,$A967,DATA!$M:$M,'SALES BY SYSTEM'!$O$3)</f>
        <v>0</v>
      </c>
      <c r="W967" s="168"/>
    </row>
    <row r="968" spans="1:23" x14ac:dyDescent="0.25">
      <c r="A968" t="s">
        <v>345</v>
      </c>
      <c r="B968" t="s">
        <v>16</v>
      </c>
      <c r="C968" s="178" t="str">
        <f>VLOOKUP(A968,CUSTOMER!$A:$C,3,0)</f>
        <v>COOP_F_PTLAND</v>
      </c>
      <c r="D968" s="178" t="s">
        <v>674</v>
      </c>
      <c r="E968" s="178" t="e">
        <f>VLOOKUP(A968,CUSTOMER!$A$2:$H$1094,5,0)</f>
        <v>#N/A</v>
      </c>
      <c r="F968" s="178" t="e">
        <f>VLOOKUP(A968,CUSTOMER!$A$2:$I$1094,6,0)</f>
        <v>#N/A</v>
      </c>
      <c r="G968" s="178" t="s">
        <v>676</v>
      </c>
      <c r="H968" s="179">
        <f t="shared" si="148"/>
        <v>0</v>
      </c>
      <c r="I968" s="180" t="str">
        <f t="shared" si="149"/>
        <v/>
      </c>
      <c r="J968" s="181">
        <f t="shared" si="150"/>
        <v>0</v>
      </c>
      <c r="K968" s="182">
        <v>0</v>
      </c>
      <c r="L968" s="180" t="str">
        <f t="shared" si="151"/>
        <v/>
      </c>
      <c r="M968" s="218">
        <f>SUMIFS(DATA!$L:$L,DATA!$O:$O,$B968,DATA!$N:$N,$A968,DATA!$M:$M,'SALES BY SYSTEM'!$O$1)</f>
        <v>0</v>
      </c>
      <c r="N968" s="182">
        <v>0</v>
      </c>
      <c r="O968" s="180" t="str">
        <f t="shared" si="152"/>
        <v/>
      </c>
      <c r="P968" s="218">
        <f>SUMIFS(DATA!$L:$L,DATA!$O:$O,$B968,DATA!$N:$N,$A968,DATA!$M:$M,'SALES BY SYSTEM'!$O$2)</f>
        <v>0</v>
      </c>
      <c r="Q968" s="182">
        <v>0</v>
      </c>
      <c r="R968" s="180" t="str">
        <f t="shared" si="153"/>
        <v/>
      </c>
      <c r="S968" s="218">
        <f>SUMIFS(DATA!$L:$L,DATA!$O:$O,$B968,DATA!$N:$N,$A968,DATA!$M:$M,'SALES BY SYSTEM'!$O$4)</f>
        <v>0</v>
      </c>
      <c r="T968" s="182">
        <v>0</v>
      </c>
      <c r="U968" s="180" t="str">
        <f t="shared" si="154"/>
        <v/>
      </c>
      <c r="V968" s="218">
        <f>SUMIFS(DATA!$L:$L,DATA!$O:$O,$B968,DATA!$N:$N,$A968,DATA!$M:$M,'SALES BY SYSTEM'!$O$3)</f>
        <v>0</v>
      </c>
      <c r="W968" s="168"/>
    </row>
    <row r="969" spans="1:23" x14ac:dyDescent="0.25">
      <c r="A969" t="s">
        <v>314</v>
      </c>
      <c r="B969" t="s">
        <v>16</v>
      </c>
      <c r="C969" s="178" t="str">
        <f>VLOOKUP(A969,CUSTOMER!$A:$C,3,0)</f>
        <v>COOP_F_DREA_TQN</v>
      </c>
      <c r="D969" s="178" t="s">
        <v>674</v>
      </c>
      <c r="E969" s="178" t="e">
        <f>VLOOKUP(A969,CUSTOMER!$A$2:$H$1094,5,0)</f>
        <v>#N/A</v>
      </c>
      <c r="F969" s="178" t="e">
        <f>VLOOKUP(A969,CUSTOMER!$A$2:$I$1094,6,0)</f>
        <v>#N/A</v>
      </c>
      <c r="G969" s="178" t="s">
        <v>676</v>
      </c>
      <c r="H969" s="179">
        <f t="shared" si="148"/>
        <v>0</v>
      </c>
      <c r="I969" s="180" t="str">
        <f t="shared" si="149"/>
        <v/>
      </c>
      <c r="J969" s="181">
        <f t="shared" si="150"/>
        <v>0</v>
      </c>
      <c r="K969" s="182">
        <v>0</v>
      </c>
      <c r="L969" s="180" t="str">
        <f t="shared" si="151"/>
        <v/>
      </c>
      <c r="M969" s="218">
        <f>SUMIFS(DATA!$L:$L,DATA!$O:$O,$B969,DATA!$N:$N,$A969,DATA!$M:$M,'SALES BY SYSTEM'!$O$1)</f>
        <v>0</v>
      </c>
      <c r="N969" s="182">
        <v>0</v>
      </c>
      <c r="O969" s="180" t="str">
        <f t="shared" si="152"/>
        <v/>
      </c>
      <c r="P969" s="218">
        <f>SUMIFS(DATA!$L:$L,DATA!$O:$O,$B969,DATA!$N:$N,$A969,DATA!$M:$M,'SALES BY SYSTEM'!$O$2)</f>
        <v>0</v>
      </c>
      <c r="Q969" s="182">
        <v>0</v>
      </c>
      <c r="R969" s="180" t="str">
        <f t="shared" si="153"/>
        <v/>
      </c>
      <c r="S969" s="218">
        <f>SUMIFS(DATA!$L:$L,DATA!$O:$O,$B969,DATA!$N:$N,$A969,DATA!$M:$M,'SALES BY SYSTEM'!$O$4)</f>
        <v>0</v>
      </c>
      <c r="T969" s="182">
        <v>0</v>
      </c>
      <c r="U969" s="180" t="str">
        <f t="shared" si="154"/>
        <v/>
      </c>
      <c r="V969" s="218">
        <f>SUMIFS(DATA!$L:$L,DATA!$O:$O,$B969,DATA!$N:$N,$A969,DATA!$M:$M,'SALES BY SYSTEM'!$O$3)</f>
        <v>0</v>
      </c>
      <c r="W969" s="168"/>
    </row>
    <row r="970" spans="1:23" x14ac:dyDescent="0.25">
      <c r="A970" t="s">
        <v>382</v>
      </c>
      <c r="B970" t="s">
        <v>16</v>
      </c>
      <c r="C970" s="178" t="str">
        <f>VLOOKUP(A970,CUSTOMER!$A:$C,3,0)</f>
        <v>COOP_F_ANHOA</v>
      </c>
      <c r="D970" s="178" t="s">
        <v>674</v>
      </c>
      <c r="E970" s="178" t="e">
        <f>VLOOKUP(A970,CUSTOMER!$A$2:$H$1094,5,0)</f>
        <v>#N/A</v>
      </c>
      <c r="F970" s="178" t="e">
        <f>VLOOKUP(A970,CUSTOMER!$A$2:$I$1094,6,0)</f>
        <v>#N/A</v>
      </c>
      <c r="G970" s="178" t="s">
        <v>676</v>
      </c>
      <c r="H970" s="179">
        <f t="shared" si="148"/>
        <v>0</v>
      </c>
      <c r="I970" s="180" t="str">
        <f t="shared" si="149"/>
        <v/>
      </c>
      <c r="J970" s="181">
        <f t="shared" si="150"/>
        <v>0</v>
      </c>
      <c r="K970" s="182">
        <v>0</v>
      </c>
      <c r="L970" s="180" t="str">
        <f t="shared" si="151"/>
        <v/>
      </c>
      <c r="M970" s="218">
        <f>SUMIFS(DATA!$L:$L,DATA!$O:$O,$B970,DATA!$N:$N,$A970,DATA!$M:$M,'SALES BY SYSTEM'!$O$1)</f>
        <v>0</v>
      </c>
      <c r="N970" s="182">
        <v>0</v>
      </c>
      <c r="O970" s="180" t="str">
        <f t="shared" si="152"/>
        <v/>
      </c>
      <c r="P970" s="218">
        <f>SUMIFS(DATA!$L:$L,DATA!$O:$O,$B970,DATA!$N:$N,$A970,DATA!$M:$M,'SALES BY SYSTEM'!$O$2)</f>
        <v>0</v>
      </c>
      <c r="Q970" s="182">
        <v>0</v>
      </c>
      <c r="R970" s="180" t="str">
        <f t="shared" si="153"/>
        <v/>
      </c>
      <c r="S970" s="218">
        <f>SUMIFS(DATA!$L:$L,DATA!$O:$O,$B970,DATA!$N:$N,$A970,DATA!$M:$M,'SALES BY SYSTEM'!$O$4)</f>
        <v>0</v>
      </c>
      <c r="T970" s="182">
        <v>0</v>
      </c>
      <c r="U970" s="180" t="str">
        <f t="shared" si="154"/>
        <v/>
      </c>
      <c r="V970" s="218">
        <f>SUMIFS(DATA!$L:$L,DATA!$O:$O,$B970,DATA!$N:$N,$A970,DATA!$M:$M,'SALES BY SYSTEM'!$O$3)</f>
        <v>0</v>
      </c>
      <c r="W970" s="168"/>
    </row>
    <row r="971" spans="1:23" x14ac:dyDescent="0.25">
      <c r="A971" t="s">
        <v>579</v>
      </c>
      <c r="B971" t="s">
        <v>561</v>
      </c>
      <c r="C971" s="178" t="str">
        <f>VLOOKUP(A971,CUSTOMER!$A:$C,3,0)</f>
        <v>BHX_14365_QNHON</v>
      </c>
      <c r="D971" s="178" t="s">
        <v>674</v>
      </c>
      <c r="E971" s="178" t="e">
        <f>VLOOKUP(A971,CUSTOMER!$A$2:$H$1094,5,0)</f>
        <v>#N/A</v>
      </c>
      <c r="F971" s="178" t="e">
        <f>VLOOKUP(A971,CUSTOMER!$A$2:$I$1094,6,0)</f>
        <v>#N/A</v>
      </c>
      <c r="G971" s="178" t="s">
        <v>676</v>
      </c>
      <c r="H971" s="179">
        <f t="shared" si="148"/>
        <v>0</v>
      </c>
      <c r="I971" s="180" t="str">
        <f t="shared" si="149"/>
        <v/>
      </c>
      <c r="J971" s="181">
        <f t="shared" si="150"/>
        <v>0</v>
      </c>
      <c r="K971" s="182">
        <v>0</v>
      </c>
      <c r="L971" s="180" t="str">
        <f t="shared" si="151"/>
        <v/>
      </c>
      <c r="M971" s="218">
        <f>SUMIFS(DATA!$L:$L,DATA!$O:$O,$B971,DATA!$N:$N,$A971,DATA!$M:$M,'SALES BY SYSTEM'!$O$1)</f>
        <v>0</v>
      </c>
      <c r="N971" s="182">
        <v>0</v>
      </c>
      <c r="O971" s="180" t="str">
        <f t="shared" si="152"/>
        <v/>
      </c>
      <c r="P971" s="218">
        <f>SUMIFS(DATA!$L:$L,DATA!$O:$O,$B971,DATA!$N:$N,$A971,DATA!$M:$M,'SALES BY SYSTEM'!$O$2)</f>
        <v>0</v>
      </c>
      <c r="Q971" s="182">
        <v>0</v>
      </c>
      <c r="R971" s="180" t="str">
        <f t="shared" si="153"/>
        <v/>
      </c>
      <c r="S971" s="218">
        <f>SUMIFS(DATA!$L:$L,DATA!$O:$O,$B971,DATA!$N:$N,$A971,DATA!$M:$M,'SALES BY SYSTEM'!$O$4)</f>
        <v>0</v>
      </c>
      <c r="T971" s="182">
        <v>0</v>
      </c>
      <c r="U971" s="180" t="str">
        <f t="shared" si="154"/>
        <v/>
      </c>
      <c r="V971" s="218">
        <f>SUMIFS(DATA!$L:$L,DATA!$O:$O,$B971,DATA!$N:$N,$A971,DATA!$M:$M,'SALES BY SYSTEM'!$O$3)</f>
        <v>0</v>
      </c>
      <c r="W971" s="168"/>
    </row>
    <row r="972" spans="1:23" x14ac:dyDescent="0.25">
      <c r="A972" t="s">
        <v>595</v>
      </c>
      <c r="B972" t="s">
        <v>593</v>
      </c>
      <c r="C972" s="178" t="str">
        <f>VLOOKUP(A972,CUSTOMER!$A:$C,3,0)</f>
        <v>BD_HMON</v>
      </c>
      <c r="D972" s="178" t="s">
        <v>674</v>
      </c>
      <c r="E972" s="178" t="e">
        <f>VLOOKUP(A972,CUSTOMER!$A$2:$H$1094,5,0)</f>
        <v>#N/A</v>
      </c>
      <c r="F972" s="178" t="e">
        <f>VLOOKUP(A972,CUSTOMER!$A$2:$I$1094,6,0)</f>
        <v>#N/A</v>
      </c>
      <c r="G972" s="178" t="s">
        <v>676</v>
      </c>
      <c r="H972" s="179">
        <f t="shared" si="148"/>
        <v>0</v>
      </c>
      <c r="I972" s="180" t="str">
        <f t="shared" si="149"/>
        <v/>
      </c>
      <c r="J972" s="181">
        <f t="shared" si="150"/>
        <v>0</v>
      </c>
      <c r="K972" s="182">
        <v>0</v>
      </c>
      <c r="L972" s="180" t="str">
        <f t="shared" si="151"/>
        <v/>
      </c>
      <c r="M972" s="218">
        <f>SUMIFS(DATA!$L:$L,DATA!$O:$O,$B972,DATA!$N:$N,$A972,DATA!$M:$M,'SALES BY SYSTEM'!$O$1)</f>
        <v>0</v>
      </c>
      <c r="N972" s="182">
        <v>0</v>
      </c>
      <c r="O972" s="180" t="str">
        <f t="shared" si="152"/>
        <v/>
      </c>
      <c r="P972" s="218">
        <f>SUMIFS(DATA!$L:$L,DATA!$O:$O,$B972,DATA!$N:$N,$A972,DATA!$M:$M,'SALES BY SYSTEM'!$O$2)</f>
        <v>0</v>
      </c>
      <c r="Q972" s="182">
        <v>0</v>
      </c>
      <c r="R972" s="180" t="str">
        <f t="shared" si="153"/>
        <v/>
      </c>
      <c r="S972" s="218">
        <f>SUMIFS(DATA!$L:$L,DATA!$O:$O,$B972,DATA!$N:$N,$A972,DATA!$M:$M,'SALES BY SYSTEM'!$O$4)</f>
        <v>0</v>
      </c>
      <c r="T972" s="182">
        <v>0</v>
      </c>
      <c r="U972" s="180" t="str">
        <f t="shared" si="154"/>
        <v/>
      </c>
      <c r="V972" s="218">
        <f>SUMIFS(DATA!$L:$L,DATA!$O:$O,$B972,DATA!$N:$N,$A972,DATA!$M:$M,'SALES BY SYSTEM'!$O$3)</f>
        <v>0</v>
      </c>
      <c r="W972" s="168"/>
    </row>
    <row r="973" spans="1:23" x14ac:dyDescent="0.25">
      <c r="A973" t="s">
        <v>381</v>
      </c>
      <c r="B973" t="s">
        <v>16</v>
      </c>
      <c r="C973" s="178" t="str">
        <f>VLOOKUP(A973,CUSTOMER!$A:$C,3,0)</f>
        <v>COOP_F_VSING</v>
      </c>
      <c r="D973" s="178" t="s">
        <v>674</v>
      </c>
      <c r="E973" s="178" t="e">
        <f>VLOOKUP(A973,CUSTOMER!$A$2:$H$1094,5,0)</f>
        <v>#N/A</v>
      </c>
      <c r="F973" s="178" t="e">
        <f>VLOOKUP(A973,CUSTOMER!$A$2:$I$1094,6,0)</f>
        <v>#N/A</v>
      </c>
      <c r="G973" s="178" t="s">
        <v>676</v>
      </c>
      <c r="H973" s="179">
        <f t="shared" si="148"/>
        <v>0</v>
      </c>
      <c r="I973" s="180" t="str">
        <f t="shared" si="149"/>
        <v/>
      </c>
      <c r="J973" s="181">
        <f t="shared" si="150"/>
        <v>0</v>
      </c>
      <c r="K973" s="182">
        <v>0</v>
      </c>
      <c r="L973" s="180" t="str">
        <f t="shared" si="151"/>
        <v/>
      </c>
      <c r="M973" s="218">
        <f>SUMIFS(DATA!$L:$L,DATA!$O:$O,$B973,DATA!$N:$N,$A973,DATA!$M:$M,'SALES BY SYSTEM'!$O$1)</f>
        <v>0</v>
      </c>
      <c r="N973" s="182">
        <v>0</v>
      </c>
      <c r="O973" s="180" t="str">
        <f t="shared" si="152"/>
        <v/>
      </c>
      <c r="P973" s="218">
        <f>SUMIFS(DATA!$L:$L,DATA!$O:$O,$B973,DATA!$N:$N,$A973,DATA!$M:$M,'SALES BY SYSTEM'!$O$2)</f>
        <v>0</v>
      </c>
      <c r="Q973" s="182">
        <v>0</v>
      </c>
      <c r="R973" s="180" t="str">
        <f t="shared" si="153"/>
        <v/>
      </c>
      <c r="S973" s="218">
        <f>SUMIFS(DATA!$L:$L,DATA!$O:$O,$B973,DATA!$N:$N,$A973,DATA!$M:$M,'SALES BY SYSTEM'!$O$4)</f>
        <v>0</v>
      </c>
      <c r="T973" s="182">
        <v>0</v>
      </c>
      <c r="U973" s="180" t="str">
        <f t="shared" si="154"/>
        <v/>
      </c>
      <c r="V973" s="218">
        <f>SUMIFS(DATA!$L:$L,DATA!$O:$O,$B973,DATA!$N:$N,$A973,DATA!$M:$M,'SALES BY SYSTEM'!$O$3)</f>
        <v>0</v>
      </c>
      <c r="W973" s="168"/>
    </row>
    <row r="974" spans="1:23" x14ac:dyDescent="0.25">
      <c r="A974" t="s">
        <v>18</v>
      </c>
      <c r="B974" t="s">
        <v>19</v>
      </c>
      <c r="C974" s="178" t="str">
        <f>VLOOKUP(A974,CUSTOMER!$A:$C,3,0)</f>
        <v>VIN_KHO_TTIN</v>
      </c>
      <c r="D974" s="178" t="s">
        <v>674</v>
      </c>
      <c r="E974" s="178" t="e">
        <f>VLOOKUP(A974,CUSTOMER!$A$2:$H$1094,5,0)</f>
        <v>#N/A</v>
      </c>
      <c r="F974" s="178" t="e">
        <f>VLOOKUP(A974,CUSTOMER!$A$2:$I$1094,6,0)</f>
        <v>#N/A</v>
      </c>
      <c r="G974" s="178" t="s">
        <v>676</v>
      </c>
      <c r="H974" s="179">
        <f t="shared" si="148"/>
        <v>0</v>
      </c>
      <c r="I974" s="180" t="str">
        <f t="shared" si="149"/>
        <v/>
      </c>
      <c r="J974" s="181">
        <f t="shared" si="150"/>
        <v>0</v>
      </c>
      <c r="K974" s="182">
        <v>0</v>
      </c>
      <c r="L974" s="180" t="str">
        <f t="shared" si="151"/>
        <v/>
      </c>
      <c r="M974" s="218">
        <f>SUMIFS(DATA!$L:$L,DATA!$O:$O,$B974,DATA!$N:$N,$A974,DATA!$M:$M,'SALES BY SYSTEM'!$O$1)</f>
        <v>0</v>
      </c>
      <c r="N974" s="182">
        <v>0</v>
      </c>
      <c r="O974" s="180" t="str">
        <f t="shared" si="152"/>
        <v/>
      </c>
      <c r="P974" s="218">
        <f>SUMIFS(DATA!$L:$L,DATA!$O:$O,$B974,DATA!$N:$N,$A974,DATA!$M:$M,'SALES BY SYSTEM'!$O$2)</f>
        <v>0</v>
      </c>
      <c r="Q974" s="182">
        <v>0</v>
      </c>
      <c r="R974" s="180" t="str">
        <f t="shared" si="153"/>
        <v/>
      </c>
      <c r="S974" s="218">
        <f>SUMIFS(DATA!$L:$L,DATA!$O:$O,$B974,DATA!$N:$N,$A974,DATA!$M:$M,'SALES BY SYSTEM'!$O$4)</f>
        <v>0</v>
      </c>
      <c r="T974" s="182">
        <v>0</v>
      </c>
      <c r="U974" s="180" t="str">
        <f t="shared" si="154"/>
        <v/>
      </c>
      <c r="V974" s="218">
        <f>SUMIFS(DATA!$L:$L,DATA!$O:$O,$B974,DATA!$N:$N,$A974,DATA!$M:$M,'SALES BY SYSTEM'!$O$3)</f>
        <v>0</v>
      </c>
      <c r="W974" s="168"/>
    </row>
    <row r="975" spans="1:23" x14ac:dyDescent="0.25">
      <c r="A975" t="s">
        <v>322</v>
      </c>
      <c r="B975" t="s">
        <v>16</v>
      </c>
      <c r="C975" s="178" t="str">
        <f>VLOOKUP(A975,CUSTOMER!$A:$C,3,0)</f>
        <v>COOP_F_VLAI53</v>
      </c>
      <c r="D975" s="178" t="s">
        <v>674</v>
      </c>
      <c r="E975" s="178" t="e">
        <f>VLOOKUP(A975,CUSTOMER!$A$2:$H$1094,5,0)</f>
        <v>#N/A</v>
      </c>
      <c r="F975" s="178" t="e">
        <f>VLOOKUP(A975,CUSTOMER!$A$2:$I$1094,6,0)</f>
        <v>#N/A</v>
      </c>
      <c r="G975" s="178" t="s">
        <v>676</v>
      </c>
      <c r="H975" s="179">
        <f t="shared" si="148"/>
        <v>0</v>
      </c>
      <c r="I975" s="180" t="str">
        <f t="shared" si="149"/>
        <v/>
      </c>
      <c r="J975" s="181">
        <f t="shared" si="150"/>
        <v>0</v>
      </c>
      <c r="K975" s="182">
        <v>0</v>
      </c>
      <c r="L975" s="180" t="str">
        <f t="shared" si="151"/>
        <v/>
      </c>
      <c r="M975" s="218">
        <f>SUMIFS(DATA!$L:$L,DATA!$O:$O,$B975,DATA!$N:$N,$A975,DATA!$M:$M,'SALES BY SYSTEM'!$O$1)</f>
        <v>0</v>
      </c>
      <c r="N975" s="182">
        <v>0</v>
      </c>
      <c r="O975" s="180" t="str">
        <f t="shared" si="152"/>
        <v/>
      </c>
      <c r="P975" s="218">
        <f>SUMIFS(DATA!$L:$L,DATA!$O:$O,$B975,DATA!$N:$N,$A975,DATA!$M:$M,'SALES BY SYSTEM'!$O$2)</f>
        <v>0</v>
      </c>
      <c r="Q975" s="182">
        <v>0</v>
      </c>
      <c r="R975" s="180" t="str">
        <f t="shared" si="153"/>
        <v/>
      </c>
      <c r="S975" s="218">
        <f>SUMIFS(DATA!$L:$L,DATA!$O:$O,$B975,DATA!$N:$N,$A975,DATA!$M:$M,'SALES BY SYSTEM'!$O$4)</f>
        <v>0</v>
      </c>
      <c r="T975" s="182">
        <v>0</v>
      </c>
      <c r="U975" s="180" t="str">
        <f t="shared" si="154"/>
        <v/>
      </c>
      <c r="V975" s="218">
        <f>SUMIFS(DATA!$L:$L,DATA!$O:$O,$B975,DATA!$N:$N,$A975,DATA!$M:$M,'SALES BY SYSTEM'!$O$3)</f>
        <v>0</v>
      </c>
      <c r="W975" s="168"/>
    </row>
    <row r="976" spans="1:23" x14ac:dyDescent="0.25">
      <c r="A976" t="s">
        <v>623</v>
      </c>
      <c r="B976" t="s">
        <v>617</v>
      </c>
      <c r="C976" s="178" t="str">
        <f>VLOOKUP(A976,CUSTOMER!$A:$C,3,0)</f>
        <v>ACE_HOME_DANANG</v>
      </c>
      <c r="D976" s="178" t="s">
        <v>674</v>
      </c>
      <c r="E976" s="178" t="e">
        <f>VLOOKUP(A976,CUSTOMER!$A$2:$H$1094,5,0)</f>
        <v>#N/A</v>
      </c>
      <c r="F976" s="178" t="e">
        <f>VLOOKUP(A976,CUSTOMER!$A$2:$I$1094,6,0)</f>
        <v>#N/A</v>
      </c>
      <c r="G976" s="178" t="s">
        <v>676</v>
      </c>
      <c r="H976" s="179">
        <f t="shared" si="148"/>
        <v>0</v>
      </c>
      <c r="I976" s="180" t="str">
        <f t="shared" si="149"/>
        <v/>
      </c>
      <c r="J976" s="181">
        <f t="shared" si="150"/>
        <v>0</v>
      </c>
      <c r="K976" s="182">
        <v>0</v>
      </c>
      <c r="L976" s="180" t="str">
        <f t="shared" si="151"/>
        <v/>
      </c>
      <c r="M976" s="218">
        <f>SUMIFS(DATA!$L:$L,DATA!$O:$O,$B976,DATA!$N:$N,$A976,DATA!$M:$M,'SALES BY SYSTEM'!$O$1)</f>
        <v>0</v>
      </c>
      <c r="N976" s="182">
        <v>0</v>
      </c>
      <c r="O976" s="180" t="str">
        <f t="shared" si="152"/>
        <v/>
      </c>
      <c r="P976" s="218">
        <f>SUMIFS(DATA!$L:$L,DATA!$O:$O,$B976,DATA!$N:$N,$A976,DATA!$M:$M,'SALES BY SYSTEM'!$O$2)</f>
        <v>0</v>
      </c>
      <c r="Q976" s="182">
        <v>0</v>
      </c>
      <c r="R976" s="180" t="str">
        <f t="shared" si="153"/>
        <v/>
      </c>
      <c r="S976" s="218">
        <f>SUMIFS(DATA!$L:$L,DATA!$O:$O,$B976,DATA!$N:$N,$A976,DATA!$M:$M,'SALES BY SYSTEM'!$O$4)</f>
        <v>0</v>
      </c>
      <c r="T976" s="182">
        <v>0</v>
      </c>
      <c r="U976" s="180" t="str">
        <f t="shared" si="154"/>
        <v/>
      </c>
      <c r="V976" s="218">
        <f>SUMIFS(DATA!$L:$L,DATA!$O:$O,$B976,DATA!$N:$N,$A976,DATA!$M:$M,'SALES BY SYSTEM'!$O$3)</f>
        <v>0</v>
      </c>
      <c r="W976" s="168"/>
    </row>
    <row r="977" spans="1:23" x14ac:dyDescent="0.25">
      <c r="A977" t="s">
        <v>410</v>
      </c>
      <c r="B977" t="s">
        <v>16</v>
      </c>
      <c r="C977" s="178" t="str">
        <f>VLOOKUP(A977,CUSTOMER!$A:$C,3,0)</f>
        <v>COOP_F_NKIEM</v>
      </c>
      <c r="D977" s="178" t="s">
        <v>674</v>
      </c>
      <c r="E977" s="178" t="str">
        <f>VLOOKUP(A977,CUSTOMER!$A$2:$H$1094,5,0)</f>
        <v>VAVANCY-VU MINH TUAN</v>
      </c>
      <c r="F977" s="178" t="str">
        <f>VLOOKUP(A977,CUSTOMER!$A$2:$I$1094,6,0)</f>
        <v>VACANCY</v>
      </c>
      <c r="G977" s="178" t="s">
        <v>676</v>
      </c>
      <c r="H977" s="179">
        <f t="shared" si="148"/>
        <v>0</v>
      </c>
      <c r="I977" s="180" t="str">
        <f t="shared" si="149"/>
        <v/>
      </c>
      <c r="J977" s="181">
        <f t="shared" si="150"/>
        <v>0</v>
      </c>
      <c r="K977" s="182">
        <v>0</v>
      </c>
      <c r="L977" s="180" t="str">
        <f t="shared" si="151"/>
        <v/>
      </c>
      <c r="M977" s="218">
        <f>SUMIFS(DATA!$L:$L,DATA!$O:$O,$B977,DATA!$N:$N,$A977,DATA!$M:$M,'SALES BY SYSTEM'!$O$1)</f>
        <v>0</v>
      </c>
      <c r="N977" s="182">
        <v>0</v>
      </c>
      <c r="O977" s="180" t="str">
        <f t="shared" si="152"/>
        <v/>
      </c>
      <c r="P977" s="218">
        <f>SUMIFS(DATA!$L:$L,DATA!$O:$O,$B977,DATA!$N:$N,$A977,DATA!$M:$M,'SALES BY SYSTEM'!$O$2)</f>
        <v>0</v>
      </c>
      <c r="Q977" s="182">
        <v>0</v>
      </c>
      <c r="R977" s="180" t="str">
        <f t="shared" si="153"/>
        <v/>
      </c>
      <c r="S977" s="218">
        <f>SUMIFS(DATA!$L:$L,DATA!$O:$O,$B977,DATA!$N:$N,$A977,DATA!$M:$M,'SALES BY SYSTEM'!$O$4)</f>
        <v>0</v>
      </c>
      <c r="T977" s="182">
        <v>0</v>
      </c>
      <c r="U977" s="180" t="str">
        <f t="shared" si="154"/>
        <v/>
      </c>
      <c r="V977" s="218">
        <f>SUMIFS(DATA!$L:$L,DATA!$O:$O,$B977,DATA!$N:$N,$A977,DATA!$M:$M,'SALES BY SYSTEM'!$O$3)</f>
        <v>0</v>
      </c>
      <c r="W977" s="168"/>
    </row>
    <row r="978" spans="1:23" x14ac:dyDescent="0.25">
      <c r="A978" t="s">
        <v>17</v>
      </c>
      <c r="B978" t="s">
        <v>16</v>
      </c>
      <c r="C978" s="178" t="str">
        <f>VLOOKUP(A978,CUSTOMER!$A:$C,3,0)</f>
        <v>COOP_F_LTVINH</v>
      </c>
      <c r="D978" s="178" t="s">
        <v>674</v>
      </c>
      <c r="E978" s="178" t="e">
        <f>VLOOKUP(A978,CUSTOMER!$A$2:$H$1094,5,0)</f>
        <v>#N/A</v>
      </c>
      <c r="F978" s="178" t="e">
        <f>VLOOKUP(A978,CUSTOMER!$A$2:$I$1094,6,0)</f>
        <v>#N/A</v>
      </c>
      <c r="G978" s="178" t="s">
        <v>676</v>
      </c>
      <c r="H978" s="179">
        <f t="shared" si="148"/>
        <v>0</v>
      </c>
      <c r="I978" s="180" t="str">
        <f t="shared" si="149"/>
        <v/>
      </c>
      <c r="J978" s="181">
        <f t="shared" si="150"/>
        <v>0</v>
      </c>
      <c r="K978" s="182">
        <v>0</v>
      </c>
      <c r="L978" s="180" t="str">
        <f t="shared" si="151"/>
        <v/>
      </c>
      <c r="M978" s="218">
        <f>SUMIFS(DATA!$L:$L,DATA!$O:$O,$B978,DATA!$N:$N,$A978,DATA!$M:$M,'SALES BY SYSTEM'!$O$1)</f>
        <v>0</v>
      </c>
      <c r="N978" s="182">
        <v>0</v>
      </c>
      <c r="O978" s="180" t="str">
        <f t="shared" si="152"/>
        <v/>
      </c>
      <c r="P978" s="218">
        <f>SUMIFS(DATA!$L:$L,DATA!$O:$O,$B978,DATA!$N:$N,$A978,DATA!$M:$M,'SALES BY SYSTEM'!$O$2)</f>
        <v>0</v>
      </c>
      <c r="Q978" s="182">
        <v>0</v>
      </c>
      <c r="R978" s="180" t="str">
        <f t="shared" si="153"/>
        <v/>
      </c>
      <c r="S978" s="218">
        <f>SUMIFS(DATA!$L:$L,DATA!$O:$O,$B978,DATA!$N:$N,$A978,DATA!$M:$M,'SALES BY SYSTEM'!$O$4)</f>
        <v>0</v>
      </c>
      <c r="T978" s="182">
        <v>0</v>
      </c>
      <c r="U978" s="180" t="str">
        <f t="shared" si="154"/>
        <v/>
      </c>
      <c r="V978" s="218">
        <f>SUMIFS(DATA!$L:$L,DATA!$O:$O,$B978,DATA!$N:$N,$A978,DATA!$M:$M,'SALES BY SYSTEM'!$O$3)</f>
        <v>0</v>
      </c>
      <c r="W978" s="168"/>
    </row>
    <row r="979" spans="1:23" x14ac:dyDescent="0.25">
      <c r="A979" t="s">
        <v>312</v>
      </c>
      <c r="B979" t="s">
        <v>16</v>
      </c>
      <c r="C979" s="178" t="str">
        <f>VLOOKUP(A979,CUSTOMER!$A:$C,3,0)</f>
        <v>COOP_F_QL13</v>
      </c>
      <c r="D979" s="178" t="s">
        <v>674</v>
      </c>
      <c r="E979" s="178" t="str">
        <f>VLOOKUP(A979,CUSTOMER!$A$2:$H$1094,5,0)</f>
        <v>VAVANCY-VU MINH TUAN</v>
      </c>
      <c r="F979" s="178" t="str">
        <f>VLOOKUP(A979,CUSTOMER!$A$2:$I$1094,6,0)</f>
        <v>VACANCY</v>
      </c>
      <c r="G979" s="178" t="s">
        <v>676</v>
      </c>
      <c r="H979" s="179">
        <f t="shared" si="148"/>
        <v>0</v>
      </c>
      <c r="I979" s="180" t="str">
        <f t="shared" si="149"/>
        <v/>
      </c>
      <c r="J979" s="181">
        <f t="shared" si="150"/>
        <v>0</v>
      </c>
      <c r="K979" s="182">
        <v>0</v>
      </c>
      <c r="L979" s="180" t="str">
        <f t="shared" si="151"/>
        <v/>
      </c>
      <c r="M979" s="218">
        <f>SUMIFS(DATA!$L:$L,DATA!$O:$O,$B979,DATA!$N:$N,$A979,DATA!$M:$M,'SALES BY SYSTEM'!$O$1)</f>
        <v>0</v>
      </c>
      <c r="N979" s="182">
        <v>0</v>
      </c>
      <c r="O979" s="180" t="str">
        <f t="shared" si="152"/>
        <v/>
      </c>
      <c r="P979" s="218">
        <f>SUMIFS(DATA!$L:$L,DATA!$O:$O,$B979,DATA!$N:$N,$A979,DATA!$M:$M,'SALES BY SYSTEM'!$O$2)</f>
        <v>0</v>
      </c>
      <c r="Q979" s="182">
        <v>0</v>
      </c>
      <c r="R979" s="180" t="str">
        <f t="shared" si="153"/>
        <v/>
      </c>
      <c r="S979" s="218">
        <f>SUMIFS(DATA!$L:$L,DATA!$O:$O,$B979,DATA!$N:$N,$A979,DATA!$M:$M,'SALES BY SYSTEM'!$O$4)</f>
        <v>0</v>
      </c>
      <c r="T979" s="182">
        <v>0</v>
      </c>
      <c r="U979" s="180" t="str">
        <f t="shared" si="154"/>
        <v/>
      </c>
      <c r="V979" s="218">
        <f>SUMIFS(DATA!$L:$L,DATA!$O:$O,$B979,DATA!$N:$N,$A979,DATA!$M:$M,'SALES BY SYSTEM'!$O$3)</f>
        <v>0</v>
      </c>
      <c r="W979" s="168"/>
    </row>
    <row r="980" spans="1:23" x14ac:dyDescent="0.25">
      <c r="A980" t="s">
        <v>530</v>
      </c>
      <c r="B980" t="s">
        <v>432</v>
      </c>
      <c r="C980" s="178" t="str">
        <f>VLOOKUP(A980,CUSTOMER!$A:$C,3,0)</f>
        <v>BIGC_YENBAI</v>
      </c>
      <c r="D980" s="178" t="s">
        <v>674</v>
      </c>
      <c r="E980" s="178" t="str">
        <f>VLOOKUP(A980,CUSTOMER!$A$2:$H$1094,5,0)</f>
        <v>LE NAM PHUONG</v>
      </c>
      <c r="F980" s="178" t="str">
        <f>VLOOKUP(A980,CUSTOMER!$A$2:$I$1094,6,0)</f>
        <v>VACANCY</v>
      </c>
      <c r="G980" s="178" t="s">
        <v>676</v>
      </c>
      <c r="H980" s="179">
        <f t="shared" si="148"/>
        <v>0</v>
      </c>
      <c r="I980" s="180" t="str">
        <f t="shared" si="149"/>
        <v/>
      </c>
      <c r="J980" s="181">
        <f t="shared" si="150"/>
        <v>0</v>
      </c>
      <c r="K980" s="182">
        <v>0</v>
      </c>
      <c r="L980" s="180" t="str">
        <f t="shared" si="151"/>
        <v/>
      </c>
      <c r="M980" s="218">
        <f>SUMIFS(DATA!$L:$L,DATA!$O:$O,$B980,DATA!$N:$N,$A980,DATA!$M:$M,'SALES BY SYSTEM'!$O$1)</f>
        <v>0</v>
      </c>
      <c r="N980" s="182">
        <v>0</v>
      </c>
      <c r="O980" s="180" t="str">
        <f t="shared" si="152"/>
        <v/>
      </c>
      <c r="P980" s="218">
        <f>SUMIFS(DATA!$L:$L,DATA!$O:$O,$B980,DATA!$N:$N,$A980,DATA!$M:$M,'SALES BY SYSTEM'!$O$2)</f>
        <v>0</v>
      </c>
      <c r="Q980" s="182">
        <v>0</v>
      </c>
      <c r="R980" s="180" t="str">
        <f t="shared" si="153"/>
        <v/>
      </c>
      <c r="S980" s="218">
        <f>SUMIFS(DATA!$L:$L,DATA!$O:$O,$B980,DATA!$N:$N,$A980,DATA!$M:$M,'SALES BY SYSTEM'!$O$4)</f>
        <v>0</v>
      </c>
      <c r="T980" s="182">
        <v>0</v>
      </c>
      <c r="U980" s="180" t="str">
        <f t="shared" si="154"/>
        <v/>
      </c>
      <c r="V980" s="218">
        <f>SUMIFS(DATA!$L:$L,DATA!$O:$O,$B980,DATA!$N:$N,$A980,DATA!$M:$M,'SALES BY SYSTEM'!$O$3)</f>
        <v>0</v>
      </c>
      <c r="W980" s="168"/>
    </row>
    <row r="981" spans="1:23" x14ac:dyDescent="0.25">
      <c r="A981" s="302" t="s">
        <v>2539</v>
      </c>
      <c r="B981" s="302"/>
      <c r="C981" s="178"/>
      <c r="D981" s="183"/>
      <c r="E981" s="183"/>
      <c r="F981" s="183"/>
      <c r="G981" s="183"/>
      <c r="H981" s="179">
        <f t="shared" si="148"/>
        <v>5000000000.1391239</v>
      </c>
      <c r="I981" s="180">
        <f t="shared" si="149"/>
        <v>0</v>
      </c>
      <c r="J981" s="181">
        <f>SUBTOTAL(9,J3:J980)</f>
        <v>0</v>
      </c>
      <c r="K981" s="179">
        <f>SUBTOTAL(9,K1:K980)</f>
        <v>351165190.66402113</v>
      </c>
      <c r="L981" s="180" t="str">
        <f>IFERROR(M952/K952,"")</f>
        <v/>
      </c>
      <c r="M981" s="179">
        <f>SUMIFS(DATA!$L:$L,DATA!$O:$O,'SALE BY STORE'!$B954,DATA!$N:$N,'SALE BY STORE'!$A954,DATA!$M:$M,'SALES BY SYSTEM'!$O$1)</f>
        <v>0</v>
      </c>
      <c r="N981" s="179">
        <f>SUBTOTAL(9,N1:N980)</f>
        <v>974369318.89191103</v>
      </c>
      <c r="O981" s="180" t="str">
        <f>IFERROR(P952/N952,"")</f>
        <v/>
      </c>
      <c r="P981" s="179">
        <f>SUMIFS(DATA!$L:$L,DATA!$O:$O,'SALE BY STORE'!$B954,DATA!$N:$N,'SALE BY STORE'!$A954,DATA!$M:$M,'SALES BY SYSTEM'!$O$2)</f>
        <v>0</v>
      </c>
      <c r="Q981" s="179">
        <f>SUBTOTAL(9,Q1:Q980)</f>
        <v>3473576075.3919177</v>
      </c>
      <c r="R981" s="180" t="str">
        <f>IFERROR(S952/Q952,"")</f>
        <v/>
      </c>
      <c r="S981" s="179">
        <f>SUMIFS(DATA!$L:$L,DATA!$O:$O,'SALE BY STORE'!$B954,DATA!$N:$N,'SALE BY STORE'!$A954,DATA!$M:$M,'SALES BY SYSTEM'!$O$4)</f>
        <v>0</v>
      </c>
      <c r="T981" s="179">
        <f>SUBTOTAL(9,T1:T980)</f>
        <v>200889415.191275</v>
      </c>
      <c r="U981" s="180" t="str">
        <f>IFERROR(V952/T952,"")</f>
        <v/>
      </c>
      <c r="V981" s="179">
        <f>SUMIFS(DATA!$L:$L,DATA!$O:$O,'SALE BY STORE'!$B954,DATA!$N:$N,'SALE BY STORE'!$A954,DATA!$M:$M,'SALES BY SYSTEM'!$O$3)</f>
        <v>0</v>
      </c>
      <c r="W981" s="168"/>
    </row>
    <row r="982" spans="1:23" x14ac:dyDescent="0.25">
      <c r="H982" s="303"/>
    </row>
    <row r="983" spans="1:23" x14ac:dyDescent="0.25">
      <c r="H983" s="303"/>
    </row>
    <row r="984" spans="1:23" x14ac:dyDescent="0.25">
      <c r="H984" s="303"/>
    </row>
  </sheetData>
  <autoFilter ref="A2:V980" xr:uid="{00000000-0009-0000-0000-000005000000}"/>
  <conditionalFormatting sqref="A3">
    <cfRule type="duplicateValues" dxfId="234" priority="73"/>
  </conditionalFormatting>
  <conditionalFormatting sqref="A6">
    <cfRule type="duplicateValues" dxfId="233" priority="102"/>
  </conditionalFormatting>
  <conditionalFormatting sqref="A7">
    <cfRule type="duplicateValues" dxfId="232" priority="48"/>
  </conditionalFormatting>
  <conditionalFormatting sqref="A12">
    <cfRule type="duplicateValues" dxfId="231" priority="50"/>
  </conditionalFormatting>
  <conditionalFormatting sqref="A16">
    <cfRule type="duplicateValues" dxfId="230" priority="27"/>
  </conditionalFormatting>
  <conditionalFormatting sqref="A17">
    <cfRule type="duplicateValues" dxfId="229" priority="59"/>
  </conditionalFormatting>
  <conditionalFormatting sqref="A18">
    <cfRule type="duplicateValues" dxfId="228" priority="98"/>
  </conditionalFormatting>
  <conditionalFormatting sqref="A19">
    <cfRule type="duplicateValues" dxfId="227" priority="93"/>
  </conditionalFormatting>
  <conditionalFormatting sqref="A20">
    <cfRule type="duplicateValues" dxfId="226" priority="91"/>
  </conditionalFormatting>
  <conditionalFormatting sqref="A21:A22">
    <cfRule type="duplicateValues" dxfId="225" priority="34"/>
  </conditionalFormatting>
  <conditionalFormatting sqref="A26">
    <cfRule type="duplicateValues" dxfId="224" priority="267"/>
  </conditionalFormatting>
  <conditionalFormatting sqref="A27">
    <cfRule type="duplicateValues" dxfId="223" priority="305"/>
  </conditionalFormatting>
  <conditionalFormatting sqref="A28:A30">
    <cfRule type="duplicateValues" dxfId="222" priority="261"/>
  </conditionalFormatting>
  <conditionalFormatting sqref="A38:A39">
    <cfRule type="duplicateValues" dxfId="221" priority="205"/>
  </conditionalFormatting>
  <conditionalFormatting sqref="A40">
    <cfRule type="duplicateValues" dxfId="220" priority="203"/>
  </conditionalFormatting>
  <conditionalFormatting sqref="A103">
    <cfRule type="duplicateValues" dxfId="219" priority="275"/>
  </conditionalFormatting>
  <conditionalFormatting sqref="A135:A136">
    <cfRule type="duplicateValues" dxfId="218" priority="10"/>
  </conditionalFormatting>
  <conditionalFormatting sqref="A148">
    <cfRule type="duplicateValues" dxfId="217" priority="6"/>
  </conditionalFormatting>
  <conditionalFormatting sqref="A171:A178">
    <cfRule type="duplicateValues" dxfId="216" priority="13"/>
  </conditionalFormatting>
  <conditionalFormatting sqref="A180">
    <cfRule type="duplicateValues" dxfId="215" priority="285"/>
  </conditionalFormatting>
  <conditionalFormatting sqref="A187:A204">
    <cfRule type="duplicateValues" dxfId="214" priority="270"/>
  </conditionalFormatting>
  <conditionalFormatting sqref="A218:A230">
    <cfRule type="duplicateValues" dxfId="213" priority="8"/>
  </conditionalFormatting>
  <conditionalFormatting sqref="A279">
    <cfRule type="duplicateValues" dxfId="212" priority="226"/>
  </conditionalFormatting>
  <conditionalFormatting sqref="A308:A315">
    <cfRule type="duplicateValues" dxfId="211" priority="3"/>
  </conditionalFormatting>
  <conditionalFormatting sqref="A342">
    <cfRule type="duplicateValues" dxfId="210" priority="192"/>
  </conditionalFormatting>
  <conditionalFormatting sqref="A372">
    <cfRule type="duplicateValues" dxfId="209" priority="311"/>
  </conditionalFormatting>
  <conditionalFormatting sqref="A378">
    <cfRule type="duplicateValues" dxfId="208" priority="327"/>
  </conditionalFormatting>
  <conditionalFormatting sqref="A440:A441">
    <cfRule type="duplicateValues" dxfId="207" priority="150"/>
  </conditionalFormatting>
  <conditionalFormatting sqref="A442">
    <cfRule type="duplicateValues" dxfId="206" priority="146"/>
  </conditionalFormatting>
  <conditionalFormatting sqref="A443">
    <cfRule type="duplicateValues" dxfId="205" priority="142"/>
  </conditionalFormatting>
  <conditionalFormatting sqref="A444">
    <cfRule type="duplicateValues" dxfId="204" priority="138"/>
  </conditionalFormatting>
  <conditionalFormatting sqref="A445">
    <cfRule type="duplicateValues" dxfId="203" priority="134"/>
  </conditionalFormatting>
  <conditionalFormatting sqref="A446:A448">
    <cfRule type="duplicateValues" dxfId="202" priority="130"/>
  </conditionalFormatting>
  <conditionalFormatting sqref="A449">
    <cfRule type="duplicateValues" dxfId="201" priority="126"/>
  </conditionalFormatting>
  <conditionalFormatting sqref="A450">
    <cfRule type="duplicateValues" dxfId="200" priority="122"/>
  </conditionalFormatting>
  <conditionalFormatting sqref="A451">
    <cfRule type="duplicateValues" dxfId="199" priority="119"/>
  </conditionalFormatting>
  <conditionalFormatting sqref="A452">
    <cfRule type="duplicateValues" dxfId="198" priority="117"/>
  </conditionalFormatting>
  <conditionalFormatting sqref="A453">
    <cfRule type="duplicateValues" dxfId="197" priority="115"/>
  </conditionalFormatting>
  <conditionalFormatting sqref="A454">
    <cfRule type="duplicateValues" dxfId="196" priority="113"/>
  </conditionalFormatting>
  <conditionalFormatting sqref="A455:A466 A373:A377 A4:A5 A8:A11 A13:A15 A24:A25 A33:A37 A41:A102 A104:A134 A137:A147 A149:A170 A179 A181:A186 A205:A217 A231:A277 A280:A307 A316:A338 A340:A341 A343:A371 A379:A439 A468:A480 A526:A528 A531:A536 A539:A540 A542:A547 A549:A550 A552 A557 A559:A561 A563:A564">
    <cfRule type="duplicateValues" dxfId="195" priority="328"/>
  </conditionalFormatting>
  <conditionalFormatting sqref="A467">
    <cfRule type="duplicateValues" dxfId="194" priority="96"/>
  </conditionalFormatting>
  <conditionalFormatting sqref="A481:A482">
    <cfRule type="duplicateValues" dxfId="193" priority="325"/>
  </conditionalFormatting>
  <conditionalFormatting sqref="A483">
    <cfRule type="duplicateValues" dxfId="192" priority="320"/>
  </conditionalFormatting>
  <conditionalFormatting sqref="A484">
    <cfRule type="duplicateValues" dxfId="191" priority="272"/>
  </conditionalFormatting>
  <conditionalFormatting sqref="A485">
    <cfRule type="duplicateValues" dxfId="190" priority="70"/>
  </conditionalFormatting>
  <conditionalFormatting sqref="A486">
    <cfRule type="duplicateValues" dxfId="189" priority="228"/>
  </conditionalFormatting>
  <conditionalFormatting sqref="A487">
    <cfRule type="duplicateValues" dxfId="188" priority="234"/>
  </conditionalFormatting>
  <conditionalFormatting sqref="A488">
    <cfRule type="duplicateValues" dxfId="187" priority="323"/>
  </conditionalFormatting>
  <conditionalFormatting sqref="A489">
    <cfRule type="duplicateValues" dxfId="186" priority="316"/>
  </conditionalFormatting>
  <conditionalFormatting sqref="A490:A491 A495:A500 A503 A507:A508 A510 A512:A513 A565">
    <cfRule type="duplicateValues" dxfId="185" priority="324"/>
  </conditionalFormatting>
  <conditionalFormatting sqref="A492:A493">
    <cfRule type="duplicateValues" dxfId="184" priority="254"/>
  </conditionalFormatting>
  <conditionalFormatting sqref="A494">
    <cfRule type="duplicateValues" dxfId="183" priority="314"/>
  </conditionalFormatting>
  <conditionalFormatting sqref="A501">
    <cfRule type="duplicateValues" dxfId="182" priority="258"/>
  </conditionalFormatting>
  <conditionalFormatting sqref="A502">
    <cfRule type="duplicateValues" dxfId="181" priority="288"/>
  </conditionalFormatting>
  <conditionalFormatting sqref="A504">
    <cfRule type="duplicateValues" dxfId="180" priority="306"/>
  </conditionalFormatting>
  <conditionalFormatting sqref="A505">
    <cfRule type="duplicateValues" dxfId="179" priority="107"/>
  </conditionalFormatting>
  <conditionalFormatting sqref="A506">
    <cfRule type="duplicateValues" dxfId="178" priority="252"/>
  </conditionalFormatting>
  <conditionalFormatting sqref="A509">
    <cfRule type="duplicateValues" dxfId="177" priority="248"/>
  </conditionalFormatting>
  <conditionalFormatting sqref="A511">
    <cfRule type="duplicateValues" dxfId="176" priority="282"/>
  </conditionalFormatting>
  <conditionalFormatting sqref="A514">
    <cfRule type="duplicateValues" dxfId="175" priority="322"/>
  </conditionalFormatting>
  <conditionalFormatting sqref="A515:A517">
    <cfRule type="duplicateValues" dxfId="174" priority="264"/>
  </conditionalFormatting>
  <conditionalFormatting sqref="A524:A525">
    <cfRule type="duplicateValues" dxfId="173" priority="243"/>
  </conditionalFormatting>
  <conditionalFormatting sqref="A530">
    <cfRule type="duplicateValues" dxfId="172" priority="161"/>
  </conditionalFormatting>
  <conditionalFormatting sqref="A537">
    <cfRule type="duplicateValues" dxfId="171" priority="294"/>
  </conditionalFormatting>
  <conditionalFormatting sqref="A538">
    <cfRule type="duplicateValues" dxfId="170" priority="262"/>
  </conditionalFormatting>
  <conditionalFormatting sqref="A541">
    <cfRule type="duplicateValues" dxfId="169" priority="292"/>
  </conditionalFormatting>
  <conditionalFormatting sqref="A548">
    <cfRule type="duplicateValues" dxfId="168" priority="84"/>
  </conditionalFormatting>
  <conditionalFormatting sqref="A551">
    <cfRule type="duplicateValues" dxfId="167" priority="211"/>
  </conditionalFormatting>
  <conditionalFormatting sqref="A553">
    <cfRule type="duplicateValues" dxfId="166" priority="186"/>
  </conditionalFormatting>
  <conditionalFormatting sqref="A554">
    <cfRule type="duplicateValues" dxfId="165" priority="180"/>
  </conditionalFormatting>
  <conditionalFormatting sqref="A555">
    <cfRule type="duplicateValues" dxfId="164" priority="278"/>
  </conditionalFormatting>
  <conditionalFormatting sqref="A556">
    <cfRule type="duplicateValues" dxfId="163" priority="326"/>
  </conditionalFormatting>
  <conditionalFormatting sqref="A558">
    <cfRule type="duplicateValues" dxfId="162" priority="312"/>
  </conditionalFormatting>
  <conditionalFormatting sqref="A562">
    <cfRule type="duplicateValues" dxfId="161" priority="308"/>
  </conditionalFormatting>
  <conditionalFormatting sqref="A566">
    <cfRule type="duplicateValues" dxfId="160" priority="250"/>
  </conditionalFormatting>
  <conditionalFormatting sqref="A567">
    <cfRule type="duplicateValues" dxfId="159" priority="302"/>
  </conditionalFormatting>
  <conditionalFormatting sqref="A568:A947 A1:A2 A955:A981 A1077:A1048576 C2 E2 G2 I2 K2 M2 O2 Q2 S2 U2">
    <cfRule type="duplicateValues" dxfId="158" priority="1883"/>
  </conditionalFormatting>
  <conditionalFormatting sqref="A954">
    <cfRule type="duplicateValues" dxfId="157" priority="16"/>
  </conditionalFormatting>
  <conditionalFormatting sqref="A1077:A1048576 A1:A981">
    <cfRule type="duplicateValues" dxfId="156" priority="1"/>
  </conditionalFormatting>
  <conditionalFormatting sqref="B485">
    <cfRule type="duplicateValues" dxfId="155" priority="68"/>
  </conditionalFormatting>
  <conditionalFormatting sqref="C3">
    <cfRule type="duplicateValues" dxfId="154" priority="71"/>
    <cfRule type="duplicateValues" dxfId="153" priority="72"/>
    <cfRule type="duplicateValues" dxfId="152" priority="74"/>
  </conditionalFormatting>
  <conditionalFormatting sqref="C6">
    <cfRule type="duplicateValues" dxfId="151" priority="101"/>
  </conditionalFormatting>
  <conditionalFormatting sqref="C7">
    <cfRule type="duplicateValues" dxfId="150" priority="47"/>
  </conditionalFormatting>
  <conditionalFormatting sqref="C12">
    <cfRule type="duplicateValues" dxfId="149" priority="49"/>
  </conditionalFormatting>
  <conditionalFormatting sqref="C16">
    <cfRule type="duplicateValues" dxfId="148" priority="26"/>
    <cfRule type="duplicateValues" dxfId="147" priority="28"/>
    <cfRule type="duplicateValues" dxfId="146" priority="29"/>
    <cfRule type="duplicateValues" dxfId="145" priority="30"/>
    <cfRule type="duplicateValues" dxfId="144" priority="31"/>
  </conditionalFormatting>
  <conditionalFormatting sqref="C17">
    <cfRule type="duplicateValues" dxfId="143" priority="61"/>
    <cfRule type="duplicateValues" dxfId="142" priority="58"/>
    <cfRule type="duplicateValues" dxfId="141" priority="60"/>
    <cfRule type="duplicateValues" dxfId="140" priority="62"/>
    <cfRule type="duplicateValues" dxfId="139" priority="63"/>
  </conditionalFormatting>
  <conditionalFormatting sqref="C18">
    <cfRule type="duplicateValues" dxfId="138" priority="100"/>
  </conditionalFormatting>
  <conditionalFormatting sqref="C19:C20">
    <cfRule type="duplicateValues" dxfId="137" priority="95"/>
  </conditionalFormatting>
  <conditionalFormatting sqref="C21:C22">
    <cfRule type="duplicateValues" dxfId="136" priority="33"/>
  </conditionalFormatting>
  <conditionalFormatting sqref="C23">
    <cfRule type="duplicateValues" dxfId="135" priority="22"/>
  </conditionalFormatting>
  <conditionalFormatting sqref="C26">
    <cfRule type="duplicateValues" dxfId="134" priority="266"/>
  </conditionalFormatting>
  <conditionalFormatting sqref="C27">
    <cfRule type="duplicateValues" dxfId="133" priority="304"/>
  </conditionalFormatting>
  <conditionalFormatting sqref="C28:C30">
    <cfRule type="duplicateValues" dxfId="132" priority="260"/>
  </conditionalFormatting>
  <conditionalFormatting sqref="C31">
    <cfRule type="duplicateValues" dxfId="131" priority="241"/>
  </conditionalFormatting>
  <conditionalFormatting sqref="C32">
    <cfRule type="duplicateValues" dxfId="130" priority="240"/>
  </conditionalFormatting>
  <conditionalFormatting sqref="C38:C39">
    <cfRule type="duplicateValues" dxfId="129" priority="204"/>
    <cfRule type="duplicateValues" dxfId="128" priority="206"/>
    <cfRule type="duplicateValues" dxfId="127" priority="207"/>
    <cfRule type="duplicateValues" dxfId="126" priority="208"/>
    <cfRule type="duplicateValues" dxfId="125" priority="209"/>
  </conditionalFormatting>
  <conditionalFormatting sqref="C40">
    <cfRule type="duplicateValues" dxfId="124" priority="198"/>
    <cfRule type="duplicateValues" dxfId="123" priority="200"/>
    <cfRule type="duplicateValues" dxfId="122" priority="201"/>
    <cfRule type="duplicateValues" dxfId="121" priority="197"/>
    <cfRule type="duplicateValues" dxfId="120" priority="199"/>
  </conditionalFormatting>
  <conditionalFormatting sqref="C103">
    <cfRule type="duplicateValues" dxfId="119" priority="274"/>
  </conditionalFormatting>
  <conditionalFormatting sqref="C135:C136">
    <cfRule type="duplicateValues" dxfId="118" priority="11"/>
  </conditionalFormatting>
  <conditionalFormatting sqref="C148">
    <cfRule type="duplicateValues" dxfId="117" priority="7"/>
  </conditionalFormatting>
  <conditionalFormatting sqref="C180">
    <cfRule type="duplicateValues" dxfId="116" priority="284"/>
  </conditionalFormatting>
  <conditionalFormatting sqref="C187:C204">
    <cfRule type="duplicateValues" dxfId="115" priority="269"/>
  </conditionalFormatting>
  <conditionalFormatting sqref="C218:C230">
    <cfRule type="duplicateValues" dxfId="114" priority="9"/>
  </conditionalFormatting>
  <conditionalFormatting sqref="C278">
    <cfRule type="duplicateValues" dxfId="113" priority="12"/>
  </conditionalFormatting>
  <conditionalFormatting sqref="C279">
    <cfRule type="duplicateValues" dxfId="112" priority="223"/>
    <cfRule type="duplicateValues" dxfId="111" priority="224"/>
    <cfRule type="duplicateValues" dxfId="110" priority="225"/>
    <cfRule type="duplicateValues" dxfId="109" priority="222"/>
    <cfRule type="duplicateValues" dxfId="108" priority="221"/>
  </conditionalFormatting>
  <conditionalFormatting sqref="C308:C315">
    <cfRule type="duplicateValues" dxfId="107" priority="4"/>
  </conditionalFormatting>
  <conditionalFormatting sqref="C342">
    <cfRule type="duplicateValues" dxfId="106" priority="194"/>
    <cfRule type="duplicateValues" dxfId="105" priority="195"/>
    <cfRule type="duplicateValues" dxfId="104" priority="196"/>
    <cfRule type="duplicateValues" dxfId="103" priority="191"/>
    <cfRule type="duplicateValues" dxfId="102" priority="193"/>
  </conditionalFormatting>
  <conditionalFormatting sqref="C372">
    <cfRule type="duplicateValues" dxfId="101" priority="310"/>
  </conditionalFormatting>
  <conditionalFormatting sqref="C440:C441">
    <cfRule type="duplicateValues" dxfId="100" priority="148"/>
    <cfRule type="duplicateValues" dxfId="99" priority="151"/>
    <cfRule type="duplicateValues" dxfId="98" priority="149"/>
  </conditionalFormatting>
  <conditionalFormatting sqref="C442">
    <cfRule type="duplicateValues" dxfId="97" priority="145"/>
    <cfRule type="duplicateValues" dxfId="96" priority="147"/>
    <cfRule type="duplicateValues" dxfId="95" priority="144"/>
  </conditionalFormatting>
  <conditionalFormatting sqref="C443">
    <cfRule type="duplicateValues" dxfId="94" priority="141"/>
    <cfRule type="duplicateValues" dxfId="93" priority="143"/>
    <cfRule type="duplicateValues" dxfId="92" priority="140"/>
  </conditionalFormatting>
  <conditionalFormatting sqref="C444">
    <cfRule type="duplicateValues" dxfId="91" priority="137"/>
    <cfRule type="duplicateValues" dxfId="90" priority="136"/>
    <cfRule type="duplicateValues" dxfId="89" priority="139"/>
  </conditionalFormatting>
  <conditionalFormatting sqref="C445">
    <cfRule type="duplicateValues" dxfId="88" priority="135"/>
    <cfRule type="duplicateValues" dxfId="87" priority="133"/>
    <cfRule type="duplicateValues" dxfId="86" priority="132"/>
  </conditionalFormatting>
  <conditionalFormatting sqref="C446:C448">
    <cfRule type="duplicateValues" dxfId="85" priority="128"/>
    <cfRule type="duplicateValues" dxfId="84" priority="131"/>
    <cfRule type="duplicateValues" dxfId="83" priority="129"/>
  </conditionalFormatting>
  <conditionalFormatting sqref="C449">
    <cfRule type="duplicateValues" dxfId="82" priority="124"/>
    <cfRule type="duplicateValues" dxfId="81" priority="125"/>
    <cfRule type="duplicateValues" dxfId="80" priority="127"/>
  </conditionalFormatting>
  <conditionalFormatting sqref="C450">
    <cfRule type="duplicateValues" dxfId="79" priority="120"/>
    <cfRule type="duplicateValues" dxfId="78" priority="123"/>
    <cfRule type="duplicateValues" dxfId="77" priority="121"/>
  </conditionalFormatting>
  <conditionalFormatting sqref="C451">
    <cfRule type="duplicateValues" dxfId="76" priority="118"/>
  </conditionalFormatting>
  <conditionalFormatting sqref="C452">
    <cfRule type="duplicateValues" dxfId="75" priority="116"/>
  </conditionalFormatting>
  <conditionalFormatting sqref="C453">
    <cfRule type="duplicateValues" dxfId="74" priority="114"/>
  </conditionalFormatting>
  <conditionalFormatting sqref="C454">
    <cfRule type="duplicateValues" dxfId="73" priority="112"/>
  </conditionalFormatting>
  <conditionalFormatting sqref="C455:C466 C373:C439 C4:C5 C8:C11 C13:C15 C24:C25 C33:C37 C41:C102 C104:C134 C137:C147 C149:C179 C181:C186 C205:C217 C231:C277 C280:C307 C316:C338 C340:C341 C343:C371 C468:C482 C488 C490:C491 C495:C500 C503 C507:C508 C510 C512:C514 C565">
    <cfRule type="duplicateValues" dxfId="72" priority="330"/>
  </conditionalFormatting>
  <conditionalFormatting sqref="C467">
    <cfRule type="duplicateValues" dxfId="71" priority="97"/>
  </conditionalFormatting>
  <conditionalFormatting sqref="C483">
    <cfRule type="duplicateValues" dxfId="70" priority="321"/>
  </conditionalFormatting>
  <conditionalFormatting sqref="C484">
    <cfRule type="duplicateValues" dxfId="69" priority="273"/>
  </conditionalFormatting>
  <conditionalFormatting sqref="C485">
    <cfRule type="duplicateValues" dxfId="68" priority="69"/>
  </conditionalFormatting>
  <conditionalFormatting sqref="C486">
    <cfRule type="duplicateValues" dxfId="67" priority="227"/>
    <cfRule type="duplicateValues" dxfId="66" priority="229"/>
    <cfRule type="duplicateValues" dxfId="65" priority="230"/>
    <cfRule type="duplicateValues" dxfId="64" priority="231"/>
    <cfRule type="duplicateValues" dxfId="63" priority="232"/>
  </conditionalFormatting>
  <conditionalFormatting sqref="C487">
    <cfRule type="duplicateValues" dxfId="62" priority="233"/>
  </conditionalFormatting>
  <conditionalFormatting sqref="C489">
    <cfRule type="duplicateValues" dxfId="61" priority="317"/>
  </conditionalFormatting>
  <conditionalFormatting sqref="C492:C493">
    <cfRule type="duplicateValues" dxfId="60" priority="255"/>
  </conditionalFormatting>
  <conditionalFormatting sqref="C494">
    <cfRule type="duplicateValues" dxfId="59" priority="315"/>
  </conditionalFormatting>
  <conditionalFormatting sqref="C501">
    <cfRule type="duplicateValues" dxfId="58" priority="259"/>
  </conditionalFormatting>
  <conditionalFormatting sqref="C502">
    <cfRule type="duplicateValues" dxfId="57" priority="289"/>
  </conditionalFormatting>
  <conditionalFormatting sqref="C504">
    <cfRule type="duplicateValues" dxfId="56" priority="307"/>
  </conditionalFormatting>
  <conditionalFormatting sqref="C505">
    <cfRule type="duplicateValues" dxfId="55" priority="106"/>
  </conditionalFormatting>
  <conditionalFormatting sqref="C506">
    <cfRule type="duplicateValues" dxfId="54" priority="253"/>
  </conditionalFormatting>
  <conditionalFormatting sqref="C509">
    <cfRule type="duplicateValues" dxfId="53" priority="249"/>
  </conditionalFormatting>
  <conditionalFormatting sqref="C511">
    <cfRule type="duplicateValues" dxfId="52" priority="283"/>
  </conditionalFormatting>
  <conditionalFormatting sqref="C515:C517">
    <cfRule type="duplicateValues" dxfId="51" priority="265"/>
  </conditionalFormatting>
  <conditionalFormatting sqref="C518">
    <cfRule type="duplicateValues" dxfId="50" priority="81"/>
  </conditionalFormatting>
  <conditionalFormatting sqref="C519">
    <cfRule type="duplicateValues" dxfId="49" priority="80"/>
  </conditionalFormatting>
  <conditionalFormatting sqref="C520">
    <cfRule type="duplicateValues" dxfId="48" priority="79"/>
  </conditionalFormatting>
  <conditionalFormatting sqref="C521">
    <cfRule type="duplicateValues" dxfId="47" priority="78"/>
  </conditionalFormatting>
  <conditionalFormatting sqref="C522">
    <cfRule type="duplicateValues" dxfId="46" priority="77"/>
  </conditionalFormatting>
  <conditionalFormatting sqref="C523">
    <cfRule type="duplicateValues" dxfId="45" priority="76"/>
  </conditionalFormatting>
  <conditionalFormatting sqref="C524:C525">
    <cfRule type="duplicateValues" dxfId="44" priority="246"/>
    <cfRule type="duplicateValues" dxfId="43" priority="247"/>
    <cfRule type="duplicateValues" dxfId="42" priority="242"/>
    <cfRule type="duplicateValues" dxfId="41" priority="244"/>
    <cfRule type="duplicateValues" dxfId="40" priority="245"/>
  </conditionalFormatting>
  <conditionalFormatting sqref="C526:C528 C531:C536 C539:C540 C542:C547 C549:C550 C556:C557 C559:C561 C563:C564">
    <cfRule type="duplicateValues" dxfId="39" priority="329"/>
  </conditionalFormatting>
  <conditionalFormatting sqref="C529">
    <cfRule type="duplicateValues" dxfId="38" priority="75"/>
  </conditionalFormatting>
  <conditionalFormatting sqref="C530">
    <cfRule type="duplicateValues" dxfId="37" priority="163"/>
    <cfRule type="duplicateValues" dxfId="36" priority="165"/>
    <cfRule type="duplicateValues" dxfId="35" priority="164"/>
    <cfRule type="duplicateValues" dxfId="34" priority="162"/>
    <cfRule type="duplicateValues" dxfId="33" priority="160"/>
  </conditionalFormatting>
  <conditionalFormatting sqref="C537">
    <cfRule type="duplicateValues" dxfId="32" priority="295"/>
  </conditionalFormatting>
  <conditionalFormatting sqref="C538">
    <cfRule type="duplicateValues" dxfId="31" priority="263"/>
  </conditionalFormatting>
  <conditionalFormatting sqref="C541">
    <cfRule type="duplicateValues" dxfId="30" priority="293"/>
  </conditionalFormatting>
  <conditionalFormatting sqref="C548">
    <cfRule type="duplicateValues" dxfId="29" priority="83"/>
  </conditionalFormatting>
  <conditionalFormatting sqref="C551">
    <cfRule type="duplicateValues" dxfId="28" priority="213"/>
    <cfRule type="duplicateValues" dxfId="27" priority="210"/>
    <cfRule type="duplicateValues" dxfId="26" priority="212"/>
    <cfRule type="duplicateValues" dxfId="25" priority="215"/>
    <cfRule type="duplicateValues" dxfId="24" priority="214"/>
  </conditionalFormatting>
  <conditionalFormatting sqref="C552">
    <cfRule type="duplicateValues" dxfId="23" priority="219"/>
    <cfRule type="duplicateValues" dxfId="22" priority="218"/>
    <cfRule type="duplicateValues" dxfId="21" priority="220"/>
    <cfRule type="duplicateValues" dxfId="20" priority="217"/>
    <cfRule type="duplicateValues" dxfId="19" priority="216"/>
  </conditionalFormatting>
  <conditionalFormatting sqref="C553">
    <cfRule type="duplicateValues" dxfId="18" priority="188"/>
    <cfRule type="duplicateValues" dxfId="17" priority="185"/>
    <cfRule type="duplicateValues" dxfId="16" priority="189"/>
    <cfRule type="duplicateValues" dxfId="15" priority="190"/>
    <cfRule type="duplicateValues" dxfId="14" priority="187"/>
  </conditionalFormatting>
  <conditionalFormatting sqref="C554">
    <cfRule type="duplicateValues" dxfId="13" priority="182"/>
    <cfRule type="duplicateValues" dxfId="12" priority="181"/>
    <cfRule type="duplicateValues" dxfId="11" priority="179"/>
    <cfRule type="duplicateValues" dxfId="10" priority="184"/>
    <cfRule type="duplicateValues" dxfId="9" priority="183"/>
  </conditionalFormatting>
  <conditionalFormatting sqref="C555">
    <cfRule type="duplicateValues" dxfId="8" priority="279"/>
  </conditionalFormatting>
  <conditionalFormatting sqref="C558">
    <cfRule type="duplicateValues" dxfId="7" priority="313"/>
  </conditionalFormatting>
  <conditionalFormatting sqref="C562">
    <cfRule type="duplicateValues" dxfId="6" priority="309"/>
  </conditionalFormatting>
  <conditionalFormatting sqref="C566">
    <cfRule type="duplicateValues" dxfId="5" priority="251"/>
  </conditionalFormatting>
  <conditionalFormatting sqref="C567">
    <cfRule type="duplicateValues" dxfId="4" priority="303"/>
  </conditionalFormatting>
  <conditionalFormatting sqref="C568:C951 C1 C954 C958:C981 C1077:C1048576">
    <cfRule type="duplicateValues" dxfId="3" priority="1876"/>
  </conditionalFormatting>
  <conditionalFormatting sqref="C568:C951 C954 C958:C981 C1077:C1048576">
    <cfRule type="duplicateValues" dxfId="2" priority="1880"/>
  </conditionalFormatting>
  <conditionalFormatting sqref="C954 C1 C3:C307 C316:C951 C958:C981 C1077:C1048576">
    <cfRule type="duplicateValues" dxfId="1" priority="1875"/>
  </conditionalFormatting>
  <conditionalFormatting sqref="C1077:C1048576 C1:C981">
    <cfRule type="duplicateValues" dxfId="0" priority="2"/>
  </conditionalFormatting>
  <hyperlinks>
    <hyperlink ref="C406" r:id="rId1" display="javascript:GotoSubLeger_" xr:uid="{00000000-0004-0000-0500-000000000000}"/>
    <hyperlink ref="C420" r:id="rId2" display="javascript:GotoSubLeger_" xr:uid="{00000000-0004-0000-0500-000001000000}"/>
    <hyperlink ref="C445" r:id="rId3" display="javascript:GotoSubLeger_" xr:uid="{00000000-0004-0000-0500-000002000000}"/>
    <hyperlink ref="C466" r:id="rId4" display="COOP_GDAU" xr:uid="{00000000-0004-0000-0500-000003000000}"/>
    <hyperlink ref="C488" r:id="rId5" display="javascript:GotoSubLeger_" xr:uid="{00000000-0004-0000-0500-000004000000}"/>
    <hyperlink ref="C516" r:id="rId6" display="BIGC_MDONG" xr:uid="{00000000-0004-0000-0500-000005000000}"/>
    <hyperlink ref="C522" r:id="rId7" display="javascript:GotoSubLeger_" xr:uid="{00000000-0004-0000-0500-000006000000}"/>
    <hyperlink ref="C536" r:id="rId8" display="javascript:GotoSubLeger_" xr:uid="{00000000-0004-0000-0500-000007000000}"/>
    <hyperlink ref="A952" r:id="rId9" xr:uid="{00000000-0004-0000-0500-000008000000}"/>
    <hyperlink ref="C952" r:id="rId10" display="javascript:GotoSubLeger_" xr:uid="{00000000-0004-0000-0500-000009000000}"/>
  </hyperlinks>
  <pageMargins left="0.7" right="0.7" top="0.75" bottom="0.75" header="0.3" footer="0.3"/>
  <pageSetup paperSize="9"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3"/>
  <dimension ref="A1:W31"/>
  <sheetViews>
    <sheetView showGridLines="0" tabSelected="1" zoomScaleNormal="100" workbookViewId="0">
      <selection activeCell="H21" sqref="H21"/>
    </sheetView>
  </sheetViews>
  <sheetFormatPr defaultColWidth="4.5703125" defaultRowHeight="15" x14ac:dyDescent="0.25"/>
  <cols>
    <col min="1" max="1" width="4.85546875" customWidth="1"/>
    <col min="2" max="2" width="24" style="120" customWidth="1"/>
    <col min="3" max="3" width="19" bestFit="1" customWidth="1"/>
    <col min="4" max="4" width="13.7109375" customWidth="1"/>
    <col min="5" max="5" width="6.85546875" customWidth="1"/>
    <col min="6" max="6" width="13.5703125" customWidth="1"/>
    <col min="7" max="7" width="12.140625" customWidth="1"/>
    <col min="8" max="8" width="7.7109375" customWidth="1"/>
    <col min="9" max="9" width="11.85546875" customWidth="1"/>
    <col min="10" max="10" width="11.7109375" customWidth="1"/>
    <col min="11" max="11" width="6.7109375" bestFit="1" customWidth="1"/>
    <col min="12" max="12" width="13.5703125" customWidth="1"/>
    <col min="13" max="13" width="15" customWidth="1"/>
    <col min="14" max="14" width="6.7109375" bestFit="1" customWidth="1"/>
    <col min="15" max="15" width="13.5703125" customWidth="1"/>
    <col min="16" max="16" width="15" customWidth="1"/>
    <col min="17" max="17" width="11.42578125" bestFit="1" customWidth="1"/>
    <col min="18" max="18" width="17.5703125" bestFit="1" customWidth="1"/>
    <col min="19" max="19" width="8.85546875" bestFit="1" customWidth="1"/>
    <col min="20" max="20" width="11.7109375" hidden="1" customWidth="1"/>
    <col min="21" max="21" width="12.85546875" customWidth="1"/>
    <col min="22" max="22" width="12.140625" customWidth="1"/>
    <col min="23" max="23" width="7.140625" bestFit="1" customWidth="1"/>
  </cols>
  <sheetData>
    <row r="1" spans="1:23" x14ac:dyDescent="0.25">
      <c r="A1" s="320" t="s">
        <v>2540</v>
      </c>
      <c r="B1" s="321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</row>
    <row r="2" spans="1:23" x14ac:dyDescent="0.25">
      <c r="A2" s="73" t="s">
        <v>2541</v>
      </c>
      <c r="B2" s="74"/>
      <c r="C2" s="72"/>
      <c r="D2" s="72"/>
      <c r="E2" s="73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</row>
    <row r="3" spans="1:23" x14ac:dyDescent="0.25">
      <c r="A3" s="329" t="s">
        <v>2542</v>
      </c>
      <c r="B3" s="321"/>
      <c r="C3" s="72"/>
      <c r="D3" s="72"/>
      <c r="E3" s="72"/>
      <c r="F3" s="72"/>
      <c r="G3" s="72"/>
      <c r="H3" s="72"/>
      <c r="I3" s="75"/>
      <c r="J3" s="72"/>
      <c r="K3" s="72"/>
      <c r="L3" s="75"/>
      <c r="M3" s="72"/>
      <c r="N3" s="72"/>
      <c r="O3" s="75"/>
      <c r="P3" s="72"/>
      <c r="Q3" s="72"/>
      <c r="R3" s="72"/>
      <c r="S3" s="72"/>
      <c r="T3" s="72"/>
      <c r="U3" s="72"/>
      <c r="V3" s="72"/>
      <c r="W3" s="72"/>
    </row>
    <row r="4" spans="1:23" ht="20.25" customHeight="1" x14ac:dyDescent="0.25">
      <c r="A4" s="332" t="str">
        <f>CONCATENATE("SALES REPORT FOR MT'S SALE STAFF IN ",TEXT(E6,"mm")," / ",TEXT(E6,"yyyy"))</f>
        <v>SALES REPORT FOR MT'S SALE STAFF IN 01 / 2026</v>
      </c>
      <c r="B4" s="321"/>
      <c r="C4" s="331"/>
      <c r="D4" s="331"/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331"/>
      <c r="V4" s="331"/>
      <c r="W4" s="331"/>
    </row>
    <row r="5" spans="1:23" x14ac:dyDescent="0.25">
      <c r="A5" s="330" t="str">
        <f>CONCATENATE("From ",TEXT(E6,"dd/mm/yyyy")," To ",TEXT(G6,"dd/mm/yyyy"))</f>
        <v>From 01/01/2026 To 31/01/2026</v>
      </c>
      <c r="B5" s="321"/>
      <c r="C5" s="331"/>
      <c r="D5" s="331"/>
      <c r="E5" s="331"/>
      <c r="F5" s="331"/>
      <c r="G5" s="331"/>
      <c r="H5" s="331"/>
      <c r="I5" s="331"/>
      <c r="J5" s="331"/>
      <c r="K5" s="331"/>
      <c r="L5" s="331"/>
      <c r="M5" s="331"/>
      <c r="N5" s="331"/>
      <c r="O5" s="331"/>
      <c r="P5" s="331"/>
      <c r="Q5" s="331"/>
      <c r="R5" s="331"/>
      <c r="S5" s="331"/>
      <c r="T5" s="331"/>
      <c r="U5" s="331"/>
      <c r="V5" s="331"/>
      <c r="W5" s="331"/>
    </row>
    <row r="6" spans="1:23" s="79" customFormat="1" ht="15.75" customHeight="1" thickBot="1" x14ac:dyDescent="0.3">
      <c r="A6" s="76"/>
      <c r="B6" s="77"/>
      <c r="C6" s="41">
        <v>3</v>
      </c>
      <c r="D6" s="41">
        <v>2025</v>
      </c>
      <c r="E6" s="42">
        <v>46023</v>
      </c>
      <c r="F6" s="41">
        <v>2025</v>
      </c>
      <c r="G6" s="42">
        <v>46053</v>
      </c>
      <c r="H6" s="78"/>
      <c r="I6" s="42">
        <v>46023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</row>
    <row r="7" spans="1:23" ht="15" customHeight="1" x14ac:dyDescent="0.25">
      <c r="A7" s="316" t="s">
        <v>2543</v>
      </c>
      <c r="B7" s="318" t="s">
        <v>2544</v>
      </c>
      <c r="C7" s="325" t="s">
        <v>2536</v>
      </c>
      <c r="D7" s="325" t="s">
        <v>2537</v>
      </c>
      <c r="E7" s="335" t="s">
        <v>635</v>
      </c>
      <c r="F7" s="343" t="s">
        <v>628</v>
      </c>
      <c r="G7" s="341"/>
      <c r="H7" s="342"/>
      <c r="I7" s="340" t="s">
        <v>629</v>
      </c>
      <c r="J7" s="341"/>
      <c r="K7" s="342"/>
      <c r="L7" s="340" t="s">
        <v>631</v>
      </c>
      <c r="M7" s="341"/>
      <c r="N7" s="342"/>
      <c r="O7" s="336" t="s">
        <v>2545</v>
      </c>
      <c r="P7" s="327" t="s">
        <v>628</v>
      </c>
      <c r="Q7" s="338" t="s">
        <v>629</v>
      </c>
      <c r="R7" s="318" t="s">
        <v>2546</v>
      </c>
      <c r="S7" s="322" t="s">
        <v>2547</v>
      </c>
    </row>
    <row r="8" spans="1:23" ht="15.75" customHeight="1" thickBot="1" x14ac:dyDescent="0.3">
      <c r="A8" s="317"/>
      <c r="B8" s="319"/>
      <c r="C8" s="326"/>
      <c r="D8" s="326"/>
      <c r="E8" s="319"/>
      <c r="F8" s="80" t="s">
        <v>636</v>
      </c>
      <c r="G8" s="80" t="s">
        <v>2537</v>
      </c>
      <c r="H8" s="81" t="s">
        <v>635</v>
      </c>
      <c r="I8" s="82" t="s">
        <v>636</v>
      </c>
      <c r="J8" s="80" t="s">
        <v>2537</v>
      </c>
      <c r="K8" s="81" t="s">
        <v>635</v>
      </c>
      <c r="L8" s="82" t="s">
        <v>636</v>
      </c>
      <c r="M8" s="80" t="s">
        <v>2537</v>
      </c>
      <c r="N8" s="81" t="s">
        <v>635</v>
      </c>
      <c r="O8" s="337"/>
      <c r="P8" s="328"/>
      <c r="Q8" s="339"/>
      <c r="R8" s="319"/>
      <c r="S8" s="323"/>
    </row>
    <row r="9" spans="1:23" ht="21.75" customHeight="1" x14ac:dyDescent="0.25">
      <c r="A9" s="83">
        <v>1</v>
      </c>
      <c r="B9" s="84" t="s">
        <v>701</v>
      </c>
      <c r="C9" s="85">
        <f>SUMIFS('SALE BY STORE'!$H:$H,'SALE BY STORE'!$F:$F,SALE!$B9)</f>
        <v>463870694.14757627</v>
      </c>
      <c r="D9" s="85">
        <f>SUMIFS('SALE BY STORE'!$J:$J,'SALE BY STORE'!$F:$F,SALE!$B9)</f>
        <v>0</v>
      </c>
      <c r="E9" s="86">
        <f t="shared" ref="E9:E16" si="0">D9/C9</f>
        <v>0</v>
      </c>
      <c r="F9" s="87">
        <f>SUMIFS('SALE BY STORE'!K:K,'SALE BY STORE'!F:F,SALE!$B9)</f>
        <v>133851484.89766447</v>
      </c>
      <c r="G9" s="87">
        <f>SUMIFS('SALE BY STORE'!$M$3:$M$947,'SALE BY STORE'!$F$3:$F$947,SALE!B9)</f>
        <v>0</v>
      </c>
      <c r="H9" s="88">
        <f t="shared" ref="H9:H15" si="1">IFERROR(G9/F9,"")</f>
        <v>0</v>
      </c>
      <c r="I9" s="87">
        <f>SUMIFS('SALE BY STORE'!N:N,'SALE BY STORE'!F:F,SALE!$B9)</f>
        <v>79635600.252130389</v>
      </c>
      <c r="J9" s="87">
        <f>SUMIFS('SALE BY STORE'!$P:$P,'SALE BY STORE'!$F:$F,SALE!$B9)</f>
        <v>0</v>
      </c>
      <c r="K9" s="88">
        <f t="shared" ref="K9:K16" si="2">J9/I9</f>
        <v>0</v>
      </c>
      <c r="L9" s="87">
        <f>SUMIFS('SALE BY STORE'!Q:Q,'SALE BY STORE'!F:F,SALE!$B9)</f>
        <v>49494213.806506395</v>
      </c>
      <c r="M9" s="87">
        <f>SUMIFS('SALE BY STORE'!S:S,'SALE BY STORE'!F:F,SALE!B9)</f>
        <v>0</v>
      </c>
      <c r="N9" s="88">
        <f t="shared" ref="N9:N16" si="3">M9/L9</f>
        <v>0</v>
      </c>
      <c r="O9" s="89">
        <f t="shared" ref="O9:O15" si="4">IF(AND(E9&gt;=70%,E9&lt;80%),1500000,IF(AND(E9&gt;=80%,E9&lt;90%),2000000,IF(AND(E9&gt;=90%,E9&lt;100%),2500000,IF(E9&gt;=100%,3500000,0))))</f>
        <v>0</v>
      </c>
      <c r="P9" s="221"/>
      <c r="Q9" s="90">
        <f t="shared" ref="Q9:Q15" si="5">IF(AND(K9&gt;=80%,K9&lt;=90%),300000,IF(K9&gt;90%,500000,0))</f>
        <v>0</v>
      </c>
      <c r="R9" s="90">
        <f t="shared" ref="R9:R15" si="6">SUM(O9:Q9)</f>
        <v>0</v>
      </c>
      <c r="S9" s="91"/>
    </row>
    <row r="10" spans="1:23" ht="21.75" customHeight="1" x14ac:dyDescent="0.25">
      <c r="A10" s="83">
        <v>2</v>
      </c>
      <c r="B10" s="84" t="s">
        <v>714</v>
      </c>
      <c r="C10" s="85">
        <f>SUMIFS('SALE BY STORE'!$H:$H,'SALE BY STORE'!$F:$F,SALE!$B10)</f>
        <v>211828463.18100175</v>
      </c>
      <c r="D10" s="85">
        <f>SUMIFS('SALE BY STORE'!$J:$J,'SALE BY STORE'!$F:$F,SALE!$B10)</f>
        <v>0</v>
      </c>
      <c r="E10" s="86">
        <f t="shared" si="0"/>
        <v>0</v>
      </c>
      <c r="F10" s="87">
        <f>SUMIFS('SALE BY STORE'!K:K,'SALE BY STORE'!F:F,SALE!$B10)</f>
        <v>33106900.787074439</v>
      </c>
      <c r="G10" s="87">
        <f>SUMIFS('SALE BY STORE'!M4:M954,'SALE BY STORE'!F4:F954,SALE!B10)</f>
        <v>0</v>
      </c>
      <c r="H10" s="88">
        <f t="shared" si="1"/>
        <v>0</v>
      </c>
      <c r="I10" s="87">
        <f>SUMIFS('SALE BY STORE'!N:N,'SALE BY STORE'!F:F,SALE!$B10)</f>
        <v>24293056.690231338</v>
      </c>
      <c r="J10" s="87">
        <f>SUMIFS('SALE BY STORE'!$P:$P,'SALE BY STORE'!$F:$F,SALE!$B10)</f>
        <v>0</v>
      </c>
      <c r="K10" s="88">
        <f t="shared" si="2"/>
        <v>0</v>
      </c>
      <c r="L10" s="87">
        <f>SUMIFS('SALE BY STORE'!Q:Q,'SALE BY STORE'!F:F,SALE!$B10)</f>
        <v>154428505.70369598</v>
      </c>
      <c r="M10" s="87">
        <f>SUMIFS('SALE BY STORE'!S:S,'SALE BY STORE'!F:F,SALE!B10)</f>
        <v>0</v>
      </c>
      <c r="N10" s="88">
        <f t="shared" si="3"/>
        <v>0</v>
      </c>
      <c r="O10" s="89">
        <f t="shared" si="4"/>
        <v>0</v>
      </c>
      <c r="P10" s="89"/>
      <c r="Q10" s="90">
        <f t="shared" si="5"/>
        <v>0</v>
      </c>
      <c r="R10" s="90">
        <f t="shared" si="6"/>
        <v>0</v>
      </c>
      <c r="S10" s="91"/>
    </row>
    <row r="11" spans="1:23" ht="21.75" customHeight="1" x14ac:dyDescent="0.25">
      <c r="A11" s="83">
        <v>3</v>
      </c>
      <c r="B11" s="84" t="s">
        <v>860</v>
      </c>
      <c r="C11" s="85">
        <f>SUMIFS('SALE BY STORE'!$H:$H,'SALE BY STORE'!$F:$F,SALE!$B11)</f>
        <v>74012364.859532461</v>
      </c>
      <c r="D11" s="85">
        <f>SUMIFS('SALE BY STORE'!$J:$J,'SALE BY STORE'!$F:$F,SALE!$B11)</f>
        <v>0</v>
      </c>
      <c r="E11" s="86">
        <f t="shared" si="0"/>
        <v>0</v>
      </c>
      <c r="F11" s="87">
        <f>SUMIFS('SALE BY STORE'!K:K,'SALE BY STORE'!F:F,SALE!$B11)</f>
        <v>14169751.5368679</v>
      </c>
      <c r="G11" s="87">
        <f>SUMIFS('SALE BY STORE'!M5:M954,'SALE BY STORE'!F5:F954,SALE!B11)</f>
        <v>0</v>
      </c>
      <c r="H11" s="88">
        <f t="shared" si="1"/>
        <v>0</v>
      </c>
      <c r="I11" s="87">
        <f>SUMIFS('SALE BY STORE'!N:N,'SALE BY STORE'!F:F,SALE!$B11)</f>
        <v>8366806.9742342262</v>
      </c>
      <c r="J11" s="87">
        <f>SUMIFS('SALE BY STORE'!$P:$P,'SALE BY STORE'!$F:$F,SALE!$B11)</f>
        <v>0</v>
      </c>
      <c r="K11" s="88">
        <f t="shared" si="2"/>
        <v>0</v>
      </c>
      <c r="L11" s="87">
        <f>SUMIFS('SALE BY STORE'!Q:Q,'SALE BY STORE'!F:F,SALE!$B11)</f>
        <v>51475806.348430336</v>
      </c>
      <c r="M11" s="87">
        <f>SUMIFS('SALE BY STORE'!S:S,'SALE BY STORE'!F:F,SALE!B11)</f>
        <v>0</v>
      </c>
      <c r="N11" s="88">
        <f t="shared" si="3"/>
        <v>0</v>
      </c>
      <c r="O11" s="89">
        <f t="shared" si="4"/>
        <v>0</v>
      </c>
      <c r="P11" s="89"/>
      <c r="Q11" s="90">
        <f t="shared" si="5"/>
        <v>0</v>
      </c>
      <c r="R11" s="90">
        <f t="shared" si="6"/>
        <v>0</v>
      </c>
      <c r="S11" s="91"/>
    </row>
    <row r="12" spans="1:23" ht="21.75" customHeight="1" x14ac:dyDescent="0.25">
      <c r="A12" s="83">
        <v>4</v>
      </c>
      <c r="B12" s="84" t="s">
        <v>874</v>
      </c>
      <c r="C12" s="85">
        <f>SUMIFS('SALE BY STORE'!$H:$H,'SALE BY STORE'!$F:$F,SALE!$B12)</f>
        <v>83355087.144255906</v>
      </c>
      <c r="D12" s="85">
        <f>SUMIFS('SALE BY STORE'!$J:$J,'SALE BY STORE'!$F:$F,SALE!$B12)</f>
        <v>0</v>
      </c>
      <c r="E12" s="86">
        <f t="shared" si="0"/>
        <v>0</v>
      </c>
      <c r="F12" s="87">
        <f>SUMIFS('SALE BY STORE'!K:K,'SALE BY STORE'!F:F,SALE!$B12)</f>
        <v>14169753.536867861</v>
      </c>
      <c r="G12" s="87">
        <f>SUMIFS('SALE BY STORE'!M5:M954,'SALE BY STORE'!F5:F954,SALE!B12)</f>
        <v>0</v>
      </c>
      <c r="H12" s="88">
        <f t="shared" si="1"/>
        <v>0</v>
      </c>
      <c r="I12" s="87">
        <f>SUMIFS('SALE BY STORE'!N:N,'SALE BY STORE'!F:F,SALE!$B12)</f>
        <v>10047704.865005441</v>
      </c>
      <c r="J12" s="87">
        <f>SUMIFS('SALE BY STORE'!$P:$P,'SALE BY STORE'!$F:$F,SALE!$B12)</f>
        <v>0</v>
      </c>
      <c r="K12" s="88">
        <f t="shared" si="2"/>
        <v>0</v>
      </c>
      <c r="L12" s="87">
        <f>SUMIFS('SALE BY STORE'!Q:Q,'SALE BY STORE'!F:F,SALE!$B12)</f>
        <v>59137628.742382601</v>
      </c>
      <c r="M12" s="87">
        <f>SUMIFS('SALE BY STORE'!S:S,'SALE BY STORE'!F:F,SALE!B12)</f>
        <v>0</v>
      </c>
      <c r="N12" s="88">
        <f t="shared" si="3"/>
        <v>0</v>
      </c>
      <c r="O12" s="89">
        <f t="shared" si="4"/>
        <v>0</v>
      </c>
      <c r="P12" s="89"/>
      <c r="Q12" s="90">
        <f t="shared" si="5"/>
        <v>0</v>
      </c>
      <c r="R12" s="90">
        <f t="shared" si="6"/>
        <v>0</v>
      </c>
      <c r="S12" s="91"/>
    </row>
    <row r="13" spans="1:23" ht="21.75" customHeight="1" x14ac:dyDescent="0.25">
      <c r="A13" s="83">
        <v>5</v>
      </c>
      <c r="B13" s="84" t="s">
        <v>901</v>
      </c>
      <c r="C13" s="85">
        <f>SUMIFS('SALE BY STORE'!$H:$H,'SALE BY STORE'!$F:$F,SALE!$B13)</f>
        <v>232406916.55828375</v>
      </c>
      <c r="D13" s="85">
        <f>SUMIFS('SALE BY STORE'!$J:$J,'SALE BY STORE'!$F:$F,SALE!$B13)</f>
        <v>0</v>
      </c>
      <c r="E13" s="86">
        <f t="shared" si="0"/>
        <v>0</v>
      </c>
      <c r="F13" s="87">
        <f>SUMIFS('SALE BY STORE'!K:K,'SALE BY STORE'!F:F,SALE!$B13)</f>
        <v>0</v>
      </c>
      <c r="G13" s="87">
        <f>SUMIFS('SALE BY STORE'!M5:M954,'SALE BY STORE'!F5:F954,SALE!B13)</f>
        <v>0</v>
      </c>
      <c r="H13" s="88" t="str">
        <f t="shared" si="1"/>
        <v/>
      </c>
      <c r="I13" s="87">
        <f>SUMIFS('SALE BY STORE'!N:N,'SALE BY STORE'!F:F,SALE!$B13)</f>
        <v>73325675.641988844</v>
      </c>
      <c r="J13" s="87">
        <f>SUMIFS('SALE BY STORE'!$P:$P,'SALE BY STORE'!$F:$F,SALE!$B13)</f>
        <v>0</v>
      </c>
      <c r="K13" s="88">
        <f t="shared" si="2"/>
        <v>0</v>
      </c>
      <c r="L13" s="87">
        <f>SUMIFS('SALE BY STORE'!Q:Q,'SALE BY STORE'!F:F,SALE!$B13)</f>
        <v>159081240.91629472</v>
      </c>
      <c r="M13" s="87">
        <f>SUMIFS('SALE BY STORE'!S:S,'SALE BY STORE'!F:F,SALE!B13)</f>
        <v>0</v>
      </c>
      <c r="N13" s="88">
        <f t="shared" si="3"/>
        <v>0</v>
      </c>
      <c r="O13" s="89">
        <f t="shared" si="4"/>
        <v>0</v>
      </c>
      <c r="P13" s="89"/>
      <c r="Q13" s="90">
        <f t="shared" si="5"/>
        <v>0</v>
      </c>
      <c r="R13" s="90">
        <f t="shared" si="6"/>
        <v>0</v>
      </c>
      <c r="S13" s="91"/>
    </row>
    <row r="14" spans="1:23" ht="21.75" customHeight="1" x14ac:dyDescent="0.25">
      <c r="A14" s="83">
        <v>6</v>
      </c>
      <c r="B14" s="84" t="s">
        <v>848</v>
      </c>
      <c r="C14" s="85">
        <f>SUMIFS('SALE BY STORE'!$H:$H,'SALE BY STORE'!$F:$F,SALE!$B14)</f>
        <v>77834136.47367771</v>
      </c>
      <c r="D14" s="85">
        <f>SUMIFS('SALE BY STORE'!$J:$J,'SALE BY STORE'!$F:$F,SALE!$B14)</f>
        <v>0</v>
      </c>
      <c r="E14" s="86">
        <f t="shared" si="0"/>
        <v>0</v>
      </c>
      <c r="F14" s="87">
        <f>SUMIFS('SALE BY STORE'!K:K,'SALE BY STORE'!F:F,SALE!$B14)</f>
        <v>0</v>
      </c>
      <c r="G14" s="87">
        <f>SUMIFS('SALE BY STORE'!M5:M954,'SALE BY STORE'!F5:F954,SALE!B14)</f>
        <v>0</v>
      </c>
      <c r="H14" s="88" t="str">
        <f t="shared" si="1"/>
        <v/>
      </c>
      <c r="I14" s="87">
        <f>SUMIFS('SALE BY STORE'!N:N,'SALE BY STORE'!F:F,SALE!$B14)</f>
        <v>11266479.183211233</v>
      </c>
      <c r="J14" s="87">
        <f>SUMIFS('SALE BY STORE'!$P:$P,'SALE BY STORE'!$F:$F,SALE!$B14)</f>
        <v>0</v>
      </c>
      <c r="K14" s="88">
        <f t="shared" si="2"/>
        <v>0</v>
      </c>
      <c r="L14" s="87">
        <f>SUMIFS('SALE BY STORE'!Q:Q,'SALE BY STORE'!F:F,SALE!$B14)</f>
        <v>66567657.29046648</v>
      </c>
      <c r="M14" s="87">
        <f>SUMIFS('SALE BY STORE'!S:S,'SALE BY STORE'!F:F,SALE!B14)</f>
        <v>0</v>
      </c>
      <c r="N14" s="88">
        <f t="shared" si="3"/>
        <v>0</v>
      </c>
      <c r="O14" s="89">
        <f t="shared" si="4"/>
        <v>0</v>
      </c>
      <c r="P14" s="89"/>
      <c r="Q14" s="90">
        <f t="shared" si="5"/>
        <v>0</v>
      </c>
      <c r="R14" s="90">
        <f t="shared" si="6"/>
        <v>0</v>
      </c>
      <c r="S14" s="91"/>
    </row>
    <row r="15" spans="1:23" ht="21.75" customHeight="1" x14ac:dyDescent="0.25">
      <c r="A15" s="83">
        <v>7</v>
      </c>
      <c r="B15" s="84" t="s">
        <v>852</v>
      </c>
      <c r="C15" s="85">
        <f>SUMIFS('SALE BY STORE'!$H:$H,'SALE BY STORE'!$F:$F,SALE!$B15)</f>
        <v>73078989.308639199</v>
      </c>
      <c r="D15" s="85">
        <f>SUMIFS('SALE BY STORE'!$J:$J,'SALE BY STORE'!$F:$F,SALE!$B15)</f>
        <v>0</v>
      </c>
      <c r="E15" s="86">
        <f t="shared" si="0"/>
        <v>0</v>
      </c>
      <c r="F15" s="87">
        <f>SUMIFS('SALE BY STORE'!K:K,'SALE BY STORE'!F:F,SALE!$B15)</f>
        <v>14169753.536867861</v>
      </c>
      <c r="G15" s="87">
        <f>SUMIFS('SALE BY STORE'!M5:M954,'SALE BY STORE'!F5:F954,SALE!B15)</f>
        <v>0</v>
      </c>
      <c r="H15" s="88">
        <f t="shared" si="1"/>
        <v>0</v>
      </c>
      <c r="I15" s="87">
        <f>SUMIFS('SALE BY STORE'!N:N,'SALE BY STORE'!F:F,SALE!$B15)</f>
        <v>11450173.051179886</v>
      </c>
      <c r="J15" s="87">
        <f>SUMIFS('SALE BY STORE'!$P:$P,'SALE BY STORE'!$F:$F,SALE!$B15)</f>
        <v>0</v>
      </c>
      <c r="K15" s="88">
        <f t="shared" si="2"/>
        <v>0</v>
      </c>
      <c r="L15" s="87">
        <f>SUMIFS('SALE BY STORE'!Q:Q,'SALE BY STORE'!F:F,SALE!$B15)</f>
        <v>47459062.720591441</v>
      </c>
      <c r="M15" s="87">
        <f>SUMIFS('SALE BY STORE'!S:S,'SALE BY STORE'!F:F,SALE!B15)</f>
        <v>0</v>
      </c>
      <c r="N15" s="88">
        <f t="shared" si="3"/>
        <v>0</v>
      </c>
      <c r="O15" s="89">
        <f t="shared" si="4"/>
        <v>0</v>
      </c>
      <c r="P15" s="89"/>
      <c r="Q15" s="90">
        <f t="shared" si="5"/>
        <v>0</v>
      </c>
      <c r="R15" s="90">
        <f t="shared" si="6"/>
        <v>0</v>
      </c>
      <c r="S15" s="91"/>
    </row>
    <row r="16" spans="1:23" s="100" customFormat="1" ht="25.5" customHeight="1" thickBot="1" x14ac:dyDescent="0.3">
      <c r="A16" s="324" t="s">
        <v>2539</v>
      </c>
      <c r="B16" s="319"/>
      <c r="C16" s="92">
        <f>SUM(C9:C14)</f>
        <v>1143307662.3643277</v>
      </c>
      <c r="D16" s="93">
        <f>SUM(D9:D14)</f>
        <v>0</v>
      </c>
      <c r="E16" s="94">
        <f t="shared" si="0"/>
        <v>0</v>
      </c>
      <c r="F16" s="95">
        <f>SUM(F9:F12)</f>
        <v>195297890.75847465</v>
      </c>
      <c r="G16" s="93">
        <f>SUM(G9:G14)</f>
        <v>0</v>
      </c>
      <c r="H16" s="96">
        <f>G16/F16</f>
        <v>0</v>
      </c>
      <c r="I16" s="95">
        <f>SUM(I9:I12)</f>
        <v>122343168.7816014</v>
      </c>
      <c r="J16" s="93">
        <f>SUM(J9:J14)</f>
        <v>0</v>
      </c>
      <c r="K16" s="96">
        <f t="shared" si="2"/>
        <v>0</v>
      </c>
      <c r="L16" s="95">
        <f>SUM(L9:L14)</f>
        <v>540185052.80777645</v>
      </c>
      <c r="M16" s="93">
        <f>SUM(M9:M14)</f>
        <v>0</v>
      </c>
      <c r="N16" s="96">
        <f t="shared" si="3"/>
        <v>0</v>
      </c>
      <c r="O16" s="97">
        <f>SUM(O9:O14)</f>
        <v>0</v>
      </c>
      <c r="P16" s="222">
        <f>SUM(P9:P12)</f>
        <v>0</v>
      </c>
      <c r="Q16" s="98">
        <f>SUM(Q9:Q15)</f>
        <v>0</v>
      </c>
      <c r="R16" s="98">
        <f>SUM(R9:R15)</f>
        <v>0</v>
      </c>
      <c r="S16" s="99"/>
    </row>
    <row r="17" spans="1:23" x14ac:dyDescent="0.25">
      <c r="A17" s="101"/>
      <c r="B17" s="102"/>
      <c r="C17" s="101"/>
      <c r="D17" s="101"/>
      <c r="E17" s="101"/>
      <c r="F17" s="101"/>
      <c r="G17" s="101"/>
      <c r="H17" s="101"/>
      <c r="I17" s="103"/>
      <c r="J17" s="104"/>
      <c r="K17" s="105"/>
      <c r="L17" s="103"/>
      <c r="M17" s="105"/>
      <c r="N17" s="105"/>
      <c r="O17" s="103"/>
      <c r="P17" s="105"/>
      <c r="Q17" s="105"/>
      <c r="R17" s="105"/>
      <c r="S17" s="104"/>
      <c r="T17" s="104"/>
      <c r="U17" s="104"/>
      <c r="V17" s="104"/>
      <c r="W17" s="104"/>
    </row>
    <row r="18" spans="1:23" x14ac:dyDescent="0.25">
      <c r="A18" s="106" t="str">
        <f>CONCATENATE("TP.HCM "," Ngày ",TEXT(I6,"dd")," Tháng ",TEXT(I6,"mm")," Năm ",TEXT(I6,"yyyy"))</f>
        <v>TP.HCM  Ngày 01 Tháng 01 Năm 2026</v>
      </c>
      <c r="B18" s="102"/>
      <c r="C18" s="101"/>
      <c r="D18" s="101"/>
      <c r="E18" s="101"/>
      <c r="F18" s="101"/>
      <c r="G18" s="101"/>
      <c r="H18" s="101"/>
      <c r="I18" s="103"/>
      <c r="J18" s="104"/>
      <c r="K18" s="105"/>
      <c r="L18" s="103"/>
      <c r="M18" s="105"/>
      <c r="N18" s="105"/>
      <c r="O18" s="103"/>
      <c r="P18" s="105"/>
      <c r="Q18" s="105"/>
      <c r="R18" s="105"/>
      <c r="S18" s="104"/>
      <c r="T18" s="104"/>
      <c r="U18" s="104"/>
      <c r="V18" s="104"/>
      <c r="W18" s="104"/>
    </row>
    <row r="19" spans="1:23" x14ac:dyDescent="0.25">
      <c r="A19" s="103"/>
      <c r="B19" s="107"/>
      <c r="C19" s="104"/>
      <c r="D19" s="104"/>
      <c r="E19" s="105"/>
      <c r="F19" s="103"/>
      <c r="G19" s="104"/>
      <c r="H19" s="105"/>
      <c r="I19" s="103"/>
      <c r="J19" s="104"/>
      <c r="K19" s="105"/>
      <c r="L19" s="103"/>
      <c r="M19" s="105"/>
      <c r="N19" s="105"/>
      <c r="O19" s="103"/>
      <c r="P19" s="105"/>
      <c r="Q19" s="105"/>
      <c r="R19" s="105"/>
      <c r="S19" s="104"/>
      <c r="T19" s="104"/>
      <c r="U19" s="104"/>
      <c r="V19" s="104"/>
      <c r="W19" s="104"/>
    </row>
    <row r="20" spans="1:23" x14ac:dyDescent="0.25">
      <c r="A20" s="104"/>
      <c r="B20" s="107" t="s">
        <v>2548</v>
      </c>
      <c r="C20" s="104"/>
      <c r="D20" s="104"/>
      <c r="E20" s="108"/>
      <c r="F20" s="103"/>
      <c r="G20" s="104"/>
      <c r="I20" s="103"/>
      <c r="K20" s="108"/>
      <c r="L20" s="108"/>
      <c r="M20" s="108"/>
      <c r="N20" s="103" t="s">
        <v>2549</v>
      </c>
      <c r="O20" s="108"/>
      <c r="P20" s="108"/>
      <c r="Q20" s="108"/>
      <c r="R20" s="109"/>
      <c r="S20" s="333" t="s">
        <v>2550</v>
      </c>
      <c r="T20" s="331"/>
      <c r="U20" s="331"/>
      <c r="V20" s="104"/>
    </row>
    <row r="21" spans="1:23" x14ac:dyDescent="0.25">
      <c r="A21" s="104"/>
      <c r="B21" s="110"/>
      <c r="C21" s="111"/>
      <c r="D21" s="104"/>
      <c r="E21" s="111"/>
      <c r="F21" s="103"/>
      <c r="G21" s="104"/>
      <c r="H21" s="105"/>
      <c r="I21" s="103"/>
      <c r="J21" s="105"/>
      <c r="K21" s="105"/>
      <c r="L21" s="105"/>
      <c r="M21" s="105"/>
      <c r="N21" s="103"/>
      <c r="O21" s="105"/>
      <c r="P21" s="105"/>
      <c r="Q21" s="105"/>
      <c r="R21" s="104"/>
      <c r="S21" s="104"/>
      <c r="T21" s="104"/>
      <c r="U21" s="104"/>
      <c r="V21" s="104"/>
    </row>
    <row r="22" spans="1:23" x14ac:dyDescent="0.25">
      <c r="A22" s="104"/>
      <c r="B22" s="110"/>
      <c r="C22" s="111"/>
      <c r="D22" s="104"/>
      <c r="E22" s="112"/>
      <c r="F22" s="103"/>
      <c r="G22" s="104"/>
      <c r="H22" s="105"/>
      <c r="I22" s="103"/>
      <c r="J22" s="105"/>
      <c r="K22" s="105"/>
      <c r="L22" s="105"/>
      <c r="M22" s="105"/>
      <c r="N22" s="103"/>
      <c r="O22" s="105"/>
      <c r="P22" s="105"/>
      <c r="Q22" s="105"/>
      <c r="R22" s="104"/>
      <c r="S22" s="104"/>
      <c r="T22" s="104"/>
      <c r="U22" s="104"/>
      <c r="V22" s="104"/>
    </row>
    <row r="23" spans="1:23" x14ac:dyDescent="0.25">
      <c r="A23" s="104"/>
      <c r="B23" s="110"/>
      <c r="C23" s="111"/>
      <c r="D23" s="104"/>
      <c r="E23" s="112"/>
      <c r="F23" s="103"/>
      <c r="G23" s="104"/>
      <c r="H23" s="105"/>
      <c r="I23" s="103"/>
      <c r="J23" s="105"/>
      <c r="K23" s="105"/>
      <c r="L23" s="105"/>
      <c r="M23" s="105"/>
      <c r="N23" s="103"/>
      <c r="O23" s="105"/>
      <c r="P23" s="105"/>
      <c r="Q23" s="105"/>
      <c r="R23" s="104"/>
      <c r="S23" s="104"/>
      <c r="T23" s="104"/>
      <c r="U23" s="104"/>
      <c r="V23" s="104"/>
    </row>
    <row r="24" spans="1:23" x14ac:dyDescent="0.25">
      <c r="A24" s="104"/>
      <c r="B24" s="110"/>
      <c r="C24" s="111"/>
      <c r="D24" s="104"/>
      <c r="E24" s="112"/>
      <c r="F24" s="103"/>
      <c r="G24" s="104"/>
      <c r="H24" s="105"/>
      <c r="I24" s="103"/>
      <c r="J24" s="105"/>
      <c r="K24" s="105"/>
      <c r="L24" s="105"/>
      <c r="M24" s="105"/>
      <c r="N24" s="103"/>
      <c r="O24" s="105"/>
      <c r="P24" s="105"/>
      <c r="Q24" s="105"/>
      <c r="R24" s="104"/>
      <c r="S24" s="104"/>
      <c r="T24" s="104"/>
      <c r="U24" s="104"/>
      <c r="V24" s="104"/>
    </row>
    <row r="25" spans="1:23" x14ac:dyDescent="0.25">
      <c r="A25" s="72"/>
      <c r="B25" s="113"/>
      <c r="C25" s="111"/>
      <c r="D25" s="72"/>
      <c r="E25" s="114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</row>
    <row r="26" spans="1:23" x14ac:dyDescent="0.25">
      <c r="A26" s="72"/>
      <c r="B26" s="115" t="s">
        <v>2551</v>
      </c>
      <c r="C26" s="111"/>
      <c r="D26" s="72"/>
      <c r="E26" s="111"/>
      <c r="F26" s="72"/>
      <c r="G26" s="72"/>
      <c r="H26" s="72"/>
      <c r="I26" s="72"/>
      <c r="J26" s="72"/>
      <c r="K26" s="72"/>
      <c r="L26" s="72"/>
      <c r="M26" s="119"/>
      <c r="N26" s="118" t="s">
        <v>2552</v>
      </c>
      <c r="O26" s="119"/>
      <c r="P26" s="72"/>
      <c r="Q26" s="72"/>
      <c r="R26" s="72"/>
      <c r="S26" s="334" t="s">
        <v>2553</v>
      </c>
      <c r="T26" s="331"/>
      <c r="U26" s="331"/>
      <c r="V26" s="72"/>
    </row>
    <row r="27" spans="1:23" x14ac:dyDescent="0.25">
      <c r="A27" s="72"/>
      <c r="B27" s="113"/>
      <c r="C27" s="111"/>
      <c r="D27" s="72"/>
      <c r="E27" s="111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</row>
    <row r="28" spans="1:23" x14ac:dyDescent="0.25">
      <c r="B28" s="113"/>
      <c r="C28" s="111"/>
      <c r="D28" s="72"/>
      <c r="E28" s="111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</row>
    <row r="29" spans="1:23" x14ac:dyDescent="0.25">
      <c r="B29" s="113"/>
      <c r="C29" s="111"/>
      <c r="D29" s="72"/>
      <c r="E29" s="111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</row>
    <row r="30" spans="1:23" x14ac:dyDescent="0.25">
      <c r="B30" s="113"/>
      <c r="C30" s="111"/>
      <c r="D30" s="72"/>
      <c r="E30" s="111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</row>
    <row r="31" spans="1:23" x14ac:dyDescent="0.25">
      <c r="C31" s="72"/>
      <c r="D31" s="116"/>
      <c r="E31" s="117"/>
      <c r="F31" s="118"/>
      <c r="G31" s="72"/>
      <c r="I31" s="72"/>
      <c r="K31" s="119"/>
      <c r="L31" s="119"/>
      <c r="P31" s="119"/>
      <c r="Q31" s="119"/>
      <c r="R31" s="116"/>
      <c r="V31" s="116"/>
    </row>
  </sheetData>
  <autoFilter ref="B7:S16" xr:uid="{00000000-0009-0000-0000-000006000000}">
    <filterColumn colId="4" showButton="0"/>
    <filterColumn colId="5" showButton="0"/>
    <filterColumn colId="7" showButton="0"/>
    <filterColumn colId="8" showButton="0"/>
    <filterColumn colId="10" showButton="0"/>
    <filterColumn colId="11" showButton="0"/>
  </autoFilter>
  <mergeCells count="20">
    <mergeCell ref="S20:U20"/>
    <mergeCell ref="C7:C8"/>
    <mergeCell ref="S26:U26"/>
    <mergeCell ref="E7:E8"/>
    <mergeCell ref="O7:O8"/>
    <mergeCell ref="Q7:Q8"/>
    <mergeCell ref="L7:N7"/>
    <mergeCell ref="F7:H7"/>
    <mergeCell ref="I7:K7"/>
    <mergeCell ref="A7:A8"/>
    <mergeCell ref="R7:R8"/>
    <mergeCell ref="A1:B1"/>
    <mergeCell ref="S7:S8"/>
    <mergeCell ref="A16:B16"/>
    <mergeCell ref="D7:D8"/>
    <mergeCell ref="P7:P8"/>
    <mergeCell ref="A3:B3"/>
    <mergeCell ref="A5:W5"/>
    <mergeCell ref="A4:W4"/>
    <mergeCell ref="B7:B8"/>
  </mergeCells>
  <pageMargins left="0.7" right="0.7" top="0.75" bottom="0.75" header="0.3" footer="0.3"/>
  <pageSetup paperSize="9" orientation="landscape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/>
  <dimension ref="A1:Q27"/>
  <sheetViews>
    <sheetView showGridLines="0" workbookViewId="0">
      <selection activeCell="F10" sqref="F10"/>
    </sheetView>
  </sheetViews>
  <sheetFormatPr defaultColWidth="8.7109375" defaultRowHeight="12.75" x14ac:dyDescent="0.2"/>
  <cols>
    <col min="1" max="1" width="6.140625" style="36" customWidth="1"/>
    <col min="2" max="2" width="28.42578125" style="36" bestFit="1" customWidth="1"/>
    <col min="3" max="3" width="7.5703125" style="36" customWidth="1"/>
    <col min="4" max="4" width="12" style="36" customWidth="1"/>
    <col min="5" max="5" width="8.42578125" style="36" customWidth="1"/>
    <col min="6" max="6" width="16.5703125" style="37" customWidth="1"/>
    <col min="7" max="7" width="17.85546875" style="37" customWidth="1"/>
    <col min="8" max="8" width="8.5703125" style="38" customWidth="1"/>
    <col min="9" max="9" width="12.140625" style="37" hidden="1" customWidth="1"/>
    <col min="10" max="10" width="1.85546875" style="39" hidden="1" customWidth="1"/>
    <col min="11" max="11" width="13.140625" style="37" customWidth="1"/>
    <col min="12" max="12" width="12.5703125" style="37" customWidth="1"/>
    <col min="13" max="13" width="11.7109375" style="37" customWidth="1"/>
    <col min="14" max="14" width="13.28515625" style="37" customWidth="1"/>
    <col min="15" max="15" width="11.85546875" style="37" customWidth="1"/>
    <col min="16" max="16" width="9.28515625" style="37" hidden="1" customWidth="1"/>
    <col min="17" max="17" width="11.5703125" style="36" bestFit="1" customWidth="1"/>
    <col min="18" max="20" width="8.7109375" style="36" customWidth="1"/>
    <col min="21" max="16384" width="8.7109375" style="36"/>
  </cols>
  <sheetData>
    <row r="1" spans="1:17" x14ac:dyDescent="0.2">
      <c r="A1" s="35" t="s">
        <v>2540</v>
      </c>
      <c r="K1" s="40"/>
      <c r="L1" s="40"/>
    </row>
    <row r="2" spans="1:17" x14ac:dyDescent="0.2">
      <c r="A2" s="36" t="s">
        <v>2541</v>
      </c>
      <c r="K2" s="40"/>
      <c r="L2" s="40"/>
    </row>
    <row r="3" spans="1:17" x14ac:dyDescent="0.2">
      <c r="A3" s="36" t="s">
        <v>2542</v>
      </c>
    </row>
    <row r="4" spans="1:17" ht="18.75" customHeight="1" x14ac:dyDescent="0.3">
      <c r="A4" s="360" t="str">
        <f>CONCATENATE(" BONUS REPORT FOR K.A &amp; ADMIN IN ",TEXT(E6,"mm")," /",TEXT(E6," yyyy"))</f>
        <v xml:space="preserve"> BONUS REPORT FOR K.A &amp; ADMIN IN 01 / 2026</v>
      </c>
      <c r="B4" s="346"/>
      <c r="C4" s="346"/>
      <c r="D4" s="346"/>
      <c r="E4" s="346"/>
      <c r="F4" s="345"/>
      <c r="G4" s="345"/>
      <c r="H4" s="359"/>
      <c r="I4" s="345"/>
      <c r="J4" s="357"/>
      <c r="K4" s="345"/>
      <c r="L4" s="345"/>
      <c r="M4" s="345"/>
      <c r="N4" s="345"/>
      <c r="O4" s="345"/>
      <c r="P4" s="345"/>
      <c r="Q4" s="346"/>
    </row>
    <row r="5" spans="1:17" ht="15.75" customHeight="1" x14ac:dyDescent="0.2">
      <c r="A5" s="358" t="str">
        <f>CONCATENATE(" From ",TEXT(E6," dd / mm / yyyy"), " To ",TEXT(K6," dd / mm / yyyy"))</f>
        <v xml:space="preserve"> From  01 / 01 / 2026 To  31 / 01 / 2026</v>
      </c>
      <c r="B5" s="346"/>
      <c r="C5" s="346"/>
      <c r="D5" s="346"/>
      <c r="E5" s="346"/>
      <c r="F5" s="345"/>
      <c r="G5" s="345"/>
      <c r="H5" s="359"/>
      <c r="I5" s="345"/>
      <c r="J5" s="357"/>
      <c r="K5" s="345"/>
      <c r="L5" s="345"/>
      <c r="M5" s="345"/>
      <c r="N5" s="345"/>
      <c r="O5" s="345"/>
      <c r="P5" s="345"/>
      <c r="Q5" s="346"/>
    </row>
    <row r="6" spans="1:17" s="46" customFormat="1" x14ac:dyDescent="0.2">
      <c r="A6" s="41"/>
      <c r="B6" s="41"/>
      <c r="C6" s="41">
        <v>4</v>
      </c>
      <c r="D6" s="41">
        <v>2025</v>
      </c>
      <c r="E6" s="42">
        <v>46023</v>
      </c>
      <c r="F6" s="43"/>
      <c r="G6" s="43">
        <v>12</v>
      </c>
      <c r="H6" s="41">
        <v>2025</v>
      </c>
      <c r="I6" s="41"/>
      <c r="J6" s="44"/>
      <c r="K6" s="42">
        <v>46053</v>
      </c>
      <c r="L6" s="42"/>
      <c r="M6" s="45"/>
      <c r="N6" s="45"/>
      <c r="O6" s="45"/>
      <c r="P6" s="45"/>
    </row>
    <row r="7" spans="1:17" s="47" customFormat="1" ht="15.75" customHeight="1" x14ac:dyDescent="0.25">
      <c r="A7" s="347" t="s">
        <v>2543</v>
      </c>
      <c r="B7" s="347" t="s">
        <v>2544</v>
      </c>
      <c r="C7" s="347" t="s">
        <v>2554</v>
      </c>
      <c r="D7" s="347" t="s">
        <v>2555</v>
      </c>
      <c r="E7" s="347" t="s">
        <v>2556</v>
      </c>
      <c r="F7" s="347" t="s">
        <v>2557</v>
      </c>
      <c r="G7" s="353"/>
      <c r="H7" s="354"/>
      <c r="I7" s="351" t="s">
        <v>2558</v>
      </c>
      <c r="J7" s="350" t="s">
        <v>2559</v>
      </c>
      <c r="K7" s="347" t="s">
        <v>2560</v>
      </c>
      <c r="L7" s="353"/>
      <c r="M7" s="353"/>
      <c r="N7" s="354"/>
      <c r="O7" s="347" t="s">
        <v>2561</v>
      </c>
      <c r="P7" s="351" t="s">
        <v>2562</v>
      </c>
      <c r="Q7" s="356" t="s">
        <v>2546</v>
      </c>
    </row>
    <row r="8" spans="1:17" s="47" customFormat="1" ht="38.25" customHeight="1" x14ac:dyDescent="0.25">
      <c r="A8" s="348"/>
      <c r="B8" s="348"/>
      <c r="C8" s="348"/>
      <c r="D8" s="348"/>
      <c r="E8" s="348"/>
      <c r="F8" s="48" t="s">
        <v>636</v>
      </c>
      <c r="G8" s="48" t="s">
        <v>2537</v>
      </c>
      <c r="H8" s="49" t="s">
        <v>635</v>
      </c>
      <c r="I8" s="348"/>
      <c r="J8" s="348"/>
      <c r="K8" s="50" t="s">
        <v>2563</v>
      </c>
      <c r="L8" s="50" t="s">
        <v>2564</v>
      </c>
      <c r="M8" s="51" t="s">
        <v>2565</v>
      </c>
      <c r="N8" s="50" t="s">
        <v>2566</v>
      </c>
      <c r="O8" s="348"/>
      <c r="P8" s="348"/>
      <c r="Q8" s="348"/>
    </row>
    <row r="9" spans="1:17" s="56" customFormat="1" ht="15.75" customHeight="1" x14ac:dyDescent="0.25">
      <c r="A9" s="204">
        <v>1</v>
      </c>
      <c r="B9" s="139" t="s">
        <v>637</v>
      </c>
      <c r="C9" s="205" t="s">
        <v>2567</v>
      </c>
      <c r="D9" s="52" t="s">
        <v>664</v>
      </c>
      <c r="E9" s="53" t="s">
        <v>2568</v>
      </c>
      <c r="F9" s="54">
        <f>VLOOKUP($B9,'SALES BY SYSTEM'!$A$4:$M$27,3,0)</f>
        <v>2079900000</v>
      </c>
      <c r="G9" s="54">
        <f>VLOOKUP(B9,'SALES BY SYSTEM'!$A$4:$M$27,4,0)</f>
        <v>0</v>
      </c>
      <c r="H9" s="55">
        <f>G9/F9</f>
        <v>0</v>
      </c>
      <c r="I9" s="54"/>
      <c r="J9" s="55"/>
      <c r="K9" s="54">
        <f>IF(AND(H9&gt;=70%,H9&lt;=80%),(H9-70%)*1000000,0)</f>
        <v>0</v>
      </c>
      <c r="L9" s="54">
        <f>IF(AND(H9&gt;80%,H9&lt;=90%),((H9-80%)*100*100000)+750000,0)</f>
        <v>0</v>
      </c>
      <c r="M9" s="54">
        <f>IF(AND(H9&gt;90%,H9&lt;=100%),((H9-90%)*100*150000)+1500000,0)</f>
        <v>0</v>
      </c>
      <c r="N9" s="54">
        <f>IF(H9&gt;100%,((H9-100%)*100*150000)+3000000,0)</f>
        <v>0</v>
      </c>
      <c r="O9" s="54"/>
      <c r="P9" s="54"/>
      <c r="Q9" s="54"/>
    </row>
    <row r="10" spans="1:17" s="56" customFormat="1" ht="15.75" customHeight="1" x14ac:dyDescent="0.25">
      <c r="A10" s="204">
        <v>2</v>
      </c>
      <c r="B10" s="178" t="s">
        <v>645</v>
      </c>
      <c r="C10" s="205" t="s">
        <v>2567</v>
      </c>
      <c r="D10" s="52" t="s">
        <v>664</v>
      </c>
      <c r="E10" s="53"/>
      <c r="F10" s="54">
        <f>VLOOKUP(B10,'SALES BY SYSTEM'!A7:M50,3,0)</f>
        <v>2131700000</v>
      </c>
      <c r="G10" s="54">
        <f>VLOOKUP(B10,'SALES BY SYSTEM'!$A$4:$M$27,4,0)</f>
        <v>0</v>
      </c>
      <c r="H10" s="55">
        <f>G10/F10</f>
        <v>0</v>
      </c>
      <c r="I10" s="54"/>
      <c r="J10" s="55"/>
      <c r="K10" s="54">
        <f>IF(AND(H10&gt;=70%,H10&lt;=80%),(H10-70%)*1000000,0)</f>
        <v>0</v>
      </c>
      <c r="L10" s="54">
        <f>IF(AND(H10&gt;80%,H10&lt;=90%),((H10-80%)*100*100000)+750000,0)</f>
        <v>0</v>
      </c>
      <c r="M10" s="54">
        <f>IF(AND(H10&gt;90%,H10&lt;=100%),((H10-90%)*100*150000)+1500000,0)</f>
        <v>0</v>
      </c>
      <c r="N10" s="54">
        <f>IF(H10&gt;100%,((H10-100%)*100*150000)+3000000,0)</f>
        <v>0</v>
      </c>
      <c r="O10" s="54"/>
      <c r="P10" s="54"/>
      <c r="Q10" s="54"/>
    </row>
    <row r="11" spans="1:17" s="56" customFormat="1" ht="15.75" customHeight="1" x14ac:dyDescent="0.25">
      <c r="A11" s="204">
        <v>3</v>
      </c>
      <c r="B11" s="178" t="s">
        <v>644</v>
      </c>
      <c r="C11" s="205" t="s">
        <v>2567</v>
      </c>
      <c r="D11" s="52"/>
      <c r="E11" s="53"/>
      <c r="F11" s="54">
        <f>VLOOKUP(B11,'SALES BY SYSTEM'!A8:M51,3,0)</f>
        <v>788500000</v>
      </c>
      <c r="G11" s="54">
        <f>VLOOKUP(B11,'SALES BY SYSTEM'!$A$4:$M$27,4,0)</f>
        <v>0</v>
      </c>
      <c r="H11" s="55">
        <f>G11/F11</f>
        <v>0</v>
      </c>
      <c r="I11" s="54"/>
      <c r="J11" s="55"/>
      <c r="K11" s="54">
        <f>IF(AND(H11&gt;=70%,H11&lt;=80%),(H11-70%)*1000000,0)</f>
        <v>0</v>
      </c>
      <c r="L11" s="54"/>
      <c r="M11" s="54"/>
      <c r="N11" s="54"/>
      <c r="O11" s="54"/>
      <c r="P11" s="54"/>
      <c r="Q11" s="54"/>
    </row>
    <row r="12" spans="1:17" s="57" customFormat="1" ht="15.75" customHeight="1" x14ac:dyDescent="0.25">
      <c r="A12" s="204">
        <v>4</v>
      </c>
      <c r="B12" s="206"/>
      <c r="C12" s="205" t="s">
        <v>2567</v>
      </c>
      <c r="D12" s="52" t="s">
        <v>2569</v>
      </c>
      <c r="E12" s="53"/>
      <c r="F12" s="54">
        <f>SUM(F9:F11)</f>
        <v>5000100000</v>
      </c>
      <c r="G12" s="54">
        <f>SUM(G9:G11)</f>
        <v>0</v>
      </c>
      <c r="H12" s="55">
        <f>G12/F12</f>
        <v>0</v>
      </c>
      <c r="I12" s="54"/>
      <c r="J12" s="55"/>
      <c r="K12" s="54">
        <f>IF(AND(H12&gt;=70%,H12&lt;=80%),(H12-70%)*1000000,0)</f>
        <v>0</v>
      </c>
      <c r="L12" s="54">
        <f>IF(AND(H12&gt;80%,H12&lt;=90%),1500000,0)</f>
        <v>0</v>
      </c>
      <c r="M12" s="54">
        <f>IF(AND(H12&gt;90%,H12&lt;=100%),2000000,0)</f>
        <v>0</v>
      </c>
      <c r="N12" s="54">
        <f>IF(H12&gt;100%,2500000,0)</f>
        <v>0</v>
      </c>
      <c r="O12" s="54"/>
      <c r="P12" s="54"/>
      <c r="Q12" s="54"/>
    </row>
    <row r="13" spans="1:17" s="62" customFormat="1" ht="15.75" customHeight="1" x14ac:dyDescent="0.25">
      <c r="A13" s="352" t="s">
        <v>2539</v>
      </c>
      <c r="B13" s="353"/>
      <c r="C13" s="354"/>
      <c r="D13" s="58"/>
      <c r="E13" s="59"/>
      <c r="F13" s="124">
        <f>SUM(F9:F11)</f>
        <v>5000100000</v>
      </c>
      <c r="G13" s="124">
        <f>SUM(G9:G11)</f>
        <v>0</v>
      </c>
      <c r="H13" s="61">
        <f>G13/F13</f>
        <v>0</v>
      </c>
      <c r="I13" s="60">
        <v>0</v>
      </c>
      <c r="J13" s="60">
        <v>0</v>
      </c>
      <c r="K13" s="60">
        <f>SUM(K9:K9)</f>
        <v>0</v>
      </c>
      <c r="L13" s="60">
        <f>SUM(L9:L9)</f>
        <v>0</v>
      </c>
      <c r="M13" s="60">
        <f>SUM(M9:M9)</f>
        <v>0</v>
      </c>
      <c r="N13" s="60">
        <f>SUM(N9:N12)</f>
        <v>0</v>
      </c>
      <c r="O13" s="60">
        <f>SUM(O9:O12)</f>
        <v>0</v>
      </c>
      <c r="P13" s="60">
        <f>SUM(P9:P9)</f>
        <v>0</v>
      </c>
      <c r="Q13" s="60">
        <f>SUM(Q9:Q12)</f>
        <v>0</v>
      </c>
    </row>
    <row r="14" spans="1:17" s="62" customFormat="1" x14ac:dyDescent="0.2">
      <c r="A14" s="63"/>
      <c r="B14" s="63"/>
      <c r="C14" s="63"/>
      <c r="D14" s="63"/>
      <c r="E14" s="63"/>
      <c r="F14" s="64"/>
      <c r="G14" s="64"/>
      <c r="H14" s="65"/>
      <c r="I14" s="64"/>
      <c r="J14" s="66"/>
      <c r="K14" s="67"/>
      <c r="L14" s="67"/>
      <c r="M14" s="64"/>
      <c r="N14" s="64"/>
      <c r="O14" s="64"/>
      <c r="P14" s="64"/>
    </row>
    <row r="15" spans="1:17" s="62" customFormat="1" ht="12.75" customHeight="1" x14ac:dyDescent="0.2">
      <c r="A15" s="63"/>
      <c r="B15" s="63"/>
      <c r="C15" s="63"/>
      <c r="D15" s="63"/>
      <c r="E15" s="63"/>
      <c r="F15" s="64"/>
      <c r="G15" s="64"/>
      <c r="H15" s="65"/>
      <c r="I15" s="64"/>
      <c r="J15" s="66"/>
      <c r="K15" s="64"/>
      <c r="L15" s="64"/>
      <c r="M15" s="64"/>
      <c r="N15" s="64"/>
      <c r="O15" s="64"/>
      <c r="P15" s="64"/>
    </row>
    <row r="16" spans="1:17" s="62" customFormat="1" x14ac:dyDescent="0.2">
      <c r="A16" s="63"/>
      <c r="B16" s="68"/>
      <c r="C16" s="63"/>
      <c r="D16" s="63"/>
      <c r="E16" s="63"/>
      <c r="F16" s="64"/>
      <c r="G16" s="64"/>
      <c r="H16" s="65"/>
      <c r="I16" s="64"/>
      <c r="J16" s="66"/>
      <c r="K16" s="64"/>
      <c r="L16" s="64"/>
      <c r="M16" s="64"/>
      <c r="N16" s="64"/>
      <c r="O16" s="64"/>
      <c r="P16" s="64"/>
    </row>
    <row r="17" spans="1:17" s="35" customFormat="1" x14ac:dyDescent="0.2">
      <c r="A17" s="63"/>
      <c r="B17" s="69"/>
      <c r="C17" s="63"/>
      <c r="D17" s="63"/>
      <c r="E17" s="63"/>
      <c r="F17" s="64"/>
      <c r="G17" s="64"/>
      <c r="H17" s="65"/>
      <c r="I17" s="64"/>
      <c r="J17" s="66"/>
      <c r="K17" s="64"/>
      <c r="L17" s="64"/>
      <c r="M17" s="64"/>
      <c r="N17" s="64"/>
      <c r="O17" s="64"/>
      <c r="P17" s="64"/>
      <c r="Q17" s="62"/>
    </row>
    <row r="18" spans="1:17" s="35" customFormat="1" x14ac:dyDescent="0.2">
      <c r="A18" s="344" t="s">
        <v>2548</v>
      </c>
      <c r="B18" s="349"/>
      <c r="C18" s="70"/>
      <c r="D18" s="70"/>
      <c r="E18" s="355"/>
      <c r="F18" s="349"/>
      <c r="G18" s="71"/>
      <c r="H18" s="355" t="s">
        <v>2570</v>
      </c>
      <c r="I18" s="349"/>
      <c r="J18" s="349"/>
      <c r="K18" s="349"/>
      <c r="L18" s="71"/>
      <c r="M18" s="355"/>
      <c r="N18" s="349"/>
      <c r="O18" s="355" t="s">
        <v>2550</v>
      </c>
      <c r="P18" s="349"/>
      <c r="Q18" s="349"/>
    </row>
    <row r="27" spans="1:17" x14ac:dyDescent="0.2">
      <c r="A27" s="344" t="s">
        <v>2571</v>
      </c>
      <c r="B27" s="346"/>
      <c r="H27" s="344" t="s">
        <v>2552</v>
      </c>
      <c r="I27" s="345"/>
      <c r="J27" s="357"/>
      <c r="K27" s="345"/>
      <c r="O27" s="344" t="s">
        <v>2553</v>
      </c>
      <c r="P27" s="345"/>
      <c r="Q27" s="346"/>
    </row>
  </sheetData>
  <mergeCells count="23">
    <mergeCell ref="A5:Q5"/>
    <mergeCell ref="O18:Q18"/>
    <mergeCell ref="A4:Q4"/>
    <mergeCell ref="B7:B8"/>
    <mergeCell ref="F7:H7"/>
    <mergeCell ref="E18:F18"/>
    <mergeCell ref="H18:K18"/>
    <mergeCell ref="O27:Q27"/>
    <mergeCell ref="D7:D8"/>
    <mergeCell ref="A18:B18"/>
    <mergeCell ref="A27:B27"/>
    <mergeCell ref="J7:J8"/>
    <mergeCell ref="P7:P8"/>
    <mergeCell ref="A13:C13"/>
    <mergeCell ref="C7:C8"/>
    <mergeCell ref="E7:E8"/>
    <mergeCell ref="M18:N18"/>
    <mergeCell ref="O7:O8"/>
    <mergeCell ref="Q7:Q8"/>
    <mergeCell ref="H27:K27"/>
    <mergeCell ref="A7:A8"/>
    <mergeCell ref="K7:N7"/>
    <mergeCell ref="I7:I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2:Z35"/>
  <sheetViews>
    <sheetView showGridLines="0" zoomScale="9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20" sqref="D20"/>
    </sheetView>
  </sheetViews>
  <sheetFormatPr defaultRowHeight="15" x14ac:dyDescent="0.25"/>
  <cols>
    <col min="1" max="1" width="11" bestFit="1" customWidth="1"/>
    <col min="2" max="2" width="16.85546875" style="122" customWidth="1"/>
    <col min="3" max="3" width="17.85546875" style="122" customWidth="1"/>
    <col min="4" max="4" width="18.5703125" style="122" customWidth="1"/>
    <col min="5" max="5" width="17.85546875" style="122" customWidth="1"/>
    <col min="6" max="6" width="19.7109375" style="122" customWidth="1"/>
    <col min="7" max="7" width="18.28515625" style="122" customWidth="1"/>
    <col min="8" max="8" width="9.42578125" style="123" customWidth="1"/>
    <col min="9" max="9" width="15.7109375" style="123" customWidth="1"/>
    <col min="10" max="10" width="15.28515625" style="123" customWidth="1"/>
    <col min="11" max="11" width="16.28515625" style="123" customWidth="1"/>
    <col min="12" max="13" width="15.28515625" style="123" customWidth="1"/>
    <col min="14" max="16" width="14.85546875" style="123" customWidth="1"/>
    <col min="17" max="17" width="16.42578125" style="123" customWidth="1"/>
    <col min="18" max="18" width="16.140625" style="123" customWidth="1"/>
    <col min="19" max="19" width="16.7109375" style="123" customWidth="1"/>
    <col min="20" max="21" width="16.28515625" style="123" customWidth="1"/>
    <col min="22" max="22" width="13.85546875" style="123" customWidth="1"/>
    <col min="23" max="23" width="16.85546875" style="123" customWidth="1"/>
    <col min="24" max="25" width="15.85546875" customWidth="1"/>
    <col min="26" max="26" width="16.5703125" customWidth="1"/>
  </cols>
  <sheetData>
    <row r="2" spans="1:26" ht="15" customHeight="1" x14ac:dyDescent="0.25">
      <c r="A2" s="361" t="s">
        <v>2572</v>
      </c>
      <c r="B2" s="362" t="s">
        <v>636</v>
      </c>
      <c r="C2" s="364"/>
      <c r="D2" s="305"/>
      <c r="E2" s="305"/>
      <c r="F2" s="223"/>
      <c r="G2" s="362" t="s">
        <v>2537</v>
      </c>
      <c r="H2" s="365" t="s">
        <v>635</v>
      </c>
      <c r="I2" s="363" t="s">
        <v>2573</v>
      </c>
      <c r="J2" s="363" t="s">
        <v>2574</v>
      </c>
      <c r="K2" s="224" t="s">
        <v>2575</v>
      </c>
      <c r="L2" s="224" t="s">
        <v>2575</v>
      </c>
      <c r="M2" s="224" t="s">
        <v>2575</v>
      </c>
      <c r="N2" s="224" t="s">
        <v>2575</v>
      </c>
      <c r="O2" s="224" t="s">
        <v>2575</v>
      </c>
      <c r="P2" s="224" t="s">
        <v>2575</v>
      </c>
      <c r="Q2" s="225" t="s">
        <v>2576</v>
      </c>
      <c r="R2" s="226" t="s">
        <v>2576</v>
      </c>
      <c r="S2" s="225" t="s">
        <v>2576</v>
      </c>
      <c r="T2" s="226" t="s">
        <v>2576</v>
      </c>
      <c r="U2" s="225" t="s">
        <v>2576</v>
      </c>
      <c r="V2" s="225" t="s">
        <v>2577</v>
      </c>
      <c r="W2" s="225" t="s">
        <v>2576</v>
      </c>
      <c r="X2" s="225" t="s">
        <v>2576</v>
      </c>
      <c r="Y2" s="225" t="s">
        <v>2576</v>
      </c>
      <c r="Z2" s="225" t="s">
        <v>2576</v>
      </c>
    </row>
    <row r="3" spans="1:26" x14ac:dyDescent="0.25">
      <c r="A3" s="308"/>
      <c r="B3" s="308"/>
      <c r="C3" s="227" t="s">
        <v>629</v>
      </c>
      <c r="D3" s="227" t="s">
        <v>628</v>
      </c>
      <c r="E3" s="227" t="s">
        <v>2578</v>
      </c>
      <c r="F3" s="227" t="s">
        <v>631</v>
      </c>
      <c r="G3" s="308"/>
      <c r="H3" s="308"/>
      <c r="I3" s="308"/>
      <c r="J3" s="308"/>
      <c r="K3" s="228" t="s">
        <v>2521</v>
      </c>
      <c r="L3" s="228" t="s">
        <v>2579</v>
      </c>
      <c r="M3" s="228" t="s">
        <v>2580</v>
      </c>
      <c r="N3" s="228" t="s">
        <v>2581</v>
      </c>
      <c r="O3" s="228" t="s">
        <v>2582</v>
      </c>
      <c r="P3" s="228" t="s">
        <v>2583</v>
      </c>
      <c r="Q3" s="229" t="s">
        <v>2584</v>
      </c>
      <c r="R3" s="230" t="s">
        <v>2585</v>
      </c>
      <c r="S3" s="229" t="s">
        <v>2586</v>
      </c>
      <c r="T3" s="230" t="s">
        <v>2587</v>
      </c>
      <c r="U3" s="229" t="s">
        <v>2588</v>
      </c>
      <c r="V3" s="229" t="s">
        <v>2589</v>
      </c>
      <c r="W3" s="229" t="s">
        <v>2590</v>
      </c>
      <c r="X3" s="229" t="s">
        <v>2591</v>
      </c>
      <c r="Y3" s="229" t="s">
        <v>2592</v>
      </c>
      <c r="Z3" s="229" t="s">
        <v>2593</v>
      </c>
    </row>
    <row r="4" spans="1:26" x14ac:dyDescent="0.25">
      <c r="A4" s="231" t="s">
        <v>2594</v>
      </c>
      <c r="B4" s="232">
        <v>5000000000</v>
      </c>
      <c r="C4" s="232">
        <v>640876385.60000002</v>
      </c>
      <c r="D4" s="232">
        <v>64101400</v>
      </c>
      <c r="E4" s="232"/>
      <c r="F4" s="232">
        <v>1360174586.0999999</v>
      </c>
      <c r="G4" s="232">
        <f t="shared" ref="G4:G15" si="0">SUM(C4:F4)</f>
        <v>2065152371.6999998</v>
      </c>
      <c r="H4" s="233">
        <f t="shared" ref="H4:H16" si="1">G4/B4</f>
        <v>0.41303047433999995</v>
      </c>
      <c r="I4" s="234">
        <v>310868800</v>
      </c>
      <c r="J4" s="235">
        <v>74646000</v>
      </c>
      <c r="K4" s="234">
        <v>95000000</v>
      </c>
      <c r="L4" s="234"/>
      <c r="M4" s="234"/>
      <c r="N4" s="234">
        <v>51367800</v>
      </c>
      <c r="O4" s="234">
        <v>6187500</v>
      </c>
      <c r="P4" s="234">
        <v>68035000</v>
      </c>
      <c r="Q4" s="235">
        <v>199964160</v>
      </c>
      <c r="R4" s="234">
        <v>283166400</v>
      </c>
      <c r="S4" s="234">
        <v>205000000</v>
      </c>
      <c r="T4" s="234">
        <v>169158000</v>
      </c>
      <c r="U4" s="234">
        <v>39688704</v>
      </c>
      <c r="V4" s="234">
        <v>98618520</v>
      </c>
      <c r="W4" s="234">
        <v>284454720</v>
      </c>
      <c r="X4" s="232">
        <v>29752925.399999999</v>
      </c>
      <c r="Y4" s="232">
        <v>26620579.699999999</v>
      </c>
      <c r="Z4" s="232">
        <v>5561820</v>
      </c>
    </row>
    <row r="5" spans="1:26" x14ac:dyDescent="0.25">
      <c r="A5" s="231" t="s">
        <v>2595</v>
      </c>
      <c r="B5" s="232">
        <v>4200000000</v>
      </c>
      <c r="C5" s="236">
        <v>732429804.70000005</v>
      </c>
      <c r="D5" s="236">
        <v>41661730</v>
      </c>
      <c r="E5" s="232"/>
      <c r="F5" s="232">
        <v>1338996371.9000001</v>
      </c>
      <c r="G5" s="232">
        <f t="shared" si="0"/>
        <v>2113087906.6000001</v>
      </c>
      <c r="H5" s="233">
        <f t="shared" si="1"/>
        <v>0.50311616823809524</v>
      </c>
      <c r="I5" s="234">
        <v>314734200</v>
      </c>
      <c r="J5" s="235">
        <v>68880240</v>
      </c>
      <c r="K5" s="234">
        <v>109000000</v>
      </c>
      <c r="L5" s="234"/>
      <c r="M5" s="234"/>
      <c r="N5" s="234">
        <v>49375920</v>
      </c>
      <c r="O5" s="234">
        <v>21064120</v>
      </c>
      <c r="P5" s="234">
        <v>48653000</v>
      </c>
      <c r="Q5" s="235">
        <v>300000000</v>
      </c>
      <c r="R5" s="234">
        <v>238972800</v>
      </c>
      <c r="S5" s="234">
        <v>126000000</v>
      </c>
      <c r="T5" s="234">
        <v>202000000</v>
      </c>
      <c r="U5" s="234">
        <v>51264576</v>
      </c>
      <c r="V5" s="234">
        <v>65313600</v>
      </c>
      <c r="W5" s="234">
        <v>285532500</v>
      </c>
      <c r="X5" s="232">
        <v>44641319.799999997</v>
      </c>
      <c r="Y5" s="232">
        <v>26675607.199999999</v>
      </c>
      <c r="Z5" s="232">
        <v>12612488.9</v>
      </c>
    </row>
    <row r="6" spans="1:26" x14ac:dyDescent="0.25">
      <c r="A6" s="231" t="s">
        <v>2596</v>
      </c>
      <c r="B6" s="232">
        <v>5500000000</v>
      </c>
      <c r="C6" s="236">
        <v>384786595.60000002</v>
      </c>
      <c r="D6" s="237">
        <v>54248095</v>
      </c>
      <c r="E6" s="232">
        <v>209444400</v>
      </c>
      <c r="F6" s="232">
        <v>1277852743.2</v>
      </c>
      <c r="G6" s="232">
        <f t="shared" si="0"/>
        <v>1926331833.8000002</v>
      </c>
      <c r="H6" s="233">
        <f t="shared" si="1"/>
        <v>0.35024215160000005</v>
      </c>
      <c r="I6" s="234">
        <v>229766900</v>
      </c>
      <c r="J6" s="235">
        <v>31680000</v>
      </c>
      <c r="K6" s="234">
        <v>20000000</v>
      </c>
      <c r="L6" s="234"/>
      <c r="M6" s="234"/>
      <c r="N6" s="238">
        <v>30090500</v>
      </c>
      <c r="O6" s="234">
        <v>20447900</v>
      </c>
      <c r="P6" s="234">
        <v>28226000</v>
      </c>
      <c r="Q6" s="235">
        <v>90478080</v>
      </c>
      <c r="R6" s="234">
        <v>379737600</v>
      </c>
      <c r="S6" s="234">
        <v>222000000</v>
      </c>
      <c r="T6" s="234">
        <v>153620280</v>
      </c>
      <c r="U6" s="234">
        <v>44649792.000000007</v>
      </c>
      <c r="V6" s="234">
        <v>58740000</v>
      </c>
      <c r="W6" s="234">
        <v>226036800</v>
      </c>
      <c r="X6" s="232">
        <v>43931686.700000003</v>
      </c>
      <c r="Y6" s="232">
        <v>22993800.5</v>
      </c>
      <c r="Z6" s="232">
        <v>10421362.6</v>
      </c>
    </row>
    <row r="7" spans="1:26" x14ac:dyDescent="0.25">
      <c r="A7" s="127" t="s">
        <v>2597</v>
      </c>
      <c r="B7" s="232">
        <v>5500000000</v>
      </c>
      <c r="C7" s="236">
        <v>506557848.5</v>
      </c>
      <c r="D7" s="232">
        <v>15151400</v>
      </c>
      <c r="E7" s="232">
        <v>36019500</v>
      </c>
      <c r="F7" s="232">
        <v>1533335156.0999999</v>
      </c>
      <c r="G7" s="232">
        <f t="shared" si="0"/>
        <v>2091063904.5999999</v>
      </c>
      <c r="H7" s="233">
        <f t="shared" si="1"/>
        <v>0.38019343719999998</v>
      </c>
      <c r="I7" s="234">
        <v>281023600</v>
      </c>
      <c r="J7" s="235">
        <v>47520000</v>
      </c>
      <c r="K7" s="239">
        <v>62000000</v>
      </c>
      <c r="L7" s="239"/>
      <c r="M7" s="239"/>
      <c r="N7" s="239">
        <v>20500000</v>
      </c>
      <c r="O7" s="239">
        <v>20800000</v>
      </c>
      <c r="P7" s="234">
        <v>42053000</v>
      </c>
      <c r="Q7" s="235">
        <v>188112672</v>
      </c>
      <c r="R7" s="234">
        <v>419020800</v>
      </c>
      <c r="S7" s="234">
        <v>245000000</v>
      </c>
      <c r="T7" s="234">
        <v>133702800</v>
      </c>
      <c r="U7" s="234">
        <v>140541434</v>
      </c>
      <c r="V7" s="234">
        <v>47982000</v>
      </c>
      <c r="W7" s="234">
        <v>263340000</v>
      </c>
      <c r="X7" s="232">
        <v>33273073.899999999</v>
      </c>
      <c r="Y7" s="232">
        <v>26488431.199999999</v>
      </c>
      <c r="Z7" s="232">
        <v>9600686.6999999993</v>
      </c>
    </row>
    <row r="8" spans="1:26" ht="15.75" customHeight="1" x14ac:dyDescent="0.25">
      <c r="A8" s="127" t="s">
        <v>2598</v>
      </c>
      <c r="B8" s="232">
        <v>6000000000</v>
      </c>
      <c r="C8" s="236">
        <v>458154671.69999999</v>
      </c>
      <c r="D8" s="260">
        <v>349741299.91465437</v>
      </c>
      <c r="E8" s="122">
        <v>42562740</v>
      </c>
      <c r="F8" s="232">
        <v>1233422927</v>
      </c>
      <c r="G8" s="232">
        <f t="shared" si="0"/>
        <v>2083881638.6146543</v>
      </c>
      <c r="H8" s="233">
        <f t="shared" si="1"/>
        <v>0.34731360643577569</v>
      </c>
      <c r="I8" s="234">
        <v>232777600</v>
      </c>
      <c r="J8" s="235">
        <v>49896000</v>
      </c>
      <c r="K8" s="239"/>
      <c r="L8" s="239"/>
      <c r="M8" s="239"/>
      <c r="N8" s="239"/>
      <c r="O8" s="239"/>
      <c r="P8" s="234"/>
      <c r="Q8" s="235"/>
      <c r="R8" s="234"/>
      <c r="S8" s="234"/>
      <c r="T8" s="234"/>
      <c r="U8" s="234"/>
      <c r="V8" s="234"/>
      <c r="W8" s="234"/>
      <c r="X8" s="232"/>
      <c r="Y8" s="232"/>
      <c r="Z8" s="232"/>
    </row>
    <row r="9" spans="1:26" x14ac:dyDescent="0.25">
      <c r="A9" s="127" t="s">
        <v>2599</v>
      </c>
      <c r="B9" s="232">
        <v>6000000000</v>
      </c>
      <c r="C9" s="236"/>
      <c r="D9" s="232"/>
      <c r="E9" s="232"/>
      <c r="F9" s="232"/>
      <c r="G9" s="232">
        <f t="shared" si="0"/>
        <v>0</v>
      </c>
      <c r="H9" s="233">
        <f t="shared" si="1"/>
        <v>0</v>
      </c>
      <c r="I9" s="234"/>
      <c r="J9" s="235"/>
      <c r="K9" s="239"/>
      <c r="L9" s="239"/>
      <c r="M9" s="239"/>
      <c r="N9" s="239"/>
      <c r="O9" s="239"/>
      <c r="P9" s="234"/>
      <c r="Q9" s="235"/>
      <c r="R9" s="234"/>
      <c r="S9" s="234"/>
      <c r="T9" s="234"/>
      <c r="U9" s="234"/>
      <c r="V9" s="234"/>
      <c r="W9" s="234"/>
      <c r="X9" s="232"/>
      <c r="Y9" s="232"/>
      <c r="Z9" s="232"/>
    </row>
    <row r="10" spans="1:26" x14ac:dyDescent="0.25">
      <c r="A10" s="127" t="s">
        <v>2600</v>
      </c>
      <c r="B10" s="232">
        <v>6000000000</v>
      </c>
      <c r="C10" s="236"/>
      <c r="D10" s="232"/>
      <c r="E10" s="236"/>
      <c r="F10" s="232"/>
      <c r="G10" s="232">
        <f t="shared" si="0"/>
        <v>0</v>
      </c>
      <c r="H10" s="233">
        <f t="shared" si="1"/>
        <v>0</v>
      </c>
      <c r="I10" s="234"/>
      <c r="J10" s="234"/>
      <c r="K10" s="239"/>
      <c r="L10" s="239"/>
      <c r="M10" s="239"/>
      <c r="N10" s="239"/>
      <c r="O10" s="239"/>
      <c r="P10" s="234"/>
      <c r="Q10" s="235"/>
      <c r="R10" s="234"/>
      <c r="S10" s="234"/>
      <c r="T10" s="234"/>
      <c r="U10" s="234"/>
      <c r="V10" s="234"/>
      <c r="W10" s="234"/>
      <c r="X10" s="232"/>
      <c r="Y10" s="232"/>
      <c r="Z10" s="232"/>
    </row>
    <row r="11" spans="1:26" x14ac:dyDescent="0.25">
      <c r="A11" s="127" t="s">
        <v>2601</v>
      </c>
      <c r="B11" s="232">
        <v>6000000000</v>
      </c>
      <c r="C11" s="236"/>
      <c r="D11" s="232"/>
      <c r="E11" s="240"/>
      <c r="F11" s="232"/>
      <c r="G11" s="232">
        <f t="shared" si="0"/>
        <v>0</v>
      </c>
      <c r="H11" s="233">
        <f t="shared" si="1"/>
        <v>0</v>
      </c>
      <c r="I11" s="234"/>
      <c r="J11" s="234"/>
      <c r="K11" s="239"/>
      <c r="L11" s="239"/>
      <c r="M11" s="239"/>
      <c r="N11" s="239"/>
      <c r="O11" s="239"/>
      <c r="P11" s="234"/>
      <c r="Q11" s="235"/>
      <c r="R11" s="234"/>
      <c r="S11" s="234"/>
      <c r="T11" s="234"/>
      <c r="U11" s="234"/>
      <c r="V11" s="234"/>
      <c r="W11" s="234"/>
      <c r="X11" s="232"/>
      <c r="Y11" s="232"/>
      <c r="Z11" s="232"/>
    </row>
    <row r="12" spans="1:26" x14ac:dyDescent="0.25">
      <c r="A12" s="127" t="s">
        <v>2602</v>
      </c>
      <c r="B12" s="232">
        <v>6000000000</v>
      </c>
      <c r="C12" s="236"/>
      <c r="D12" s="232"/>
      <c r="E12" s="232"/>
      <c r="F12" s="232"/>
      <c r="G12" s="232">
        <f t="shared" si="0"/>
        <v>0</v>
      </c>
      <c r="H12" s="233">
        <f t="shared" si="1"/>
        <v>0</v>
      </c>
      <c r="I12" s="234"/>
      <c r="J12" s="234"/>
      <c r="K12" s="239"/>
      <c r="L12" s="239"/>
      <c r="M12" s="239"/>
      <c r="N12" s="239"/>
      <c r="O12" s="239"/>
      <c r="P12" s="234"/>
      <c r="Q12" s="235"/>
      <c r="R12" s="234"/>
      <c r="S12" s="234"/>
      <c r="T12" s="234"/>
      <c r="U12" s="234"/>
      <c r="V12" s="234"/>
      <c r="W12" s="234"/>
      <c r="X12" s="232"/>
      <c r="Y12" s="232"/>
      <c r="Z12" s="232"/>
    </row>
    <row r="13" spans="1:26" x14ac:dyDescent="0.25">
      <c r="A13" s="127" t="s">
        <v>2603</v>
      </c>
      <c r="B13" s="232">
        <v>6000000000</v>
      </c>
      <c r="C13" s="236"/>
      <c r="D13" s="232"/>
      <c r="E13" s="232"/>
      <c r="F13" s="232"/>
      <c r="G13" s="232">
        <f t="shared" si="0"/>
        <v>0</v>
      </c>
      <c r="H13" s="233">
        <f t="shared" si="1"/>
        <v>0</v>
      </c>
      <c r="I13" s="234"/>
      <c r="J13" s="234"/>
      <c r="K13" s="239"/>
      <c r="L13" s="239"/>
      <c r="M13" s="239"/>
      <c r="N13" s="239"/>
      <c r="O13" s="239"/>
      <c r="P13" s="234"/>
      <c r="Q13" s="235"/>
      <c r="R13" s="234"/>
      <c r="S13" s="234"/>
      <c r="T13" s="234"/>
      <c r="U13" s="234"/>
      <c r="V13" s="234"/>
      <c r="W13" s="234"/>
      <c r="X13" s="232"/>
      <c r="Y13" s="232"/>
      <c r="Z13" s="232"/>
    </row>
    <row r="14" spans="1:26" x14ac:dyDescent="0.25">
      <c r="A14" s="127" t="s">
        <v>2604</v>
      </c>
      <c r="B14" s="232">
        <v>6000000000</v>
      </c>
      <c r="C14" s="236"/>
      <c r="D14" s="232"/>
      <c r="E14" s="232"/>
      <c r="F14" s="232"/>
      <c r="G14" s="232">
        <f t="shared" si="0"/>
        <v>0</v>
      </c>
      <c r="H14" s="233">
        <f t="shared" si="1"/>
        <v>0</v>
      </c>
      <c r="I14" s="234"/>
      <c r="J14" s="234"/>
      <c r="K14" s="239"/>
      <c r="L14" s="239"/>
      <c r="M14" s="239"/>
      <c r="N14" s="239"/>
      <c r="O14" s="239"/>
      <c r="P14" s="234"/>
      <c r="Q14" s="235"/>
      <c r="R14" s="234"/>
      <c r="S14" s="234"/>
      <c r="T14" s="234"/>
      <c r="U14" s="234"/>
      <c r="V14" s="234"/>
      <c r="W14" s="234"/>
      <c r="X14" s="232"/>
      <c r="Y14" s="232"/>
      <c r="Z14" s="232"/>
    </row>
    <row r="15" spans="1:26" x14ac:dyDescent="0.25">
      <c r="A15" s="127" t="s">
        <v>2605</v>
      </c>
      <c r="B15" s="232">
        <v>6000000000</v>
      </c>
      <c r="C15" s="236"/>
      <c r="D15" s="232"/>
      <c r="E15" s="232"/>
      <c r="F15" s="232"/>
      <c r="G15" s="232">
        <f t="shared" si="0"/>
        <v>0</v>
      </c>
      <c r="H15" s="233">
        <f t="shared" si="1"/>
        <v>0</v>
      </c>
      <c r="I15" s="234"/>
      <c r="J15" s="234"/>
      <c r="K15" s="239"/>
      <c r="L15" s="239"/>
      <c r="M15" s="239"/>
      <c r="N15" s="239"/>
      <c r="O15" s="239"/>
      <c r="P15" s="234"/>
      <c r="Q15" s="235"/>
      <c r="R15" s="234"/>
      <c r="S15" s="234"/>
      <c r="T15" s="234"/>
      <c r="U15" s="234"/>
      <c r="V15" s="234"/>
      <c r="W15" s="234"/>
      <c r="X15" s="232"/>
      <c r="Y15" s="232"/>
      <c r="Z15" s="232"/>
    </row>
    <row r="16" spans="1:26" s="243" customFormat="1" ht="20.25" customHeight="1" x14ac:dyDescent="0.2">
      <c r="A16" s="241" t="s">
        <v>2539</v>
      </c>
      <c r="B16" s="242">
        <f t="shared" ref="B16:G16" si="2">SUM(B4:B15)</f>
        <v>68200000000</v>
      </c>
      <c r="C16" s="242">
        <f t="shared" si="2"/>
        <v>2722805306.0999999</v>
      </c>
      <c r="D16" s="242">
        <f t="shared" si="2"/>
        <v>524903924.91465437</v>
      </c>
      <c r="E16" s="242">
        <f t="shared" si="2"/>
        <v>288026640</v>
      </c>
      <c r="F16" s="242">
        <f t="shared" si="2"/>
        <v>6743781784.2999992</v>
      </c>
      <c r="G16" s="242">
        <f t="shared" si="2"/>
        <v>10279517655.314655</v>
      </c>
      <c r="H16" s="233">
        <f t="shared" si="1"/>
        <v>0.15072606532719435</v>
      </c>
      <c r="I16" s="242">
        <f t="shared" ref="I16:Z16" si="3">SUM(I4:I15)</f>
        <v>1369171100</v>
      </c>
      <c r="J16" s="242">
        <f t="shared" si="3"/>
        <v>272622240</v>
      </c>
      <c r="K16" s="242">
        <f t="shared" si="3"/>
        <v>286000000</v>
      </c>
      <c r="L16" s="242">
        <f t="shared" si="3"/>
        <v>0</v>
      </c>
      <c r="M16" s="242">
        <f t="shared" si="3"/>
        <v>0</v>
      </c>
      <c r="N16" s="242">
        <f t="shared" si="3"/>
        <v>151334220</v>
      </c>
      <c r="O16" s="242">
        <f t="shared" si="3"/>
        <v>68499520</v>
      </c>
      <c r="P16" s="242">
        <f t="shared" si="3"/>
        <v>186967000</v>
      </c>
      <c r="Q16" s="242">
        <f t="shared" si="3"/>
        <v>778554912</v>
      </c>
      <c r="R16" s="242">
        <f t="shared" si="3"/>
        <v>1320897600</v>
      </c>
      <c r="S16" s="242">
        <f t="shared" si="3"/>
        <v>798000000</v>
      </c>
      <c r="T16" s="242">
        <f t="shared" si="3"/>
        <v>658481080</v>
      </c>
      <c r="U16" s="242">
        <f t="shared" si="3"/>
        <v>276144506</v>
      </c>
      <c r="V16" s="242">
        <f t="shared" si="3"/>
        <v>270654120</v>
      </c>
      <c r="W16" s="242">
        <f t="shared" si="3"/>
        <v>1059364020</v>
      </c>
      <c r="X16" s="242">
        <f t="shared" si="3"/>
        <v>151599005.79999998</v>
      </c>
      <c r="Y16" s="242">
        <f t="shared" si="3"/>
        <v>102778418.60000001</v>
      </c>
      <c r="Z16" s="242">
        <f t="shared" si="3"/>
        <v>38196358.200000003</v>
      </c>
    </row>
    <row r="17" spans="2:26" ht="22.5" customHeight="1" x14ac:dyDescent="0.25">
      <c r="B17" s="244"/>
      <c r="C17" s="245"/>
      <c r="D17" s="245"/>
      <c r="E17" s="245"/>
      <c r="F17" s="245"/>
      <c r="G17" s="246"/>
      <c r="H17" s="247"/>
      <c r="I17" s="159"/>
      <c r="J17" s="159"/>
      <c r="K17" s="159"/>
      <c r="L17" s="159"/>
      <c r="M17" s="159"/>
      <c r="N17" s="159"/>
      <c r="O17" s="159">
        <v>561970950</v>
      </c>
      <c r="P17" s="159">
        <v>407672100</v>
      </c>
      <c r="Q17" s="159">
        <v>1093192384</v>
      </c>
      <c r="R17" s="159">
        <v>3549406915.9000001</v>
      </c>
      <c r="S17" s="159">
        <v>1135500000</v>
      </c>
      <c r="T17" s="159">
        <v>1383914340</v>
      </c>
      <c r="U17" s="159">
        <v>316720800</v>
      </c>
      <c r="V17" s="159">
        <v>422489560</v>
      </c>
      <c r="W17" s="159">
        <v>1788406500</v>
      </c>
      <c r="X17" s="159">
        <v>134138572.7</v>
      </c>
      <c r="Y17" s="159"/>
      <c r="Z17" s="159">
        <v>105698835</v>
      </c>
    </row>
    <row r="18" spans="2:26" ht="22.5" customHeight="1" x14ac:dyDescent="0.25">
      <c r="B18" s="244"/>
      <c r="C18" s="245"/>
      <c r="D18" s="245"/>
      <c r="E18" s="245"/>
      <c r="F18" s="245"/>
      <c r="G18" s="246"/>
      <c r="H18" s="247"/>
      <c r="I18" s="159"/>
      <c r="J18" s="159"/>
      <c r="K18" s="159"/>
      <c r="L18" s="159"/>
      <c r="M18" s="159"/>
      <c r="N18" s="159"/>
      <c r="O18" s="159">
        <v>483015566.20689648</v>
      </c>
      <c r="P18" s="159">
        <v>500542168.5</v>
      </c>
      <c r="Q18" s="159">
        <v>1568540080</v>
      </c>
      <c r="R18" s="159">
        <v>2691750072</v>
      </c>
      <c r="S18" s="159">
        <v>1919563000</v>
      </c>
      <c r="T18" s="159">
        <v>1717397060</v>
      </c>
      <c r="U18" s="159">
        <v>553561910.4000001</v>
      </c>
      <c r="V18" s="159">
        <v>715616100</v>
      </c>
      <c r="W18" s="159">
        <v>1951888880</v>
      </c>
      <c r="X18" s="159">
        <v>307312419.89999998</v>
      </c>
      <c r="Y18" s="159">
        <v>0</v>
      </c>
      <c r="Z18" s="159">
        <v>123680077.40000001</v>
      </c>
    </row>
    <row r="19" spans="2:26" ht="23.25" customHeight="1" x14ac:dyDescent="0.25">
      <c r="C19" s="248"/>
      <c r="D19" s="248"/>
      <c r="E19" s="248"/>
      <c r="F19" s="248"/>
      <c r="G19" s="248"/>
      <c r="H19" s="249"/>
      <c r="I19" s="250"/>
      <c r="J19" s="250"/>
      <c r="K19" s="250"/>
      <c r="L19" s="250"/>
      <c r="M19" s="250"/>
      <c r="N19" s="250"/>
      <c r="O19" s="250">
        <f t="shared" ref="O19:W19" si="4">O16-O18</f>
        <v>-414516046.20689648</v>
      </c>
      <c r="P19" s="250">
        <f t="shared" si="4"/>
        <v>-313575168.5</v>
      </c>
      <c r="Q19" s="250">
        <f t="shared" si="4"/>
        <v>-789985168</v>
      </c>
      <c r="R19" s="250">
        <f t="shared" si="4"/>
        <v>-1370852472</v>
      </c>
      <c r="S19" s="250">
        <f t="shared" si="4"/>
        <v>-1121563000</v>
      </c>
      <c r="T19" s="250">
        <f t="shared" si="4"/>
        <v>-1058915980</v>
      </c>
      <c r="U19" s="250">
        <f t="shared" si="4"/>
        <v>-277417404.4000001</v>
      </c>
      <c r="V19" s="250">
        <f t="shared" si="4"/>
        <v>-444961980</v>
      </c>
      <c r="W19" s="250">
        <f t="shared" si="4"/>
        <v>-892524860</v>
      </c>
      <c r="X19" s="250">
        <f>X16-X17</f>
        <v>17460433.099999979</v>
      </c>
      <c r="Y19" s="250"/>
      <c r="Z19" s="250">
        <f>Z16-Z17</f>
        <v>-67502476.799999997</v>
      </c>
    </row>
    <row r="20" spans="2:26" ht="15.75" customHeight="1" x14ac:dyDescent="0.25">
      <c r="C20" s="251"/>
      <c r="D20" s="251"/>
      <c r="E20" s="251"/>
      <c r="F20" s="251"/>
      <c r="G20" s="252"/>
      <c r="I20" s="253"/>
      <c r="J20" s="253"/>
      <c r="K20" s="253"/>
      <c r="L20" s="253"/>
      <c r="M20" s="253"/>
      <c r="N20" s="254"/>
      <c r="O20" s="253">
        <f t="shared" ref="O20:X20" si="5">O16/O18</f>
        <v>0.14181638189825685</v>
      </c>
      <c r="P20" s="253">
        <f t="shared" si="5"/>
        <v>0.37352896871864655</v>
      </c>
      <c r="Q20" s="253">
        <f t="shared" si="5"/>
        <v>0.49635640295528821</v>
      </c>
      <c r="R20" s="253">
        <f t="shared" si="5"/>
        <v>0.4907207447452796</v>
      </c>
      <c r="S20" s="253">
        <f t="shared" si="5"/>
        <v>0.41571961951756731</v>
      </c>
      <c r="T20" s="253">
        <f t="shared" si="5"/>
        <v>0.38341807805353995</v>
      </c>
      <c r="U20" s="253">
        <f t="shared" si="5"/>
        <v>0.49885026554746126</v>
      </c>
      <c r="V20" s="253">
        <f t="shared" si="5"/>
        <v>0.37821133426148462</v>
      </c>
      <c r="W20" s="253">
        <f t="shared" si="5"/>
        <v>0.54273787347976488</v>
      </c>
      <c r="X20" s="253">
        <f t="shared" si="5"/>
        <v>0.49330582164342912</v>
      </c>
      <c r="Y20" s="253"/>
      <c r="Z20" s="253">
        <f>Z16/Z18</f>
        <v>0.30883193965400929</v>
      </c>
    </row>
    <row r="21" spans="2:26" ht="15.75" customHeight="1" x14ac:dyDescent="0.25">
      <c r="C21" s="251"/>
      <c r="D21" s="251"/>
      <c r="E21" s="251"/>
      <c r="F21" s="251"/>
      <c r="G21" s="252"/>
      <c r="I21" s="250"/>
      <c r="J21" s="255"/>
      <c r="K21" s="255"/>
      <c r="L21" s="255"/>
      <c r="M21" s="255"/>
      <c r="N21" s="255"/>
      <c r="O21" s="255">
        <f t="shared" ref="O21:X21" si="6">O18/12</f>
        <v>40251297.183908038</v>
      </c>
      <c r="P21" s="255">
        <f t="shared" si="6"/>
        <v>41711847.375</v>
      </c>
      <c r="Q21" s="255">
        <f t="shared" si="6"/>
        <v>130711673.33333333</v>
      </c>
      <c r="R21" s="255">
        <f t="shared" si="6"/>
        <v>224312506</v>
      </c>
      <c r="S21" s="255">
        <f t="shared" si="6"/>
        <v>159963583.33333334</v>
      </c>
      <c r="T21" s="255">
        <f t="shared" si="6"/>
        <v>143116421.66666666</v>
      </c>
      <c r="U21" s="255">
        <f t="shared" si="6"/>
        <v>46130159.20000001</v>
      </c>
      <c r="V21" s="255">
        <f t="shared" si="6"/>
        <v>59634675</v>
      </c>
      <c r="W21" s="255">
        <f t="shared" si="6"/>
        <v>162657406.66666666</v>
      </c>
      <c r="X21" s="255">
        <f t="shared" si="6"/>
        <v>25609368.324999999</v>
      </c>
      <c r="Y21" s="255"/>
      <c r="Z21" s="255">
        <f>Z18/12</f>
        <v>10306673.116666667</v>
      </c>
    </row>
    <row r="22" spans="2:26" x14ac:dyDescent="0.25">
      <c r="C22" s="253"/>
      <c r="D22" s="253"/>
      <c r="E22" s="253"/>
      <c r="F22" s="253"/>
      <c r="G22" s="253"/>
    </row>
    <row r="29" spans="2:26" x14ac:dyDescent="0.25">
      <c r="D29" s="256"/>
    </row>
    <row r="30" spans="2:26" x14ac:dyDescent="0.25">
      <c r="D30" s="257"/>
    </row>
    <row r="31" spans="2:26" x14ac:dyDescent="0.25">
      <c r="D31" s="122">
        <v>140000000000</v>
      </c>
    </row>
    <row r="33" spans="4:4" x14ac:dyDescent="0.25">
      <c r="D33" s="122">
        <f>D29*D31</f>
        <v>0</v>
      </c>
    </row>
    <row r="35" spans="4:4" x14ac:dyDescent="0.25">
      <c r="D35" s="122">
        <f>D33/12</f>
        <v>0</v>
      </c>
    </row>
  </sheetData>
  <mergeCells count="7">
    <mergeCell ref="A2:A3"/>
    <mergeCell ref="G2:G3"/>
    <mergeCell ref="J2:J3"/>
    <mergeCell ref="I2:I3"/>
    <mergeCell ref="C2:E2"/>
    <mergeCell ref="H2:H3"/>
    <mergeCell ref="B2:B3"/>
  </mergeCells>
  <pageMargins left="0.7" right="0.7" top="0.75" bottom="0.75" header="0.3" footer="0.3"/>
  <pageSetup paperSize="9" orientation="landscape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/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DATA</vt:lpstr>
      <vt:lpstr>SALES BY SYSTEM</vt:lpstr>
      <vt:lpstr>CUSTOMER</vt:lpstr>
      <vt:lpstr>Sheet5</vt:lpstr>
      <vt:lpstr>Sheet6</vt:lpstr>
      <vt:lpstr>SALE BY STORE</vt:lpstr>
      <vt:lpstr>SALE</vt:lpstr>
      <vt:lpstr>KA</vt:lpstr>
      <vt:lpstr>DOANH SO NAM</vt:lpstr>
      <vt:lpstr>Sheet1</vt:lpstr>
      <vt:lpstr>'DOANH SO NAM'!Print_Area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sa03</dc:creator>
  <cp:lastModifiedBy>le phuong</cp:lastModifiedBy>
  <cp:lastPrinted>2023-10-03T02:44:28Z</cp:lastPrinted>
  <dcterms:created xsi:type="dcterms:W3CDTF">2021-12-28T06:55:31Z</dcterms:created>
  <dcterms:modified xsi:type="dcterms:W3CDTF">2026-01-06T08:00:58Z</dcterms:modified>
</cp:coreProperties>
</file>