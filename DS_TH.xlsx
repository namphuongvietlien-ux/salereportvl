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cth\"/>
    </mc:Choice>
  </mc:AlternateContent>
  <xr:revisionPtr revIDLastSave="0" documentId="8_{A0EADE38-E957-49FD-91F0-A994357A7729}" xr6:coauthVersionLast="47" xr6:coauthVersionMax="47" xr10:uidLastSave="{00000000-0000-0000-0000-000000000000}"/>
  <bookViews>
    <workbookView xWindow="-120" yWindow="-120" windowWidth="21840" windowHeight="13020" firstSheet="2" activeTab="4" xr2:uid="{00000000-000D-0000-FFFF-FFFF00000000}"/>
  </bookViews>
  <sheets>
    <sheet name="Sheet5" sheetId="5" state="hidden" r:id="rId1"/>
    <sheet name="Sheet6" sheetId="6" state="hidden" r:id="rId2"/>
    <sheet name="2025" sheetId="48" r:id="rId3"/>
    <sheet name="2024" sheetId="47" r:id="rId4"/>
    <sheet name="2023" sheetId="15" r:id="rId5"/>
    <sheet name="2022" sheetId="45" r:id="rId6"/>
    <sheet name="2021" sheetId="44" r:id="rId7"/>
    <sheet name="LC 22" sheetId="43" r:id="rId8"/>
    <sheet name="LC 23" sheetId="46" r:id="rId9"/>
  </sheets>
  <definedNames>
    <definedName name="_xlnm._FilterDatabase" localSheetId="0" hidden="1">Sheet5!$A$1:$C$831</definedName>
    <definedName name="_xlnm._FilterDatabase" localSheetId="1" hidden="1">Sheet6!$A$1:$C$821</definedName>
    <definedName name="_xlnm.Print_Area" localSheetId="4">'2023'!$I$2:$P$18</definedName>
    <definedName name="_xlnm.Print_Area" localSheetId="3">'2024'!$I$2:$P$19</definedName>
    <definedName name="_xlnm.Print_Area" localSheetId="2">'2025'!$I$2:$P$19</definedName>
    <definedName name="_xlnm.Print_Area" localSheetId="7">'LC 22'!$A$2:$M$16</definedName>
    <definedName name="_xlnm.Print_Area" localSheetId="8">'LC 23'!$A$2:$M$16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48" l="1"/>
  <c r="D33" i="48" l="1"/>
  <c r="D35" i="48" s="1"/>
  <c r="Z21" i="48"/>
  <c r="X21" i="48"/>
  <c r="W21" i="48"/>
  <c r="V21" i="48"/>
  <c r="U21" i="48"/>
  <c r="T21" i="48"/>
  <c r="S21" i="48"/>
  <c r="R21" i="48"/>
  <c r="Q21" i="48"/>
  <c r="P21" i="48"/>
  <c r="O21" i="48"/>
  <c r="N21" i="48"/>
  <c r="M21" i="48"/>
  <c r="L21" i="48"/>
  <c r="K21" i="48"/>
  <c r="J21" i="48"/>
  <c r="I21" i="48"/>
  <c r="G20" i="48"/>
  <c r="G17" i="48"/>
  <c r="Z16" i="48"/>
  <c r="Z20" i="48" s="1"/>
  <c r="Y16" i="48"/>
  <c r="X16" i="48"/>
  <c r="X20" i="48" s="1"/>
  <c r="W16" i="48"/>
  <c r="W19" i="48" s="1"/>
  <c r="V16" i="48"/>
  <c r="V19" i="48" s="1"/>
  <c r="U16" i="48"/>
  <c r="U20" i="48" s="1"/>
  <c r="T16" i="48"/>
  <c r="T20" i="48" s="1"/>
  <c r="S16" i="48"/>
  <c r="S19" i="48" s="1"/>
  <c r="R16" i="48"/>
  <c r="R19" i="48" s="1"/>
  <c r="Q16" i="48"/>
  <c r="Q20" i="48" s="1"/>
  <c r="P16" i="48"/>
  <c r="P20" i="48" s="1"/>
  <c r="O16" i="48"/>
  <c r="O19" i="48" s="1"/>
  <c r="N16" i="48"/>
  <c r="N19" i="48" s="1"/>
  <c r="M16" i="48"/>
  <c r="M20" i="48" s="1"/>
  <c r="L16" i="48"/>
  <c r="L20" i="48" s="1"/>
  <c r="K16" i="48"/>
  <c r="K19" i="48" s="1"/>
  <c r="J16" i="48"/>
  <c r="J19" i="48" s="1"/>
  <c r="I16" i="48"/>
  <c r="I20" i="48" s="1"/>
  <c r="F16" i="48"/>
  <c r="F21" i="48" s="1"/>
  <c r="E16" i="48"/>
  <c r="E21" i="48" s="1"/>
  <c r="D16" i="48"/>
  <c r="D22" i="48" s="1"/>
  <c r="C16" i="48"/>
  <c r="C22" i="48" s="1"/>
  <c r="B16" i="48"/>
  <c r="G15" i="48"/>
  <c r="H15" i="48" s="1"/>
  <c r="G14" i="48"/>
  <c r="H14" i="48" s="1"/>
  <c r="G13" i="48"/>
  <c r="H13" i="48" s="1"/>
  <c r="G12" i="48"/>
  <c r="H12" i="48" s="1"/>
  <c r="G11" i="48"/>
  <c r="H11" i="48" s="1"/>
  <c r="G10" i="48"/>
  <c r="H10" i="48" s="1"/>
  <c r="G9" i="48"/>
  <c r="H9" i="48" s="1"/>
  <c r="G8" i="48"/>
  <c r="H8" i="48" s="1"/>
  <c r="G7" i="48"/>
  <c r="H7" i="48" s="1"/>
  <c r="G6" i="48"/>
  <c r="H6" i="48" s="1"/>
  <c r="G5" i="48"/>
  <c r="H5" i="48" s="1"/>
  <c r="G4" i="48"/>
  <c r="Y16" i="47"/>
  <c r="Z16" i="47"/>
  <c r="T21" i="47"/>
  <c r="V20" i="48" l="1"/>
  <c r="O20" i="48"/>
  <c r="Z19" i="48"/>
  <c r="R20" i="48"/>
  <c r="N20" i="48"/>
  <c r="W20" i="48"/>
  <c r="S20" i="48"/>
  <c r="J20" i="48"/>
  <c r="K20" i="48"/>
  <c r="C19" i="48"/>
  <c r="G16" i="48"/>
  <c r="G22" i="48" s="1"/>
  <c r="D19" i="48"/>
  <c r="L19" i="48"/>
  <c r="P19" i="48"/>
  <c r="T19" i="48"/>
  <c r="X19" i="48"/>
  <c r="C21" i="48"/>
  <c r="F22" i="48"/>
  <c r="D21" i="48"/>
  <c r="E19" i="48"/>
  <c r="I19" i="48"/>
  <c r="M19" i="48"/>
  <c r="Q19" i="48"/>
  <c r="U19" i="48"/>
  <c r="H4" i="48"/>
  <c r="F19" i="48"/>
  <c r="Z21" i="47"/>
  <c r="X21" i="47"/>
  <c r="G21" i="48" l="1"/>
  <c r="H16" i="48"/>
  <c r="G19" i="48"/>
  <c r="Y16" i="15"/>
  <c r="X16" i="15"/>
  <c r="D33" i="47" l="1"/>
  <c r="D35" i="47" s="1"/>
  <c r="W21" i="47"/>
  <c r="V21" i="47"/>
  <c r="U21" i="47"/>
  <c r="S21" i="47"/>
  <c r="R21" i="47"/>
  <c r="Q21" i="47"/>
  <c r="P21" i="47"/>
  <c r="O21" i="47"/>
  <c r="N21" i="47"/>
  <c r="M21" i="47"/>
  <c r="L21" i="47"/>
  <c r="K21" i="47"/>
  <c r="J21" i="47"/>
  <c r="I21" i="47"/>
  <c r="G20" i="47"/>
  <c r="G17" i="47"/>
  <c r="X16" i="47"/>
  <c r="W16" i="47"/>
  <c r="W19" i="47" s="1"/>
  <c r="V16" i="47"/>
  <c r="V19" i="47" s="1"/>
  <c r="U16" i="47"/>
  <c r="U19" i="47" s="1"/>
  <c r="T16" i="47"/>
  <c r="S16" i="47"/>
  <c r="S19" i="47" s="1"/>
  <c r="R16" i="47"/>
  <c r="R19" i="47" s="1"/>
  <c r="Q16" i="47"/>
  <c r="Q19" i="47" s="1"/>
  <c r="P16" i="47"/>
  <c r="P19" i="47" s="1"/>
  <c r="O16" i="47"/>
  <c r="O19" i="47" s="1"/>
  <c r="N16" i="47"/>
  <c r="N19" i="47" s="1"/>
  <c r="M16" i="47"/>
  <c r="M19" i="47" s="1"/>
  <c r="L16" i="47"/>
  <c r="L19" i="47" s="1"/>
  <c r="K16" i="47"/>
  <c r="K19" i="47" s="1"/>
  <c r="J16" i="47"/>
  <c r="J19" i="47" s="1"/>
  <c r="I16" i="47"/>
  <c r="I19" i="47" s="1"/>
  <c r="F16" i="47"/>
  <c r="F21" i="47" s="1"/>
  <c r="E16" i="47"/>
  <c r="E19" i="47" s="1"/>
  <c r="D16" i="47"/>
  <c r="D21" i="47" s="1"/>
  <c r="C16" i="47"/>
  <c r="C19" i="47" s="1"/>
  <c r="B16" i="47"/>
  <c r="G15" i="47"/>
  <c r="H15" i="47" s="1"/>
  <c r="G14" i="47"/>
  <c r="H14" i="47" s="1"/>
  <c r="G13" i="47"/>
  <c r="H13" i="47" s="1"/>
  <c r="G12" i="47"/>
  <c r="H12" i="47" s="1"/>
  <c r="G11" i="47"/>
  <c r="H11" i="47" s="1"/>
  <c r="G10" i="47"/>
  <c r="H10" i="47" s="1"/>
  <c r="G9" i="47"/>
  <c r="H9" i="47" s="1"/>
  <c r="G8" i="47"/>
  <c r="H8" i="47" s="1"/>
  <c r="G7" i="47"/>
  <c r="H7" i="47" s="1"/>
  <c r="G6" i="47"/>
  <c r="H6" i="47" s="1"/>
  <c r="G5" i="47"/>
  <c r="H5" i="47" s="1"/>
  <c r="G4" i="47"/>
  <c r="L5" i="46"/>
  <c r="M5" i="46" s="1"/>
  <c r="L6" i="46"/>
  <c r="M6" i="46" s="1"/>
  <c r="L7" i="46"/>
  <c r="M7" i="46" s="1"/>
  <c r="L8" i="46"/>
  <c r="M8" i="46" s="1"/>
  <c r="L4" i="46"/>
  <c r="M4" i="46" s="1"/>
  <c r="K16" i="46"/>
  <c r="J16" i="46"/>
  <c r="I16" i="46"/>
  <c r="F16" i="46"/>
  <c r="E16" i="46"/>
  <c r="D16" i="46"/>
  <c r="C16" i="46"/>
  <c r="B16" i="46"/>
  <c r="L15" i="46"/>
  <c r="M15" i="46" s="1"/>
  <c r="H15" i="46"/>
  <c r="L14" i="46"/>
  <c r="M14" i="46" s="1"/>
  <c r="H14" i="46"/>
  <c r="L13" i="46"/>
  <c r="M13" i="46" s="1"/>
  <c r="G13" i="46"/>
  <c r="H13" i="46" s="1"/>
  <c r="L12" i="46"/>
  <c r="M12" i="46" s="1"/>
  <c r="G12" i="46"/>
  <c r="H12" i="46" s="1"/>
  <c r="L11" i="46"/>
  <c r="M11" i="46" s="1"/>
  <c r="G11" i="46"/>
  <c r="H11" i="46" s="1"/>
  <c r="L10" i="46"/>
  <c r="M10" i="46" s="1"/>
  <c r="G10" i="46"/>
  <c r="H10" i="46" s="1"/>
  <c r="L9" i="46"/>
  <c r="M9" i="46" s="1"/>
  <c r="G9" i="46"/>
  <c r="H9" i="46" s="1"/>
  <c r="G8" i="46"/>
  <c r="G7" i="46"/>
  <c r="G6" i="46"/>
  <c r="G5" i="46"/>
  <c r="G4" i="46"/>
  <c r="G16" i="46" s="1"/>
  <c r="H16" i="46" s="1"/>
  <c r="L12" i="43"/>
  <c r="T19" i="47" l="1"/>
  <c r="T20" i="47"/>
  <c r="W20" i="47"/>
  <c r="U20" i="47"/>
  <c r="L20" i="47"/>
  <c r="J20" i="47"/>
  <c r="M20" i="47"/>
  <c r="Z19" i="47"/>
  <c r="Z20" i="47"/>
  <c r="X19" i="47"/>
  <c r="X20" i="47"/>
  <c r="V20" i="47"/>
  <c r="S20" i="47"/>
  <c r="R20" i="47"/>
  <c r="P20" i="47"/>
  <c r="O20" i="47"/>
  <c r="N20" i="47"/>
  <c r="K20" i="47"/>
  <c r="Q20" i="47"/>
  <c r="I20" i="47"/>
  <c r="D22" i="47"/>
  <c r="F19" i="47"/>
  <c r="F22" i="47"/>
  <c r="E21" i="47"/>
  <c r="D19" i="47"/>
  <c r="C22" i="47"/>
  <c r="C21" i="47"/>
  <c r="G16" i="47"/>
  <c r="H4" i="47"/>
  <c r="L16" i="46"/>
  <c r="M16" i="46"/>
  <c r="G21" i="47" l="1"/>
  <c r="G22" i="47"/>
  <c r="G19" i="47"/>
  <c r="H16" i="47"/>
  <c r="M16" i="15"/>
  <c r="U16" i="15" l="1"/>
  <c r="F16" i="15"/>
  <c r="P16" i="15" l="1"/>
  <c r="P18" i="15" s="1"/>
  <c r="G19" i="15" l="1"/>
  <c r="G17" i="45" l="1"/>
  <c r="V16" i="45"/>
  <c r="V18" i="45" s="1"/>
  <c r="U16" i="45"/>
  <c r="U18" i="45" s="1"/>
  <c r="T16" i="45"/>
  <c r="T18" i="45" s="1"/>
  <c r="S16" i="45"/>
  <c r="R16" i="45"/>
  <c r="R18" i="45" s="1"/>
  <c r="Q16" i="45"/>
  <c r="Q18" i="45" s="1"/>
  <c r="P16" i="45"/>
  <c r="P18" i="45" s="1"/>
  <c r="O16" i="45"/>
  <c r="O18" i="45" s="1"/>
  <c r="N16" i="45"/>
  <c r="N18" i="45" s="1"/>
  <c r="M16" i="45"/>
  <c r="M18" i="45" s="1"/>
  <c r="L16" i="45"/>
  <c r="L18" i="45" s="1"/>
  <c r="K16" i="45"/>
  <c r="K18" i="45" s="1"/>
  <c r="J16" i="45"/>
  <c r="J18" i="45" s="1"/>
  <c r="I16" i="45"/>
  <c r="I18" i="45" s="1"/>
  <c r="F16" i="45"/>
  <c r="F18" i="45" s="1"/>
  <c r="E16" i="45"/>
  <c r="E18" i="45" s="1"/>
  <c r="D16" i="45"/>
  <c r="D18" i="45" s="1"/>
  <c r="C16" i="45"/>
  <c r="C18" i="45" s="1"/>
  <c r="B16" i="45"/>
  <c r="G15" i="45"/>
  <c r="H15" i="45" s="1"/>
  <c r="G14" i="45"/>
  <c r="H14" i="45" s="1"/>
  <c r="G13" i="45"/>
  <c r="H13" i="45" s="1"/>
  <c r="G12" i="45"/>
  <c r="H12" i="45" s="1"/>
  <c r="G11" i="45"/>
  <c r="H11" i="45" s="1"/>
  <c r="G10" i="45"/>
  <c r="H10" i="45" s="1"/>
  <c r="G9" i="45"/>
  <c r="H9" i="45" s="1"/>
  <c r="G8" i="45"/>
  <c r="G7" i="45"/>
  <c r="G6" i="45"/>
  <c r="G5" i="45"/>
  <c r="G4" i="45"/>
  <c r="G16" i="45" l="1"/>
  <c r="G18" i="45"/>
  <c r="H16" i="45"/>
  <c r="V16" i="15"/>
  <c r="U16" i="44" l="1"/>
  <c r="T16" i="44"/>
  <c r="S16" i="44"/>
  <c r="R16" i="44"/>
  <c r="Q16" i="44"/>
  <c r="P16" i="44"/>
  <c r="O16" i="44"/>
  <c r="N16" i="44"/>
  <c r="M16" i="44"/>
  <c r="L16" i="44"/>
  <c r="K16" i="44"/>
  <c r="J16" i="44"/>
  <c r="I16" i="44"/>
  <c r="F16" i="44"/>
  <c r="E16" i="44"/>
  <c r="D16" i="44"/>
  <c r="C16" i="44"/>
  <c r="B16" i="44"/>
  <c r="G15" i="44"/>
  <c r="G14" i="44"/>
  <c r="G13" i="44"/>
  <c r="G12" i="44"/>
  <c r="G11" i="44"/>
  <c r="G10" i="44"/>
  <c r="G9" i="44"/>
  <c r="G8" i="44"/>
  <c r="G7" i="44"/>
  <c r="G6" i="44"/>
  <c r="G5" i="44"/>
  <c r="G4" i="44"/>
  <c r="G16" i="44" l="1"/>
  <c r="H16" i="44" s="1"/>
  <c r="G17" i="15"/>
  <c r="W16" i="15" l="1"/>
  <c r="W18" i="15" s="1"/>
  <c r="O16" i="15" l="1"/>
  <c r="O18" i="15" s="1"/>
  <c r="N16" i="15"/>
  <c r="N18" i="15" s="1"/>
  <c r="L14" i="43" l="1"/>
  <c r="M14" i="43" s="1"/>
  <c r="L15" i="43"/>
  <c r="M15" i="43" s="1"/>
  <c r="L16" i="15" l="1"/>
  <c r="L18" i="15" s="1"/>
  <c r="K16" i="15" l="1"/>
  <c r="K18" i="15" s="1"/>
  <c r="G15" i="15" l="1"/>
  <c r="H15" i="15" s="1"/>
  <c r="G14" i="15"/>
  <c r="H14" i="15" s="1"/>
  <c r="L10" i="43" l="1"/>
  <c r="M10" i="43" s="1"/>
  <c r="L11" i="43"/>
  <c r="M11" i="43" s="1"/>
  <c r="M12" i="43"/>
  <c r="L13" i="43"/>
  <c r="M13" i="43" s="1"/>
  <c r="L9" i="43"/>
  <c r="M9" i="43" s="1"/>
  <c r="M16" i="43" l="1"/>
  <c r="L16" i="43"/>
  <c r="K16" i="43"/>
  <c r="J16" i="43"/>
  <c r="I16" i="43"/>
  <c r="F16" i="43"/>
  <c r="E16" i="43"/>
  <c r="D16" i="43"/>
  <c r="C16" i="43"/>
  <c r="B16" i="43"/>
  <c r="H15" i="43"/>
  <c r="H14" i="43"/>
  <c r="G13" i="43"/>
  <c r="H13" i="43" s="1"/>
  <c r="G12" i="43"/>
  <c r="H12" i="43" s="1"/>
  <c r="G11" i="43"/>
  <c r="H11" i="43" s="1"/>
  <c r="G10" i="43"/>
  <c r="H10" i="43" s="1"/>
  <c r="G9" i="43"/>
  <c r="H9" i="43" s="1"/>
  <c r="G8" i="43"/>
  <c r="G7" i="43"/>
  <c r="G6" i="43"/>
  <c r="G5" i="43"/>
  <c r="G4" i="43"/>
  <c r="G16" i="43" l="1"/>
  <c r="H16" i="43" s="1"/>
  <c r="G5" i="15" l="1"/>
  <c r="H5" i="15" s="1"/>
  <c r="G6" i="15"/>
  <c r="H6" i="15" s="1"/>
  <c r="G7" i="15"/>
  <c r="H7" i="15" s="1"/>
  <c r="G8" i="15"/>
  <c r="H8" i="15" s="1"/>
  <c r="G9" i="15"/>
  <c r="H9" i="15" s="1"/>
  <c r="G10" i="15"/>
  <c r="H10" i="15" s="1"/>
  <c r="G11" i="15"/>
  <c r="H11" i="15" s="1"/>
  <c r="G12" i="15"/>
  <c r="H12" i="15" s="1"/>
  <c r="G13" i="15"/>
  <c r="H13" i="15" s="1"/>
  <c r="G4" i="15"/>
  <c r="H4" i="15" s="1"/>
  <c r="T16" i="15" l="1"/>
  <c r="T18" i="15" s="1"/>
  <c r="R16" i="15" l="1"/>
  <c r="R18" i="15" s="1"/>
  <c r="Q16" i="15"/>
  <c r="Q18" i="15" s="1"/>
  <c r="J16" i="15" l="1"/>
  <c r="J18" i="15" s="1"/>
  <c r="AA16" i="15" l="1"/>
  <c r="AA18" i="15" s="1"/>
  <c r="Z16" i="15"/>
  <c r="Z18" i="15" s="1"/>
  <c r="I16" i="15"/>
  <c r="I18" i="15" s="1"/>
  <c r="G16" i="15"/>
  <c r="H16" i="15" s="1"/>
  <c r="F21" i="15"/>
  <c r="E16" i="15"/>
  <c r="E18" i="15" s="1"/>
  <c r="D16" i="15"/>
  <c r="D21" i="15" s="1"/>
  <c r="C16" i="15"/>
  <c r="C21" i="15" s="1"/>
  <c r="B16" i="15"/>
  <c r="G18" i="15" l="1"/>
  <c r="G21" i="15"/>
  <c r="E20" i="15"/>
  <c r="D18" i="15"/>
  <c r="D20" i="15"/>
  <c r="C18" i="15"/>
  <c r="C20" i="15"/>
  <c r="F18" i="15"/>
  <c r="F20" i="15"/>
  <c r="S16" i="15"/>
  <c r="S18" i="15" s="1"/>
  <c r="G20" i="15" l="1"/>
</calcChain>
</file>

<file path=xl/sharedStrings.xml><?xml version="1.0" encoding="utf-8"?>
<sst xmlns="http://schemas.openxmlformats.org/spreadsheetml/2006/main" count="5205" uniqueCount="1727">
  <si>
    <t>FOODSMART</t>
  </si>
  <si>
    <t>6442</t>
  </si>
  <si>
    <t>JOLYMART</t>
  </si>
  <si>
    <t>6208</t>
  </si>
  <si>
    <t>ACE SU VAN HANH</t>
  </si>
  <si>
    <t>ACE</t>
  </si>
  <si>
    <t>ACE_SVH</t>
  </si>
  <si>
    <t>ACE SONG HANH</t>
  </si>
  <si>
    <t>ACE_SH</t>
  </si>
  <si>
    <t>AEON BINH DUONG</t>
  </si>
  <si>
    <t>AEON</t>
  </si>
  <si>
    <t>AEON_BDUONG_RDC</t>
  </si>
  <si>
    <t>AEON BINH TAN</t>
  </si>
  <si>
    <t>AEON_BTAN_RDC</t>
  </si>
  <si>
    <t>AEON HA DONG</t>
  </si>
  <si>
    <t>AEON_HDONG_RDC</t>
  </si>
  <si>
    <t>AEON HAI PHONG</t>
  </si>
  <si>
    <t>AEON_HPHONG_RDC</t>
  </si>
  <si>
    <t>AEON NEWTON</t>
  </si>
  <si>
    <t>AEON_GBNEWTON_RDC</t>
  </si>
  <si>
    <t>AEON LONG BIEN</t>
  </si>
  <si>
    <t>AEON_LBIEN_RDC</t>
  </si>
  <si>
    <t>AEON TAN PHU</t>
  </si>
  <si>
    <t>AEON_TPHU_RDC</t>
  </si>
  <si>
    <t>AEON CITI B&amp;B CONIC</t>
  </si>
  <si>
    <t>AEON CITI</t>
  </si>
  <si>
    <t>CITI_CONIC</t>
  </si>
  <si>
    <t>AEON CITI BCA QUAN 2</t>
  </si>
  <si>
    <t>CITI_BCAN</t>
  </si>
  <si>
    <t>AEON CITI BINH DUONG</t>
  </si>
  <si>
    <t>CITI_BDUONG</t>
  </si>
  <si>
    <t>AEON CITI BINH TAN</t>
  </si>
  <si>
    <t>CITI_BTAN</t>
  </si>
  <si>
    <t>AEON CITI CAO THANG</t>
  </si>
  <si>
    <t>CITI_CTHANG</t>
  </si>
  <si>
    <t>AEON CITI GARDEN PLAZA</t>
  </si>
  <si>
    <t>CITI_PLA</t>
  </si>
  <si>
    <t>AEON CITI GREEN VIEW</t>
  </si>
  <si>
    <t>CITI_NLB</t>
  </si>
  <si>
    <t>AEON CITI HIM LAM QUAN 6</t>
  </si>
  <si>
    <t>CITI_HLAM6</t>
  </si>
  <si>
    <t>AEON CITI HIM LAM QUAN 7</t>
  </si>
  <si>
    <t>CITI_HLAM7</t>
  </si>
  <si>
    <t>AEON CITI HUNG VUONG</t>
  </si>
  <si>
    <t>CITI_HVUONG</t>
  </si>
  <si>
    <t>AEON CITI KHO PHAN PHOI SI MIEN NAM</t>
  </si>
  <si>
    <t>CITI_KHO</t>
  </si>
  <si>
    <t>AEON CITI NAM LONG</t>
  </si>
  <si>
    <t>CITI_NLONG</t>
  </si>
  <si>
    <t>AEON CITI NEW SAI GON</t>
  </si>
  <si>
    <t>CITI_NEWSG</t>
  </si>
  <si>
    <t>AEON CITI NHA TRANG</t>
  </si>
  <si>
    <t>CITI_NTRANG</t>
  </si>
  <si>
    <t>AEON CITI NHA TRANG 2</t>
  </si>
  <si>
    <t>CITI_NTRANG2</t>
  </si>
  <si>
    <t>AEON CITI PARKSON QUAN 5</t>
  </si>
  <si>
    <t>CITI_PAR5</t>
  </si>
  <si>
    <t>AEON CITI PHUC YEN</t>
  </si>
  <si>
    <t>CITI_PYEN</t>
  </si>
  <si>
    <t>AEON CITI RES 11</t>
  </si>
  <si>
    <t>CITI_RES11</t>
  </si>
  <si>
    <t>AEON CITI SOMMERSET</t>
  </si>
  <si>
    <t>CITI_NTMK</t>
  </si>
  <si>
    <t>AEON CITI SUNRISE CITY</t>
  </si>
  <si>
    <t>CITI_SUNRISE</t>
  </si>
  <si>
    <t>AEON CITI TROPIC QUAN 2</t>
  </si>
  <si>
    <t>CITI_TROPIC</t>
  </si>
  <si>
    <t>AEON CITI HA NOI TOWER</t>
  </si>
  <si>
    <t>CITI_TOW</t>
  </si>
  <si>
    <t>AEON CITI INDOCHINA</t>
  </si>
  <si>
    <t>CITI_IND</t>
  </si>
  <si>
    <t>AEON CITI ECOPARK</t>
  </si>
  <si>
    <t>CITI_ECP</t>
  </si>
  <si>
    <t>AN NAM HAI BA TRUNG</t>
  </si>
  <si>
    <t>AN NAM</t>
  </si>
  <si>
    <t>SD_HBT</t>
  </si>
  <si>
    <t>AN NAM LE LOI</t>
  </si>
  <si>
    <t>SD_LLOI</t>
  </si>
  <si>
    <t>AN NAM NGUYEN DUC CANH</t>
  </si>
  <si>
    <t>SD_NDC</t>
  </si>
  <si>
    <t>AN NAM SONG HANH</t>
  </si>
  <si>
    <t>SD_SH</t>
  </si>
  <si>
    <t>AN NAM THAO DIEN</t>
  </si>
  <si>
    <t>SD_TDIEN</t>
  </si>
  <si>
    <t>AN NAM NGUYEN HUU CANH</t>
  </si>
  <si>
    <t>SD_NHC</t>
  </si>
  <si>
    <t>BACH HOA XANH HOA THANH</t>
  </si>
  <si>
    <t>BHX</t>
  </si>
  <si>
    <t>BHX_6960_HTHANH</t>
  </si>
  <si>
    <t>BACH HOA XANH THUAN AN</t>
  </si>
  <si>
    <t>BHX_5851_THAN</t>
  </si>
  <si>
    <t>BACH HOA XANH DUC TRONG</t>
  </si>
  <si>
    <t>BHX_8030_DTRONG</t>
  </si>
  <si>
    <t>BACH HOA XANH PHU MY</t>
  </si>
  <si>
    <t>BHX_7161_PMY</t>
  </si>
  <si>
    <t>BACH HOA XANH THOT NOT</t>
  </si>
  <si>
    <t>BHX_5058_TNOT</t>
  </si>
  <si>
    <t>BACH HOA XANH BEN TRE</t>
  </si>
  <si>
    <t>BHX_7000_BTRE</t>
  </si>
  <si>
    <t>BACH HOA XANH KHO LONG BINH</t>
  </si>
  <si>
    <t>BHX_4089_LBINH</t>
  </si>
  <si>
    <t>BACH HOA XANH KHO VINH LOC</t>
  </si>
  <si>
    <t>BHX_1522_VLOC</t>
  </si>
  <si>
    <t>BACH HOA XANH KHO TRAN DAI NGHIA</t>
  </si>
  <si>
    <t>BHX_3240_TDN</t>
  </si>
  <si>
    <t>BACH HOA XANH KHO NHA BE</t>
  </si>
  <si>
    <t>BHX_6655_NHBE</t>
  </si>
  <si>
    <t>BACH HOA XANH CHAU THANH A</t>
  </si>
  <si>
    <t>BHX_5060_CTHANHA</t>
  </si>
  <si>
    <t>BACH HOA XANH AN KHANG</t>
  </si>
  <si>
    <t>BHX_ANKHANG</t>
  </si>
  <si>
    <t>BACH HOA XANH DONG PHU</t>
  </si>
  <si>
    <t>BHX_7866_DPHU</t>
  </si>
  <si>
    <t>BACH HOA XANH MAI DAM</t>
  </si>
  <si>
    <t>BHX_5664_MDAM</t>
  </si>
  <si>
    <t>BACH HOA XANH BAC LIEU</t>
  </si>
  <si>
    <t>BHX_7085_BLI</t>
  </si>
  <si>
    <t>BACH HOA XANH MY THO</t>
  </si>
  <si>
    <t>BHX_4014_MTHO</t>
  </si>
  <si>
    <t>BACH HOA XANH HAM THUAN</t>
  </si>
  <si>
    <t>BHX_7211_HTA</t>
  </si>
  <si>
    <t>BACH HOA XANH BUON ME THUOT</t>
  </si>
  <si>
    <t>BHX_6450_BMT</t>
  </si>
  <si>
    <t>BACH HOA XANH DIEN KHANH</t>
  </si>
  <si>
    <t>BHX_7200_DKHANH</t>
  </si>
  <si>
    <t>BACH HOA XANH THU DUC</t>
  </si>
  <si>
    <t>BHX_9814_TDUC</t>
  </si>
  <si>
    <t>BACH HOA XANH GO VAP</t>
  </si>
  <si>
    <t>BHX_8681_GVAP</t>
  </si>
  <si>
    <t xml:space="preserve"> NHANH NHANH MART</t>
  </si>
  <si>
    <t>NHANH NHANH</t>
  </si>
  <si>
    <t>6445</t>
  </si>
  <si>
    <t>BACH HOA XANH CAN DUOC</t>
  </si>
  <si>
    <t>BHX_7234_CDUOC</t>
  </si>
  <si>
    <t>KOHNAN LONG BIEN</t>
  </si>
  <si>
    <t>KOHNAN</t>
  </si>
  <si>
    <t>KOHNAN_LBIEN</t>
  </si>
  <si>
    <t>BIG C AN LAC</t>
  </si>
  <si>
    <t>BIG C</t>
  </si>
  <si>
    <t>BIGC_ANLAC</t>
  </si>
  <si>
    <t>BIG C AN PHU</t>
  </si>
  <si>
    <t>BIGC_ANPHU</t>
  </si>
  <si>
    <t>BIG C AU CO</t>
  </si>
  <si>
    <t>BIGC_AUCO</t>
  </si>
  <si>
    <t>BIG C BAC GIANG</t>
  </si>
  <si>
    <t>BIGC_BGIANG</t>
  </si>
  <si>
    <t>BIG C BEN TRE</t>
  </si>
  <si>
    <t>BIGC_GO_BTRE</t>
  </si>
  <si>
    <t>BIG C BINH DUONG</t>
  </si>
  <si>
    <t>BIGC_BDUONG</t>
  </si>
  <si>
    <t>BIG C CAN THO</t>
  </si>
  <si>
    <t>BIGC_CTHO</t>
  </si>
  <si>
    <t>BIG C DA LAT</t>
  </si>
  <si>
    <t>BIGC_DLAT</t>
  </si>
  <si>
    <t>BIG C DA NANG</t>
  </si>
  <si>
    <t>BIGC_DNANG</t>
  </si>
  <si>
    <t>BIG C DI AN</t>
  </si>
  <si>
    <t>BIGC_DIAN</t>
  </si>
  <si>
    <t>BIG C DONG NAI</t>
  </si>
  <si>
    <t>BIGC_DNAI</t>
  </si>
  <si>
    <t>BIG C GARDEN MALL</t>
  </si>
  <si>
    <t>BIGC_GARDEN</t>
  </si>
  <si>
    <t>BIG C GO VAP</t>
  </si>
  <si>
    <t>BIGC_GVAP</t>
  </si>
  <si>
    <t>BIG C GO BUON MA THUOT</t>
  </si>
  <si>
    <t>BIGC_GO_BMT</t>
  </si>
  <si>
    <t>BIG C HA LONG</t>
  </si>
  <si>
    <t>BIGC_HLONG</t>
  </si>
  <si>
    <t>BIG C HAI DUONG</t>
  </si>
  <si>
    <t>BIGC_HDUONG</t>
  </si>
  <si>
    <t>BIG C HAI PHONG</t>
  </si>
  <si>
    <t>BIGC_HPHONG</t>
  </si>
  <si>
    <t>BIG C HO GUOM</t>
  </si>
  <si>
    <t>BIGC_HGUOM</t>
  </si>
  <si>
    <t>BIG C HUE</t>
  </si>
  <si>
    <t>BIGC_HUE</t>
  </si>
  <si>
    <t>BIG C KHO 802</t>
  </si>
  <si>
    <t>BIGC_KHO802</t>
  </si>
  <si>
    <t>BIG C LE TRONG TAN</t>
  </si>
  <si>
    <t>BIGC_LTT</t>
  </si>
  <si>
    <t>BIG C LONG BIEN</t>
  </si>
  <si>
    <t>BIGC_LBIEN</t>
  </si>
  <si>
    <t>BIG C ME LINH</t>
  </si>
  <si>
    <t>BIGC_MLINH</t>
  </si>
  <si>
    <t>BIG C MIEN DONG</t>
  </si>
  <si>
    <t>BIGC_MDONG</t>
  </si>
  <si>
    <t>BIG C MY THO</t>
  </si>
  <si>
    <t>BIGC_MTHO</t>
  </si>
  <si>
    <t>BIG C NAM DINH</t>
  </si>
  <si>
    <t>BIGC_NDINH</t>
  </si>
  <si>
    <t>BIG C NGUYEN XIEN</t>
  </si>
  <si>
    <t>BIGC_NXIEN</t>
  </si>
  <si>
    <t>BIG C NHA TRANG</t>
  </si>
  <si>
    <t>BIGC_NTRANG</t>
  </si>
  <si>
    <t>BIG C NINH BINH</t>
  </si>
  <si>
    <t>BIGC_NBINH</t>
  </si>
  <si>
    <t>BIG C PHU THANH</t>
  </si>
  <si>
    <t>BIGC_PTHANH</t>
  </si>
  <si>
    <t>BIG C QUAN 7</t>
  </si>
  <si>
    <t>BIGC_LAND</t>
  </si>
  <si>
    <t>BIG C QUANG NGAI</t>
  </si>
  <si>
    <t>BIGC_QNGAI</t>
  </si>
  <si>
    <t>BIG C QUY NHON</t>
  </si>
  <si>
    <t>BIGC_QNHON</t>
  </si>
  <si>
    <t>BIG C TAN HIEP</t>
  </si>
  <si>
    <t>BIGC_THIEP</t>
  </si>
  <si>
    <t>BIG C THANG LONG</t>
  </si>
  <si>
    <t>BIGC_TLONG</t>
  </si>
  <si>
    <t>BIG C THANH HOA</t>
  </si>
  <si>
    <t>BIGC_THOA</t>
  </si>
  <si>
    <t>BIG C THAO DIEN</t>
  </si>
  <si>
    <t>BIGC_TDIEN</t>
  </si>
  <si>
    <t>BIG C TRA VINH</t>
  </si>
  <si>
    <t>BIGC_TVINH</t>
  </si>
  <si>
    <t>BIG C TRUONG CHINH</t>
  </si>
  <si>
    <t>BIGC_TCHINH</t>
  </si>
  <si>
    <t>BIG C VIET TRI</t>
  </si>
  <si>
    <t>BIGC_VTRI</t>
  </si>
  <si>
    <t>BIG C VINH</t>
  </si>
  <si>
    <t>BIGC_VINH</t>
  </si>
  <si>
    <t>BIG C VINH PHUC</t>
  </si>
  <si>
    <t>BIGC_VPHUC</t>
  </si>
  <si>
    <t>BIG C THAI NGUYEN</t>
  </si>
  <si>
    <t>BIGC_GO_TNGUYEN</t>
  </si>
  <si>
    <t>BIG C GO THAI BINH</t>
  </si>
  <si>
    <t>BIGC_GO_TBINH</t>
  </si>
  <si>
    <t>BIG C GO BA RIA</t>
  </si>
  <si>
    <t>BIGC_GO_BRIA</t>
  </si>
  <si>
    <t>BIG C GO TAM KỲ</t>
  </si>
  <si>
    <t>BIGC_GO_TKY</t>
  </si>
  <si>
    <t>GROVE FRESH LE HONG PHONG</t>
  </si>
  <si>
    <t xml:space="preserve">GROVE FRESH </t>
  </si>
  <si>
    <t>GROVE_3109_LHP</t>
  </si>
  <si>
    <t>GROVE FRESH QUOC LO 1A</t>
  </si>
  <si>
    <t>GROVE_3110_QL1A</t>
  </si>
  <si>
    <t>CTY CP HASHTAG ECOS</t>
  </si>
  <si>
    <t>HASHTAG ECOS</t>
  </si>
  <si>
    <t>6441</t>
  </si>
  <si>
    <t>B'S MART</t>
  </si>
  <si>
    <t>4317</t>
  </si>
  <si>
    <t>CAO PHONG CACH MANG THANG 8</t>
  </si>
  <si>
    <t>CAO PHONG</t>
  </si>
  <si>
    <t>CP_CMT8</t>
  </si>
  <si>
    <t>CAO PHONG HOANG DIEU</t>
  </si>
  <si>
    <t>CP_HD</t>
  </si>
  <si>
    <t>CAO PHONG HUNG VUONG</t>
  </si>
  <si>
    <t>CP_HV</t>
  </si>
  <si>
    <t>CAO PHONG LUONG DINH CUA</t>
  </si>
  <si>
    <t>CP_LDC</t>
  </si>
  <si>
    <t>CAO PHONG TON DAT TIEN</t>
  </si>
  <si>
    <t>CP_TDT</t>
  </si>
  <si>
    <t>COOP EXTRA LINH TRUNG</t>
  </si>
  <si>
    <t>COOP EXTRA</t>
  </si>
  <si>
    <t>COOP_LTRUNG</t>
  </si>
  <si>
    <t>COOP EXTRA PHAM VAN DONG</t>
  </si>
  <si>
    <t>COOP_PVD</t>
  </si>
  <si>
    <t>COOP EXTRA SU VAN HANH</t>
  </si>
  <si>
    <t>COOP_SVH</t>
  </si>
  <si>
    <t>COOP EXTRA TAN PHONG</t>
  </si>
  <si>
    <t>COOP_TPHONG</t>
  </si>
  <si>
    <t>COOP CHEERS</t>
  </si>
  <si>
    <t>COOP_CHEER</t>
  </si>
  <si>
    <t>COOP CAN GIUOC</t>
  </si>
  <si>
    <t>COOP MART</t>
  </si>
  <si>
    <t>COOP_CGUOC</t>
  </si>
  <si>
    <t>COOP AN NHON</t>
  </si>
  <si>
    <t>COOP_ANHON</t>
  </si>
  <si>
    <t>COOP AU CO</t>
  </si>
  <si>
    <t>COOP_AUC_AC856</t>
  </si>
  <si>
    <t>COOP BA RIA</t>
  </si>
  <si>
    <t>COOP_BRIA</t>
  </si>
  <si>
    <t>COOP BAC GIANG</t>
  </si>
  <si>
    <t>COOP_BGIANG</t>
  </si>
  <si>
    <t>COOP BAC LIEU 2</t>
  </si>
  <si>
    <t>COOP_BLIEU2</t>
  </si>
  <si>
    <t>COOP BAO LOC</t>
  </si>
  <si>
    <t>COOP_BLOC</t>
  </si>
  <si>
    <t>COOP BEN LUC</t>
  </si>
  <si>
    <t>COOP_BLUC</t>
  </si>
  <si>
    <t>COOP BEN TRE</t>
  </si>
  <si>
    <t>COOP_BTRE</t>
  </si>
  <si>
    <t>COOP BIEN HOA</t>
  </si>
  <si>
    <t>COOP_BHOA</t>
  </si>
  <si>
    <t>COOP BINH DUONG</t>
  </si>
  <si>
    <t>COOP_BDUONG</t>
  </si>
  <si>
    <t>COOP BINH DUONG 2</t>
  </si>
  <si>
    <t>COOP_BDUONG2</t>
  </si>
  <si>
    <t>COOP BINH TAN</t>
  </si>
  <si>
    <t>COOP_BTAN</t>
  </si>
  <si>
    <t>COOP BINH TAN 2</t>
  </si>
  <si>
    <t>COOP_BTAN2</t>
  </si>
  <si>
    <t>COOP BINH THUY CAN THO</t>
  </si>
  <si>
    <t>COOP_BTHUY</t>
  </si>
  <si>
    <t>COOP BINH TRIEU</t>
  </si>
  <si>
    <t>COOP_BTRIEU</t>
  </si>
  <si>
    <t>COOP BUON HO</t>
  </si>
  <si>
    <t>COOP_BHO</t>
  </si>
  <si>
    <t>COOP BUON MA THUOT</t>
  </si>
  <si>
    <t>COOP_BMT</t>
  </si>
  <si>
    <t>COOP CA MAU</t>
  </si>
  <si>
    <t>COOP_CMAU</t>
  </si>
  <si>
    <t>COOP CAI LAY</t>
  </si>
  <si>
    <t>COOP_CLAY</t>
  </si>
  <si>
    <t>COOP CAM RANH</t>
  </si>
  <si>
    <t>COOP_CRANH</t>
  </si>
  <si>
    <t>COOP CAN GIO</t>
  </si>
  <si>
    <t>COOP_CGIO</t>
  </si>
  <si>
    <t>COOP CAN GIUOC LONG AN</t>
  </si>
  <si>
    <t>COOP_CGIUOC</t>
  </si>
  <si>
    <t>COOP CAN THO</t>
  </si>
  <si>
    <t>COOP_CTHO</t>
  </si>
  <si>
    <t>COOP CAO LANH</t>
  </si>
  <si>
    <t>COOP_CLANH</t>
  </si>
  <si>
    <t>COOP CAO THANG</t>
  </si>
  <si>
    <t>COOP_AUC_CTHANG</t>
  </si>
  <si>
    <t>COOP CHAU DOC</t>
  </si>
  <si>
    <t>COOP_CDOC</t>
  </si>
  <si>
    <t>COOP CHAU THANH</t>
  </si>
  <si>
    <t>COOP_CTHANH</t>
  </si>
  <si>
    <t>COOP CHU SE GIA LAI</t>
  </si>
  <si>
    <t>COOP_CSE</t>
  </si>
  <si>
    <t>COOP CHU VAN AN</t>
  </si>
  <si>
    <t>COOP_CVA</t>
  </si>
  <si>
    <t>COOP CONG QUYNH</t>
  </si>
  <si>
    <t>COOP_CQUYNH</t>
  </si>
  <si>
    <t>COOP CRESCENT MALL</t>
  </si>
  <si>
    <t>COOP_GIANT</t>
  </si>
  <si>
    <t>COOP CU CHI</t>
  </si>
  <si>
    <t>COOP_CCHI</t>
  </si>
  <si>
    <t>COOP CU MGAR</t>
  </si>
  <si>
    <t>COOP_MGAR</t>
  </si>
  <si>
    <t>COOP DA NANG</t>
  </si>
  <si>
    <t>COOP_DNANG</t>
  </si>
  <si>
    <t>COOP DAK NONG</t>
  </si>
  <si>
    <t>COOP_DNONG</t>
  </si>
  <si>
    <t>COOP DO VAN DAY</t>
  </si>
  <si>
    <t>COOP_DVD</t>
  </si>
  <si>
    <t>COOP DONG HA QUANG TRI</t>
  </si>
  <si>
    <t>COOP_DHA</t>
  </si>
  <si>
    <t>COOP DONG PHU BINH PHUOC</t>
  </si>
  <si>
    <t>COOP_DPHU</t>
  </si>
  <si>
    <t>COOP DONG VAN CONG</t>
  </si>
  <si>
    <t>COOP_DVC</t>
  </si>
  <si>
    <t>COOP DONG XOAI BINH PHUOC</t>
  </si>
  <si>
    <t>COOP_DXOAI</t>
  </si>
  <si>
    <t>COOP DUC PHO QUANG NGAI</t>
  </si>
  <si>
    <t>COOP_DPHO</t>
  </si>
  <si>
    <t>COOP DUONG MINH CHAU</t>
  </si>
  <si>
    <t>COOP_DMCHAU</t>
  </si>
  <si>
    <t>COOP DUYEN HAI TRA VINH</t>
  </si>
  <si>
    <t>COOP_DHAI</t>
  </si>
  <si>
    <t>COOP FINELIFE HA DO</t>
  </si>
  <si>
    <t>COOP_FL_HADO</t>
  </si>
  <si>
    <t>COOP FINELIFE URBAN HILL</t>
  </si>
  <si>
    <t>COOP_FL_URBANHILL</t>
  </si>
  <si>
    <t>COOP FINELIFE SAIGON MIA</t>
  </si>
  <si>
    <t>COOP_FL_MIA</t>
  </si>
  <si>
    <t>COOP FINELIFE RIVIERA POINT</t>
  </si>
  <si>
    <t>COOP_FL_RIVIERA</t>
  </si>
  <si>
    <t>COOP GO CONG</t>
  </si>
  <si>
    <t>COOP_GCONG</t>
  </si>
  <si>
    <t>COOP GO DAU TAY NINH</t>
  </si>
  <si>
    <t>COOP_GDAU</t>
  </si>
  <si>
    <t>COOP GOLDENSILK</t>
  </si>
  <si>
    <t>COOP_AUC_GOLDEN</t>
  </si>
  <si>
    <t>COOP GOLDSILK</t>
  </si>
  <si>
    <t>COOP_AUC_GOLDSILK</t>
  </si>
  <si>
    <t>COOP HA DO</t>
  </si>
  <si>
    <t>COOP_HDO</t>
  </si>
  <si>
    <t>COOP HA DONG</t>
  </si>
  <si>
    <t>COOP_HDONG</t>
  </si>
  <si>
    <t>COOP HA NOI</t>
  </si>
  <si>
    <t>COOP_HNOI</t>
  </si>
  <si>
    <t>COOP HA TIEN</t>
  </si>
  <si>
    <t>COOP_HTIEN</t>
  </si>
  <si>
    <t>COOP HA TINH</t>
  </si>
  <si>
    <t>COOP_HTINH</t>
  </si>
  <si>
    <t>COOP HAI PHONG</t>
  </si>
  <si>
    <t>COOP_HPHONG</t>
  </si>
  <si>
    <t>COOP HAU GIANG</t>
  </si>
  <si>
    <t>COOP_HGIANG</t>
  </si>
  <si>
    <t>COOP HIEP THANH QUAN 12</t>
  </si>
  <si>
    <t>COOP_HTHANH</t>
  </si>
  <si>
    <t>COOP HOA BINH</t>
  </si>
  <si>
    <t>COOP_HBINH</t>
  </si>
  <si>
    <t>COOP HOA HAO</t>
  </si>
  <si>
    <t>COOP_HHAO</t>
  </si>
  <si>
    <t>COOP HOANG VAN THU</t>
  </si>
  <si>
    <t>COOP_HVT_AUC</t>
  </si>
  <si>
    <t>COOP HOC MON</t>
  </si>
  <si>
    <t>COOP_HMON</t>
  </si>
  <si>
    <t>COOP HONG NGU DONG THAP</t>
  </si>
  <si>
    <t>COOP_HNGU</t>
  </si>
  <si>
    <t>COOP HUE</t>
  </si>
  <si>
    <t>COOP_HUE</t>
  </si>
  <si>
    <t>COOP HUNG VUONG</t>
  </si>
  <si>
    <t>COOP_ADONG</t>
  </si>
  <si>
    <t>COOP HUYNH TAN PHAT</t>
  </si>
  <si>
    <t>COOP_PMH</t>
  </si>
  <si>
    <t>COOP KIEN GIANG</t>
  </si>
  <si>
    <t>COOP_KGIANG</t>
  </si>
  <si>
    <t>COOP KONTUM</t>
  </si>
  <si>
    <t>COOP_KTUM</t>
  </si>
  <si>
    <t>COOP LAGI BINH THUAN</t>
  </si>
  <si>
    <t>COOP_LAGI</t>
  </si>
  <si>
    <t>COOP LONG BIEN</t>
  </si>
  <si>
    <t>COOP_AUC_LBIEN</t>
  </si>
  <si>
    <t>COOP LONG XUYEN AN GIANG</t>
  </si>
  <si>
    <t>COOP_LX</t>
  </si>
  <si>
    <t>COOP LY THUONG KIET</t>
  </si>
  <si>
    <t>COOP_TTAM</t>
  </si>
  <si>
    <t>COOP MY THO TIEN GIANG</t>
  </si>
  <si>
    <t>COOP_MTHO</t>
  </si>
  <si>
    <t>COOP NAM DINH</t>
  </si>
  <si>
    <t>COOP_NDINH</t>
  </si>
  <si>
    <t>COOP NGA BAY HAU GIANG</t>
  </si>
  <si>
    <t>COOP_N7HG</t>
  </si>
  <si>
    <t>COOP NGUYEN ANH THU</t>
  </si>
  <si>
    <t>COOP_TMTAY</t>
  </si>
  <si>
    <t>COOP NGUYEN BINH</t>
  </si>
  <si>
    <t>COOP_NBINH</t>
  </si>
  <si>
    <t>COOP NGUYEN DINH CHIEU</t>
  </si>
  <si>
    <t>COOP_NDC</t>
  </si>
  <si>
    <t>COOP NGUYEN KIEM</t>
  </si>
  <si>
    <t>COOP_PNHUAN</t>
  </si>
  <si>
    <t>COOP NHA TRANG</t>
  </si>
  <si>
    <t>COOP_NTRANG</t>
  </si>
  <si>
    <t>COOP NHIEU LOC</t>
  </si>
  <si>
    <t>COOP_NLOC</t>
  </si>
  <si>
    <t>COOP PHAM VAN CHIEU</t>
  </si>
  <si>
    <t>COOP_AUC_PVC</t>
  </si>
  <si>
    <t>COOP PHAN RI CUA</t>
  </si>
  <si>
    <t>COOP_PRI</t>
  </si>
  <si>
    <t xml:space="preserve">COOP PHAN THIET </t>
  </si>
  <si>
    <t>COOP_PTHIET</t>
  </si>
  <si>
    <t>COOP PHAN VAN HON</t>
  </si>
  <si>
    <t>COOP_PVHON</t>
  </si>
  <si>
    <t>COOP PHAN VAN TRI</t>
  </si>
  <si>
    <t>COOP_PVTRI</t>
  </si>
  <si>
    <t>COOP PHU LAM</t>
  </si>
  <si>
    <t>COOP_PLAM</t>
  </si>
  <si>
    <t>COOP PHU THO</t>
  </si>
  <si>
    <t>COOP_DSEN</t>
  </si>
  <si>
    <t>COOP PHUOC DONG TAY NINH</t>
  </si>
  <si>
    <t>COOP_PDONG</t>
  </si>
  <si>
    <t>COOP PLEIKU</t>
  </si>
  <si>
    <t>COOP_PLK</t>
  </si>
  <si>
    <t>COOP QUANG BINH</t>
  </si>
  <si>
    <t>COOP_QBINH</t>
  </si>
  <si>
    <t>COOP QUANG NGAI</t>
  </si>
  <si>
    <t>COOP_QNGAI</t>
  </si>
  <si>
    <t>COOP QUANG TRUNG</t>
  </si>
  <si>
    <t>COOP_COSA</t>
  </si>
  <si>
    <t>COOP QUY NHON</t>
  </si>
  <si>
    <t>COOP_QNHON</t>
  </si>
  <si>
    <t>COOP RACH GIA KIEN GIANG</t>
  </si>
  <si>
    <t>COOP_RGIA</t>
  </si>
  <si>
    <t>COOP RACH MIEU</t>
  </si>
  <si>
    <t>COOP_RMIEU</t>
  </si>
  <si>
    <t>COOP SA DEC</t>
  </si>
  <si>
    <t>COOP_SDEC</t>
  </si>
  <si>
    <t>COOP SOC TRANG</t>
  </si>
  <si>
    <t>COOP_STRANG</t>
  </si>
  <si>
    <t>COOP SON TRA DA NANG</t>
  </si>
  <si>
    <t>COOP_STRA</t>
  </si>
  <si>
    <t>COOP TAM BINH</t>
  </si>
  <si>
    <t>COOP_TAMBINH</t>
  </si>
  <si>
    <t>COOP TAM KY QUANG NAM</t>
  </si>
  <si>
    <t>COOP_TKY</t>
  </si>
  <si>
    <t>COOP TAN AN</t>
  </si>
  <si>
    <t>COOP_TAN</t>
  </si>
  <si>
    <t>COOP TAN BIEN</t>
  </si>
  <si>
    <t>COOP_TBIEN</t>
  </si>
  <si>
    <t>COOP TAN CHAU AN GIANG</t>
  </si>
  <si>
    <t>COOP_AGIANG</t>
  </si>
  <si>
    <t>COOP TAN CHAU TAY NINH</t>
  </si>
  <si>
    <t>COOP_TCTN</t>
  </si>
  <si>
    <t>COOP TAN THANH VUNG TAU</t>
  </si>
  <si>
    <t>COOP_TTHANH</t>
  </si>
  <si>
    <t>COOP TAY NINH</t>
  </si>
  <si>
    <t>COOP_AUC_TNINH</t>
  </si>
  <si>
    <t>COOP TAY NINH 1</t>
  </si>
  <si>
    <t>COOP_TNINH</t>
  </si>
  <si>
    <t>COOP THANG LOI</t>
  </si>
  <si>
    <t>COOP_TLOI</t>
  </si>
  <si>
    <t>COOP THANH HA NINH THUAN</t>
  </si>
  <si>
    <t>COOP_THA</t>
  </si>
  <si>
    <t>COOP THANH HOA</t>
  </si>
  <si>
    <t>COOP_THOA</t>
  </si>
  <si>
    <t>COOP THAP MUOI</t>
  </si>
  <si>
    <t>COOP_TMUOI</t>
  </si>
  <si>
    <t>COOP THOAI SON AN GIANG</t>
  </si>
  <si>
    <t>COOP_TSON</t>
  </si>
  <si>
    <t>COOP THOT NOT</t>
  </si>
  <si>
    <t>COOP_TNOT</t>
  </si>
  <si>
    <t>COOP TIEU CAN TRA VINH</t>
  </si>
  <si>
    <t>COOP_TCAN</t>
  </si>
  <si>
    <t>COOP TO KY</t>
  </si>
  <si>
    <t>COOP_TOKY</t>
  </si>
  <si>
    <t>COOP TRA VINH</t>
  </si>
  <si>
    <t>COOP_TVINH</t>
  </si>
  <si>
    <t>COOP TRANG BANG</t>
  </si>
  <si>
    <t>COOP_TBANG</t>
  </si>
  <si>
    <t>COOP TUY HOA PHU YEN</t>
  </si>
  <si>
    <t>COOP_PYEN</t>
  </si>
  <si>
    <t>COOP TUY LY VUONG</t>
  </si>
  <si>
    <t>COOP_TLV</t>
  </si>
  <si>
    <t>COOP VAN THANH</t>
  </si>
  <si>
    <t>COOP_VTHANH</t>
  </si>
  <si>
    <t>COOP VI THANH HAU GIANG</t>
  </si>
  <si>
    <t>COOP_VITHANH</t>
  </si>
  <si>
    <t>COOP VICTORIA</t>
  </si>
  <si>
    <t>COOP_AUC_VICTORIA</t>
  </si>
  <si>
    <t>COOP VIET TRI</t>
  </si>
  <si>
    <t>COOP_VTRI</t>
  </si>
  <si>
    <t>COOP VINH LOC B</t>
  </si>
  <si>
    <t>COOP_VLOC</t>
  </si>
  <si>
    <t>COOP VINH LONG</t>
  </si>
  <si>
    <t>COOP_VLONG</t>
  </si>
  <si>
    <t>COOP VINH PHUC</t>
  </si>
  <si>
    <t>COOP_VPHUC</t>
  </si>
  <si>
    <t>COOP VUNG TAU</t>
  </si>
  <si>
    <t>COOP_VTAU</t>
  </si>
  <si>
    <t>COOP XA LO HA NOI</t>
  </si>
  <si>
    <t>COOP_XLHN</t>
  </si>
  <si>
    <t>CUA HANG NHAT</t>
  </si>
  <si>
    <t>3707</t>
  </si>
  <si>
    <t>EMART</t>
  </si>
  <si>
    <t>FAMILY</t>
  </si>
  <si>
    <t>4201</t>
  </si>
  <si>
    <t>FUNNYLAND</t>
  </si>
  <si>
    <t>TEV_KD</t>
  </si>
  <si>
    <t>GENSHAI PEARL NGUYEN HUU CANH</t>
  </si>
  <si>
    <t>GENSHAI</t>
  </si>
  <si>
    <t>HD_NHC</t>
  </si>
  <si>
    <t>GENSHAI VERD DONG VAN CONG</t>
  </si>
  <si>
    <t>HD_DVC</t>
  </si>
  <si>
    <t>GENSHAI VISTAR XA LO HA NOI</t>
  </si>
  <si>
    <t>HD_XLHN</t>
  </si>
  <si>
    <t>GENSHAI THE PARK RESIDENCE</t>
  </si>
  <si>
    <t>HD_NHT</t>
  </si>
  <si>
    <t>GENSHAI RICHMOND</t>
  </si>
  <si>
    <t>HD_NXI</t>
  </si>
  <si>
    <t>GENSHAI EMPIRE</t>
  </si>
  <si>
    <t>HD_EMPIRE</t>
  </si>
  <si>
    <t>GUARDIAN KHO</t>
  </si>
  <si>
    <t>GUARDIAN</t>
  </si>
  <si>
    <t>LAC</t>
  </si>
  <si>
    <t>HELLO BEAUTY BINH DUONG</t>
  </si>
  <si>
    <t>HELLOBEAUTY</t>
  </si>
  <si>
    <t>BIGC_BEAUTY</t>
  </si>
  <si>
    <t>HELLO BEAUTY NHA TRANG</t>
  </si>
  <si>
    <t>BIGC_HELLO_NTRA</t>
  </si>
  <si>
    <t>HOMEFRESH MART</t>
  </si>
  <si>
    <t>4032</t>
  </si>
  <si>
    <t>HOME MART AU CO</t>
  </si>
  <si>
    <t>HOMEMART</t>
  </si>
  <si>
    <t>BIGC_HOME_AUCO</t>
  </si>
  <si>
    <t>HOME MART DI AN</t>
  </si>
  <si>
    <t>BIGC_HOME_DIAN</t>
  </si>
  <si>
    <t>HOME MART MY THO</t>
  </si>
  <si>
    <t>BIGC_HOME_MYTHO</t>
  </si>
  <si>
    <t>HOME MART NGUYEN THI THAP</t>
  </si>
  <si>
    <t>HOME MART NGUYEN VAN DAU</t>
  </si>
  <si>
    <t>HOME MART NGUYEN XIEN</t>
  </si>
  <si>
    <t>BIGC_HOME_ECO</t>
  </si>
  <si>
    <t>NHA CUA BE</t>
  </si>
  <si>
    <t>6468</t>
  </si>
  <si>
    <t>BONIVA FOOD</t>
  </si>
  <si>
    <t>6469</t>
  </si>
  <si>
    <t>J MART</t>
  </si>
  <si>
    <t>JM_BVD</t>
  </si>
  <si>
    <t>K MART AN CAT</t>
  </si>
  <si>
    <t>K MART</t>
  </si>
  <si>
    <t>4932</t>
  </si>
  <si>
    <t>K MART NGUYET HOA</t>
  </si>
  <si>
    <t>3733</t>
  </si>
  <si>
    <t xml:space="preserve">KING FOOD </t>
  </si>
  <si>
    <t>KING FOOD</t>
  </si>
  <si>
    <t>6209</t>
  </si>
  <si>
    <t>KING FOOD LE VAN SY</t>
  </si>
  <si>
    <t>6209_LVS</t>
  </si>
  <si>
    <t>KING FOOD TRUONG SON</t>
  </si>
  <si>
    <t>6209_TSON</t>
  </si>
  <si>
    <t>KING FOOD HUYNH TAN PHAT</t>
  </si>
  <si>
    <t>6209_HTP</t>
  </si>
  <si>
    <t>KING FOOD PHAM HUNG</t>
  </si>
  <si>
    <t>6209_PH</t>
  </si>
  <si>
    <t>KOHNAN BINH DUONG</t>
  </si>
  <si>
    <t>KOHNAN_BDUONG</t>
  </si>
  <si>
    <t>KOHNAN BINH TAN</t>
  </si>
  <si>
    <t>KOHNAN_BT</t>
  </si>
  <si>
    <t>KOHNAN HA DONG</t>
  </si>
  <si>
    <t>KOHNAN_HDONG</t>
  </si>
  <si>
    <t>KOHNAN HAI PHONG</t>
  </si>
  <si>
    <t>KOHNAN_HPHONG</t>
  </si>
  <si>
    <t>KOHNAN LE THANH TON</t>
  </si>
  <si>
    <t>KOHNAN_LTT</t>
  </si>
  <si>
    <t>KOHNAN TAN PHU</t>
  </si>
  <si>
    <t>KOHNAN_TP</t>
  </si>
  <si>
    <t>KOHNAN THU DUC</t>
  </si>
  <si>
    <t>KOHNAN_TD</t>
  </si>
  <si>
    <t>KOHNAN DONG NAI</t>
  </si>
  <si>
    <t>KOHNAN_DNAI</t>
  </si>
  <si>
    <t>LOTTE BA DINH HA NOI</t>
  </si>
  <si>
    <t>LOTTE</t>
  </si>
  <si>
    <t>LOTTE_BDINH</t>
  </si>
  <si>
    <t>LOTTE BIEN HOA</t>
  </si>
  <si>
    <t>LOTTE_BHOA</t>
  </si>
  <si>
    <t>LOTTE BINH DUONG</t>
  </si>
  <si>
    <t>LOTTE_BDUONG</t>
  </si>
  <si>
    <t>LOTTE CAN THO</t>
  </si>
  <si>
    <t>LOTTE_CTHO</t>
  </si>
  <si>
    <t>LOTTE CAU GIAY</t>
  </si>
  <si>
    <t>LOTTE_CGIAY</t>
  </si>
  <si>
    <t>LOTTE DA NANG</t>
  </si>
  <si>
    <t>LOTTE_DNANG</t>
  </si>
  <si>
    <t>LOTTE DONG DA HA NOI</t>
  </si>
  <si>
    <t>LOTTE_DDA</t>
  </si>
  <si>
    <t>LOTTE GO VAP</t>
  </si>
  <si>
    <t>LOTTE_GVAP</t>
  </si>
  <si>
    <t>LOTTE NAM SAI GON</t>
  </si>
  <si>
    <t>LOTTE_Q7</t>
  </si>
  <si>
    <t>LOTTE NHA TRANG</t>
  </si>
  <si>
    <t>LOTTE_NTRANG</t>
  </si>
  <si>
    <t>LOTTE NHA TRANG GOLD COAST</t>
  </si>
  <si>
    <t>LOTTE_NTRANG2</t>
  </si>
  <si>
    <t>LOTTE PHAN THIET</t>
  </si>
  <si>
    <t>LOTTE_PTHIET</t>
  </si>
  <si>
    <t>LOTTE QUAN 11</t>
  </si>
  <si>
    <t>LOTTE_Q11</t>
  </si>
  <si>
    <t>LOTTE SPEED L</t>
  </si>
  <si>
    <t>LOTTE_S_Q11</t>
  </si>
  <si>
    <t>LOTTE TAN BINH</t>
  </si>
  <si>
    <t>LOTTE_TBINH</t>
  </si>
  <si>
    <t>LOTTE VUNG TAU</t>
  </si>
  <si>
    <t>LOTTE_VTAU</t>
  </si>
  <si>
    <t>MEDICARE AEON BINH TAN</t>
  </si>
  <si>
    <t>MEDICARE</t>
  </si>
  <si>
    <t>ME_CH69</t>
  </si>
  <si>
    <t>MEDICARE AEON CANARY</t>
  </si>
  <si>
    <t>ME_CH46</t>
  </si>
  <si>
    <t>MEDICARE AEON HA DONG</t>
  </si>
  <si>
    <t>ME_CH130</t>
  </si>
  <si>
    <t>MEDICARE AEON HA NOI</t>
  </si>
  <si>
    <t>ME_CH116</t>
  </si>
  <si>
    <t>MEDICARE AEON TAN PHU</t>
  </si>
  <si>
    <t>ME_CH123</t>
  </si>
  <si>
    <t>MEDICARE AN PHU</t>
  </si>
  <si>
    <t>ME_CH7</t>
  </si>
  <si>
    <t>MEDICARE AU CO</t>
  </si>
  <si>
    <t>ME_CH18</t>
  </si>
  <si>
    <t>MEDICARE BACH DANG</t>
  </si>
  <si>
    <t>ME_CH15</t>
  </si>
  <si>
    <t>MEDICARE BEN TRE</t>
  </si>
  <si>
    <t>ME_CH86</t>
  </si>
  <si>
    <t>MEDICARE BIG C CAN THO</t>
  </si>
  <si>
    <t>ME_CH33</t>
  </si>
  <si>
    <t>MEDICARE BIG C DA LAT</t>
  </si>
  <si>
    <t>ME_CH38</t>
  </si>
  <si>
    <t>MEDICARE BIG C DA NANG</t>
  </si>
  <si>
    <t>ME_CH52</t>
  </si>
  <si>
    <t>MEDICARE BIG C HA LONG</t>
  </si>
  <si>
    <t>ME_CH53</t>
  </si>
  <si>
    <t>MEDICARE BIG C NHA TRANG</t>
  </si>
  <si>
    <t>ME_CH47</t>
  </si>
  <si>
    <t>MEDICARE BIG C PHU THANH</t>
  </si>
  <si>
    <t>ME_CH64</t>
  </si>
  <si>
    <t>MEDICARE BIG C QUY NHON</t>
  </si>
  <si>
    <t>ME_CH40</t>
  </si>
  <si>
    <t>MEDICARE CAO THANG MALL</t>
  </si>
  <si>
    <t>ME_CH84</t>
  </si>
  <si>
    <t>MEDICARE CENTRE MALL CU CHI</t>
  </si>
  <si>
    <t>ME_CH107</t>
  </si>
  <si>
    <t>MEDICARE COOP XTRA PLUS</t>
  </si>
  <si>
    <t>ME_CH37</t>
  </si>
  <si>
    <t>MEDICARE DONG DEN</t>
  </si>
  <si>
    <t>ME_CH56</t>
  </si>
  <si>
    <t>MEDICARE DUONG D2</t>
  </si>
  <si>
    <t>ME_CH55</t>
  </si>
  <si>
    <t>MEDICARE HOANG HOA THAM</t>
  </si>
  <si>
    <t>ME_CH5</t>
  </si>
  <si>
    <t>MEDICARE JOYCITIPOINT</t>
  </si>
  <si>
    <t>ME_CH70</t>
  </si>
  <si>
    <t>MEDICARE KHO BINH CHANH</t>
  </si>
  <si>
    <t>ME_KHO</t>
  </si>
  <si>
    <t>MEDICARE LANDMARK 81</t>
  </si>
  <si>
    <t>ME_CH111</t>
  </si>
  <si>
    <t>MEDICARE LOTTE BIEN HOA</t>
  </si>
  <si>
    <t>ME_CH28</t>
  </si>
  <si>
    <t>MEDICARE LOTTE BINH DUONG</t>
  </si>
  <si>
    <t>ME_CH26</t>
  </si>
  <si>
    <t>MEDICARE LOTTE CAN THO</t>
  </si>
  <si>
    <t>ME_CH58</t>
  </si>
  <si>
    <t>MEDICARE LOTTE CAU GIAY</t>
  </si>
  <si>
    <t>ME_CH122</t>
  </si>
  <si>
    <t>MEDICARE LOTTE DA NANG</t>
  </si>
  <si>
    <t>ME_CH45</t>
  </si>
  <si>
    <t>MEDICARE LOTTE GO VAP</t>
  </si>
  <si>
    <t>ME_CH63</t>
  </si>
  <si>
    <t>MEDICARE LOTTE NAM SAI GON</t>
  </si>
  <si>
    <t>ME_CH41</t>
  </si>
  <si>
    <t>MEDICARE LOTTE NHA TRANG</t>
  </si>
  <si>
    <t>ME_CH67</t>
  </si>
  <si>
    <t>MEDICARE LOTTE PHAN THIET</t>
  </si>
  <si>
    <t>ME_CH30</t>
  </si>
  <si>
    <t>MEDICARE LOTTE VUNG TAU</t>
  </si>
  <si>
    <t>ME_CH50</t>
  </si>
  <si>
    <t>MEDICARE MUI NE</t>
  </si>
  <si>
    <t>ME_CH90</t>
  </si>
  <si>
    <t>MEDICARE MEGA HIEP PHU</t>
  </si>
  <si>
    <t>ME_CH137</t>
  </si>
  <si>
    <t>MEDICARE NGUYEN TRI PHUONG</t>
  </si>
  <si>
    <t>ME_CH14</t>
  </si>
  <si>
    <t>MEDICARE TAY NINH</t>
  </si>
  <si>
    <t>ME_CH82</t>
  </si>
  <si>
    <t>MEDICARE THOAI NGOC HAU</t>
  </si>
  <si>
    <t>ME_CH72</t>
  </si>
  <si>
    <t>MEDICARE TRAN HUNG DAO</t>
  </si>
  <si>
    <t>ME_CH2</t>
  </si>
  <si>
    <t>MEDICARE TRAN KHAC CHAN</t>
  </si>
  <si>
    <t>ME_CH66</t>
  </si>
  <si>
    <t>MEDICARE VINCOM BAC CAN</t>
  </si>
  <si>
    <t>ME_CH68</t>
  </si>
  <si>
    <t>MEDICARE VINCOM BAC LIEU</t>
  </si>
  <si>
    <t>ME_CH89</t>
  </si>
  <si>
    <t>MEDICARE VINCOM BAC NINH</t>
  </si>
  <si>
    <t>ME_CH108</t>
  </si>
  <si>
    <t>MEDICARE VINCOM BIEN HOA</t>
  </si>
  <si>
    <t>ME_CH73</t>
  </si>
  <si>
    <t>MEDICARE VINCOM CA MAU</t>
  </si>
  <si>
    <t>ME_CH118</t>
  </si>
  <si>
    <t>MEDICARE VINCOM CAM PHA</t>
  </si>
  <si>
    <t>ME_CH132</t>
  </si>
  <si>
    <t>MEDICARE VINCOM CAN THO</t>
  </si>
  <si>
    <t>ME_CH113</t>
  </si>
  <si>
    <t>MEDICARE VINCOM CAN THO 2</t>
  </si>
  <si>
    <t>ME_CH121</t>
  </si>
  <si>
    <t>MEDICARE VINCOM CAO LANH</t>
  </si>
  <si>
    <t>ME_CH128</t>
  </si>
  <si>
    <t>MEDICARE VINCOM DA NANG</t>
  </si>
  <si>
    <t>ME_CH127</t>
  </si>
  <si>
    <t>MEDICARE VINCOM DI AN</t>
  </si>
  <si>
    <t>ME_CH129</t>
  </si>
  <si>
    <t>MEDICARE VINCOM HA TINH</t>
  </si>
  <si>
    <t>ME_CH83</t>
  </si>
  <si>
    <t>MEDICARE VINCOM HAU GIANG</t>
  </si>
  <si>
    <t>ME_CH81</t>
  </si>
  <si>
    <t>MEDICARE VINCOM HOA BINH</t>
  </si>
  <si>
    <t>ME_CH126</t>
  </si>
  <si>
    <t>MEDICARE VINCOM HUE</t>
  </si>
  <si>
    <t>MEDICARE VINCOM HUNG VUONG</t>
  </si>
  <si>
    <t>MEDICARE VINCOM KIEN GIANG</t>
  </si>
  <si>
    <t>MEDICARE VINCOM KON TUM</t>
  </si>
  <si>
    <t>ME_CH135</t>
  </si>
  <si>
    <t>MEDICARE VINCOM LANG SON</t>
  </si>
  <si>
    <t>ME_CH109</t>
  </si>
  <si>
    <t>MEDICARE VINCOM LE THANH TON</t>
  </si>
  <si>
    <t>MEDICARE VINCOM LE VAN VIET</t>
  </si>
  <si>
    <t>ME_CH61</t>
  </si>
  <si>
    <t>MEDICARE VINCOM LONG XUYEN</t>
  </si>
  <si>
    <t>MEDICARE VINCOM LY BON</t>
  </si>
  <si>
    <t>MEDICARE VINCOM MONG CAI</t>
  </si>
  <si>
    <t>ME_CH125</t>
  </si>
  <si>
    <t>MEDICARE VINCOM NAM LONG</t>
  </si>
  <si>
    <t>ME_CH80</t>
  </si>
  <si>
    <t>MEDICARE VINCOM NHA TRANG</t>
  </si>
  <si>
    <t>ME_CH93</t>
  </si>
  <si>
    <t>MEDICARE VINCOM NHA TRANG 2</t>
  </si>
  <si>
    <t>ME_CH104</t>
  </si>
  <si>
    <t>MEDICARE VINCOM PHAN RANG</t>
  </si>
  <si>
    <t>ME_CH120</t>
  </si>
  <si>
    <t>MEDICARE VINCOM PHU LY</t>
  </si>
  <si>
    <t>ME_CH110</t>
  </si>
  <si>
    <t>MEDICARE VINCOM PLAZA BAO LOC</t>
  </si>
  <si>
    <t>ME_CH98</t>
  </si>
  <si>
    <t>MEDICARE VINCOM PLAZA DONG HOI</t>
  </si>
  <si>
    <t>ME_CH101</t>
  </si>
  <si>
    <t>MEDICARE VINCOM PLAZA HA LONG</t>
  </si>
  <si>
    <t>ME_CH88</t>
  </si>
  <si>
    <t>MEDICARE VINCOM PLUS UONG BI</t>
  </si>
  <si>
    <t>MEDICARE VINCOM QUANG NGAI</t>
  </si>
  <si>
    <t>MEDICARE VINCOM SOC TRANG</t>
  </si>
  <si>
    <t>MEDICARE VINCOM SON LA</t>
  </si>
  <si>
    <t>MEDICARE VINCOM TAN AN LONG AN</t>
  </si>
  <si>
    <t>MEDICARE VINCOM TAY NINH</t>
  </si>
  <si>
    <t>MEDICARE VINCOM THAI NGUYEN</t>
  </si>
  <si>
    <t>MEDICARE VINCOM THAO DIEN</t>
  </si>
  <si>
    <t>ME_CH112</t>
  </si>
  <si>
    <t>MEDICARE VINCOM TRA VINH</t>
  </si>
  <si>
    <t>MEDICARE VINCOM TRAN DUY HUNG</t>
  </si>
  <si>
    <t>MEDICARE VINCOM TRAN PHU</t>
  </si>
  <si>
    <t>MEDICARE VINCOM TUY HOA</t>
  </si>
  <si>
    <t>MEDICARE VINCOM TUYEN QUANG</t>
  </si>
  <si>
    <t>MEDICARE VINCOM VIET TRI</t>
  </si>
  <si>
    <t>MEDICARE VINCOM VINH LONG</t>
  </si>
  <si>
    <t>MEDICARE VINCOM XUAN KHANH</t>
  </si>
  <si>
    <t>MEDICARE VINCOM YEN BAI</t>
  </si>
  <si>
    <t>MEGA AN PHU</t>
  </si>
  <si>
    <t>MEGA</t>
  </si>
  <si>
    <t>MG_APHU</t>
  </si>
  <si>
    <t>MEGA BIEN HOA</t>
  </si>
  <si>
    <t>MG_BHOA</t>
  </si>
  <si>
    <t>MEGA BINH DUONG</t>
  </si>
  <si>
    <t>MG_BDUONG</t>
  </si>
  <si>
    <t>MEGA BINH PHU</t>
  </si>
  <si>
    <t>MG_BPHU</t>
  </si>
  <si>
    <t>MEGA BUON MA THUOT</t>
  </si>
  <si>
    <t>MG_BMT</t>
  </si>
  <si>
    <t>MEGA CAN THO</t>
  </si>
  <si>
    <t>MG_HLOI</t>
  </si>
  <si>
    <t>MEGA DA NANG</t>
  </si>
  <si>
    <t>MG_DNANG</t>
  </si>
  <si>
    <t>MEGA HA DONG</t>
  </si>
  <si>
    <t>MG_HDONG</t>
  </si>
  <si>
    <t>MEGA HA LONG</t>
  </si>
  <si>
    <t>MG_HLONG</t>
  </si>
  <si>
    <t>MEGA HIEP PHU</t>
  </si>
  <si>
    <t>MG_HPHU</t>
  </si>
  <si>
    <t>MEGA HOANG MAI</t>
  </si>
  <si>
    <t>MG_HMAI</t>
  </si>
  <si>
    <t>MEGA HONG BANG</t>
  </si>
  <si>
    <t>MG_HBANG</t>
  </si>
  <si>
    <t>MEGA KHO1</t>
  </si>
  <si>
    <t>MG_26_71</t>
  </si>
  <si>
    <t>MEGA KHO2</t>
  </si>
  <si>
    <t>MG_31_71</t>
  </si>
  <si>
    <t>MEGA LONG XUYEN</t>
  </si>
  <si>
    <t>MG_LXUYEN</t>
  </si>
  <si>
    <t>MEGA NHA TRANG</t>
  </si>
  <si>
    <t>MG_NTRANG</t>
  </si>
  <si>
    <t>MEGA QUY NHON</t>
  </si>
  <si>
    <t>MG_QNHON</t>
  </si>
  <si>
    <t>MEGA RACH GIA</t>
  </si>
  <si>
    <t>MG_RGIA</t>
  </si>
  <si>
    <t>MEGA THANG LONG</t>
  </si>
  <si>
    <t>MG_TLONG</t>
  </si>
  <si>
    <t>MEGA THANG XUAN</t>
  </si>
  <si>
    <t>MG_TXUAN</t>
  </si>
  <si>
    <t>MEGA VINH</t>
  </si>
  <si>
    <t>MG_VINH</t>
  </si>
  <si>
    <t>MEGA VUNG TAU</t>
  </si>
  <si>
    <t>MG_VTAU</t>
  </si>
  <si>
    <t>MINISTOP</t>
  </si>
  <si>
    <t>MINISTOP G7</t>
  </si>
  <si>
    <t>ST_G7</t>
  </si>
  <si>
    <t>NHA SACH MINH KHAI</t>
  </si>
  <si>
    <t>2243</t>
  </si>
  <si>
    <t>NHA SACH NHAN VAN</t>
  </si>
  <si>
    <t>PHARMACITY</t>
  </si>
  <si>
    <t>6166</t>
  </si>
  <si>
    <t>ROMEA</t>
  </si>
  <si>
    <t>5972</t>
  </si>
  <si>
    <t>SIEU THI HANG NHAP KHAU</t>
  </si>
  <si>
    <t>6415</t>
  </si>
  <si>
    <t>SATRA CU CHI</t>
  </si>
  <si>
    <t>SATRA</t>
  </si>
  <si>
    <t>SATRA_CCH</t>
  </si>
  <si>
    <t>SATRA PHAM HUNG</t>
  </si>
  <si>
    <t>SATRA_PH</t>
  </si>
  <si>
    <t>SATRA SAI GON</t>
  </si>
  <si>
    <t>SATRA_SG</t>
  </si>
  <si>
    <t>SATRA TAX</t>
  </si>
  <si>
    <t>SATRA_TAX</t>
  </si>
  <si>
    <t>SATRAFOOD 1001 HUNG VUONG</t>
  </si>
  <si>
    <t>SATRA FOOD</t>
  </si>
  <si>
    <t>SATRA_F1001HV</t>
  </si>
  <si>
    <t>SATRAFOOD 1003 TRAN QUY</t>
  </si>
  <si>
    <t>SATRA_F1003TQ</t>
  </si>
  <si>
    <t>SATRAFOOD 1004 XO VIET NGHE TINH</t>
  </si>
  <si>
    <t>SATRA_F1004XVNT</t>
  </si>
  <si>
    <t>SATRAFOOD 1005 PHAM VAN HAI</t>
  </si>
  <si>
    <t>SATRA_F1005PVH</t>
  </si>
  <si>
    <t>SATRAFOOD 1006 TRAN HUNG DAO</t>
  </si>
  <si>
    <t>SATRA_F1006THD</t>
  </si>
  <si>
    <t>SATRAFOOD 1008 QUANG TRUNG</t>
  </si>
  <si>
    <t>SATRA_F1008QT</t>
  </si>
  <si>
    <t>SATRAFOOD 1009 LAC LONG QUAN</t>
  </si>
  <si>
    <t>SATRA_F1009LLQ</t>
  </si>
  <si>
    <t>SATRAFOOD 1010 DO XUAN HOP</t>
  </si>
  <si>
    <t>SATRA_F1010DXH</t>
  </si>
  <si>
    <t>SATRAFOOD 1011 KHA VAN CAN</t>
  </si>
  <si>
    <t>SATRA_F1011KVC</t>
  </si>
  <si>
    <t>SATRAFOOD 1012 HUYNH TAN PHAT</t>
  </si>
  <si>
    <t>SATRA_F1012HTP</t>
  </si>
  <si>
    <t>SATRAFOOD 1013 TON DAN</t>
  </si>
  <si>
    <t>SATRA_F1013TD</t>
  </si>
  <si>
    <t>SATRAFOOD 1014 NO TRANG LONG</t>
  </si>
  <si>
    <t>SATRA_F1014NTL</t>
  </si>
  <si>
    <t>SATRAFOOD 1015 LE TRONG TAN</t>
  </si>
  <si>
    <t>SATRA_F1015LTT</t>
  </si>
  <si>
    <t>SATRAFOOD 1017 PHAN HUY ICH</t>
  </si>
  <si>
    <t>SATRA_F1017PHI</t>
  </si>
  <si>
    <t>SATRAFOOD 1018 KP2 VINH LOC</t>
  </si>
  <si>
    <t>SATRA_F1018KP2VL</t>
  </si>
  <si>
    <t>SATRAFOOD 1019 DUONG SO 41</t>
  </si>
  <si>
    <t>SATRA_F1019DS41</t>
  </si>
  <si>
    <t>SATRAFOOD 1020 PHAN DANG LUU</t>
  </si>
  <si>
    <t>SATRA_F1020PDL</t>
  </si>
  <si>
    <t>SATRAFOOD 1021 LE VAN THO</t>
  </si>
  <si>
    <t>SATRA_F1021LVT</t>
  </si>
  <si>
    <t>SATRAFOOD 1022 LE THI RIENG</t>
  </si>
  <si>
    <t>SATRA_F1022LTR</t>
  </si>
  <si>
    <t>SATRAFOOD 1023 DUONG BA TRAC</t>
  </si>
  <si>
    <t>SATRA_F1023DBT</t>
  </si>
  <si>
    <t>SATRAFOOD 1024  PHAM THE HIEN</t>
  </si>
  <si>
    <t>SATRA_F1024PTH</t>
  </si>
  <si>
    <t>SATRAFOOD 1025 LAC LONG QUAN</t>
  </si>
  <si>
    <t>SATRA_F1025LLQ</t>
  </si>
  <si>
    <t>SATRAFOOD 1026 HUNG PHU</t>
  </si>
  <si>
    <t>SATRA_F1026HP</t>
  </si>
  <si>
    <t>SATRAFOOD 1027 THACH LAM</t>
  </si>
  <si>
    <t>SATRA_F1027TL</t>
  </si>
  <si>
    <t>SATRAFOOD 1028 BA HOM</t>
  </si>
  <si>
    <t>SATRA_F1028BH</t>
  </si>
  <si>
    <t>SATRAFOOD 1029 AU CO</t>
  </si>
  <si>
    <t>SATRA_F1029AC</t>
  </si>
  <si>
    <t>SATRAFOOD 1030 VO VAN TAN</t>
  </si>
  <si>
    <t>SATRA_F1030VVT</t>
  </si>
  <si>
    <t>SATRAFOOD 1031 BINH THOI</t>
  </si>
  <si>
    <t>SATRA_F1031BTH</t>
  </si>
  <si>
    <t>SATRAFOOD 1032 THONG NHAT</t>
  </si>
  <si>
    <t>SATRA_F1032TN</t>
  </si>
  <si>
    <t>SATRAFOOD 1033 CAY DA SA</t>
  </si>
  <si>
    <t>SATRA_F1033CDS</t>
  </si>
  <si>
    <t>SATRAFOOD 1034 NGUYEN VAN LUONG</t>
  </si>
  <si>
    <t>SATRA_F1034NVL</t>
  </si>
  <si>
    <t>SATRAFOOD 1035 NO TRANG LONG</t>
  </si>
  <si>
    <t>SATRA_F1035NTL</t>
  </si>
  <si>
    <t>SATRAFOOD 1036 DUONG SO 17</t>
  </si>
  <si>
    <t>SATRA_F1036D17</t>
  </si>
  <si>
    <t>SATRAFOOD 1037 HAI THUONG LAN ONG</t>
  </si>
  <si>
    <t>SATRA_F1037HTLO</t>
  </si>
  <si>
    <t>SATRAFOOD 1039 LE VAN KHUONG</t>
  </si>
  <si>
    <t>SATRA_F1039LVK</t>
  </si>
  <si>
    <t>SATRAFOOD 14 LY TU TRONG</t>
  </si>
  <si>
    <t>SATRA_F14LTT</t>
  </si>
  <si>
    <t>SATRAFOOD 1040 LE VAN LUONG</t>
  </si>
  <si>
    <t>SATRA_F1040LVL</t>
  </si>
  <si>
    <t>SATRAFOOD 1041 DA NAM</t>
  </si>
  <si>
    <t>SATRA_F1041DN</t>
  </si>
  <si>
    <t>SATRAFOOD 1042 CHAU VAN LIEM</t>
  </si>
  <si>
    <t>SATRA_F1042CVL</t>
  </si>
  <si>
    <t>SATRAFOOD 1043 NGUYEN HONG</t>
  </si>
  <si>
    <t>SATRA_F1043NH</t>
  </si>
  <si>
    <t>SATRAFOOD 151 DIEN BIEN PHU</t>
  </si>
  <si>
    <t>SATRA_F151DBP</t>
  </si>
  <si>
    <t>SATRAFOOD 1046 NGOC LAN</t>
  </si>
  <si>
    <t>SATRA_F1046NL</t>
  </si>
  <si>
    <t>SATRAFOOD 1047 LUONG HUU KHANH</t>
  </si>
  <si>
    <t>SATRA_F1047LHK</t>
  </si>
  <si>
    <t>SATRAFOOD 1048 LE THANH TON</t>
  </si>
  <si>
    <t>SATRA_F1048LTT</t>
  </si>
  <si>
    <t>SATRAFOOD 1049 HOA SEN</t>
  </si>
  <si>
    <t>SATRA_F1049HS</t>
  </si>
  <si>
    <t>SATRAFOOD 1050 TAN HOA DONG</t>
  </si>
  <si>
    <t>SATRA_F1050THD</t>
  </si>
  <si>
    <t>SATRAFOOD 1051 PHAN CHU TRINH</t>
  </si>
  <si>
    <t>SATRA_F1051PCT</t>
  </si>
  <si>
    <t>SATRAFOOD 1052 CU CHI</t>
  </si>
  <si>
    <t>SATRA_F1052CC</t>
  </si>
  <si>
    <t>SATRAFOOD 1053 NGUYEN VAN CONG</t>
  </si>
  <si>
    <t>SATRA_F1053NVC</t>
  </si>
  <si>
    <t>SATRAFOOD 1054 NGUYEN VAN QUA</t>
  </si>
  <si>
    <t>SATRA_F1054NVQ</t>
  </si>
  <si>
    <t>SATRAFOOD 1055 NGUYEN DUY TRINH</t>
  </si>
  <si>
    <t>SATRA_F1055NDT</t>
  </si>
  <si>
    <t>SATRAFOOD 1056 LE DUC THO</t>
  </si>
  <si>
    <t>SATRA_F1056LDT</t>
  </si>
  <si>
    <t>SATRAFOOD 1057 BA TRIEU</t>
  </si>
  <si>
    <t>SATRA_F1057BT</t>
  </si>
  <si>
    <t>SATRAFOOD 1058 DUONG SO 1</t>
  </si>
  <si>
    <t>SATRA_F1058DS1</t>
  </si>
  <si>
    <t>SATRAFOOD 1059 LE VAN LINH</t>
  </si>
  <si>
    <t>SATRA_F1059LVL</t>
  </si>
  <si>
    <t>SATRAFOOD 1060 LE VAN VIET</t>
  </si>
  <si>
    <t>SATRA_F1060LVV</t>
  </si>
  <si>
    <t>SATRAFOOD 1061 VUON LAI</t>
  </si>
  <si>
    <t>SATRA_F1061VL</t>
  </si>
  <si>
    <t>SATRAFOOD 1063 UNG VAN KHIEM</t>
  </si>
  <si>
    <t>SATRA_F1063UVK</t>
  </si>
  <si>
    <t>SATRAFOOD 1064 HO VAN TU</t>
  </si>
  <si>
    <t>SATRA_F1064HVT</t>
  </si>
  <si>
    <t>SATRAFOOD 1065 LY THUONG KIET</t>
  </si>
  <si>
    <t>SATRA_F1065LTK</t>
  </si>
  <si>
    <t>SATRAFOOD 1066 PHAN DINH PHUNG</t>
  </si>
  <si>
    <t>SATRA_F1066PDP</t>
  </si>
  <si>
    <t>SATRAFOOD 1067 PHAM THE HIEN 2</t>
  </si>
  <si>
    <t>SATRA_F1067PTH</t>
  </si>
  <si>
    <t>SATRAFOOD 1068 TO KY</t>
  </si>
  <si>
    <t>SATRA_F1068TK</t>
  </si>
  <si>
    <t>SATRAFOOD 1069 NGUYEN THI DINH</t>
  </si>
  <si>
    <t>SATRA_F1069NTD</t>
  </si>
  <si>
    <t>SATRAFOOD 1070 CU CHI 2</t>
  </si>
  <si>
    <t>SATRA_F1070CC2</t>
  </si>
  <si>
    <t>SATRAFOOD 1071 PHAN VAN KHOE</t>
  </si>
  <si>
    <t>SATRA_F1071PVK</t>
  </si>
  <si>
    <t>SATRAFOOD 1072 DINH TIEN HOANG</t>
  </si>
  <si>
    <t>SATRA_F1072DTH</t>
  </si>
  <si>
    <t>SATRAFOOD 1074 PHU MY HUNG</t>
  </si>
  <si>
    <t>SATRA_F1074STAR</t>
  </si>
  <si>
    <t>SATRAFOOD 1075 CU CHI 3</t>
  </si>
  <si>
    <t>SATRA_F1075CC</t>
  </si>
  <si>
    <t>SATRAFOOD 1076 DUONG SO 5</t>
  </si>
  <si>
    <t>SATRA_F1076DS5</t>
  </si>
  <si>
    <t>SATRAFOOD 1077 THAP MUOI</t>
  </si>
  <si>
    <t>SATRA_F1077TM</t>
  </si>
  <si>
    <t>SATRAFOOD 1078 DAN CHU</t>
  </si>
  <si>
    <t>SATRA_F1078DC</t>
  </si>
  <si>
    <t>SATRAFOOD 1079 DO XUAN HOP 2</t>
  </si>
  <si>
    <t>SATRA_F1079DXH</t>
  </si>
  <si>
    <t>SATRAFOOD 1080 LE DUC THO 2</t>
  </si>
  <si>
    <t>SATRA_F1080LDT</t>
  </si>
  <si>
    <t>SATRAFOOD 1081 NGUYEN OANH</t>
  </si>
  <si>
    <t>SATRA_F1081NO</t>
  </si>
  <si>
    <t>SATRAFOOD 1082 NGUYEN DUY TRINH 2</t>
  </si>
  <si>
    <t>SATRA_F1082NDT</t>
  </si>
  <si>
    <t>SATRAFOOD 1083 NGUYEN VAN DAU</t>
  </si>
  <si>
    <t>SATRA_F1083NVD</t>
  </si>
  <si>
    <t>SATRAFOOD 1084 DIEN BIEN PHU</t>
  </si>
  <si>
    <t>SATRA_F1084DBP</t>
  </si>
  <si>
    <t>SATRAFOOD 1085 KCN DONG NAM</t>
  </si>
  <si>
    <t>SATRA_F1085CC</t>
  </si>
  <si>
    <t>SATRAFOOD 1086 GO XOAI</t>
  </si>
  <si>
    <t>SATRA_F1086GX</t>
  </si>
  <si>
    <t>SATRAFOOD 1087 TAN HUONG</t>
  </si>
  <si>
    <t>SATRA_F1087TH</t>
  </si>
  <si>
    <t>SATRAFOOD 1088 BINH DIEN</t>
  </si>
  <si>
    <t>SATRA_F1088BD</t>
  </si>
  <si>
    <t>SATRAFOOD 1089 DANG VAN BI</t>
  </si>
  <si>
    <t>SATRA_F1089DVB</t>
  </si>
  <si>
    <t>SATRAFOOD 1090 TO NGOC VAN</t>
  </si>
  <si>
    <t>SATRA_F1090TNV</t>
  </si>
  <si>
    <t>SATRAFOOD 1091 AN DUONG VUONG</t>
  </si>
  <si>
    <t>SATRA_F1091ADV</t>
  </si>
  <si>
    <t>SATRAFOOD 1092 HOANG HOA THAM</t>
  </si>
  <si>
    <t>SATRA_F1092HHT</t>
  </si>
  <si>
    <t>SATRAFOOD 1093 TAY HOA</t>
  </si>
  <si>
    <t>SATRA_F1093THOA</t>
  </si>
  <si>
    <t>SATRAFOOD 1094 NGUYEN VAN QUA 2</t>
  </si>
  <si>
    <t>SATRA_F1094NVQ</t>
  </si>
  <si>
    <t>SATRAFOOD 1095 DINH DUC THIEN</t>
  </si>
  <si>
    <t>SATRA_F1095DDT</t>
  </si>
  <si>
    <t>SATRAFOOD 1096 NGUYEN ANH THU 2</t>
  </si>
  <si>
    <t>SATRA_F1096NAT</t>
  </si>
  <si>
    <t>SATRAFOOD 1097 HOANG BAT DAT</t>
  </si>
  <si>
    <t>SATRA_F1097HBD</t>
  </si>
  <si>
    <t>SATRAFOOD 1099 LE VINH HOA</t>
  </si>
  <si>
    <t>SATRA_F1099LVH</t>
  </si>
  <si>
    <t>SATRAFOOD 1100 DINH BO LINH</t>
  </si>
  <si>
    <t>SATRA_F1100DBL</t>
  </si>
  <si>
    <t>SATRAFOOD 1101 PHAM THE HIEN 3</t>
  </si>
  <si>
    <t>SATRA_F1101PTH</t>
  </si>
  <si>
    <t>SATRAFOOD 1102 PHAM VAN BACH</t>
  </si>
  <si>
    <t>SATRA_F1102PVB</t>
  </si>
  <si>
    <t>SATRAFOOD 1103 DUONG DUC HIEN</t>
  </si>
  <si>
    <t>SATRA_F1103DDH</t>
  </si>
  <si>
    <t>SATRAFOOD 1104 DUONG SO 1 QUAN 7</t>
  </si>
  <si>
    <t>SATRA_F1104DS1</t>
  </si>
  <si>
    <t>SATRAFOOD 1105 LE VAN QUOI</t>
  </si>
  <si>
    <t>SATRA_F1105LVQ</t>
  </si>
  <si>
    <t>SATRAFOOD 1106 NGUYEN VAN DAU 2</t>
  </si>
  <si>
    <t>SATRA_F1106NVD</t>
  </si>
  <si>
    <t>SATRAFOOD 1107 CU XA PHU LAM</t>
  </si>
  <si>
    <t>SATRA_F1107PL</t>
  </si>
  <si>
    <t>SATRAFOOD 1108 NGUYEN THI DANG</t>
  </si>
  <si>
    <t>SATRA_F1108NTD</t>
  </si>
  <si>
    <t>SATRAFOOD 1109 NGUYEN THUONG HIEN</t>
  </si>
  <si>
    <t>SATRA_F1109NTH</t>
  </si>
  <si>
    <t>SATRAFOOD 1110 NGUYEN XUAN KHOAT</t>
  </si>
  <si>
    <t>SATRA_F1110NXK</t>
  </si>
  <si>
    <t>SATRAFOOD 1111 QUOC LO 50</t>
  </si>
  <si>
    <t>SATRA_F1111QL50</t>
  </si>
  <si>
    <t>SATRAFOOD 1112 NGUYEN THI KIEU</t>
  </si>
  <si>
    <t>SATRA_F1112NTK</t>
  </si>
  <si>
    <t>SATRAFOOD 1113 PHAM VAN CHIEU</t>
  </si>
  <si>
    <t>SATRA_F1113PVC</t>
  </si>
  <si>
    <t>SATRAFOOD 1114 LE THI HA</t>
  </si>
  <si>
    <t>SATRA_F1114LTH</t>
  </si>
  <si>
    <t>SATRAFOOD 1116 DANG THUC VINH</t>
  </si>
  <si>
    <t>SATRA_F1116DTV</t>
  </si>
  <si>
    <t>SATRAFOOD 1117 NGUYEN VAN KHA 1</t>
  </si>
  <si>
    <t>SATRA_F1117NVK</t>
  </si>
  <si>
    <t>SATRAFOOD 1118 NGUYEN THI TU</t>
  </si>
  <si>
    <t>SATRA_F1118NTT</t>
  </si>
  <si>
    <t>SATRAFOOD 1119 TRAN THI CO</t>
  </si>
  <si>
    <t>SATRA_F1119TTC</t>
  </si>
  <si>
    <t>SATRAFOOD 1120 TRAN VAN MUOI</t>
  </si>
  <si>
    <t>SATRA_F1120TVM</t>
  </si>
  <si>
    <t>SATRAFOOD 1121 THICH QUANG DUC</t>
  </si>
  <si>
    <t>SATRA_F1121TQD</t>
  </si>
  <si>
    <t>SATRAFOOD 1123 HA HUY GIAP</t>
  </si>
  <si>
    <t>SATRA_F1123HHG</t>
  </si>
  <si>
    <t>SATRAFOOD 1124 HUONG LO 2</t>
  </si>
  <si>
    <t>SATRA_F1124HL2</t>
  </si>
  <si>
    <t>SATRAFOOD 1125 THOAI NGOC HAU</t>
  </si>
  <si>
    <t>SATRA_F1125TNH</t>
  </si>
  <si>
    <t>SATRAFOOD 1126 QUOC LO 22 CU CHI 6</t>
  </si>
  <si>
    <t>SATRA_F1126QL22</t>
  </si>
  <si>
    <t>SATRAFOOD 1127 NGUYEN VAN KHA 2</t>
  </si>
  <si>
    <t>SATRA_F1127NVK2</t>
  </si>
  <si>
    <t>SATRAFOOD 1128 NGUYEN VAN NI</t>
  </si>
  <si>
    <t>SATRA_F1128NVN</t>
  </si>
  <si>
    <t>SATRAFOOD 1129 DINH PHONG PHU</t>
  </si>
  <si>
    <t>SATRA_F1129DPP</t>
  </si>
  <si>
    <t>SATRAFOOD 1130 DUONG DINH HOI</t>
  </si>
  <si>
    <t>SATRA_F1130DDH</t>
  </si>
  <si>
    <t>SATRAFOOD 1131 NGUYEN THI KIEU</t>
  </si>
  <si>
    <t>SATRA_F1131NTK</t>
  </si>
  <si>
    <t>SATRAFOOD 1132 DUONG 5C</t>
  </si>
  <si>
    <t>SATRA_F1132D5C</t>
  </si>
  <si>
    <t>SATRAFOOD 1133 TRAN NHAN TON</t>
  </si>
  <si>
    <t>SATRA_F1133TNT</t>
  </si>
  <si>
    <t>SATRAFOOD 1134 PHAN VAN TRI</t>
  </si>
  <si>
    <t>SATRA_F1134PVT</t>
  </si>
  <si>
    <t>SATRAFOOD 1135 NGUYEN HUU TRI</t>
  </si>
  <si>
    <t>SATRA_F1135NHT</t>
  </si>
  <si>
    <t>SATRAFOOD 1136 DUONG SO 8</t>
  </si>
  <si>
    <t>SATRA_F1136DS8</t>
  </si>
  <si>
    <t>SATRAFOOD 1137 TINH LO 8</t>
  </si>
  <si>
    <t>SATRA_F1137TL8</t>
  </si>
  <si>
    <t>SATRAFOOD 1138 LIEU BINH HUONG</t>
  </si>
  <si>
    <t>SATRA_F1138LBH</t>
  </si>
  <si>
    <t>SATRAFOOD 1139 DUONG SO 2</t>
  </si>
  <si>
    <t>SATRA_F1139DS2</t>
  </si>
  <si>
    <t>SATRAFOOD 1140 TO VINH DIEN</t>
  </si>
  <si>
    <t>SATRA_F1140TVD</t>
  </si>
  <si>
    <t>SATRAFOOD 1141 TAN CHANH HIEP</t>
  </si>
  <si>
    <t>SATRA_F1141TCH</t>
  </si>
  <si>
    <t>SATRAFOOD 1142 BUI CONG TRUNG</t>
  </si>
  <si>
    <t>SATRA_F1142BCT</t>
  </si>
  <si>
    <t>SATRAFOOD 1143 CUU LONG</t>
  </si>
  <si>
    <t>SATRA_F1143CL</t>
  </si>
  <si>
    <t>SATRAFOOD 1144 NGUYEN BINH</t>
  </si>
  <si>
    <t>SATRA_F1144NB</t>
  </si>
  <si>
    <t>SATRAFOOD 1145 LAM VAN BEN</t>
  </si>
  <si>
    <t>SATRA_F1145LVB</t>
  </si>
  <si>
    <t>SATRAFOOD 1146 AN DUONG VUONG 2</t>
  </si>
  <si>
    <t>SATRA_F1146ADV2</t>
  </si>
  <si>
    <t>SATRAFOOD 1147 DUONG CONG KHI</t>
  </si>
  <si>
    <t>SATRA_F1147DCK</t>
  </si>
  <si>
    <t>SATRAFOOD 1148 LAC LONG QUAN 3</t>
  </si>
  <si>
    <t>SATRA_F1148LLQ</t>
  </si>
  <si>
    <t>SATRAFOOD 1149 NGUYEN DUY TRINH 3</t>
  </si>
  <si>
    <t>SATRA_F1149NDT</t>
  </si>
  <si>
    <t>SATRAFOOD 1150 NGUYEN THI DINH 2</t>
  </si>
  <si>
    <t>SATRA_F1150NTD</t>
  </si>
  <si>
    <t>SATRAFOOD 1151 BUI HUU NGHIA</t>
  </si>
  <si>
    <t>SATRA_F1151BHN</t>
  </si>
  <si>
    <t>SATRAFOOD 1152 TINH LO 8</t>
  </si>
  <si>
    <t>SATRA_F1152TL8</t>
  </si>
  <si>
    <t>SATRAFOOD 1153 QUOC LO 22 CU CHI 12</t>
  </si>
  <si>
    <t>SATRA_F1153QL22</t>
  </si>
  <si>
    <t>SATRAFOOD 1154 NGUYEN KHOAI</t>
  </si>
  <si>
    <t>SATRA_F1154NK</t>
  </si>
  <si>
    <t>SATRAFOOD 1155 VAN PHUC 1</t>
  </si>
  <si>
    <t>SATRA_F1155VP</t>
  </si>
  <si>
    <t>SATRAFOOD 1156 TAN HOA</t>
  </si>
  <si>
    <t>SATRA_F1156TH</t>
  </si>
  <si>
    <t>SATRAFOOD 1157 BAU CAT</t>
  </si>
  <si>
    <t>SATRA_F1157BC8</t>
  </si>
  <si>
    <t>SATRAFOOD 1158 DUONG SO 6</t>
  </si>
  <si>
    <t>SATRA_F1158DS6</t>
  </si>
  <si>
    <t>SATRAFOOD 1159 NGUYEN THI HUE</t>
  </si>
  <si>
    <t>SATRA_F1159NTH</t>
  </si>
  <si>
    <t>SATRAFOOD 1160 QUOC LO 22</t>
  </si>
  <si>
    <t>SATRA_F1160QL22</t>
  </si>
  <si>
    <t>SATRAFOOD 1161 A3 TO KY</t>
  </si>
  <si>
    <t>SATRA_F1161A3TK</t>
  </si>
  <si>
    <t>SATRAFOOD 1162 BINH LOI</t>
  </si>
  <si>
    <t>SATRA_F1162BL</t>
  </si>
  <si>
    <t>SATRAFOOD 1163 VO VAN VAN</t>
  </si>
  <si>
    <t>SATRA_F1163VVV</t>
  </si>
  <si>
    <t>SATRAFOOD 1164 QUOC LO 50</t>
  </si>
  <si>
    <t>SATRA_F1164QL50</t>
  </si>
  <si>
    <t>SATRAFOOD 1165 TRAN MAI NINH</t>
  </si>
  <si>
    <t>SATRA_F1165TMN</t>
  </si>
  <si>
    <t>SATRAFOOD 1166 CAY TRAM</t>
  </si>
  <si>
    <t>SATRA_F1166CT</t>
  </si>
  <si>
    <t>SATRAFOOD 1167 NGUYEN VAN TAO</t>
  </si>
  <si>
    <t>SATRA_F1167NVT</t>
  </si>
  <si>
    <t>SATRAFOOD 1169 PHAN VAN HAN</t>
  </si>
  <si>
    <t>SATRA_F1169PVH</t>
  </si>
  <si>
    <t>SATRAFOOD 1170 LE THI HOA</t>
  </si>
  <si>
    <t>SATRA_F1170LTH</t>
  </si>
  <si>
    <t>SATRAFOOD 1171 AN PHU TAY</t>
  </si>
  <si>
    <t>SATRA_F1171APT</t>
  </si>
  <si>
    <t>SATRAFOOD 1172 AN DUONG VUONG 3</t>
  </si>
  <si>
    <t>SATRA_F1172ADV</t>
  </si>
  <si>
    <t>SATRAFOOD 1173 HUONG LO 2</t>
  </si>
  <si>
    <t>SATRA_F1173HL2</t>
  </si>
  <si>
    <t>SATRAFOOD 1174 HO VAN LONG</t>
  </si>
  <si>
    <t>SATRA_F1174HVL</t>
  </si>
  <si>
    <t>SATRAFOOD 1175 LIEN KHU 5-6</t>
  </si>
  <si>
    <t>SATRA_F1175LK56</t>
  </si>
  <si>
    <t>SATRAFOOD 1176 BENH VIEN NHI DONG 2</t>
  </si>
  <si>
    <t>SATRA_F1176BVND2</t>
  </si>
  <si>
    <t>SATRAFOOD 1177 HO VAN LONG 2</t>
  </si>
  <si>
    <t>SATRA_F1177HVL2</t>
  </si>
  <si>
    <t>SATRAFOOD 1178 XOM CHIEU</t>
  </si>
  <si>
    <t>SATRA_F1178XC</t>
  </si>
  <si>
    <t>SATRAFOOD 1179 HA HUY GIAP</t>
  </si>
  <si>
    <t>SATRA_F1179HHG2</t>
  </si>
  <si>
    <t>SATRAFOOD 1180 AP CHIEN LUOC</t>
  </si>
  <si>
    <t>SATRA_F1180ACL</t>
  </si>
  <si>
    <t>SATRAFOOD 1181 NGO QUYEN</t>
  </si>
  <si>
    <t>SATRA_F1181NQ</t>
  </si>
  <si>
    <t>SATRAFOOD 1182 PHAM THE HIEN 4</t>
  </si>
  <si>
    <t>SATRA_F1182PTH4</t>
  </si>
  <si>
    <t>SATRAFOOD 1184 LO LU</t>
  </si>
  <si>
    <t>SATRA_F1184LL</t>
  </si>
  <si>
    <t>SATRAFOOD 1185 HIEP BINH</t>
  </si>
  <si>
    <t>SATRA_F1185HB</t>
  </si>
  <si>
    <t>SATRAFOOD 1186 LE VAN LUONG 2</t>
  </si>
  <si>
    <t>SATRA_F1186LVL</t>
  </si>
  <si>
    <t>SATRAFOOD 1187 LE VAN LUONG</t>
  </si>
  <si>
    <t>SATRA_F1187LVL</t>
  </si>
  <si>
    <t>SATRAFOOD 1188 LUY BAN BICH</t>
  </si>
  <si>
    <t>SATRA_F1188LBB</t>
  </si>
  <si>
    <t>SATRAFOOD 1189 NGUYEN THI BUP</t>
  </si>
  <si>
    <t>SATRA_F1189NTB</t>
  </si>
  <si>
    <t>SATRAFOOD 1190 TUNG THIEN VUONG</t>
  </si>
  <si>
    <t>SATRA_F1190TTV</t>
  </si>
  <si>
    <t>SATRAFOOD 1191 LY PHUC MAN</t>
  </si>
  <si>
    <t>SATRA_F1191LPM</t>
  </si>
  <si>
    <t>SATRAFOOD 1192 DINH PHONG PHU 2</t>
  </si>
  <si>
    <t>SATRA_F1192DPP</t>
  </si>
  <si>
    <t>SATRAFOOD 1193 BUI VAN BA</t>
  </si>
  <si>
    <t>SATRA_F1193BVB</t>
  </si>
  <si>
    <t>SATRAFOOD 1194 NGUYEN VAN BUA</t>
  </si>
  <si>
    <t>SATRA_F1194NVB</t>
  </si>
  <si>
    <t>SATRAFOOD 1195 DINH DUC THIEN</t>
  </si>
  <si>
    <t>SATRA_F1195DDT</t>
  </si>
  <si>
    <t>SATRAFOOD 1196 QUOC LO 50</t>
  </si>
  <si>
    <t>SATRA_F1196QL50</t>
  </si>
  <si>
    <t>SATRAFOOD 1197 DUONG SO 1 QUAN 8</t>
  </si>
  <si>
    <t>SATRA_F1197DS1</t>
  </si>
  <si>
    <t>SATRAFOOD 1198 THONG NHAT 2</t>
  </si>
  <si>
    <t>SATRA_F1198TN2</t>
  </si>
  <si>
    <t>SATRAFOOD 1199 HUYNH TAN PHAT 2</t>
  </si>
  <si>
    <t>SATRAFOOD 1200 NGUYEN DUY TRINH</t>
  </si>
  <si>
    <t>SATRA_F1200NDT</t>
  </si>
  <si>
    <t>SATRAFOOD 1201 DUONG DINH HOI 2</t>
  </si>
  <si>
    <t>SATRA_F1201DDH</t>
  </si>
  <si>
    <t>SATRAFOOD 1202 NGUYEN XIEN</t>
  </si>
  <si>
    <t>SATRA_F1202NX</t>
  </si>
  <si>
    <t>SATRAFOOD 1203 TINH LO 43</t>
  </si>
  <si>
    <t>SATRA_F1203TL43</t>
  </si>
  <si>
    <t>SATRAFOOD 1204 TRINH THI MIENG</t>
  </si>
  <si>
    <t>SATRA_F1204TTM</t>
  </si>
  <si>
    <t>SATRAFOOD 1205 TRAN VAN QUANG</t>
  </si>
  <si>
    <t>SATRA_F1205TVQ</t>
  </si>
  <si>
    <t>SATRAFOOD 1207 DUONG 8</t>
  </si>
  <si>
    <t>SATRA_F1207D8</t>
  </si>
  <si>
    <t>SATRAFOOD 1208 LE VAN LUONG 4</t>
  </si>
  <si>
    <t>SATRA_F1208LVL</t>
  </si>
  <si>
    <t>SATRAFOOD 1209 NGUYEN VAN TAO 2</t>
  </si>
  <si>
    <t>SATRA_F1209NVT2</t>
  </si>
  <si>
    <t>SATRAFOOD 1210 THANH LOC 27</t>
  </si>
  <si>
    <t>SATRA_F1210TL27</t>
  </si>
  <si>
    <t>SATRAFOOD 1211 LE MINH NHUT</t>
  </si>
  <si>
    <t>SATRA_F1211LMN</t>
  </si>
  <si>
    <t>SATRAFOOD 1212 MAN THIEN</t>
  </si>
  <si>
    <t>SATRA_F1212MT</t>
  </si>
  <si>
    <t>SATRAFOOD 1213 NGUYEN THI KIEU 2</t>
  </si>
  <si>
    <t>SATRA_F1213NTK2</t>
  </si>
  <si>
    <t>SATRAFOOD 1214 QUOC LO 50</t>
  </si>
  <si>
    <t>SATRA_F1214QL50</t>
  </si>
  <si>
    <t>SATRAFOOD 1215 DONG HUNG THUAN</t>
  </si>
  <si>
    <t>SATRA_F1215DHT</t>
  </si>
  <si>
    <t>SATRAFOOD 1216 VINH LOC 2</t>
  </si>
  <si>
    <t>SATRA_F1216VL2</t>
  </si>
  <si>
    <t>SATRAFOOD 1218 PHAN CHU TRINH</t>
  </si>
  <si>
    <t>SATRA_F1218PCT</t>
  </si>
  <si>
    <t>SATRAFOOD 1217 TAN CANG</t>
  </si>
  <si>
    <t>SATRA_F1217TC</t>
  </si>
  <si>
    <t>SATRAFOOD 1220 XO VIET NGHE TINH 2</t>
  </si>
  <si>
    <t>SATRA_F1220XVNT2</t>
  </si>
  <si>
    <t>SATRAFOOD 1221 PHAN VAN TRI 2</t>
  </si>
  <si>
    <t>SATRA_F1221PVT2</t>
  </si>
  <si>
    <t>SIEU THI AN PHU</t>
  </si>
  <si>
    <t>2059</t>
  </si>
  <si>
    <t>SIEU THI WEFRESH</t>
  </si>
  <si>
    <t>WEFRESH_1</t>
  </si>
  <si>
    <t>THIEU NHI MOI AEON BINH DUONG</t>
  </si>
  <si>
    <t>THIEU NHI MOI</t>
  </si>
  <si>
    <t>TNM_AEONBDUONG</t>
  </si>
  <si>
    <t>THIEU NHI MOI AEON BINH TAN</t>
  </si>
  <si>
    <t>TNM_AEONBT</t>
  </si>
  <si>
    <t>THIEU NHI MOI AEON HA DONG</t>
  </si>
  <si>
    <t>TNM_AEONHDONG</t>
  </si>
  <si>
    <t>THIEU NHI MOI AEON LONG BIEN</t>
  </si>
  <si>
    <t>TNM_AEONLBIEN</t>
  </si>
  <si>
    <t>THIEU NHI MOI AEON TAN PHU</t>
  </si>
  <si>
    <t>TNM_AEONTP</t>
  </si>
  <si>
    <t>THIEU NHI MOI AEON HAI PHONG</t>
  </si>
  <si>
    <t>TNM_AEONHPHONG</t>
  </si>
  <si>
    <t>THIEU NHI MOI BIG C MY THO</t>
  </si>
  <si>
    <t>TNM_BIGCMTHO</t>
  </si>
  <si>
    <t>THIEU NHI MOI BIG C THANG LONG</t>
  </si>
  <si>
    <t>TNM_BIGCTL</t>
  </si>
  <si>
    <t>THIEU NHI MOI COOP AU CO</t>
  </si>
  <si>
    <t>TNM_COOPACO</t>
  </si>
  <si>
    <t>THIEU NHI MOI COOP LY THUONG KIET</t>
  </si>
  <si>
    <t>THIEU NHI MOI COOP PHAN VAN HON</t>
  </si>
  <si>
    <t>TNM_COOPPVH</t>
  </si>
  <si>
    <t>THIEU NHI MOI COOP TAM BINH</t>
  </si>
  <si>
    <t>TNM_COOPTB</t>
  </si>
  <si>
    <t>THIEU NHI MOI COOP TUY HOA</t>
  </si>
  <si>
    <t>THIEU NHI MOI CRESCENT MALL</t>
  </si>
  <si>
    <t>TNM_CRESMALL</t>
  </si>
  <si>
    <t>THIEU NHI MOI DIAMON VUNG TAU</t>
  </si>
  <si>
    <t>TNM_VTAU</t>
  </si>
  <si>
    <t>THIEU NHI MOI ESTELLA</t>
  </si>
  <si>
    <t>TNM_ESTELLA</t>
  </si>
  <si>
    <t>THIEU NHI MOI GIGA MALL</t>
  </si>
  <si>
    <t>TNM_GIGA</t>
  </si>
  <si>
    <t>THIEU NHI MOI GRAND THUY KHE</t>
  </si>
  <si>
    <t>TNM_THUYKHE</t>
  </si>
  <si>
    <t>THIEU NHI MOI HO GUOM</t>
  </si>
  <si>
    <t>TNM_HGOM</t>
  </si>
  <si>
    <t>THIEU NHI MOI IPH HA NOI</t>
  </si>
  <si>
    <t>TNM_IPH</t>
  </si>
  <si>
    <t>THIEU NHI MOI KIM CENTER GIA LAI</t>
  </si>
  <si>
    <t>THIEU NHI MOI LANDMARK 81</t>
  </si>
  <si>
    <t>TNM_LAND81</t>
  </si>
  <si>
    <t>THIEU NHI MOI LION MALL XUAN DIEU</t>
  </si>
  <si>
    <t>TNM_XDIEU</t>
  </si>
  <si>
    <t>THIEU NHI MOI LOTTE CAN THO</t>
  </si>
  <si>
    <t>TNM_LOTTECT</t>
  </si>
  <si>
    <t>THIEU NHI MOI LOTTE CONG HOA</t>
  </si>
  <si>
    <t>THIEU NHI MOI MIPEC HA NOI</t>
  </si>
  <si>
    <t>TNM_MIPECHN</t>
  </si>
  <si>
    <t>THIEU NHI MOI MY THO</t>
  </si>
  <si>
    <t>THIEU NHI MOI NOWZONE</t>
  </si>
  <si>
    <t>TNM_NOWZONE</t>
  </si>
  <si>
    <t>THIEU NHI MOI PANDORA TAN BINH</t>
  </si>
  <si>
    <t>TNM_PANDORA</t>
  </si>
  <si>
    <t>THIEU NHI MOI PARKSON TAN BINH</t>
  </si>
  <si>
    <t>TNM_PARKSON</t>
  </si>
  <si>
    <t>THIEU NHI MOI SAI GON CENTER</t>
  </si>
  <si>
    <t>TNM_CENTERLL</t>
  </si>
  <si>
    <t>THIEU NHI MOI SATRA CU CHI</t>
  </si>
  <si>
    <t>THIEU NHI MOI SATRA PHAM HUNG</t>
  </si>
  <si>
    <t>TNM_SATRAPH</t>
  </si>
  <si>
    <t>THIEU NHI MOI VINCOM AN GIANG</t>
  </si>
  <si>
    <t>TNM_VINAG</t>
  </si>
  <si>
    <t>THIEU NHI MOI VINCOM BA TRIEU</t>
  </si>
  <si>
    <t>TNM_VINBTRIEU</t>
  </si>
  <si>
    <t>THIEU NHI MOI VINCOM BAC TU LIEM</t>
  </si>
  <si>
    <t>TNM_VINBTLIEM</t>
  </si>
  <si>
    <t>THIEU NHI MOI VINCOM BIEN HOA</t>
  </si>
  <si>
    <t>TNM_VINBHOA</t>
  </si>
  <si>
    <t>THIEU NHI MOI VINCOM BINH DUONG</t>
  </si>
  <si>
    <t>THIEU NHI MOI VINCOM CAN THO</t>
  </si>
  <si>
    <t>TNM_VINCT</t>
  </si>
  <si>
    <t>THIEU NHI MOI VINCOM DA NANG</t>
  </si>
  <si>
    <t>TNM_VINDN</t>
  </si>
  <si>
    <t>THIEU NHI MOI VINCOM DONG KHOI</t>
  </si>
  <si>
    <t>TNM_VINDK</t>
  </si>
  <si>
    <t>THIEU NHI MOI VINCOM HAI PHONG</t>
  </si>
  <si>
    <t>TNM_VINHPHONG</t>
  </si>
  <si>
    <t>THIEU NHI MOI VINCOM LONG AN</t>
  </si>
  <si>
    <t>TNM_VINLAN</t>
  </si>
  <si>
    <t>THIEU NHI MOI VINCOM LONG BIEN</t>
  </si>
  <si>
    <t>THIEU NHI MOI VINCOM NAM LONG</t>
  </si>
  <si>
    <t>TNM_VINNL</t>
  </si>
  <si>
    <t>THIEU NHI MOI VINCOM NGUYEN CHI THANH</t>
  </si>
  <si>
    <t>TNM_VINNCT</t>
  </si>
  <si>
    <t>THIEU NHI MOI VINCOM ROYAL PLAZA</t>
  </si>
  <si>
    <t>TNM_VINROYAL</t>
  </si>
  <si>
    <t>THIEU NHI MOI VINCOM THAO DIEN</t>
  </si>
  <si>
    <t>TNM_VINTD</t>
  </si>
  <si>
    <t>THIEU NHI MOI VINCOM TIMES CITY</t>
  </si>
  <si>
    <t>TNM_TIMESCITY</t>
  </si>
  <si>
    <t>THIEU NHI MOI VINCOM TRAN DUY HUNG</t>
  </si>
  <si>
    <t>TNM_VINTDH</t>
  </si>
  <si>
    <t>THIEU NHI MOI VINCOM VIET TRI</t>
  </si>
  <si>
    <t>THIEU NHI MOI VINCOM BAC NINH</t>
  </si>
  <si>
    <t>TNM_VINBNINH</t>
  </si>
  <si>
    <t>THIEU NHI MOI VINH CENTER</t>
  </si>
  <si>
    <t>TNM_VINH</t>
  </si>
  <si>
    <t>THIEU NHI MOI VINMART LE VAN VIET</t>
  </si>
  <si>
    <t>TNM_VINLVV</t>
  </si>
  <si>
    <t>THIEU NHI MOI VINMART QUANG TRUNG</t>
  </si>
  <si>
    <t>TNM_VINQT</t>
  </si>
  <si>
    <t>THIEU NHI MOI VINMART THU DUC</t>
  </si>
  <si>
    <t>TNM_VINTDUC</t>
  </si>
  <si>
    <t>US MART GIGA MALL</t>
  </si>
  <si>
    <t>US MART</t>
  </si>
  <si>
    <t>US_GIGA</t>
  </si>
  <si>
    <t>US MART NGUYEN DUC CANH</t>
  </si>
  <si>
    <t>US_NDC</t>
  </si>
  <si>
    <t>US MART TRAN HUNG DAO</t>
  </si>
  <si>
    <t>US_THD</t>
  </si>
  <si>
    <t>VINMART KHO BINH DUONG</t>
  </si>
  <si>
    <t>VINMART</t>
  </si>
  <si>
    <t>VIN_CTY</t>
  </si>
  <si>
    <t>VIN_KHO_BDUONG</t>
  </si>
  <si>
    <t>VINMART KHO BAC NINH</t>
  </si>
  <si>
    <t>VIN_KHO_BNINH</t>
  </si>
  <si>
    <t>VINMART KHO DA NANG</t>
  </si>
  <si>
    <t>VIN_KHO_DNANG</t>
  </si>
  <si>
    <t>VINMART 3 THANG 2</t>
  </si>
  <si>
    <t>VIN_MX3/2</t>
  </si>
  <si>
    <t>VINMART ADAYROI</t>
  </si>
  <si>
    <t>VIN_ADROI</t>
  </si>
  <si>
    <t>VINMART BAU CAT</t>
  </si>
  <si>
    <t>VIN_CTYBCAT</t>
  </si>
  <si>
    <t>VINMART BINH TRUNG</t>
  </si>
  <si>
    <t>VIN_CTYBTRUNG</t>
  </si>
  <si>
    <t>VINMART CONG HOA</t>
  </si>
  <si>
    <t>VIN_MXCH</t>
  </si>
  <si>
    <t>VINMART DIAMOND</t>
  </si>
  <si>
    <t>VIN_CTYDIAMOND</t>
  </si>
  <si>
    <t>VINMART DONG KHOI</t>
  </si>
  <si>
    <t>VIN_CTYDK</t>
  </si>
  <si>
    <t>VINMART HUNG GIA</t>
  </si>
  <si>
    <t>VIN_CTYPVN</t>
  </si>
  <si>
    <t>VINMART LANDMARK 81</t>
  </si>
  <si>
    <t>VIN_CTYLAND</t>
  </si>
  <si>
    <t>VINMART LE VAN VIET</t>
  </si>
  <si>
    <t>VIN_CTYLVV</t>
  </si>
  <si>
    <t>VINMART LONG BIEN</t>
  </si>
  <si>
    <t>VIN_LBIEN</t>
  </si>
  <si>
    <t>VINMART NAM LONG</t>
  </si>
  <si>
    <t>VIN_CTYNL</t>
  </si>
  <si>
    <t>VINMART NGUY DUY TRINH</t>
  </si>
  <si>
    <t>VIN_CTYNDT</t>
  </si>
  <si>
    <t>VINMART NGUYEN XI</t>
  </si>
  <si>
    <t>VIN_CTYSGRES</t>
  </si>
  <si>
    <t>VINMART PHAN VAN TRI</t>
  </si>
  <si>
    <t>VIN_CTYPVT</t>
  </si>
  <si>
    <t>VINMART PHO QUANG</t>
  </si>
  <si>
    <t>VIN_CTYPQUANG</t>
  </si>
  <si>
    <t>VINMART QUANG TRUNG</t>
  </si>
  <si>
    <t>VIN_CTYQT</t>
  </si>
  <si>
    <t>VINMART THAO DIEN</t>
  </si>
  <si>
    <t>VIN_CTYTDIEN</t>
  </si>
  <si>
    <t>VINMART NINH THUAN</t>
  </si>
  <si>
    <t>VIN_NTHUAN</t>
  </si>
  <si>
    <t>VINMART THU DUC</t>
  </si>
  <si>
    <t>VIN_CTYTDUC</t>
  </si>
  <si>
    <t>VINMART NHA TRANG</t>
  </si>
  <si>
    <t>VIN_NTRANG</t>
  </si>
  <si>
    <t>VIN_KHO_VLONG</t>
  </si>
  <si>
    <t>VINMART+ GRAND RIVERSIDE</t>
  </si>
  <si>
    <t>VINMART+</t>
  </si>
  <si>
    <t>VIN_CTYBVD</t>
  </si>
  <si>
    <t>VINMART+ KHO BAC NINH</t>
  </si>
  <si>
    <t>VIN_KHO_BNINH+</t>
  </si>
  <si>
    <t>VINMART+ KHO BINH DUONG</t>
  </si>
  <si>
    <t>VIN_KHO_BDUONG+</t>
  </si>
  <si>
    <t>VINMART+ KHO DA NANG</t>
  </si>
  <si>
    <t>VIN_KHO_DNANG+</t>
  </si>
  <si>
    <t>VINMART+ CẦNTHƠ(2572/46)</t>
  </si>
  <si>
    <t>VIN+CTHO</t>
  </si>
  <si>
    <t>VINMART+ ĐÀ NẴNG(1127/171)</t>
  </si>
  <si>
    <t>VIN+DNANG</t>
  </si>
  <si>
    <t>VINMART+ ĐỒNG NAI(2572/60)</t>
  </si>
  <si>
    <t>VIN+DNAI</t>
  </si>
  <si>
    <t>VINMART+ NHA TRANG(2572/26)</t>
  </si>
  <si>
    <t>VIN+NTRANG</t>
  </si>
  <si>
    <t>VIN_CTY1</t>
  </si>
  <si>
    <t>VINMART+ TP HCM1(2572/521)</t>
  </si>
  <si>
    <t>VIN+TPHCM1</t>
  </si>
  <si>
    <t>VINMART+ TP HCM2(1127/404)</t>
  </si>
  <si>
    <t>VIN+TPHCM2</t>
  </si>
  <si>
    <t>WELLNESS BINH DUONG</t>
  </si>
  <si>
    <t>WELLNESS</t>
  </si>
  <si>
    <t>AEON_W_BDUONG_RDC</t>
  </si>
  <si>
    <t>WELLNESS BINH TAN</t>
  </si>
  <si>
    <t>AEON_W_BTAN_RDC</t>
  </si>
  <si>
    <t>WELLNESS GIGA MALL</t>
  </si>
  <si>
    <t>AEON_W_GIGA_RDC</t>
  </si>
  <si>
    <t>WELLNESS HA DONG</t>
  </si>
  <si>
    <t>AEON_W_HDONG_RDC</t>
  </si>
  <si>
    <t>WELLNESS HAI PHONG</t>
  </si>
  <si>
    <t>AEON_W_HPHONG_RDC</t>
  </si>
  <si>
    <t>WELLNESS LONG BIEN</t>
  </si>
  <si>
    <t>AEON_W_LBIEN_RDC</t>
  </si>
  <si>
    <t>WELLNESS TAN PHU</t>
  </si>
  <si>
    <t>AEON_W_TPHU_RDC</t>
  </si>
  <si>
    <t>WELLNESS VAN HANH MALL</t>
  </si>
  <si>
    <t>AEON_VHANH_RDC</t>
  </si>
  <si>
    <t>FAHASHA GIA DINH</t>
  </si>
  <si>
    <t>FAHASHA</t>
  </si>
  <si>
    <t>FA_GDTN</t>
  </si>
  <si>
    <t>FAHASHA NGUYEN HUE</t>
  </si>
  <si>
    <t>FA_NHNH</t>
  </si>
  <si>
    <t>FAHASHA PHU NHUAN</t>
  </si>
  <si>
    <t>FA_PNPN</t>
  </si>
  <si>
    <t>FAHASHA TRUONG CHINH</t>
  </si>
  <si>
    <t>FA_TCTC</t>
  </si>
  <si>
    <t>FAHASHA XUAN THU</t>
  </si>
  <si>
    <t>FA_XTSG</t>
  </si>
  <si>
    <t>AB BEAUTY WORLD</t>
  </si>
  <si>
    <t>ABBW</t>
  </si>
  <si>
    <t>AB_PART</t>
  </si>
  <si>
    <t>AB BEAUTY WORLD LE DAI HANH</t>
  </si>
  <si>
    <t>AB_LDH</t>
  </si>
  <si>
    <t>AB BEAUTY WORLD PHAN DANG LUU</t>
  </si>
  <si>
    <t>AB_PDL</t>
  </si>
  <si>
    <t>AB BEAUTY WORLD LE VAN SY</t>
  </si>
  <si>
    <t>AB_LVS</t>
  </si>
  <si>
    <t>AB BEAUTY WORLD MA LO</t>
  </si>
  <si>
    <t>AB_MALO</t>
  </si>
  <si>
    <t>AB BEAUTY WORLD LUY BAN BICH</t>
  </si>
  <si>
    <t>AB_LBB</t>
  </si>
  <si>
    <t>AB BEAUTY WORLD NGUYEN THI THAP</t>
  </si>
  <si>
    <t>AB_NTTHAP</t>
  </si>
  <si>
    <t>GS25</t>
  </si>
  <si>
    <t>6351</t>
  </si>
  <si>
    <t>STORE</t>
  </si>
  <si>
    <t>HỆ THỐNG</t>
  </si>
  <si>
    <t>MA KH</t>
  </si>
  <si>
    <t>%</t>
  </si>
  <si>
    <t>SALE IN</t>
  </si>
  <si>
    <t>ADIDAS</t>
  </si>
  <si>
    <t>FUJITSU</t>
  </si>
  <si>
    <t>BAKING SODA</t>
  </si>
  <si>
    <t>2184</t>
  </si>
  <si>
    <t>TOTAL</t>
  </si>
  <si>
    <t>BCH HOA XANH THU DUC</t>
  </si>
  <si>
    <t>SATRA_F1199HTP2</t>
  </si>
  <si>
    <t>VINMART KHO VINH LONG</t>
  </si>
  <si>
    <t xml:space="preserve">COOP CAN GIUOC </t>
  </si>
  <si>
    <t>SATRAFOOD 1218 TAN CANG</t>
  </si>
  <si>
    <t>VIN KHO VINH LONG</t>
  </si>
  <si>
    <t>TARGET</t>
  </si>
  <si>
    <t>SD_TERRACE</t>
  </si>
  <si>
    <t>BACH HOA XANH TAN PHU TRUNG</t>
  </si>
  <si>
    <t>BHX_6911_KGIANG</t>
  </si>
  <si>
    <t>BACH HOA XANH KIEN GIANG</t>
  </si>
  <si>
    <t>BHX_9899_TPHU</t>
  </si>
  <si>
    <t>AN NAM TERRACE</t>
  </si>
  <si>
    <t>GENSHAI TERACE</t>
  </si>
  <si>
    <t>THÁNG</t>
  </si>
  <si>
    <t>ADIDAS BIGC</t>
  </si>
  <si>
    <t>COL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</si>
  <si>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</si>
  <si>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</si>
  <si>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</si>
  <si>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</si>
  <si>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</si>
  <si>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</si>
  <si>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</si>
  <si>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</si>
  <si>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</si>
  <si>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</si>
  <si>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</si>
  <si>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</si>
  <si>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4812_THISO</t>
  </si>
  <si>
    <t>CÔNG TY TNHH THISO RETAIL</t>
  </si>
  <si>
    <t>SD_LAND81</t>
  </si>
  <si>
    <t>AN NAM LANDMART 81</t>
  </si>
  <si>
    <t>6355</t>
  </si>
  <si>
    <t>KING KONG MART</t>
  </si>
  <si>
    <t>SATRAFOOD1199 HUYNH TAN PHAT</t>
  </si>
  <si>
    <t>6485</t>
  </si>
  <si>
    <t>CÔNG TY CỔ PHẦN ĐẦU TƯ QUỐC TẾ UBG</t>
  </si>
  <si>
    <t>VIN_KHOA</t>
  </si>
  <si>
    <t>VINMART KHANH HOA</t>
  </si>
  <si>
    <t>UBG</t>
  </si>
  <si>
    <t>VIN_KHO_HYEN</t>
  </si>
  <si>
    <t>VINMART HUNG YEN</t>
  </si>
  <si>
    <t>SD_TDUC</t>
  </si>
  <si>
    <t>6494</t>
  </si>
  <si>
    <t>AN NAM THU DUC</t>
  </si>
  <si>
    <t xml:space="preserve">FLASHGROCERY </t>
  </si>
  <si>
    <t>VIN_BDUONG</t>
  </si>
  <si>
    <t>BIGC_GO_LAOCAI</t>
  </si>
  <si>
    <t>BHX_10864_ONLDHOA</t>
  </si>
  <si>
    <t>VINMART BINH DUONG</t>
  </si>
  <si>
    <t>BIG C GO LAO CAI</t>
  </si>
  <si>
    <t>BACH HOA XANH DUC HOA</t>
  </si>
  <si>
    <t>KOHNAN_SMARTCITY</t>
  </si>
  <si>
    <t>KOHNAN SMART CITY</t>
  </si>
  <si>
    <t>3S_PTHIET</t>
  </si>
  <si>
    <t>6498</t>
  </si>
  <si>
    <t>COOP_TLTCHINH</t>
  </si>
  <si>
    <t>BIGC_GO_GDAU</t>
  </si>
  <si>
    <t>HO KINH DOANH 3S PHAN THIET</t>
  </si>
  <si>
    <t>3S PHAN THIET</t>
  </si>
  <si>
    <t>HO KINH DOANH SK GOURMET</t>
  </si>
  <si>
    <t>SK GOURMET</t>
  </si>
  <si>
    <t>COOP THANG LOI TRUONG CHINH</t>
  </si>
  <si>
    <t>BIG C GO DAU</t>
  </si>
  <si>
    <t>6441_PEGASUITE</t>
  </si>
  <si>
    <t>COOP_MDUC</t>
  </si>
  <si>
    <t>COOP_QLO50</t>
  </si>
  <si>
    <t>SD_NVT</t>
  </si>
  <si>
    <t>VIN_BNINH</t>
  </si>
  <si>
    <t>VINMART BAC NINH</t>
  </si>
  <si>
    <t>CTY CP HASHTAG ECOS PEGASUITE</t>
  </si>
  <si>
    <t>COOP MINH DUC</t>
  </si>
  <si>
    <t>COOP QUOC LO 50</t>
  </si>
  <si>
    <t>AN NAM NGUYEN VAN TROI</t>
  </si>
  <si>
    <t>TNM_VINCTHO</t>
  </si>
  <si>
    <t>ME_CH142</t>
  </si>
  <si>
    <t>COOP_TQT</t>
  </si>
  <si>
    <t>6504</t>
  </si>
  <si>
    <t>COOP_NTHONG1</t>
  </si>
  <si>
    <t>COOP_HTPHAT</t>
  </si>
  <si>
    <t>THIEU NHI MOI VINMART CAN THO</t>
  </si>
  <si>
    <t>MEDICARE PHAM HUNG</t>
  </si>
  <si>
    <t>COOP TRAN QUOC THAO</t>
  </si>
  <si>
    <t>CÔNG TY GRELI</t>
  </si>
  <si>
    <t>GRELI</t>
  </si>
  <si>
    <t>COOP NGUYEN THONG 1</t>
  </si>
  <si>
    <t>COOPFOOD HUYNH TAN PHAT</t>
  </si>
  <si>
    <t>COOP_FOOD_NXI</t>
  </si>
  <si>
    <t>COOP_FOOD_TTTHUYET</t>
  </si>
  <si>
    <t>COOPFOOD NGUYEN XI</t>
  </si>
  <si>
    <t>COOPFOOD TON THAT THUYET</t>
  </si>
  <si>
    <t>COOP_SAFIRAKDIEN</t>
  </si>
  <si>
    <t>COOP_TTHO</t>
  </si>
  <si>
    <t>COOP_TLOC17</t>
  </si>
  <si>
    <t>COOPFOOD TRUONG THO</t>
  </si>
  <si>
    <t>COOPFOOD THANH LOC 17</t>
  </si>
  <si>
    <t>COOPFOOD SAFIRA KHANG DIEN</t>
  </si>
  <si>
    <t>COOP_TNHAU1</t>
  </si>
  <si>
    <t>COOP THOAI NGOC HAU</t>
  </si>
  <si>
    <t>VIN_BHOA</t>
  </si>
  <si>
    <t>VIN_CTHO</t>
  </si>
  <si>
    <t>BIGC_TDUC</t>
  </si>
  <si>
    <t>LOTTE_VINH</t>
  </si>
  <si>
    <t>COOP_F_LVBEN</t>
  </si>
  <si>
    <t>SD_VINSMART</t>
  </si>
  <si>
    <t>SD_SYRENA</t>
  </si>
  <si>
    <t>COOP_F_KDONG</t>
  </si>
  <si>
    <t>LC_HCM</t>
  </si>
  <si>
    <t>HD_AUCO</t>
  </si>
  <si>
    <t>SD_TIMESCITY</t>
  </si>
  <si>
    <t>LC_HN</t>
  </si>
  <si>
    <t>TNH_VINCOMVTRI</t>
  </si>
  <si>
    <t>VINMART BIEN HOA</t>
  </si>
  <si>
    <t>VINMART CAN THO</t>
  </si>
  <si>
    <t>BIG C THU DUC</t>
  </si>
  <si>
    <t>LOTTE VINH</t>
  </si>
  <si>
    <t>COOPFOOD LAM VAN BEN</t>
  </si>
  <si>
    <t>AN NAM VINSMART</t>
  </si>
  <si>
    <t>AN NAM SYRENA</t>
  </si>
  <si>
    <t>COOPFOOD KI DONG</t>
  </si>
  <si>
    <t>LONG CHAU HCM</t>
  </si>
  <si>
    <t>LONG CHAU</t>
  </si>
  <si>
    <t>GENSHAI AU CO</t>
  </si>
  <si>
    <t>AN NAM TIMESCITY</t>
  </si>
  <si>
    <t>LONG CHAU HA NOI</t>
  </si>
  <si>
    <t>COOP_F_QL50</t>
  </si>
  <si>
    <t>COOPFOOD QUOC LO 50</t>
  </si>
  <si>
    <t>COOP_F_BELLE</t>
  </si>
  <si>
    <t>TNM_VIN_VTRI</t>
  </si>
  <si>
    <t>COOP_F_TXSOAN</t>
  </si>
  <si>
    <t>COOPFOOD BELLE</t>
  </si>
  <si>
    <t>COOPFOOD TRAN XUAN SOAN</t>
  </si>
  <si>
    <t>COOP_F_PYNHTHO</t>
  </si>
  <si>
    <t>KOHNAN_NTT</t>
  </si>
  <si>
    <t>COOP_F_DIAMOND</t>
  </si>
  <si>
    <t>COOP_F_ADVUONG</t>
  </si>
  <si>
    <t>SD_NLB</t>
  </si>
  <si>
    <t>COOPFOOD PHU YEN</t>
  </si>
  <si>
    <t>KOHNAN NGUYEN THI THAP</t>
  </si>
  <si>
    <t>COOPFOOD DIAMOND</t>
  </si>
  <si>
    <t>COOPFOO AN DUONG VUONG</t>
  </si>
  <si>
    <t>AN NAM NGUYEN LUONG BANG</t>
  </si>
  <si>
    <t>COOPFOOD</t>
  </si>
  <si>
    <t>SD_FELIZ</t>
  </si>
  <si>
    <t>COOP_F_GREENSTAR</t>
  </si>
  <si>
    <t>6522</t>
  </si>
  <si>
    <t>AN NAM FELIZ</t>
  </si>
  <si>
    <t>COOPFOOD GREENSTAR</t>
  </si>
  <si>
    <t>EMIVEST FEEDMILL</t>
  </si>
  <si>
    <t>COOP_NLB</t>
  </si>
  <si>
    <t>SD_LBIEN</t>
  </si>
  <si>
    <t>BIGC_GO_PMY</t>
  </si>
  <si>
    <t>AN NAM LONG BIEN</t>
  </si>
  <si>
    <t>BIG C PHU MY</t>
  </si>
  <si>
    <t>COOP NGUYEN LUONG BANG</t>
  </si>
  <si>
    <t>COOP_PTHO</t>
  </si>
  <si>
    <t>BHX_13935_ONLVLOC</t>
  </si>
  <si>
    <t>COOP PHU THO 1</t>
  </si>
  <si>
    <t>BACH HOA XANH OL VINH LOC</t>
  </si>
  <si>
    <t>BACH HOA XANH</t>
  </si>
  <si>
    <t>COOP_F_CLO</t>
  </si>
  <si>
    <t>COOP_LTK</t>
  </si>
  <si>
    <t>6527</t>
  </si>
  <si>
    <t xml:space="preserve">Công Ty TNHH Phạm Huy Anh </t>
  </si>
  <si>
    <t>4812_SALA</t>
  </si>
  <si>
    <t>COOPFOOD CAO LO</t>
  </si>
  <si>
    <t>COOP LY THUONG KIET 1</t>
  </si>
  <si>
    <t>PHAM HUY ANH</t>
  </si>
  <si>
    <t>CÔNG TY TNHH THISO RETAIL SALA</t>
  </si>
  <si>
    <t>FUJITSU 
LONG CHAU</t>
  </si>
  <si>
    <t>BAKING</t>
  </si>
  <si>
    <t xml:space="preserve">LONG CHÂU </t>
  </si>
  <si>
    <t xml:space="preserve">BHX </t>
  </si>
  <si>
    <t>FUJITSU 
VM/VM+</t>
  </si>
  <si>
    <t xml:space="preserve">COOP  </t>
  </si>
  <si>
    <t xml:space="preserve">BIG C  </t>
  </si>
  <si>
    <t>SL HOP</t>
  </si>
  <si>
    <t>THÙNG</t>
  </si>
  <si>
    <t xml:space="preserve">FUJITSU </t>
  </si>
  <si>
    <t>COOP</t>
  </si>
  <si>
    <t xml:space="preserve">MEGA </t>
  </si>
  <si>
    <t xml:space="preserve">Big C  </t>
  </si>
  <si>
    <t xml:space="preserve">Lotte </t>
  </si>
  <si>
    <t>ADIDAS 
VM/VM+</t>
  </si>
  <si>
    <t xml:space="preserve">VIN   </t>
  </si>
  <si>
    <t>2021</t>
  </si>
  <si>
    <t xml:space="preserve">BAKING </t>
  </si>
  <si>
    <t xml:space="preserve">LOTTE </t>
  </si>
  <si>
    <t>COLEMAN</t>
  </si>
  <si>
    <t>2022</t>
  </si>
  <si>
    <t xml:space="preserve">Target </t>
  </si>
  <si>
    <t xml:space="preserve">Emart </t>
  </si>
  <si>
    <t xml:space="preserve">MEGA  </t>
  </si>
  <si>
    <t xml:space="preserve">Aeon City </t>
  </si>
  <si>
    <t>2023</t>
  </si>
  <si>
    <t xml:space="preserve">KINGFOOD   </t>
  </si>
  <si>
    <t>GHENSHAI</t>
  </si>
  <si>
    <t>KINGFOOD</t>
  </si>
  <si>
    <t xml:space="preserve">GHENSAI </t>
  </si>
  <si>
    <t xml:space="preserve">FARRMERS   </t>
  </si>
  <si>
    <t>2024</t>
  </si>
  <si>
    <t xml:space="preserve">ÂN NAM </t>
  </si>
  <si>
    <t xml:space="preserve">AZARINE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</si>
</sst>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\ _₫_-;\-* #,##0\ _₫_-;_-* &quot;-&quot;??\ _₫_-;_-@_-"/>
    <numFmt numFmtId="166" formatCode="_(* #,##0_);_(* \(#,##0\);_(* &quot;-&quot;??_);_(@_)"/>
    <numFmt numFmtId="167" formatCode="0.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.75"/>
      <color rgb="FF000000"/>
      <name val="Times New Roman"/>
      <family val="1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</font>
    <font>
      <sz val="10"/>
      <name val="VNI-Aptima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0"/>
      <name val="Times New Roman"/>
      <family val="1"/>
    </font>
    <font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96969"/>
      </left>
      <right/>
      <top/>
      <bottom style="thin">
        <color rgb="FF69696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8" fillId="0" borderId="0"/>
    <xf numFmtId="9" fontId="9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quotePrefix="1"/>
    <xf numFmtId="0" fontId="0" fillId="0" borderId="1" xfId="0" applyBorder="1"/>
    <xf numFmtId="49" fontId="2" fillId="0" borderId="2" xfId="0" applyNumberFormat="1" applyFont="1" applyBorder="1" applyAlignment="1">
      <alignment horizontal="left" vertical="center" readingOrder="1"/>
    </xf>
    <xf numFmtId="0" fontId="3" fillId="0" borderId="0" xfId="0" applyFont="1"/>
    <xf numFmtId="49" fontId="2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4" fillId="0" borderId="1" xfId="0" applyFont="1" applyBorder="1"/>
    <xf numFmtId="49" fontId="2" fillId="0" borderId="1" xfId="0" applyNumberFormat="1" applyFont="1" applyBorder="1" applyAlignment="1">
      <alignment horizontal="left" vertical="center" readingOrder="1"/>
    </xf>
    <xf numFmtId="0" fontId="5" fillId="0" borderId="0" xfId="0" applyFont="1"/>
    <xf numFmtId="0" fontId="5" fillId="0" borderId="0" xfId="0" applyFont="1" applyAlignment="1">
      <alignment horizontal="left"/>
    </xf>
    <xf numFmtId="49" fontId="2" fillId="0" borderId="2" xfId="0" applyNumberFormat="1" applyFont="1" applyBorder="1" applyAlignment="1">
      <alignment horizontal="left" vertical="center" wrapText="1" readingOrder="1"/>
    </xf>
    <xf numFmtId="0" fontId="4" fillId="0" borderId="1" xfId="0" quotePrefix="1" applyFont="1" applyBorder="1"/>
    <xf numFmtId="0" fontId="5" fillId="0" borderId="0" xfId="0" quotePrefix="1" applyFont="1"/>
    <xf numFmtId="0" fontId="6" fillId="2" borderId="0" xfId="0" applyFont="1" applyFill="1" applyAlignment="1">
      <alignment horizontal="center" vertical="center"/>
    </xf>
    <xf numFmtId="165" fontId="0" fillId="0" borderId="0" xfId="1" applyNumberFormat="1" applyFont="1"/>
    <xf numFmtId="1" fontId="0" fillId="0" borderId="0" xfId="0" applyNumberFormat="1"/>
    <xf numFmtId="49" fontId="10" fillId="0" borderId="2" xfId="0" applyNumberFormat="1" applyFont="1" applyBorder="1" applyAlignment="1">
      <alignment horizontal="left" vertical="center" readingOrder="1"/>
    </xf>
    <xf numFmtId="49" fontId="11" fillId="0" borderId="2" xfId="0" applyNumberFormat="1" applyFont="1" applyBorder="1" applyAlignment="1">
      <alignment horizontal="left" vertical="center" readingOrder="1"/>
    </xf>
    <xf numFmtId="0" fontId="12" fillId="0" borderId="1" xfId="0" applyFont="1" applyBorder="1"/>
    <xf numFmtId="0" fontId="12" fillId="0" borderId="0" xfId="0" applyFont="1"/>
    <xf numFmtId="49" fontId="11" fillId="0" borderId="2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49" fontId="13" fillId="0" borderId="2" xfId="0" applyNumberFormat="1" applyFont="1" applyBorder="1" applyAlignment="1">
      <alignment horizontal="left" vertical="center" readingOrder="1"/>
    </xf>
    <xf numFmtId="49" fontId="2" fillId="0" borderId="0" xfId="0" applyNumberFormat="1" applyFont="1" applyAlignment="1">
      <alignment horizontal="left" vertical="center" readingOrder="1"/>
    </xf>
    <xf numFmtId="49" fontId="14" fillId="0" borderId="2" xfId="0" applyNumberFormat="1" applyFont="1" applyBorder="1" applyAlignment="1">
      <alignment horizontal="left" vertical="center" readingOrder="1"/>
    </xf>
    <xf numFmtId="49" fontId="10" fillId="0" borderId="0" xfId="0" applyNumberFormat="1" applyFont="1" applyAlignment="1">
      <alignment horizontal="left" vertical="center" readingOrder="1"/>
    </xf>
    <xf numFmtId="49" fontId="15" fillId="0" borderId="2" xfId="0" applyNumberFormat="1" applyFont="1" applyBorder="1" applyAlignment="1">
      <alignment horizontal="left" vertical="center" readingOrder="1"/>
    </xf>
    <xf numFmtId="49" fontId="16" fillId="0" borderId="2" xfId="0" applyNumberFormat="1" applyFont="1" applyBorder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49" fontId="11" fillId="0" borderId="2" xfId="0" applyNumberFormat="1" applyFont="1" applyBorder="1" applyAlignment="1">
      <alignment horizontal="left" vertical="center" wrapText="1" readingOrder="1"/>
    </xf>
    <xf numFmtId="49" fontId="17" fillId="0" borderId="2" xfId="0" applyNumberFormat="1" applyFont="1" applyBorder="1" applyAlignment="1">
      <alignment horizontal="left" vertical="center"/>
    </xf>
    <xf numFmtId="49" fontId="18" fillId="0" borderId="2" xfId="0" applyNumberFormat="1" applyFont="1" applyBorder="1" applyAlignment="1">
      <alignment horizontal="left" vertical="center" wrapText="1" readingOrder="1"/>
    </xf>
    <xf numFmtId="0" fontId="7" fillId="0" borderId="1" xfId="0" applyFont="1" applyBorder="1"/>
    <xf numFmtId="165" fontId="7" fillId="0" borderId="1" xfId="1" applyNumberFormat="1" applyFont="1" applyBorder="1"/>
    <xf numFmtId="9" fontId="7" fillId="0" borderId="1" xfId="2" applyFont="1" applyBorder="1" applyAlignment="1">
      <alignment horizontal="center"/>
    </xf>
    <xf numFmtId="0" fontId="19" fillId="0" borderId="0" xfId="0" applyFont="1"/>
    <xf numFmtId="165" fontId="7" fillId="4" borderId="7" xfId="1" applyNumberFormat="1" applyFont="1" applyFill="1" applyBorder="1" applyAlignment="1">
      <alignment horizontal="center"/>
    </xf>
    <xf numFmtId="165" fontId="7" fillId="4" borderId="1" xfId="1" applyNumberFormat="1" applyFont="1" applyFill="1" applyBorder="1" applyAlignment="1">
      <alignment horizontal="center"/>
    </xf>
    <xf numFmtId="0" fontId="12" fillId="0" borderId="3" xfId="0" applyFont="1" applyBorder="1"/>
    <xf numFmtId="165" fontId="12" fillId="0" borderId="1" xfId="1" applyNumberFormat="1" applyFont="1" applyBorder="1"/>
    <xf numFmtId="166" fontId="12" fillId="0" borderId="1" xfId="1" applyNumberFormat="1" applyFont="1" applyBorder="1" applyAlignment="1">
      <alignment horizontal="center"/>
    </xf>
    <xf numFmtId="165" fontId="12" fillId="3" borderId="1" xfId="0" applyNumberFormat="1" applyFont="1" applyFill="1" applyBorder="1" applyAlignment="1">
      <alignment vertical="center"/>
    </xf>
    <xf numFmtId="165" fontId="12" fillId="0" borderId="1" xfId="1" applyNumberFormat="1" applyFont="1" applyBorder="1" applyAlignment="1">
      <alignment horizontal="center"/>
    </xf>
    <xf numFmtId="165" fontId="20" fillId="3" borderId="1" xfId="1" applyNumberFormat="1" applyFont="1" applyFill="1" applyBorder="1" applyAlignment="1">
      <alignment vertical="center"/>
    </xf>
    <xf numFmtId="165" fontId="12" fillId="3" borderId="1" xfId="0" applyNumberFormat="1" applyFont="1" applyFill="1" applyBorder="1"/>
    <xf numFmtId="165" fontId="19" fillId="0" borderId="0" xfId="1" applyNumberFormat="1" applyFont="1"/>
    <xf numFmtId="165" fontId="12" fillId="0" borderId="4" xfId="1" applyNumberFormat="1" applyFont="1" applyBorder="1"/>
    <xf numFmtId="165" fontId="12" fillId="3" borderId="5" xfId="0" applyNumberFormat="1" applyFont="1" applyFill="1" applyBorder="1" applyAlignment="1">
      <alignment vertical="center"/>
    </xf>
    <xf numFmtId="165" fontId="12" fillId="0" borderId="5" xfId="1" applyNumberFormat="1" applyFont="1" applyBorder="1"/>
    <xf numFmtId="166" fontId="0" fillId="0" borderId="0" xfId="1" applyNumberFormat="1" applyFont="1"/>
    <xf numFmtId="166" fontId="12" fillId="0" borderId="1" xfId="1" applyNumberFormat="1" applyFont="1" applyBorder="1" applyAlignment="1">
      <alignment horizontal="center" vertical="center"/>
    </xf>
    <xf numFmtId="165" fontId="7" fillId="3" borderId="7" xfId="1" applyNumberFormat="1" applyFont="1" applyFill="1" applyBorder="1" applyAlignment="1">
      <alignment horizontal="center"/>
    </xf>
    <xf numFmtId="1" fontId="7" fillId="3" borderId="4" xfId="0" applyNumberFormat="1" applyFont="1" applyFill="1" applyBorder="1" applyAlignment="1">
      <alignment horizontal="center" vertical="center" wrapText="1"/>
    </xf>
    <xf numFmtId="165" fontId="7" fillId="3" borderId="1" xfId="1" applyNumberFormat="1" applyFont="1" applyFill="1" applyBorder="1" applyAlignment="1">
      <alignment horizontal="center"/>
    </xf>
    <xf numFmtId="1" fontId="7" fillId="3" borderId="5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5" fontId="7" fillId="0" borderId="1" xfId="1" applyNumberFormat="1" applyFont="1" applyBorder="1" applyAlignment="1">
      <alignment horizontal="center"/>
    </xf>
    <xf numFmtId="1" fontId="7" fillId="4" borderId="5" xfId="0" applyNumberFormat="1" applyFont="1" applyFill="1" applyBorder="1" applyAlignment="1">
      <alignment horizontal="center" vertical="center"/>
    </xf>
    <xf numFmtId="1" fontId="7" fillId="4" borderId="4" xfId="0" applyNumberFormat="1" applyFont="1" applyFill="1" applyBorder="1" applyAlignment="1">
      <alignment horizontal="center" vertical="center" wrapText="1"/>
    </xf>
    <xf numFmtId="165" fontId="12" fillId="5" borderId="1" xfId="1" applyNumberFormat="1" applyFont="1" applyFill="1" applyBorder="1" applyAlignment="1">
      <alignment horizontal="center"/>
    </xf>
    <xf numFmtId="165" fontId="12" fillId="3" borderId="1" xfId="1" applyNumberFormat="1" applyFont="1" applyFill="1" applyBorder="1" applyAlignment="1">
      <alignment horizontal="center"/>
    </xf>
    <xf numFmtId="0" fontId="7" fillId="0" borderId="1" xfId="0" applyFont="1" applyBorder="1" applyAlignment="1">
      <alignment vertical="center"/>
    </xf>
    <xf numFmtId="165" fontId="7" fillId="0" borderId="1" xfId="1" applyNumberFormat="1" applyFont="1" applyBorder="1" applyAlignment="1">
      <alignment vertical="center"/>
    </xf>
    <xf numFmtId="0" fontId="19" fillId="0" borderId="0" xfId="0" applyFont="1" applyAlignment="1">
      <alignment vertical="center"/>
    </xf>
    <xf numFmtId="165" fontId="22" fillId="0" borderId="1" xfId="1" applyNumberFormat="1" applyFont="1" applyBorder="1" applyAlignment="1">
      <alignment vertical="center"/>
    </xf>
    <xf numFmtId="165" fontId="23" fillId="3" borderId="1" xfId="1" applyNumberFormat="1" applyFont="1" applyFill="1" applyBorder="1" applyAlignment="1">
      <alignment horizontal="center"/>
    </xf>
    <xf numFmtId="165" fontId="12" fillId="0" borderId="1" xfId="1" applyNumberFormat="1" applyFont="1" applyBorder="1" applyAlignment="1"/>
    <xf numFmtId="165" fontId="21" fillId="0" borderId="0" xfId="1" applyNumberFormat="1" applyFont="1" applyAlignment="1">
      <alignment vertical="center"/>
    </xf>
    <xf numFmtId="165" fontId="21" fillId="4" borderId="0" xfId="1" applyNumberFormat="1" applyFont="1" applyFill="1" applyAlignment="1">
      <alignment vertical="center"/>
    </xf>
    <xf numFmtId="165" fontId="25" fillId="0" borderId="0" xfId="1" applyNumberFormat="1" applyFont="1" applyAlignment="1">
      <alignment vertical="center"/>
    </xf>
    <xf numFmtId="165" fontId="24" fillId="0" borderId="0" xfId="1" applyNumberFormat="1" applyFont="1" applyAlignment="1">
      <alignment vertical="center"/>
    </xf>
    <xf numFmtId="9" fontId="22" fillId="0" borderId="1" xfId="2" applyFont="1" applyBorder="1" applyAlignment="1">
      <alignment horizontal="center" vertical="center"/>
    </xf>
    <xf numFmtId="9" fontId="7" fillId="0" borderId="1" xfId="2" applyFont="1" applyBorder="1" applyAlignment="1">
      <alignment horizontal="center" vertical="center"/>
    </xf>
    <xf numFmtId="167" fontId="0" fillId="0" borderId="0" xfId="0" applyNumberFormat="1"/>
    <xf numFmtId="49" fontId="25" fillId="0" borderId="0" xfId="1" applyNumberFormat="1" applyFont="1" applyAlignment="1">
      <alignment horizontal="center" vertical="center"/>
    </xf>
    <xf numFmtId="165" fontId="26" fillId="0" borderId="0" xfId="1" applyNumberFormat="1" applyFont="1" applyAlignment="1">
      <alignment vertical="center"/>
    </xf>
    <xf numFmtId="1" fontId="21" fillId="0" borderId="0" xfId="0" applyNumberFormat="1" applyFont="1"/>
    <xf numFmtId="166" fontId="26" fillId="0" borderId="0" xfId="1" applyNumberFormat="1" applyFont="1"/>
    <xf numFmtId="9" fontId="0" fillId="0" borderId="0" xfId="2" applyFont="1"/>
    <xf numFmtId="165" fontId="21" fillId="3" borderId="0" xfId="1" applyNumberFormat="1" applyFont="1" applyFill="1" applyAlignment="1">
      <alignment vertical="center"/>
    </xf>
    <xf numFmtId="165" fontId="27" fillId="0" borderId="0" xfId="1" applyNumberFormat="1" applyFont="1"/>
    <xf numFmtId="165" fontId="27" fillId="0" borderId="0" xfId="1" applyNumberFormat="1" applyFont="1" applyAlignment="1">
      <alignment vertical="center"/>
    </xf>
    <xf numFmtId="165" fontId="28" fillId="0" borderId="1" xfId="1" applyNumberFormat="1" applyFont="1" applyBorder="1" applyAlignment="1">
      <alignment horizontal="center"/>
    </xf>
    <xf numFmtId="166" fontId="0" fillId="0" borderId="1" xfId="0" applyNumberFormat="1" applyBorder="1"/>
    <xf numFmtId="166" fontId="29" fillId="0" borderId="0" xfId="1" applyNumberFormat="1" applyFont="1"/>
    <xf numFmtId="164" fontId="0" fillId="0" borderId="0" xfId="1" applyFont="1"/>
    <xf numFmtId="9" fontId="0" fillId="6" borderId="0" xfId="2" applyFont="1" applyFill="1"/>
    <xf numFmtId="9" fontId="24" fillId="0" borderId="0" xfId="2" applyFont="1"/>
    <xf numFmtId="1" fontId="22" fillId="3" borderId="4" xfId="0" applyNumberFormat="1" applyFont="1" applyFill="1" applyBorder="1" applyAlignment="1">
      <alignment horizontal="center" vertical="center" wrapText="1"/>
    </xf>
    <xf numFmtId="1" fontId="22" fillId="3" borderId="5" xfId="0" applyNumberFormat="1" applyFont="1" applyFill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165" fontId="20" fillId="0" borderId="1" xfId="1" applyNumberFormat="1" applyFont="1" applyBorder="1" applyAlignment="1">
      <alignment horizontal="center"/>
    </xf>
    <xf numFmtId="165" fontId="0" fillId="0" borderId="1" xfId="1" applyNumberFormat="1" applyFont="1" applyBorder="1"/>
    <xf numFmtId="1" fontId="7" fillId="4" borderId="4" xfId="0" applyNumberFormat="1" applyFont="1" applyFill="1" applyBorder="1" applyAlignment="1">
      <alignment horizontal="center" vertical="center" wrapText="1"/>
    </xf>
    <xf numFmtId="1" fontId="7" fillId="4" borderId="5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65" fontId="7" fillId="4" borderId="4" xfId="1" applyNumberFormat="1" applyFont="1" applyFill="1" applyBorder="1" applyAlignment="1">
      <alignment horizontal="center" vertical="center"/>
    </xf>
    <xf numFmtId="165" fontId="7" fillId="4" borderId="5" xfId="1" applyNumberFormat="1" applyFont="1" applyFill="1" applyBorder="1" applyAlignment="1">
      <alignment horizontal="center" vertical="center"/>
    </xf>
    <xf numFmtId="165" fontId="7" fillId="4" borderId="6" xfId="1" applyNumberFormat="1" applyFont="1" applyFill="1" applyBorder="1" applyAlignment="1">
      <alignment horizontal="center"/>
    </xf>
    <xf numFmtId="1" fontId="7" fillId="4" borderId="4" xfId="0" applyNumberFormat="1" applyFont="1" applyFill="1" applyBorder="1" applyAlignment="1">
      <alignment horizontal="center" vertical="center"/>
    </xf>
    <xf numFmtId="165" fontId="7" fillId="3" borderId="4" xfId="1" applyNumberFormat="1" applyFont="1" applyFill="1" applyBorder="1" applyAlignment="1">
      <alignment horizontal="center" vertical="center" wrapText="1"/>
    </xf>
    <xf numFmtId="165" fontId="7" fillId="3" borderId="5" xfId="1" applyNumberFormat="1" applyFont="1" applyFill="1" applyBorder="1" applyAlignment="1">
      <alignment horizontal="center" vertical="center"/>
    </xf>
    <xf numFmtId="165" fontId="7" fillId="3" borderId="4" xfId="1" applyNumberFormat="1" applyFont="1" applyFill="1" applyBorder="1" applyAlignment="1">
      <alignment horizontal="center" vertical="center"/>
    </xf>
    <xf numFmtId="165" fontId="7" fillId="4" borderId="4" xfId="1" applyNumberFormat="1" applyFont="1" applyFill="1" applyBorder="1" applyAlignment="1">
      <alignment horizontal="center" vertical="center" wrapText="1"/>
    </xf>
    <xf numFmtId="1" fontId="7" fillId="3" borderId="4" xfId="0" applyNumberFormat="1" applyFont="1" applyFill="1" applyBorder="1" applyAlignment="1">
      <alignment horizontal="center" vertical="center" wrapText="1"/>
    </xf>
    <xf numFmtId="1" fontId="7" fillId="3" borderId="5" xfId="0" applyNumberFormat="1" applyFont="1" applyFill="1" applyBorder="1" applyAlignment="1">
      <alignment horizontal="center" vertical="center"/>
    </xf>
    <xf numFmtId="1" fontId="7" fillId="3" borderId="5" xfId="0" applyNumberFormat="1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165" fontId="7" fillId="3" borderId="6" xfId="1" applyNumberFormat="1" applyFont="1" applyFill="1" applyBorder="1" applyAlignment="1">
      <alignment horizontal="center"/>
    </xf>
    <xf numFmtId="1" fontId="7" fillId="3" borderId="4" xfId="0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3" xr:uid="{00000000-0005-0000-0000-000001000000}"/>
    <cellStyle name="Normal" xfId="0" builtinId="0"/>
    <cellStyle name="Normal 2" xfId="5" xr:uid="{00000000-0005-0000-0000-000003000000}"/>
    <cellStyle name="Normal 3" xfId="4" xr:uid="{00000000-0005-0000-0000-000004000000}"/>
    <cellStyle name="Percent" xfId="2" builtinId="5"/>
    <cellStyle name="Percent 2" xfId="6" xr:uid="{00000000-0005-0000-0000-000006000000}"/>
  </cellStyles>
  <dxfs count="4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javascript:GotoSubLeger_" TargetMode="External"/><Relationship Id="rId21" Type="http://schemas.openxmlformats.org/officeDocument/2006/relationships/hyperlink" Target="javascript:GotoSubLeger_" TargetMode="External"/><Relationship Id="rId42" Type="http://schemas.openxmlformats.org/officeDocument/2006/relationships/hyperlink" Target="javascript:GotoSubLeger_" TargetMode="External"/><Relationship Id="rId47" Type="http://schemas.openxmlformats.org/officeDocument/2006/relationships/hyperlink" Target="javascript:GotoSubLeger_" TargetMode="External"/><Relationship Id="rId63" Type="http://schemas.openxmlformats.org/officeDocument/2006/relationships/hyperlink" Target="javascript:GotoSubLeger_" TargetMode="External"/><Relationship Id="rId68" Type="http://schemas.openxmlformats.org/officeDocument/2006/relationships/hyperlink" Target="javascript:GotoSubLeger_" TargetMode="External"/><Relationship Id="rId84" Type="http://schemas.openxmlformats.org/officeDocument/2006/relationships/hyperlink" Target="javascript:GotoSubLeger_" TargetMode="External"/><Relationship Id="rId89" Type="http://schemas.openxmlformats.org/officeDocument/2006/relationships/hyperlink" Target="javascript:GotoSubLeger_" TargetMode="External"/><Relationship Id="rId112" Type="http://schemas.openxmlformats.org/officeDocument/2006/relationships/hyperlink" Target="javascript:GotoSubLeger_" TargetMode="External"/><Relationship Id="rId16" Type="http://schemas.openxmlformats.org/officeDocument/2006/relationships/hyperlink" Target="javascript:GotoSubLeger_" TargetMode="External"/><Relationship Id="rId107" Type="http://schemas.openxmlformats.org/officeDocument/2006/relationships/hyperlink" Target="javascript:GotoSubLeger_" TargetMode="External"/><Relationship Id="rId11" Type="http://schemas.openxmlformats.org/officeDocument/2006/relationships/hyperlink" Target="javascript:GotoSubLeger_" TargetMode="External"/><Relationship Id="rId32" Type="http://schemas.openxmlformats.org/officeDocument/2006/relationships/hyperlink" Target="javascript:GotoSubLeger_" TargetMode="External"/><Relationship Id="rId37" Type="http://schemas.openxmlformats.org/officeDocument/2006/relationships/hyperlink" Target="javascript:GotoSubLeger_" TargetMode="External"/><Relationship Id="rId53" Type="http://schemas.openxmlformats.org/officeDocument/2006/relationships/hyperlink" Target="javascript:GotoSubLeger_" TargetMode="External"/><Relationship Id="rId58" Type="http://schemas.openxmlformats.org/officeDocument/2006/relationships/hyperlink" Target="javascript:GotoSubLeger_" TargetMode="External"/><Relationship Id="rId74" Type="http://schemas.openxmlformats.org/officeDocument/2006/relationships/hyperlink" Target="javascript:GotoSubLeger_" TargetMode="External"/><Relationship Id="rId79" Type="http://schemas.openxmlformats.org/officeDocument/2006/relationships/hyperlink" Target="javascript:GotoSubLeger_" TargetMode="External"/><Relationship Id="rId102" Type="http://schemas.openxmlformats.org/officeDocument/2006/relationships/hyperlink" Target="javascript:GotoSubLeger_" TargetMode="External"/><Relationship Id="rId5" Type="http://schemas.openxmlformats.org/officeDocument/2006/relationships/hyperlink" Target="javascript:GotoSubLeger_" TargetMode="External"/><Relationship Id="rId90" Type="http://schemas.openxmlformats.org/officeDocument/2006/relationships/hyperlink" Target="javascript:GotoSubLeger_" TargetMode="External"/><Relationship Id="rId95" Type="http://schemas.openxmlformats.org/officeDocument/2006/relationships/hyperlink" Target="javascript:GotoSubLeger_" TargetMode="External"/><Relationship Id="rId22" Type="http://schemas.openxmlformats.org/officeDocument/2006/relationships/hyperlink" Target="javascript:GotoSubLeger_" TargetMode="External"/><Relationship Id="rId27" Type="http://schemas.openxmlformats.org/officeDocument/2006/relationships/hyperlink" Target="javascript:GotoSubLeger_" TargetMode="External"/><Relationship Id="rId43" Type="http://schemas.openxmlformats.org/officeDocument/2006/relationships/hyperlink" Target="javascript:GotoSubLeger_" TargetMode="External"/><Relationship Id="rId48" Type="http://schemas.openxmlformats.org/officeDocument/2006/relationships/hyperlink" Target="javascript:GotoSubLeger_" TargetMode="External"/><Relationship Id="rId64" Type="http://schemas.openxmlformats.org/officeDocument/2006/relationships/hyperlink" Target="javascript:GotoSubLeger_" TargetMode="External"/><Relationship Id="rId69" Type="http://schemas.openxmlformats.org/officeDocument/2006/relationships/hyperlink" Target="javascript:GotoSubLeger_" TargetMode="External"/><Relationship Id="rId80" Type="http://schemas.openxmlformats.org/officeDocument/2006/relationships/hyperlink" Target="javascript:GotoSubLeger_" TargetMode="External"/><Relationship Id="rId85" Type="http://schemas.openxmlformats.org/officeDocument/2006/relationships/hyperlink" Target="javascript:GotoSubLeger_" TargetMode="External"/><Relationship Id="rId12" Type="http://schemas.openxmlformats.org/officeDocument/2006/relationships/hyperlink" Target="javascript:GotoSubLeger_" TargetMode="External"/><Relationship Id="rId17" Type="http://schemas.openxmlformats.org/officeDocument/2006/relationships/hyperlink" Target="javascript:GotoSubLeger_" TargetMode="External"/><Relationship Id="rId33" Type="http://schemas.openxmlformats.org/officeDocument/2006/relationships/hyperlink" Target="javascript:GotoSubLeger_" TargetMode="External"/><Relationship Id="rId38" Type="http://schemas.openxmlformats.org/officeDocument/2006/relationships/hyperlink" Target="javascript:GotoSubLeger_" TargetMode="External"/><Relationship Id="rId59" Type="http://schemas.openxmlformats.org/officeDocument/2006/relationships/hyperlink" Target="javascript:GotoSubLeger_" TargetMode="External"/><Relationship Id="rId103" Type="http://schemas.openxmlformats.org/officeDocument/2006/relationships/hyperlink" Target="javascript:GotoSubLeger_" TargetMode="External"/><Relationship Id="rId108" Type="http://schemas.openxmlformats.org/officeDocument/2006/relationships/hyperlink" Target="javascript:GotoSubLeger_" TargetMode="External"/><Relationship Id="rId54" Type="http://schemas.openxmlformats.org/officeDocument/2006/relationships/hyperlink" Target="javascript:GotoSubLeger_" TargetMode="External"/><Relationship Id="rId70" Type="http://schemas.openxmlformats.org/officeDocument/2006/relationships/hyperlink" Target="javascript:GotoSubLeger_" TargetMode="External"/><Relationship Id="rId75" Type="http://schemas.openxmlformats.org/officeDocument/2006/relationships/hyperlink" Target="javascript:GotoSubLeger_" TargetMode="External"/><Relationship Id="rId91" Type="http://schemas.openxmlformats.org/officeDocument/2006/relationships/hyperlink" Target="javascript:GotoSubLeger_" TargetMode="External"/><Relationship Id="rId96" Type="http://schemas.openxmlformats.org/officeDocument/2006/relationships/hyperlink" Target="javascript:GotoSubLeger_" TargetMode="External"/><Relationship Id="rId1" Type="http://schemas.openxmlformats.org/officeDocument/2006/relationships/hyperlink" Target="javascript:GotoSubLeger_" TargetMode="External"/><Relationship Id="rId6" Type="http://schemas.openxmlformats.org/officeDocument/2006/relationships/hyperlink" Target="javascript:GotoSubLeger_" TargetMode="External"/><Relationship Id="rId15" Type="http://schemas.openxmlformats.org/officeDocument/2006/relationships/hyperlink" Target="javascript:GotoSubLeger_" TargetMode="External"/><Relationship Id="rId23" Type="http://schemas.openxmlformats.org/officeDocument/2006/relationships/hyperlink" Target="javascript:GotoSubLeger_" TargetMode="External"/><Relationship Id="rId28" Type="http://schemas.openxmlformats.org/officeDocument/2006/relationships/hyperlink" Target="javascript:GotoSubLeger_" TargetMode="External"/><Relationship Id="rId36" Type="http://schemas.openxmlformats.org/officeDocument/2006/relationships/hyperlink" Target="javascript:GotoSubLeger_" TargetMode="External"/><Relationship Id="rId49" Type="http://schemas.openxmlformats.org/officeDocument/2006/relationships/hyperlink" Target="javascript:GotoSubLeger_" TargetMode="External"/><Relationship Id="rId57" Type="http://schemas.openxmlformats.org/officeDocument/2006/relationships/hyperlink" Target="javascript:GotoSubLeger_" TargetMode="External"/><Relationship Id="rId106" Type="http://schemas.openxmlformats.org/officeDocument/2006/relationships/hyperlink" Target="javascript:GotoSubLeger_" TargetMode="External"/><Relationship Id="rId10" Type="http://schemas.openxmlformats.org/officeDocument/2006/relationships/hyperlink" Target="javascript:GotoSubLeger_" TargetMode="External"/><Relationship Id="rId31" Type="http://schemas.openxmlformats.org/officeDocument/2006/relationships/hyperlink" Target="javascript:GotoSubLeger_" TargetMode="External"/><Relationship Id="rId44" Type="http://schemas.openxmlformats.org/officeDocument/2006/relationships/hyperlink" Target="javascript:GotoSubLeger_" TargetMode="External"/><Relationship Id="rId52" Type="http://schemas.openxmlformats.org/officeDocument/2006/relationships/hyperlink" Target="javascript:GotoSubLeger_" TargetMode="External"/><Relationship Id="rId60" Type="http://schemas.openxmlformats.org/officeDocument/2006/relationships/hyperlink" Target="javascript:GotoSubLeger_" TargetMode="External"/><Relationship Id="rId65" Type="http://schemas.openxmlformats.org/officeDocument/2006/relationships/hyperlink" Target="javascript:GotoSubLeger_" TargetMode="External"/><Relationship Id="rId73" Type="http://schemas.openxmlformats.org/officeDocument/2006/relationships/hyperlink" Target="javascript:GotoSubLeger_" TargetMode="External"/><Relationship Id="rId78" Type="http://schemas.openxmlformats.org/officeDocument/2006/relationships/hyperlink" Target="javascript:GotoSubLeger_" TargetMode="External"/><Relationship Id="rId81" Type="http://schemas.openxmlformats.org/officeDocument/2006/relationships/hyperlink" Target="javascript:GotoSubLeger_" TargetMode="External"/><Relationship Id="rId86" Type="http://schemas.openxmlformats.org/officeDocument/2006/relationships/hyperlink" Target="javascript:GotoSubLeger_" TargetMode="External"/><Relationship Id="rId94" Type="http://schemas.openxmlformats.org/officeDocument/2006/relationships/hyperlink" Target="javascript:GotoSubLeger_" TargetMode="External"/><Relationship Id="rId99" Type="http://schemas.openxmlformats.org/officeDocument/2006/relationships/hyperlink" Target="javascript:GotoSubLeger_" TargetMode="External"/><Relationship Id="rId101" Type="http://schemas.openxmlformats.org/officeDocument/2006/relationships/hyperlink" Target="javascript:GotoSubLeger_" TargetMode="External"/><Relationship Id="rId4" Type="http://schemas.openxmlformats.org/officeDocument/2006/relationships/hyperlink" Target="javascript:GotoSubLeger_" TargetMode="External"/><Relationship Id="rId9" Type="http://schemas.openxmlformats.org/officeDocument/2006/relationships/hyperlink" Target="javascript:GotoSubLeger_" TargetMode="External"/><Relationship Id="rId13" Type="http://schemas.openxmlformats.org/officeDocument/2006/relationships/hyperlink" Target="javascript:GotoSubLeger_" TargetMode="External"/><Relationship Id="rId18" Type="http://schemas.openxmlformats.org/officeDocument/2006/relationships/hyperlink" Target="javascript:GotoSubLeger_" TargetMode="External"/><Relationship Id="rId39" Type="http://schemas.openxmlformats.org/officeDocument/2006/relationships/hyperlink" Target="javascript:GotoSubLeger_" TargetMode="External"/><Relationship Id="rId109" Type="http://schemas.openxmlformats.org/officeDocument/2006/relationships/hyperlink" Target="javascript:GotoSubLeger_" TargetMode="External"/><Relationship Id="rId34" Type="http://schemas.openxmlformats.org/officeDocument/2006/relationships/hyperlink" Target="javascript:GotoSubLeger_" TargetMode="External"/><Relationship Id="rId50" Type="http://schemas.openxmlformats.org/officeDocument/2006/relationships/hyperlink" Target="javascript:GotoSubLeger_" TargetMode="External"/><Relationship Id="rId55" Type="http://schemas.openxmlformats.org/officeDocument/2006/relationships/hyperlink" Target="javascript:GotoSubLeger_" TargetMode="External"/><Relationship Id="rId76" Type="http://schemas.openxmlformats.org/officeDocument/2006/relationships/hyperlink" Target="javascript:GotoSubLeger_" TargetMode="External"/><Relationship Id="rId97" Type="http://schemas.openxmlformats.org/officeDocument/2006/relationships/hyperlink" Target="javascript:GotoSubLeger_" TargetMode="External"/><Relationship Id="rId104" Type="http://schemas.openxmlformats.org/officeDocument/2006/relationships/hyperlink" Target="javascript:GotoSubLeger_" TargetMode="External"/><Relationship Id="rId7" Type="http://schemas.openxmlformats.org/officeDocument/2006/relationships/hyperlink" Target="javascript:GotoSubLeger_" TargetMode="External"/><Relationship Id="rId71" Type="http://schemas.openxmlformats.org/officeDocument/2006/relationships/hyperlink" Target="javascript:GotoSubLeger_" TargetMode="External"/><Relationship Id="rId92" Type="http://schemas.openxmlformats.org/officeDocument/2006/relationships/hyperlink" Target="javascript:GotoSubLeger_" TargetMode="External"/><Relationship Id="rId2" Type="http://schemas.openxmlformats.org/officeDocument/2006/relationships/hyperlink" Target="javascript:GotoSubLeger_" TargetMode="External"/><Relationship Id="rId29" Type="http://schemas.openxmlformats.org/officeDocument/2006/relationships/hyperlink" Target="javascript:GotoSubLeger_" TargetMode="External"/><Relationship Id="rId24" Type="http://schemas.openxmlformats.org/officeDocument/2006/relationships/hyperlink" Target="javascript:GotoSubLeger_" TargetMode="External"/><Relationship Id="rId40" Type="http://schemas.openxmlformats.org/officeDocument/2006/relationships/hyperlink" Target="javascript:GotoSubLeger_" TargetMode="External"/><Relationship Id="rId45" Type="http://schemas.openxmlformats.org/officeDocument/2006/relationships/hyperlink" Target="javascript:GotoSubLeger_" TargetMode="External"/><Relationship Id="rId66" Type="http://schemas.openxmlformats.org/officeDocument/2006/relationships/hyperlink" Target="javascript:GotoSubLeger_" TargetMode="External"/><Relationship Id="rId87" Type="http://schemas.openxmlformats.org/officeDocument/2006/relationships/hyperlink" Target="javascript:GotoSubLeger_" TargetMode="External"/><Relationship Id="rId110" Type="http://schemas.openxmlformats.org/officeDocument/2006/relationships/hyperlink" Target="javascript:GotoSubLeger_" TargetMode="External"/><Relationship Id="rId61" Type="http://schemas.openxmlformats.org/officeDocument/2006/relationships/hyperlink" Target="javascript:GotoSubLeger_" TargetMode="External"/><Relationship Id="rId82" Type="http://schemas.openxmlformats.org/officeDocument/2006/relationships/hyperlink" Target="javascript:GotoSubLeger_" TargetMode="External"/><Relationship Id="rId19" Type="http://schemas.openxmlformats.org/officeDocument/2006/relationships/hyperlink" Target="javascript:GotoSubLeger_" TargetMode="External"/><Relationship Id="rId14" Type="http://schemas.openxmlformats.org/officeDocument/2006/relationships/hyperlink" Target="javascript:GotoSubLeger_" TargetMode="External"/><Relationship Id="rId30" Type="http://schemas.openxmlformats.org/officeDocument/2006/relationships/hyperlink" Target="javascript:GotoSubLeger_" TargetMode="External"/><Relationship Id="rId35" Type="http://schemas.openxmlformats.org/officeDocument/2006/relationships/hyperlink" Target="javascript:GotoSubLeger_" TargetMode="External"/><Relationship Id="rId56" Type="http://schemas.openxmlformats.org/officeDocument/2006/relationships/hyperlink" Target="javascript:GotoSubLeger_" TargetMode="External"/><Relationship Id="rId77" Type="http://schemas.openxmlformats.org/officeDocument/2006/relationships/hyperlink" Target="javascript:GotoSubLeger_" TargetMode="External"/><Relationship Id="rId100" Type="http://schemas.openxmlformats.org/officeDocument/2006/relationships/hyperlink" Target="javascript:GotoSubLeger_" TargetMode="External"/><Relationship Id="rId105" Type="http://schemas.openxmlformats.org/officeDocument/2006/relationships/hyperlink" Target="javascript:GotoSubLeger_" TargetMode="External"/><Relationship Id="rId8" Type="http://schemas.openxmlformats.org/officeDocument/2006/relationships/hyperlink" Target="javascript:GotoSubLeger_" TargetMode="External"/><Relationship Id="rId51" Type="http://schemas.openxmlformats.org/officeDocument/2006/relationships/hyperlink" Target="javascript:GotoSubLeger_" TargetMode="External"/><Relationship Id="rId72" Type="http://schemas.openxmlformats.org/officeDocument/2006/relationships/hyperlink" Target="javascript:GotoSubLeger_" TargetMode="External"/><Relationship Id="rId93" Type="http://schemas.openxmlformats.org/officeDocument/2006/relationships/hyperlink" Target="javascript:GotoSubLeger_" TargetMode="External"/><Relationship Id="rId98" Type="http://schemas.openxmlformats.org/officeDocument/2006/relationships/hyperlink" Target="javascript:GotoSubLeger_" TargetMode="External"/><Relationship Id="rId3" Type="http://schemas.openxmlformats.org/officeDocument/2006/relationships/hyperlink" Target="javascript:GotoSubLeger_" TargetMode="External"/><Relationship Id="rId25" Type="http://schemas.openxmlformats.org/officeDocument/2006/relationships/hyperlink" Target="javascript:GotoSubLeger_" TargetMode="External"/><Relationship Id="rId46" Type="http://schemas.openxmlformats.org/officeDocument/2006/relationships/hyperlink" Target="javascript:GotoSubLeger_" TargetMode="External"/><Relationship Id="rId67" Type="http://schemas.openxmlformats.org/officeDocument/2006/relationships/hyperlink" Target="javascript:GotoSubLeger_" TargetMode="External"/><Relationship Id="rId20" Type="http://schemas.openxmlformats.org/officeDocument/2006/relationships/hyperlink" Target="javascript:GotoSubLeger_" TargetMode="External"/><Relationship Id="rId41" Type="http://schemas.openxmlformats.org/officeDocument/2006/relationships/hyperlink" Target="javascript:GotoSubLeger_" TargetMode="External"/><Relationship Id="rId62" Type="http://schemas.openxmlformats.org/officeDocument/2006/relationships/hyperlink" Target="javascript:GotoSubLeger_" TargetMode="External"/><Relationship Id="rId83" Type="http://schemas.openxmlformats.org/officeDocument/2006/relationships/hyperlink" Target="javascript:GotoSubLeger_" TargetMode="External"/><Relationship Id="rId88" Type="http://schemas.openxmlformats.org/officeDocument/2006/relationships/hyperlink" Target="javascript:GotoSubLeger_" TargetMode="External"/><Relationship Id="rId111" Type="http://schemas.openxmlformats.org/officeDocument/2006/relationships/hyperlink" Target="javascript:GotoSubLeger_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javascript:GotoSubLeger_" TargetMode="External"/><Relationship Id="rId21" Type="http://schemas.openxmlformats.org/officeDocument/2006/relationships/hyperlink" Target="javascript:GotoSubLeger_" TargetMode="External"/><Relationship Id="rId42" Type="http://schemas.openxmlformats.org/officeDocument/2006/relationships/hyperlink" Target="javascript:GotoSubLeger_" TargetMode="External"/><Relationship Id="rId47" Type="http://schemas.openxmlformats.org/officeDocument/2006/relationships/hyperlink" Target="javascript:GotoSubLeger_" TargetMode="External"/><Relationship Id="rId63" Type="http://schemas.openxmlformats.org/officeDocument/2006/relationships/hyperlink" Target="javascript:GotoSubLeger_" TargetMode="External"/><Relationship Id="rId68" Type="http://schemas.openxmlformats.org/officeDocument/2006/relationships/hyperlink" Target="javascript:GotoSubLeger_" TargetMode="External"/><Relationship Id="rId84" Type="http://schemas.openxmlformats.org/officeDocument/2006/relationships/hyperlink" Target="javascript:GotoSubLeger_" TargetMode="External"/><Relationship Id="rId89" Type="http://schemas.openxmlformats.org/officeDocument/2006/relationships/hyperlink" Target="javascript:GotoSubLeger_" TargetMode="External"/><Relationship Id="rId16" Type="http://schemas.openxmlformats.org/officeDocument/2006/relationships/hyperlink" Target="javascript:GotoSubLeger_" TargetMode="External"/><Relationship Id="rId11" Type="http://schemas.openxmlformats.org/officeDocument/2006/relationships/hyperlink" Target="javascript:GotoSubLeger_" TargetMode="External"/><Relationship Id="rId32" Type="http://schemas.openxmlformats.org/officeDocument/2006/relationships/hyperlink" Target="javascript:GotoSubLeger_" TargetMode="External"/><Relationship Id="rId37" Type="http://schemas.openxmlformats.org/officeDocument/2006/relationships/hyperlink" Target="javascript:GotoSubLeger_" TargetMode="External"/><Relationship Id="rId53" Type="http://schemas.openxmlformats.org/officeDocument/2006/relationships/hyperlink" Target="javascript:GotoSubLeger_" TargetMode="External"/><Relationship Id="rId58" Type="http://schemas.openxmlformats.org/officeDocument/2006/relationships/hyperlink" Target="javascript:GotoSubLeger_" TargetMode="External"/><Relationship Id="rId74" Type="http://schemas.openxmlformats.org/officeDocument/2006/relationships/hyperlink" Target="javascript:GotoSubLeger_" TargetMode="External"/><Relationship Id="rId79" Type="http://schemas.openxmlformats.org/officeDocument/2006/relationships/hyperlink" Target="javascript:GotoSubLeger_" TargetMode="External"/><Relationship Id="rId102" Type="http://schemas.openxmlformats.org/officeDocument/2006/relationships/hyperlink" Target="javascript:GotoSubLeger_" TargetMode="External"/><Relationship Id="rId5" Type="http://schemas.openxmlformats.org/officeDocument/2006/relationships/hyperlink" Target="javascript:GotoSubLeger_" TargetMode="External"/><Relationship Id="rId90" Type="http://schemas.openxmlformats.org/officeDocument/2006/relationships/hyperlink" Target="javascript:GotoSubLeger_" TargetMode="External"/><Relationship Id="rId95" Type="http://schemas.openxmlformats.org/officeDocument/2006/relationships/hyperlink" Target="javascript:GotoSubLeger_" TargetMode="External"/><Relationship Id="rId22" Type="http://schemas.openxmlformats.org/officeDocument/2006/relationships/hyperlink" Target="javascript:GotoSubLeger_" TargetMode="External"/><Relationship Id="rId27" Type="http://schemas.openxmlformats.org/officeDocument/2006/relationships/hyperlink" Target="javascript:GotoSubLeger_" TargetMode="External"/><Relationship Id="rId43" Type="http://schemas.openxmlformats.org/officeDocument/2006/relationships/hyperlink" Target="javascript:GotoSubLeger_" TargetMode="External"/><Relationship Id="rId48" Type="http://schemas.openxmlformats.org/officeDocument/2006/relationships/hyperlink" Target="javascript:GotoSubLeger_" TargetMode="External"/><Relationship Id="rId64" Type="http://schemas.openxmlformats.org/officeDocument/2006/relationships/hyperlink" Target="javascript:GotoSubLeger_" TargetMode="External"/><Relationship Id="rId69" Type="http://schemas.openxmlformats.org/officeDocument/2006/relationships/hyperlink" Target="javascript:GotoSubLeger_" TargetMode="External"/><Relationship Id="rId80" Type="http://schemas.openxmlformats.org/officeDocument/2006/relationships/hyperlink" Target="javascript:GotoSubLeger_" TargetMode="External"/><Relationship Id="rId85" Type="http://schemas.openxmlformats.org/officeDocument/2006/relationships/hyperlink" Target="javascript:GotoSubLeger_" TargetMode="External"/><Relationship Id="rId12" Type="http://schemas.openxmlformats.org/officeDocument/2006/relationships/hyperlink" Target="javascript:GotoSubLeger_" TargetMode="External"/><Relationship Id="rId17" Type="http://schemas.openxmlformats.org/officeDocument/2006/relationships/hyperlink" Target="javascript:GotoSubLeger_" TargetMode="External"/><Relationship Id="rId33" Type="http://schemas.openxmlformats.org/officeDocument/2006/relationships/hyperlink" Target="javascript:GotoSubLeger_" TargetMode="External"/><Relationship Id="rId38" Type="http://schemas.openxmlformats.org/officeDocument/2006/relationships/hyperlink" Target="javascript:GotoSubLeger_" TargetMode="External"/><Relationship Id="rId59" Type="http://schemas.openxmlformats.org/officeDocument/2006/relationships/hyperlink" Target="javascript:GotoSubLeger_" TargetMode="External"/><Relationship Id="rId103" Type="http://schemas.openxmlformats.org/officeDocument/2006/relationships/hyperlink" Target="javascript:GotoSubLeger_" TargetMode="External"/><Relationship Id="rId20" Type="http://schemas.openxmlformats.org/officeDocument/2006/relationships/hyperlink" Target="javascript:GotoSubLeger_" TargetMode="External"/><Relationship Id="rId41" Type="http://schemas.openxmlformats.org/officeDocument/2006/relationships/hyperlink" Target="javascript:GotoSubLeger_" TargetMode="External"/><Relationship Id="rId54" Type="http://schemas.openxmlformats.org/officeDocument/2006/relationships/hyperlink" Target="javascript:GotoSubLeger_" TargetMode="External"/><Relationship Id="rId62" Type="http://schemas.openxmlformats.org/officeDocument/2006/relationships/hyperlink" Target="javascript:GotoSubLeger_" TargetMode="External"/><Relationship Id="rId70" Type="http://schemas.openxmlformats.org/officeDocument/2006/relationships/hyperlink" Target="javascript:GotoSubLeger_" TargetMode="External"/><Relationship Id="rId75" Type="http://schemas.openxmlformats.org/officeDocument/2006/relationships/hyperlink" Target="javascript:GotoSubLeger_" TargetMode="External"/><Relationship Id="rId83" Type="http://schemas.openxmlformats.org/officeDocument/2006/relationships/hyperlink" Target="javascript:GotoSubLeger_" TargetMode="External"/><Relationship Id="rId88" Type="http://schemas.openxmlformats.org/officeDocument/2006/relationships/hyperlink" Target="javascript:GotoSubLeger_" TargetMode="External"/><Relationship Id="rId91" Type="http://schemas.openxmlformats.org/officeDocument/2006/relationships/hyperlink" Target="javascript:GotoSubLeger_" TargetMode="External"/><Relationship Id="rId96" Type="http://schemas.openxmlformats.org/officeDocument/2006/relationships/hyperlink" Target="javascript:GotoSubLeger_" TargetMode="External"/><Relationship Id="rId1" Type="http://schemas.openxmlformats.org/officeDocument/2006/relationships/hyperlink" Target="javascript:GotoSubLeger_" TargetMode="External"/><Relationship Id="rId6" Type="http://schemas.openxmlformats.org/officeDocument/2006/relationships/hyperlink" Target="javascript:GotoSubLeger_" TargetMode="External"/><Relationship Id="rId15" Type="http://schemas.openxmlformats.org/officeDocument/2006/relationships/hyperlink" Target="javascript:GotoSubLeger_" TargetMode="External"/><Relationship Id="rId23" Type="http://schemas.openxmlformats.org/officeDocument/2006/relationships/hyperlink" Target="javascript:GotoSubLeger_" TargetMode="External"/><Relationship Id="rId28" Type="http://schemas.openxmlformats.org/officeDocument/2006/relationships/hyperlink" Target="javascript:GotoSubLeger_" TargetMode="External"/><Relationship Id="rId36" Type="http://schemas.openxmlformats.org/officeDocument/2006/relationships/hyperlink" Target="javascript:GotoSubLeger_" TargetMode="External"/><Relationship Id="rId49" Type="http://schemas.openxmlformats.org/officeDocument/2006/relationships/hyperlink" Target="javascript:GotoSubLeger_" TargetMode="External"/><Relationship Id="rId57" Type="http://schemas.openxmlformats.org/officeDocument/2006/relationships/hyperlink" Target="javascript:GotoSubLeger_" TargetMode="External"/><Relationship Id="rId106" Type="http://schemas.openxmlformats.org/officeDocument/2006/relationships/hyperlink" Target="javascript:GotoSubLeger_" TargetMode="External"/><Relationship Id="rId10" Type="http://schemas.openxmlformats.org/officeDocument/2006/relationships/hyperlink" Target="javascript:GotoSubLeger_" TargetMode="External"/><Relationship Id="rId31" Type="http://schemas.openxmlformats.org/officeDocument/2006/relationships/hyperlink" Target="javascript:GotoSubLeger_" TargetMode="External"/><Relationship Id="rId44" Type="http://schemas.openxmlformats.org/officeDocument/2006/relationships/hyperlink" Target="javascript:GotoSubLeger_" TargetMode="External"/><Relationship Id="rId52" Type="http://schemas.openxmlformats.org/officeDocument/2006/relationships/hyperlink" Target="javascript:GotoSubLeger_" TargetMode="External"/><Relationship Id="rId60" Type="http://schemas.openxmlformats.org/officeDocument/2006/relationships/hyperlink" Target="javascript:GotoSubLeger_" TargetMode="External"/><Relationship Id="rId65" Type="http://schemas.openxmlformats.org/officeDocument/2006/relationships/hyperlink" Target="javascript:GotoSubLeger_" TargetMode="External"/><Relationship Id="rId73" Type="http://schemas.openxmlformats.org/officeDocument/2006/relationships/hyperlink" Target="javascript:GotoSubLeger_" TargetMode="External"/><Relationship Id="rId78" Type="http://schemas.openxmlformats.org/officeDocument/2006/relationships/hyperlink" Target="javascript:GotoSubLeger_" TargetMode="External"/><Relationship Id="rId81" Type="http://schemas.openxmlformats.org/officeDocument/2006/relationships/hyperlink" Target="javascript:GotoSubLeger_" TargetMode="External"/><Relationship Id="rId86" Type="http://schemas.openxmlformats.org/officeDocument/2006/relationships/hyperlink" Target="javascript:GotoSubLeger_" TargetMode="External"/><Relationship Id="rId94" Type="http://schemas.openxmlformats.org/officeDocument/2006/relationships/hyperlink" Target="javascript:GotoSubLeger_" TargetMode="External"/><Relationship Id="rId99" Type="http://schemas.openxmlformats.org/officeDocument/2006/relationships/hyperlink" Target="javascript:GotoSubLeger_" TargetMode="External"/><Relationship Id="rId101" Type="http://schemas.openxmlformats.org/officeDocument/2006/relationships/hyperlink" Target="javascript:GotoSubLeger_" TargetMode="External"/><Relationship Id="rId4" Type="http://schemas.openxmlformats.org/officeDocument/2006/relationships/hyperlink" Target="javascript:GotoSubLeger_" TargetMode="External"/><Relationship Id="rId9" Type="http://schemas.openxmlformats.org/officeDocument/2006/relationships/hyperlink" Target="javascript:GotoSubLeger_" TargetMode="External"/><Relationship Id="rId13" Type="http://schemas.openxmlformats.org/officeDocument/2006/relationships/hyperlink" Target="javascript:GotoSubLeger_" TargetMode="External"/><Relationship Id="rId18" Type="http://schemas.openxmlformats.org/officeDocument/2006/relationships/hyperlink" Target="javascript:GotoSubLeger_" TargetMode="External"/><Relationship Id="rId39" Type="http://schemas.openxmlformats.org/officeDocument/2006/relationships/hyperlink" Target="javascript:GotoSubLeger_" TargetMode="External"/><Relationship Id="rId34" Type="http://schemas.openxmlformats.org/officeDocument/2006/relationships/hyperlink" Target="javascript:GotoSubLeger_" TargetMode="External"/><Relationship Id="rId50" Type="http://schemas.openxmlformats.org/officeDocument/2006/relationships/hyperlink" Target="javascript:GotoSubLeger_" TargetMode="External"/><Relationship Id="rId55" Type="http://schemas.openxmlformats.org/officeDocument/2006/relationships/hyperlink" Target="javascript:GotoSubLeger_" TargetMode="External"/><Relationship Id="rId76" Type="http://schemas.openxmlformats.org/officeDocument/2006/relationships/hyperlink" Target="javascript:GotoSubLeger_" TargetMode="External"/><Relationship Id="rId97" Type="http://schemas.openxmlformats.org/officeDocument/2006/relationships/hyperlink" Target="javascript:GotoSubLeger_" TargetMode="External"/><Relationship Id="rId104" Type="http://schemas.openxmlformats.org/officeDocument/2006/relationships/hyperlink" Target="javascript:GotoSubLeger_" TargetMode="External"/><Relationship Id="rId7" Type="http://schemas.openxmlformats.org/officeDocument/2006/relationships/hyperlink" Target="javascript:GotoSubLeger_" TargetMode="External"/><Relationship Id="rId71" Type="http://schemas.openxmlformats.org/officeDocument/2006/relationships/hyperlink" Target="javascript:GotoSubLeger_" TargetMode="External"/><Relationship Id="rId92" Type="http://schemas.openxmlformats.org/officeDocument/2006/relationships/hyperlink" Target="javascript:GotoSubLeger_" TargetMode="External"/><Relationship Id="rId2" Type="http://schemas.openxmlformats.org/officeDocument/2006/relationships/hyperlink" Target="javascript:GotoSubLeger_" TargetMode="External"/><Relationship Id="rId29" Type="http://schemas.openxmlformats.org/officeDocument/2006/relationships/hyperlink" Target="javascript:GotoSubLeger_" TargetMode="External"/><Relationship Id="rId24" Type="http://schemas.openxmlformats.org/officeDocument/2006/relationships/hyperlink" Target="javascript:GotoSubLeger_" TargetMode="External"/><Relationship Id="rId40" Type="http://schemas.openxmlformats.org/officeDocument/2006/relationships/hyperlink" Target="javascript:GotoSubLeger_" TargetMode="External"/><Relationship Id="rId45" Type="http://schemas.openxmlformats.org/officeDocument/2006/relationships/hyperlink" Target="javascript:GotoSubLeger_" TargetMode="External"/><Relationship Id="rId66" Type="http://schemas.openxmlformats.org/officeDocument/2006/relationships/hyperlink" Target="javascript:GotoSubLeger_" TargetMode="External"/><Relationship Id="rId87" Type="http://schemas.openxmlformats.org/officeDocument/2006/relationships/hyperlink" Target="javascript:GotoSubLeger_" TargetMode="External"/><Relationship Id="rId61" Type="http://schemas.openxmlformats.org/officeDocument/2006/relationships/hyperlink" Target="javascript:GotoSubLeger_" TargetMode="External"/><Relationship Id="rId82" Type="http://schemas.openxmlformats.org/officeDocument/2006/relationships/hyperlink" Target="javascript:GotoSubLeger_" TargetMode="External"/><Relationship Id="rId19" Type="http://schemas.openxmlformats.org/officeDocument/2006/relationships/hyperlink" Target="javascript:GotoSubLeger_" TargetMode="External"/><Relationship Id="rId14" Type="http://schemas.openxmlformats.org/officeDocument/2006/relationships/hyperlink" Target="javascript:GotoSubLeger_" TargetMode="External"/><Relationship Id="rId30" Type="http://schemas.openxmlformats.org/officeDocument/2006/relationships/hyperlink" Target="javascript:GotoSubLeger_" TargetMode="External"/><Relationship Id="rId35" Type="http://schemas.openxmlformats.org/officeDocument/2006/relationships/hyperlink" Target="javascript:GotoSubLeger_" TargetMode="External"/><Relationship Id="rId56" Type="http://schemas.openxmlformats.org/officeDocument/2006/relationships/hyperlink" Target="javascript:GotoSubLeger_" TargetMode="External"/><Relationship Id="rId77" Type="http://schemas.openxmlformats.org/officeDocument/2006/relationships/hyperlink" Target="javascript:GotoSubLeger_" TargetMode="External"/><Relationship Id="rId100" Type="http://schemas.openxmlformats.org/officeDocument/2006/relationships/hyperlink" Target="javascript:GotoSubLeger_" TargetMode="External"/><Relationship Id="rId105" Type="http://schemas.openxmlformats.org/officeDocument/2006/relationships/hyperlink" Target="javascript:GotoSubLeger_" TargetMode="External"/><Relationship Id="rId8" Type="http://schemas.openxmlformats.org/officeDocument/2006/relationships/hyperlink" Target="javascript:GotoSubLeger_" TargetMode="External"/><Relationship Id="rId51" Type="http://schemas.openxmlformats.org/officeDocument/2006/relationships/hyperlink" Target="javascript:GotoSubLeger_" TargetMode="External"/><Relationship Id="rId72" Type="http://schemas.openxmlformats.org/officeDocument/2006/relationships/hyperlink" Target="javascript:GotoSubLeger_" TargetMode="External"/><Relationship Id="rId93" Type="http://schemas.openxmlformats.org/officeDocument/2006/relationships/hyperlink" Target="javascript:GotoSubLeger_" TargetMode="External"/><Relationship Id="rId98" Type="http://schemas.openxmlformats.org/officeDocument/2006/relationships/hyperlink" Target="javascript:GotoSubLeger_" TargetMode="External"/><Relationship Id="rId3" Type="http://schemas.openxmlformats.org/officeDocument/2006/relationships/hyperlink" Target="javascript:GotoSubLeger_" TargetMode="External"/><Relationship Id="rId25" Type="http://schemas.openxmlformats.org/officeDocument/2006/relationships/hyperlink" Target="javascript:GotoSubLeger_" TargetMode="External"/><Relationship Id="rId46" Type="http://schemas.openxmlformats.org/officeDocument/2006/relationships/hyperlink" Target="javascript:GotoSubLeger_" TargetMode="External"/><Relationship Id="rId67" Type="http://schemas.openxmlformats.org/officeDocument/2006/relationships/hyperlink" Target="javascript:GotoSubLeger_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31"/>
  <sheetViews>
    <sheetView topLeftCell="A13" workbookViewId="0">
      <selection activeCell="C20" sqref="C20:C23"/>
    </sheetView>
  </sheetViews>
  <sheetFormatPr defaultRowHeight="15.75" x14ac:dyDescent="0.25"/>
  <cols>
    <col min="1" max="1" width="27.5703125" style="9" bestFit="1" customWidth="1"/>
    <col min="2" max="2" width="18.42578125" style="9" customWidth="1"/>
    <col min="3" max="3" width="28.5703125" style="9" customWidth="1"/>
  </cols>
  <sheetData>
    <row r="1" spans="1:3" ht="18.75" x14ac:dyDescent="0.25">
      <c r="A1" s="14" t="s">
        <v>1515</v>
      </c>
      <c r="B1" s="14" t="s">
        <v>1514</v>
      </c>
      <c r="C1" s="14" t="s">
        <v>1513</v>
      </c>
    </row>
    <row r="2" spans="1:3" x14ac:dyDescent="0.25">
      <c r="A2" s="9" t="s">
        <v>6</v>
      </c>
      <c r="B2" s="9" t="s">
        <v>5</v>
      </c>
      <c r="C2" s="10" t="s">
        <v>4</v>
      </c>
    </row>
    <row r="3" spans="1:3" x14ac:dyDescent="0.25">
      <c r="A3" s="9" t="s">
        <v>8</v>
      </c>
      <c r="B3" s="9" t="s">
        <v>5</v>
      </c>
      <c r="C3" s="10" t="s">
        <v>7</v>
      </c>
    </row>
    <row r="4" spans="1:3" x14ac:dyDescent="0.25">
      <c r="A4" s="13" t="s">
        <v>1</v>
      </c>
      <c r="B4" s="9" t="s">
        <v>0</v>
      </c>
      <c r="C4" s="9" t="s">
        <v>0</v>
      </c>
    </row>
    <row r="5" spans="1:3" x14ac:dyDescent="0.25">
      <c r="A5" s="9" t="s">
        <v>11</v>
      </c>
      <c r="B5" s="9" t="s">
        <v>10</v>
      </c>
      <c r="C5" s="10" t="s">
        <v>9</v>
      </c>
    </row>
    <row r="6" spans="1:3" x14ac:dyDescent="0.25">
      <c r="A6" s="9" t="s">
        <v>13</v>
      </c>
      <c r="B6" s="9" t="s">
        <v>10</v>
      </c>
      <c r="C6" s="10" t="s">
        <v>12</v>
      </c>
    </row>
    <row r="7" spans="1:3" x14ac:dyDescent="0.25">
      <c r="A7" s="9" t="s">
        <v>15</v>
      </c>
      <c r="B7" s="9" t="s">
        <v>10</v>
      </c>
      <c r="C7" s="10" t="s">
        <v>14</v>
      </c>
    </row>
    <row r="8" spans="1:3" x14ac:dyDescent="0.25">
      <c r="A8" s="2" t="s">
        <v>17</v>
      </c>
      <c r="B8" s="9" t="s">
        <v>10</v>
      </c>
      <c r="C8" s="10" t="s">
        <v>16</v>
      </c>
    </row>
    <row r="9" spans="1:3" x14ac:dyDescent="0.25">
      <c r="A9" s="9" t="s">
        <v>21</v>
      </c>
      <c r="B9" s="9" t="s">
        <v>10</v>
      </c>
      <c r="C9" s="10" t="s">
        <v>20</v>
      </c>
    </row>
    <row r="10" spans="1:3" x14ac:dyDescent="0.25">
      <c r="A10" s="9" t="s">
        <v>23</v>
      </c>
      <c r="B10" s="9" t="s">
        <v>10</v>
      </c>
      <c r="C10" s="10" t="s">
        <v>22</v>
      </c>
    </row>
    <row r="11" spans="1:3" x14ac:dyDescent="0.25">
      <c r="A11" s="3" t="s">
        <v>19</v>
      </c>
      <c r="B11" s="9" t="s">
        <v>10</v>
      </c>
      <c r="C11" s="10" t="s">
        <v>18</v>
      </c>
    </row>
    <row r="12" spans="1:3" ht="15" x14ac:dyDescent="0.25">
      <c r="A12" s="31" t="s">
        <v>1667</v>
      </c>
      <c r="B12" s="4" t="s">
        <v>74</v>
      </c>
      <c r="C12" s="4" t="s">
        <v>1670</v>
      </c>
    </row>
    <row r="13" spans="1:3" ht="15" x14ac:dyDescent="0.25">
      <c r="A13" s="31" t="s">
        <v>1668</v>
      </c>
      <c r="B13" s="4" t="s">
        <v>263</v>
      </c>
      <c r="C13" s="4" t="s">
        <v>1671</v>
      </c>
    </row>
    <row r="14" spans="1:3" ht="15" x14ac:dyDescent="0.25">
      <c r="A14" s="31" t="s">
        <v>1669</v>
      </c>
      <c r="B14" s="4" t="s">
        <v>1672</v>
      </c>
      <c r="C14" s="4" t="s">
        <v>1672</v>
      </c>
    </row>
    <row r="15" spans="1:3" ht="15" x14ac:dyDescent="0.25">
      <c r="A15" s="21" t="s">
        <v>1674</v>
      </c>
      <c r="B15" s="4" t="s">
        <v>74</v>
      </c>
      <c r="C15" s="21" t="s">
        <v>1676</v>
      </c>
    </row>
    <row r="16" spans="1:3" ht="15" x14ac:dyDescent="0.25">
      <c r="A16" s="32" t="s">
        <v>1679</v>
      </c>
      <c r="B16" s="4" t="s">
        <v>263</v>
      </c>
      <c r="C16" s="22" t="s">
        <v>1681</v>
      </c>
    </row>
    <row r="17" spans="1:3" ht="15" x14ac:dyDescent="0.25">
      <c r="A17" s="32" t="s">
        <v>1680</v>
      </c>
      <c r="B17" s="4" t="s">
        <v>1683</v>
      </c>
      <c r="C17" s="22" t="s">
        <v>1682</v>
      </c>
    </row>
    <row r="18" spans="1:3" ht="15" x14ac:dyDescent="0.25">
      <c r="A18" s="21" t="s">
        <v>1675</v>
      </c>
      <c r="B18" s="4" t="s">
        <v>138</v>
      </c>
      <c r="C18" s="21" t="s">
        <v>1677</v>
      </c>
    </row>
    <row r="19" spans="1:3" ht="15" x14ac:dyDescent="0.25">
      <c r="A19" s="21" t="s">
        <v>1673</v>
      </c>
      <c r="B19" s="4" t="s">
        <v>263</v>
      </c>
      <c r="C19" s="21" t="s">
        <v>1678</v>
      </c>
    </row>
    <row r="20" spans="1:3" x14ac:dyDescent="0.25">
      <c r="A20" s="32" t="s">
        <v>1684</v>
      </c>
      <c r="B20" s="10" t="s">
        <v>263</v>
      </c>
      <c r="C20" s="22" t="s">
        <v>1689</v>
      </c>
    </row>
    <row r="21" spans="1:3" x14ac:dyDescent="0.25">
      <c r="A21" s="32" t="s">
        <v>1685</v>
      </c>
      <c r="B21" s="10" t="s">
        <v>263</v>
      </c>
      <c r="C21" s="22" t="s">
        <v>1690</v>
      </c>
    </row>
    <row r="22" spans="1:3" x14ac:dyDescent="0.25">
      <c r="A22" s="32" t="s">
        <v>1686</v>
      </c>
      <c r="B22" s="10" t="s">
        <v>1691</v>
      </c>
      <c r="C22" s="32" t="s">
        <v>1687</v>
      </c>
    </row>
    <row r="23" spans="1:3" ht="15" x14ac:dyDescent="0.25">
      <c r="A23" s="32" t="s">
        <v>1688</v>
      </c>
      <c r="B23" t="s">
        <v>527</v>
      </c>
      <c r="C23" s="24" t="s">
        <v>1692</v>
      </c>
    </row>
    <row r="24" spans="1:3" x14ac:dyDescent="0.25">
      <c r="A24" s="30" t="s">
        <v>1656</v>
      </c>
      <c r="B24" s="10" t="s">
        <v>1666</v>
      </c>
      <c r="C24" s="22" t="s">
        <v>1661</v>
      </c>
    </row>
    <row r="25" spans="1:3" x14ac:dyDescent="0.25">
      <c r="A25" s="30" t="s">
        <v>1657</v>
      </c>
      <c r="B25" s="10" t="s">
        <v>135</v>
      </c>
      <c r="C25" s="30" t="s">
        <v>1662</v>
      </c>
    </row>
    <row r="26" spans="1:3" x14ac:dyDescent="0.25">
      <c r="A26" s="30" t="s">
        <v>1658</v>
      </c>
      <c r="B26" s="10" t="s">
        <v>1666</v>
      </c>
      <c r="C26" s="22" t="s">
        <v>1663</v>
      </c>
    </row>
    <row r="27" spans="1:3" x14ac:dyDescent="0.25">
      <c r="A27" s="30" t="s">
        <v>1659</v>
      </c>
      <c r="B27" s="10" t="s">
        <v>263</v>
      </c>
      <c r="C27" s="22" t="s">
        <v>1664</v>
      </c>
    </row>
    <row r="28" spans="1:3" x14ac:dyDescent="0.25">
      <c r="A28" s="30" t="s">
        <v>1660</v>
      </c>
      <c r="B28" s="10" t="s">
        <v>74</v>
      </c>
      <c r="C28" s="22" t="s">
        <v>1665</v>
      </c>
    </row>
    <row r="29" spans="1:3" x14ac:dyDescent="0.25">
      <c r="A29" s="28" t="s">
        <v>1651</v>
      </c>
      <c r="B29" s="10" t="s">
        <v>1666</v>
      </c>
      <c r="C29" s="29" t="s">
        <v>1654</v>
      </c>
    </row>
    <row r="30" spans="1:3" x14ac:dyDescent="0.25">
      <c r="A30" s="28" t="s">
        <v>1653</v>
      </c>
      <c r="B30" s="10" t="s">
        <v>1666</v>
      </c>
      <c r="C30" s="29" t="s">
        <v>1655</v>
      </c>
    </row>
    <row r="31" spans="1:3" x14ac:dyDescent="0.25">
      <c r="A31" s="28" t="s">
        <v>1652</v>
      </c>
      <c r="B31" s="10" t="s">
        <v>1285</v>
      </c>
      <c r="C31" s="29" t="s">
        <v>1377</v>
      </c>
    </row>
    <row r="32" spans="1:3" ht="15" x14ac:dyDescent="0.25">
      <c r="A32" s="25" t="s">
        <v>1598</v>
      </c>
      <c r="B32" s="22" t="s">
        <v>1285</v>
      </c>
      <c r="C32" s="22" t="s">
        <v>1604</v>
      </c>
    </row>
    <row r="33" spans="1:3" ht="15" x14ac:dyDescent="0.25">
      <c r="A33" s="25" t="s">
        <v>1599</v>
      </c>
      <c r="B33" s="22" t="s">
        <v>638</v>
      </c>
      <c r="C33" s="22" t="s">
        <v>1605</v>
      </c>
    </row>
    <row r="34" spans="1:3" ht="15" x14ac:dyDescent="0.25">
      <c r="A34" s="25" t="s">
        <v>1600</v>
      </c>
      <c r="B34" t="s">
        <v>263</v>
      </c>
      <c r="C34" s="22" t="s">
        <v>1606</v>
      </c>
    </row>
    <row r="35" spans="1:3" ht="15" x14ac:dyDescent="0.25">
      <c r="A35" s="25" t="s">
        <v>1601</v>
      </c>
      <c r="B35" s="22" t="s">
        <v>1608</v>
      </c>
      <c r="C35" s="22" t="s">
        <v>1607</v>
      </c>
    </row>
    <row r="36" spans="1:3" x14ac:dyDescent="0.25">
      <c r="A36" s="27" t="s">
        <v>1615</v>
      </c>
      <c r="B36" s="10" t="s">
        <v>1666</v>
      </c>
      <c r="C36" s="24" t="s">
        <v>1620</v>
      </c>
    </row>
    <row r="37" spans="1:3" x14ac:dyDescent="0.25">
      <c r="A37" s="27" t="s">
        <v>1616</v>
      </c>
      <c r="B37" s="10" t="s">
        <v>1666</v>
      </c>
      <c r="C37" s="24" t="s">
        <v>1618</v>
      </c>
    </row>
    <row r="38" spans="1:3" x14ac:dyDescent="0.25">
      <c r="A38" s="27" t="s">
        <v>1617</v>
      </c>
      <c r="B38" s="10" t="s">
        <v>1666</v>
      </c>
      <c r="C38" s="24" t="s">
        <v>1619</v>
      </c>
    </row>
    <row r="39" spans="1:3" ht="15" x14ac:dyDescent="0.25">
      <c r="A39" s="25" t="s">
        <v>1602</v>
      </c>
      <c r="B39" t="s">
        <v>263</v>
      </c>
      <c r="C39" s="22" t="s">
        <v>1609</v>
      </c>
    </row>
    <row r="40" spans="1:3" x14ac:dyDescent="0.25">
      <c r="A40" s="25" t="s">
        <v>1603</v>
      </c>
      <c r="B40" s="10" t="s">
        <v>1666</v>
      </c>
      <c r="C40" s="22" t="s">
        <v>1610</v>
      </c>
    </row>
    <row r="41" spans="1:3" x14ac:dyDescent="0.25">
      <c r="A41" s="18" t="s">
        <v>1611</v>
      </c>
      <c r="B41" s="10" t="s">
        <v>1666</v>
      </c>
      <c r="C41" s="18" t="s">
        <v>1613</v>
      </c>
    </row>
    <row r="42" spans="1:3" x14ac:dyDescent="0.25">
      <c r="A42" s="18" t="s">
        <v>1612</v>
      </c>
      <c r="B42" s="10" t="s">
        <v>1666</v>
      </c>
      <c r="C42" s="18" t="s">
        <v>1614</v>
      </c>
    </row>
    <row r="43" spans="1:3" ht="15" x14ac:dyDescent="0.25">
      <c r="A43" s="18" t="s">
        <v>1621</v>
      </c>
      <c r="B43" t="s">
        <v>263</v>
      </c>
      <c r="C43" t="s">
        <v>1622</v>
      </c>
    </row>
    <row r="44" spans="1:3" x14ac:dyDescent="0.25">
      <c r="A44" s="28" t="s">
        <v>1623</v>
      </c>
      <c r="B44" s="10" t="s">
        <v>1396</v>
      </c>
      <c r="C44" s="10" t="s">
        <v>1636</v>
      </c>
    </row>
    <row r="45" spans="1:3" x14ac:dyDescent="0.25">
      <c r="A45" s="28" t="s">
        <v>1624</v>
      </c>
      <c r="B45" s="10" t="s">
        <v>1396</v>
      </c>
      <c r="C45" s="10" t="s">
        <v>1637</v>
      </c>
    </row>
    <row r="46" spans="1:3" x14ac:dyDescent="0.25">
      <c r="A46" s="28" t="s">
        <v>1625</v>
      </c>
      <c r="B46" t="s">
        <v>138</v>
      </c>
      <c r="C46" s="10" t="s">
        <v>1638</v>
      </c>
    </row>
    <row r="47" spans="1:3" x14ac:dyDescent="0.25">
      <c r="A47" s="28" t="s">
        <v>1626</v>
      </c>
      <c r="B47" t="s">
        <v>605</v>
      </c>
      <c r="C47" s="10" t="s">
        <v>1639</v>
      </c>
    </row>
    <row r="48" spans="1:3" x14ac:dyDescent="0.25">
      <c r="A48" s="28" t="s">
        <v>1627</v>
      </c>
      <c r="B48" s="10" t="s">
        <v>1666</v>
      </c>
      <c r="C48" s="10" t="s">
        <v>1640</v>
      </c>
    </row>
    <row r="49" spans="1:3" x14ac:dyDescent="0.25">
      <c r="A49" s="28" t="s">
        <v>1628</v>
      </c>
      <c r="B49" t="s">
        <v>74</v>
      </c>
      <c r="C49" s="10" t="s">
        <v>1641</v>
      </c>
    </row>
    <row r="50" spans="1:3" x14ac:dyDescent="0.25">
      <c r="A50" s="28" t="s">
        <v>1629</v>
      </c>
      <c r="B50" t="s">
        <v>74</v>
      </c>
      <c r="C50" s="10" t="s">
        <v>1642</v>
      </c>
    </row>
    <row r="51" spans="1:3" x14ac:dyDescent="0.25">
      <c r="A51" s="28" t="s">
        <v>1630</v>
      </c>
      <c r="B51" s="10" t="s">
        <v>1666</v>
      </c>
      <c r="C51" s="10" t="s">
        <v>1643</v>
      </c>
    </row>
    <row r="52" spans="1:3" ht="15" x14ac:dyDescent="0.25">
      <c r="A52" s="28" t="s">
        <v>1631</v>
      </c>
      <c r="B52" t="s">
        <v>1645</v>
      </c>
      <c r="C52" s="28" t="s">
        <v>1644</v>
      </c>
    </row>
    <row r="53" spans="1:3" ht="15" x14ac:dyDescent="0.25">
      <c r="A53" s="28" t="s">
        <v>1632</v>
      </c>
      <c r="B53" t="s">
        <v>533</v>
      </c>
      <c r="C53" s="28" t="s">
        <v>1646</v>
      </c>
    </row>
    <row r="54" spans="1:3" ht="15" x14ac:dyDescent="0.25">
      <c r="A54" s="28" t="s">
        <v>1633</v>
      </c>
      <c r="B54" t="s">
        <v>74</v>
      </c>
      <c r="C54" s="29" t="s">
        <v>1647</v>
      </c>
    </row>
    <row r="55" spans="1:3" ht="15" x14ac:dyDescent="0.25">
      <c r="A55" s="28" t="s">
        <v>1634</v>
      </c>
      <c r="B55" t="s">
        <v>1645</v>
      </c>
      <c r="C55" s="29" t="s">
        <v>1648</v>
      </c>
    </row>
    <row r="56" spans="1:3" ht="15" x14ac:dyDescent="0.25">
      <c r="A56" s="28" t="s">
        <v>1635</v>
      </c>
      <c r="B56" t="s">
        <v>1285</v>
      </c>
      <c r="C56" s="28" t="s">
        <v>1377</v>
      </c>
    </row>
    <row r="57" spans="1:3" x14ac:dyDescent="0.25">
      <c r="A57" s="28" t="s">
        <v>1649</v>
      </c>
      <c r="B57" s="10" t="s">
        <v>1666</v>
      </c>
      <c r="C57" s="29" t="s">
        <v>1650</v>
      </c>
    </row>
    <row r="58" spans="1:3" ht="15" x14ac:dyDescent="0.25">
      <c r="A58" s="3" t="s">
        <v>567</v>
      </c>
      <c r="B58" t="s">
        <v>566</v>
      </c>
      <c r="C58" t="s">
        <v>566</v>
      </c>
    </row>
    <row r="59" spans="1:3" ht="15" x14ac:dyDescent="0.25">
      <c r="A59" s="3" t="s">
        <v>569</v>
      </c>
      <c r="B59" t="s">
        <v>568</v>
      </c>
      <c r="C59" t="s">
        <v>568</v>
      </c>
    </row>
    <row r="60" spans="1:3" x14ac:dyDescent="0.25">
      <c r="A60" s="17" t="s">
        <v>1556</v>
      </c>
      <c r="B60" s="4" t="s">
        <v>1557</v>
      </c>
      <c r="C60" s="4" t="s">
        <v>1557</v>
      </c>
    </row>
    <row r="61" spans="1:3" x14ac:dyDescent="0.25">
      <c r="A61" s="3" t="s">
        <v>85</v>
      </c>
      <c r="B61" s="9" t="s">
        <v>74</v>
      </c>
      <c r="C61" s="4" t="s">
        <v>84</v>
      </c>
    </row>
    <row r="62" spans="1:3" x14ac:dyDescent="0.25">
      <c r="A62" s="18" t="s">
        <v>1591</v>
      </c>
      <c r="B62" s="9" t="s">
        <v>74</v>
      </c>
      <c r="C62" s="4" t="s">
        <v>1597</v>
      </c>
    </row>
    <row r="63" spans="1:3" x14ac:dyDescent="0.25">
      <c r="A63" s="9" t="s">
        <v>26</v>
      </c>
      <c r="B63" s="9" t="s">
        <v>25</v>
      </c>
      <c r="C63" s="10" t="s">
        <v>24</v>
      </c>
    </row>
    <row r="64" spans="1:3" x14ac:dyDescent="0.25">
      <c r="A64" s="9" t="s">
        <v>28</v>
      </c>
      <c r="B64" s="9" t="s">
        <v>25</v>
      </c>
      <c r="C64" s="10" t="s">
        <v>27</v>
      </c>
    </row>
    <row r="65" spans="1:3" x14ac:dyDescent="0.25">
      <c r="A65" s="9" t="s">
        <v>30</v>
      </c>
      <c r="B65" s="9" t="s">
        <v>25</v>
      </c>
      <c r="C65" s="10" t="s">
        <v>29</v>
      </c>
    </row>
    <row r="66" spans="1:3" x14ac:dyDescent="0.25">
      <c r="A66" s="9" t="s">
        <v>32</v>
      </c>
      <c r="B66" s="9" t="s">
        <v>25</v>
      </c>
      <c r="C66" s="10" t="s">
        <v>31</v>
      </c>
    </row>
    <row r="67" spans="1:3" x14ac:dyDescent="0.25">
      <c r="A67" s="9" t="s">
        <v>34</v>
      </c>
      <c r="B67" s="9" t="s">
        <v>25</v>
      </c>
      <c r="C67" s="10" t="s">
        <v>33</v>
      </c>
    </row>
    <row r="68" spans="1:3" x14ac:dyDescent="0.25">
      <c r="A68" s="9" t="s">
        <v>36</v>
      </c>
      <c r="B68" s="9" t="s">
        <v>25</v>
      </c>
      <c r="C68" s="10" t="s">
        <v>35</v>
      </c>
    </row>
    <row r="69" spans="1:3" x14ac:dyDescent="0.25">
      <c r="A69" s="9" t="s">
        <v>38</v>
      </c>
      <c r="B69" s="9" t="s">
        <v>25</v>
      </c>
      <c r="C69" s="10" t="s">
        <v>37</v>
      </c>
    </row>
    <row r="70" spans="1:3" x14ac:dyDescent="0.25">
      <c r="A70" s="9" t="s">
        <v>40</v>
      </c>
      <c r="B70" s="9" t="s">
        <v>25</v>
      </c>
      <c r="C70" s="10" t="s">
        <v>39</v>
      </c>
    </row>
    <row r="71" spans="1:3" x14ac:dyDescent="0.25">
      <c r="A71" s="9" t="s">
        <v>42</v>
      </c>
      <c r="B71" s="9" t="s">
        <v>25</v>
      </c>
      <c r="C71" s="10" t="s">
        <v>41</v>
      </c>
    </row>
    <row r="72" spans="1:3" x14ac:dyDescent="0.25">
      <c r="A72" s="9" t="s">
        <v>44</v>
      </c>
      <c r="B72" s="9" t="s">
        <v>25</v>
      </c>
      <c r="C72" s="10" t="s">
        <v>43</v>
      </c>
    </row>
    <row r="73" spans="1:3" x14ac:dyDescent="0.25">
      <c r="A73" s="9" t="s">
        <v>46</v>
      </c>
      <c r="B73" s="9" t="s">
        <v>25</v>
      </c>
      <c r="C73" s="10" t="s">
        <v>45</v>
      </c>
    </row>
    <row r="74" spans="1:3" x14ac:dyDescent="0.25">
      <c r="A74" s="9" t="s">
        <v>48</v>
      </c>
      <c r="B74" s="9" t="s">
        <v>25</v>
      </c>
      <c r="C74" s="10" t="s">
        <v>47</v>
      </c>
    </row>
    <row r="75" spans="1:3" x14ac:dyDescent="0.25">
      <c r="A75" s="9" t="s">
        <v>50</v>
      </c>
      <c r="B75" s="9" t="s">
        <v>25</v>
      </c>
      <c r="C75" s="10" t="s">
        <v>49</v>
      </c>
    </row>
    <row r="76" spans="1:3" x14ac:dyDescent="0.25">
      <c r="A76" s="9" t="s">
        <v>52</v>
      </c>
      <c r="B76" s="9" t="s">
        <v>25</v>
      </c>
      <c r="C76" s="10" t="s">
        <v>51</v>
      </c>
    </row>
    <row r="77" spans="1:3" x14ac:dyDescent="0.25">
      <c r="A77" s="9" t="s">
        <v>54</v>
      </c>
      <c r="B77" s="9" t="s">
        <v>25</v>
      </c>
      <c r="C77" s="10" t="s">
        <v>53</v>
      </c>
    </row>
    <row r="78" spans="1:3" x14ac:dyDescent="0.25">
      <c r="A78" s="9" t="s">
        <v>56</v>
      </c>
      <c r="B78" s="9" t="s">
        <v>25</v>
      </c>
      <c r="C78" s="10" t="s">
        <v>55</v>
      </c>
    </row>
    <row r="79" spans="1:3" x14ac:dyDescent="0.25">
      <c r="A79" s="9" t="s">
        <v>58</v>
      </c>
      <c r="B79" s="9" t="s">
        <v>25</v>
      </c>
      <c r="C79" s="10" t="s">
        <v>57</v>
      </c>
    </row>
    <row r="80" spans="1:3" x14ac:dyDescent="0.25">
      <c r="A80" s="9" t="s">
        <v>60</v>
      </c>
      <c r="B80" s="9" t="s">
        <v>25</v>
      </c>
      <c r="C80" s="10" t="s">
        <v>59</v>
      </c>
    </row>
    <row r="81" spans="1:3" x14ac:dyDescent="0.25">
      <c r="A81" s="9" t="s">
        <v>62</v>
      </c>
      <c r="B81" s="9" t="s">
        <v>25</v>
      </c>
      <c r="C81" s="10" t="s">
        <v>61</v>
      </c>
    </row>
    <row r="82" spans="1:3" x14ac:dyDescent="0.25">
      <c r="A82" s="9" t="s">
        <v>64</v>
      </c>
      <c r="B82" s="9" t="s">
        <v>25</v>
      </c>
      <c r="C82" s="10" t="s">
        <v>63</v>
      </c>
    </row>
    <row r="83" spans="1:3" x14ac:dyDescent="0.25">
      <c r="A83" s="9" t="s">
        <v>66</v>
      </c>
      <c r="B83" s="9" t="s">
        <v>25</v>
      </c>
      <c r="C83" s="10" t="s">
        <v>65</v>
      </c>
    </row>
    <row r="84" spans="1:3" x14ac:dyDescent="0.25">
      <c r="A84" s="9" t="s">
        <v>68</v>
      </c>
      <c r="B84" s="9" t="s">
        <v>25</v>
      </c>
      <c r="C84" s="10" t="s">
        <v>67</v>
      </c>
    </row>
    <row r="85" spans="1:3" x14ac:dyDescent="0.25">
      <c r="A85" s="9" t="s">
        <v>70</v>
      </c>
      <c r="B85" s="9" t="s">
        <v>25</v>
      </c>
      <c r="C85" s="10" t="s">
        <v>69</v>
      </c>
    </row>
    <row r="86" spans="1:3" x14ac:dyDescent="0.25">
      <c r="A86" s="9" t="s">
        <v>72</v>
      </c>
      <c r="B86" s="9" t="s">
        <v>25</v>
      </c>
      <c r="C86" s="10" t="s">
        <v>71</v>
      </c>
    </row>
    <row r="87" spans="1:3" x14ac:dyDescent="0.25">
      <c r="A87" s="9" t="s">
        <v>75</v>
      </c>
      <c r="B87" s="9" t="s">
        <v>74</v>
      </c>
      <c r="C87" s="10" t="s">
        <v>73</v>
      </c>
    </row>
    <row r="88" spans="1:3" x14ac:dyDescent="0.25">
      <c r="A88" s="9" t="s">
        <v>77</v>
      </c>
      <c r="B88" s="9" t="s">
        <v>74</v>
      </c>
      <c r="C88" s="10" t="s">
        <v>76</v>
      </c>
    </row>
    <row r="89" spans="1:3" x14ac:dyDescent="0.25">
      <c r="A89" s="9" t="s">
        <v>79</v>
      </c>
      <c r="B89" s="9" t="s">
        <v>74</v>
      </c>
      <c r="C89" s="10" t="s">
        <v>78</v>
      </c>
    </row>
    <row r="90" spans="1:3" x14ac:dyDescent="0.25">
      <c r="A90" s="9" t="s">
        <v>81</v>
      </c>
      <c r="B90" s="9" t="s">
        <v>74</v>
      </c>
      <c r="C90" s="10" t="s">
        <v>80</v>
      </c>
    </row>
    <row r="91" spans="1:3" x14ac:dyDescent="0.25">
      <c r="A91" s="9" t="s">
        <v>83</v>
      </c>
      <c r="B91" s="9" t="s">
        <v>74</v>
      </c>
      <c r="C91" s="10" t="s">
        <v>82</v>
      </c>
    </row>
    <row r="92" spans="1:3" ht="15" x14ac:dyDescent="0.25">
      <c r="A92" s="21" t="s">
        <v>1566</v>
      </c>
      <c r="B92" s="4" t="s">
        <v>74</v>
      </c>
      <c r="C92" s="4" t="s">
        <v>1568</v>
      </c>
    </row>
    <row r="93" spans="1:3" ht="15" x14ac:dyDescent="0.25">
      <c r="A93" s="21" t="s">
        <v>1567</v>
      </c>
      <c r="B93" s="21" t="s">
        <v>1569</v>
      </c>
      <c r="C93" s="21" t="s">
        <v>1569</v>
      </c>
    </row>
    <row r="94" spans="1:3" x14ac:dyDescent="0.25">
      <c r="A94" s="3" t="s">
        <v>237</v>
      </c>
      <c r="B94" s="10" t="s">
        <v>236</v>
      </c>
      <c r="C94" s="10" t="s">
        <v>235</v>
      </c>
    </row>
    <row r="95" spans="1:3" ht="15" x14ac:dyDescent="0.25">
      <c r="A95" s="18" t="s">
        <v>1570</v>
      </c>
      <c r="B95" s="22" t="s">
        <v>1396</v>
      </c>
      <c r="C95" s="22" t="s">
        <v>1573</v>
      </c>
    </row>
    <row r="96" spans="1:3" ht="15" x14ac:dyDescent="0.25">
      <c r="A96" s="18" t="s">
        <v>1571</v>
      </c>
      <c r="B96" s="22" t="s">
        <v>138</v>
      </c>
      <c r="C96" s="22" t="s">
        <v>1574</v>
      </c>
    </row>
    <row r="97" spans="1:3" ht="15" x14ac:dyDescent="0.25">
      <c r="A97" s="18" t="s">
        <v>1572</v>
      </c>
      <c r="B97" s="22" t="s">
        <v>87</v>
      </c>
      <c r="C97" s="22" t="s">
        <v>1575</v>
      </c>
    </row>
    <row r="98" spans="1:3" x14ac:dyDescent="0.25">
      <c r="A98" s="23" t="s">
        <v>1576</v>
      </c>
      <c r="B98" s="10" t="s">
        <v>135</v>
      </c>
      <c r="C98" t="s">
        <v>1577</v>
      </c>
    </row>
    <row r="99" spans="1:3" x14ac:dyDescent="0.25">
      <c r="A99" s="3" t="s">
        <v>108</v>
      </c>
      <c r="B99" s="10" t="s">
        <v>87</v>
      </c>
      <c r="C99" t="s">
        <v>107</v>
      </c>
    </row>
    <row r="100" spans="1:3" x14ac:dyDescent="0.25">
      <c r="A100" s="3" t="s">
        <v>110</v>
      </c>
      <c r="B100" s="10" t="s">
        <v>87</v>
      </c>
      <c r="C100" t="s">
        <v>109</v>
      </c>
    </row>
    <row r="101" spans="1:3" x14ac:dyDescent="0.25">
      <c r="A101" s="3" t="s">
        <v>116</v>
      </c>
      <c r="B101" s="10" t="s">
        <v>87</v>
      </c>
      <c r="C101" t="s">
        <v>115</v>
      </c>
    </row>
    <row r="102" spans="1:3" x14ac:dyDescent="0.25">
      <c r="A102" s="3" t="s">
        <v>120</v>
      </c>
      <c r="B102" s="10" t="s">
        <v>87</v>
      </c>
      <c r="C102" t="s">
        <v>119</v>
      </c>
    </row>
    <row r="103" spans="1:3" x14ac:dyDescent="0.25">
      <c r="A103" s="3" t="s">
        <v>88</v>
      </c>
      <c r="B103" s="10" t="s">
        <v>87</v>
      </c>
      <c r="C103" s="10" t="s">
        <v>86</v>
      </c>
    </row>
    <row r="104" spans="1:3" x14ac:dyDescent="0.25">
      <c r="A104" s="5" t="s">
        <v>112</v>
      </c>
      <c r="B104" s="10" t="s">
        <v>87</v>
      </c>
      <c r="C104" s="10" t="s">
        <v>111</v>
      </c>
    </row>
    <row r="105" spans="1:3" x14ac:dyDescent="0.25">
      <c r="A105" s="5" t="s">
        <v>114</v>
      </c>
      <c r="B105" s="10" t="s">
        <v>87</v>
      </c>
      <c r="C105" s="10" t="s">
        <v>113</v>
      </c>
    </row>
    <row r="106" spans="1:3" x14ac:dyDescent="0.25">
      <c r="A106" s="3" t="s">
        <v>90</v>
      </c>
      <c r="B106" s="10" t="s">
        <v>87</v>
      </c>
      <c r="C106" s="10" t="s">
        <v>89</v>
      </c>
    </row>
    <row r="107" spans="1:3" x14ac:dyDescent="0.25">
      <c r="A107" s="3" t="s">
        <v>92</v>
      </c>
      <c r="B107" s="10" t="s">
        <v>87</v>
      </c>
      <c r="C107" s="10" t="s">
        <v>91</v>
      </c>
    </row>
    <row r="108" spans="1:3" x14ac:dyDescent="0.25">
      <c r="A108" s="9" t="s">
        <v>98</v>
      </c>
      <c r="B108" s="10" t="s">
        <v>87</v>
      </c>
      <c r="C108" s="10" t="s">
        <v>97</v>
      </c>
    </row>
    <row r="109" spans="1:3" x14ac:dyDescent="0.25">
      <c r="A109" s="9" t="s">
        <v>94</v>
      </c>
      <c r="B109" s="10" t="s">
        <v>87</v>
      </c>
      <c r="C109" s="10" t="s">
        <v>93</v>
      </c>
    </row>
    <row r="110" spans="1:3" x14ac:dyDescent="0.25">
      <c r="A110" s="9" t="s">
        <v>96</v>
      </c>
      <c r="B110" s="10" t="s">
        <v>87</v>
      </c>
      <c r="C110" s="10" t="s">
        <v>95</v>
      </c>
    </row>
    <row r="111" spans="1:3" x14ac:dyDescent="0.25">
      <c r="A111" s="9" t="s">
        <v>100</v>
      </c>
      <c r="B111" s="9" t="s">
        <v>87</v>
      </c>
      <c r="C111" s="10" t="s">
        <v>99</v>
      </c>
    </row>
    <row r="112" spans="1:3" x14ac:dyDescent="0.25">
      <c r="A112" s="9" t="s">
        <v>102</v>
      </c>
      <c r="B112" s="9" t="s">
        <v>87</v>
      </c>
      <c r="C112" s="10" t="s">
        <v>101</v>
      </c>
    </row>
    <row r="113" spans="1:3" x14ac:dyDescent="0.25">
      <c r="A113" s="9" t="s">
        <v>104</v>
      </c>
      <c r="B113" s="9" t="s">
        <v>87</v>
      </c>
      <c r="C113" s="10" t="s">
        <v>103</v>
      </c>
    </row>
    <row r="114" spans="1:3" x14ac:dyDescent="0.25">
      <c r="A114" s="7" t="s">
        <v>118</v>
      </c>
      <c r="B114" s="9" t="s">
        <v>87</v>
      </c>
      <c r="C114" s="10" t="s">
        <v>117</v>
      </c>
    </row>
    <row r="115" spans="1:3" x14ac:dyDescent="0.25">
      <c r="A115" s="9" t="s">
        <v>106</v>
      </c>
      <c r="B115" s="9" t="s">
        <v>87</v>
      </c>
      <c r="C115" s="10" t="s">
        <v>105</v>
      </c>
    </row>
    <row r="116" spans="1:3" x14ac:dyDescent="0.25">
      <c r="A116" s="8" t="s">
        <v>122</v>
      </c>
      <c r="B116" s="9" t="s">
        <v>87</v>
      </c>
      <c r="C116" t="s">
        <v>121</v>
      </c>
    </row>
    <row r="117" spans="1:3" x14ac:dyDescent="0.25">
      <c r="A117" s="8" t="s">
        <v>124</v>
      </c>
      <c r="B117" s="9" t="s">
        <v>87</v>
      </c>
      <c r="C117" t="s">
        <v>123</v>
      </c>
    </row>
    <row r="118" spans="1:3" x14ac:dyDescent="0.25">
      <c r="A118" s="9" t="s">
        <v>126</v>
      </c>
      <c r="B118" s="9" t="s">
        <v>87</v>
      </c>
      <c r="C118" s="10" t="s">
        <v>1523</v>
      </c>
    </row>
    <row r="119" spans="1:3" x14ac:dyDescent="0.25">
      <c r="A119" s="8" t="s">
        <v>131</v>
      </c>
      <c r="B119" s="9" t="s">
        <v>130</v>
      </c>
      <c r="C119" t="s">
        <v>129</v>
      </c>
    </row>
    <row r="120" spans="1:3" x14ac:dyDescent="0.25">
      <c r="A120" s="8" t="s">
        <v>133</v>
      </c>
      <c r="B120" s="9" t="s">
        <v>87</v>
      </c>
      <c r="C120" t="s">
        <v>132</v>
      </c>
    </row>
    <row r="121" spans="1:3" x14ac:dyDescent="0.25">
      <c r="A121" s="3" t="s">
        <v>128</v>
      </c>
      <c r="B121" s="9" t="s">
        <v>87</v>
      </c>
      <c r="C121" t="s">
        <v>127</v>
      </c>
    </row>
    <row r="122" spans="1:3" x14ac:dyDescent="0.25">
      <c r="A122" s="3" t="s">
        <v>1532</v>
      </c>
      <c r="B122" s="9" t="s">
        <v>87</v>
      </c>
      <c r="C122" t="s">
        <v>1531</v>
      </c>
    </row>
    <row r="123" spans="1:3" x14ac:dyDescent="0.25">
      <c r="A123" s="3" t="s">
        <v>1534</v>
      </c>
      <c r="B123" s="9" t="s">
        <v>87</v>
      </c>
      <c r="C123" t="s">
        <v>1533</v>
      </c>
    </row>
    <row r="124" spans="1:3" x14ac:dyDescent="0.25">
      <c r="A124" s="12" t="s">
        <v>1512</v>
      </c>
      <c r="B124" s="9" t="s">
        <v>1511</v>
      </c>
      <c r="C124" s="10" t="s">
        <v>1511</v>
      </c>
    </row>
    <row r="125" spans="1:3" x14ac:dyDescent="0.25">
      <c r="A125" s="1" t="s">
        <v>3</v>
      </c>
      <c r="B125" s="9" t="s">
        <v>2</v>
      </c>
      <c r="C125" s="10" t="s">
        <v>2</v>
      </c>
    </row>
    <row r="126" spans="1:3" x14ac:dyDescent="0.25">
      <c r="A126" s="3" t="s">
        <v>225</v>
      </c>
      <c r="B126" s="9" t="s">
        <v>138</v>
      </c>
      <c r="C126" s="4" t="s">
        <v>224</v>
      </c>
    </row>
    <row r="127" spans="1:3" x14ac:dyDescent="0.25">
      <c r="A127" s="9" t="s">
        <v>139</v>
      </c>
      <c r="B127" s="9" t="s">
        <v>138</v>
      </c>
      <c r="C127" s="10" t="s">
        <v>137</v>
      </c>
    </row>
    <row r="128" spans="1:3" x14ac:dyDescent="0.25">
      <c r="A128" s="9" t="s">
        <v>141</v>
      </c>
      <c r="B128" s="9" t="s">
        <v>138</v>
      </c>
      <c r="C128" s="10" t="s">
        <v>140</v>
      </c>
    </row>
    <row r="129" spans="1:3" x14ac:dyDescent="0.25">
      <c r="A129" s="9" t="s">
        <v>143</v>
      </c>
      <c r="B129" s="9" t="s">
        <v>138</v>
      </c>
      <c r="C129" s="10" t="s">
        <v>142</v>
      </c>
    </row>
    <row r="130" spans="1:3" x14ac:dyDescent="0.25">
      <c r="A130" s="9" t="s">
        <v>145</v>
      </c>
      <c r="B130" s="9" t="s">
        <v>138</v>
      </c>
      <c r="C130" s="10" t="s">
        <v>144</v>
      </c>
    </row>
    <row r="131" spans="1:3" x14ac:dyDescent="0.25">
      <c r="A131" s="9" t="s">
        <v>147</v>
      </c>
      <c r="B131" s="9" t="s">
        <v>138</v>
      </c>
      <c r="C131" s="10" t="s">
        <v>146</v>
      </c>
    </row>
    <row r="132" spans="1:3" x14ac:dyDescent="0.25">
      <c r="A132" s="9" t="s">
        <v>149</v>
      </c>
      <c r="B132" s="9" t="s">
        <v>138</v>
      </c>
      <c r="C132" s="10" t="s">
        <v>148</v>
      </c>
    </row>
    <row r="133" spans="1:3" x14ac:dyDescent="0.25">
      <c r="A133" s="9" t="s">
        <v>151</v>
      </c>
      <c r="B133" s="9" t="s">
        <v>138</v>
      </c>
      <c r="C133" s="10" t="s">
        <v>150</v>
      </c>
    </row>
    <row r="134" spans="1:3" x14ac:dyDescent="0.25">
      <c r="A134" s="9" t="s">
        <v>153</v>
      </c>
      <c r="B134" s="9" t="s">
        <v>138</v>
      </c>
      <c r="C134" s="10" t="s">
        <v>152</v>
      </c>
    </row>
    <row r="135" spans="1:3" x14ac:dyDescent="0.25">
      <c r="A135" s="9" t="s">
        <v>155</v>
      </c>
      <c r="B135" s="9" t="s">
        <v>138</v>
      </c>
      <c r="C135" s="10" t="s">
        <v>154</v>
      </c>
    </row>
    <row r="136" spans="1:3" x14ac:dyDescent="0.25">
      <c r="A136" s="9" t="s">
        <v>157</v>
      </c>
      <c r="B136" s="9" t="s">
        <v>138</v>
      </c>
      <c r="C136" s="10" t="s">
        <v>156</v>
      </c>
    </row>
    <row r="137" spans="1:3" x14ac:dyDescent="0.25">
      <c r="A137" s="9" t="s">
        <v>159</v>
      </c>
      <c r="B137" s="9" t="s">
        <v>138</v>
      </c>
      <c r="C137" s="10" t="s">
        <v>158</v>
      </c>
    </row>
    <row r="138" spans="1:3" x14ac:dyDescent="0.25">
      <c r="A138" s="9" t="s">
        <v>161</v>
      </c>
      <c r="B138" s="9" t="s">
        <v>138</v>
      </c>
      <c r="C138" s="10" t="s">
        <v>160</v>
      </c>
    </row>
    <row r="139" spans="1:3" x14ac:dyDescent="0.25">
      <c r="A139" s="9" t="s">
        <v>163</v>
      </c>
      <c r="B139" s="9" t="s">
        <v>138</v>
      </c>
      <c r="C139" s="10" t="s">
        <v>162</v>
      </c>
    </row>
    <row r="140" spans="1:3" x14ac:dyDescent="0.25">
      <c r="A140" s="9" t="s">
        <v>165</v>
      </c>
      <c r="B140" s="9" t="s">
        <v>138</v>
      </c>
      <c r="C140" s="10" t="s">
        <v>164</v>
      </c>
    </row>
    <row r="141" spans="1:3" x14ac:dyDescent="0.25">
      <c r="A141" s="9" t="s">
        <v>167</v>
      </c>
      <c r="B141" s="9" t="s">
        <v>138</v>
      </c>
      <c r="C141" s="10" t="s">
        <v>166</v>
      </c>
    </row>
    <row r="142" spans="1:3" x14ac:dyDescent="0.25">
      <c r="A142" s="9" t="s">
        <v>169</v>
      </c>
      <c r="B142" s="9" t="s">
        <v>138</v>
      </c>
      <c r="C142" s="10" t="s">
        <v>168</v>
      </c>
    </row>
    <row r="143" spans="1:3" x14ac:dyDescent="0.25">
      <c r="A143" s="9" t="s">
        <v>171</v>
      </c>
      <c r="B143" s="9" t="s">
        <v>138</v>
      </c>
      <c r="C143" s="10" t="s">
        <v>170</v>
      </c>
    </row>
    <row r="144" spans="1:3" x14ac:dyDescent="0.25">
      <c r="A144" s="9" t="s">
        <v>173</v>
      </c>
      <c r="B144" s="9" t="s">
        <v>138</v>
      </c>
      <c r="C144" s="10" t="s">
        <v>172</v>
      </c>
    </row>
    <row r="145" spans="1:3" x14ac:dyDescent="0.25">
      <c r="A145" s="9" t="s">
        <v>175</v>
      </c>
      <c r="B145" s="9" t="s">
        <v>138</v>
      </c>
      <c r="C145" s="10" t="s">
        <v>174</v>
      </c>
    </row>
    <row r="146" spans="1:3" x14ac:dyDescent="0.25">
      <c r="A146" s="9" t="s">
        <v>177</v>
      </c>
      <c r="B146" s="9" t="s">
        <v>138</v>
      </c>
      <c r="C146" s="10" t="s">
        <v>176</v>
      </c>
    </row>
    <row r="147" spans="1:3" x14ac:dyDescent="0.25">
      <c r="A147" s="9" t="s">
        <v>179</v>
      </c>
      <c r="B147" s="9" t="s">
        <v>138</v>
      </c>
      <c r="C147" s="10" t="s">
        <v>178</v>
      </c>
    </row>
    <row r="148" spans="1:3" x14ac:dyDescent="0.25">
      <c r="A148" s="9" t="s">
        <v>181</v>
      </c>
      <c r="B148" s="9" t="s">
        <v>138</v>
      </c>
      <c r="C148" s="10" t="s">
        <v>180</v>
      </c>
    </row>
    <row r="149" spans="1:3" x14ac:dyDescent="0.25">
      <c r="A149" s="9" t="s">
        <v>183</v>
      </c>
      <c r="B149" s="9" t="s">
        <v>138</v>
      </c>
      <c r="C149" s="10" t="s">
        <v>182</v>
      </c>
    </row>
    <row r="150" spans="1:3" x14ac:dyDescent="0.25">
      <c r="A150" s="9" t="s">
        <v>185</v>
      </c>
      <c r="B150" s="9" t="s">
        <v>138</v>
      </c>
      <c r="C150" s="10" t="s">
        <v>184</v>
      </c>
    </row>
    <row r="151" spans="1:3" x14ac:dyDescent="0.25">
      <c r="A151" s="9" t="s">
        <v>187</v>
      </c>
      <c r="B151" s="9" t="s">
        <v>138</v>
      </c>
      <c r="C151" s="10" t="s">
        <v>186</v>
      </c>
    </row>
    <row r="152" spans="1:3" x14ac:dyDescent="0.25">
      <c r="A152" s="3" t="s">
        <v>223</v>
      </c>
      <c r="B152" s="9" t="s">
        <v>138</v>
      </c>
      <c r="C152" s="10" t="s">
        <v>222</v>
      </c>
    </row>
    <row r="153" spans="1:3" x14ac:dyDescent="0.25">
      <c r="A153" s="9" t="s">
        <v>189</v>
      </c>
      <c r="B153" s="9" t="s">
        <v>138</v>
      </c>
      <c r="C153" s="10" t="s">
        <v>188</v>
      </c>
    </row>
    <row r="154" spans="1:3" x14ac:dyDescent="0.25">
      <c r="A154" s="9" t="s">
        <v>191</v>
      </c>
      <c r="B154" s="9" t="s">
        <v>138</v>
      </c>
      <c r="C154" s="10" t="s">
        <v>190</v>
      </c>
    </row>
    <row r="155" spans="1:3" x14ac:dyDescent="0.25">
      <c r="A155" s="9" t="s">
        <v>193</v>
      </c>
      <c r="B155" s="9" t="s">
        <v>138</v>
      </c>
      <c r="C155" s="10" t="s">
        <v>192</v>
      </c>
    </row>
    <row r="156" spans="1:3" x14ac:dyDescent="0.25">
      <c r="A156" s="9" t="s">
        <v>195</v>
      </c>
      <c r="B156" s="9" t="s">
        <v>138</v>
      </c>
      <c r="C156" s="10" t="s">
        <v>194</v>
      </c>
    </row>
    <row r="157" spans="1:3" x14ac:dyDescent="0.25">
      <c r="A157" s="9" t="s">
        <v>197</v>
      </c>
      <c r="B157" s="9" t="s">
        <v>138</v>
      </c>
      <c r="C157" s="10" t="s">
        <v>196</v>
      </c>
    </row>
    <row r="158" spans="1:3" x14ac:dyDescent="0.25">
      <c r="A158" s="9" t="s">
        <v>199</v>
      </c>
      <c r="B158" s="9" t="s">
        <v>138</v>
      </c>
      <c r="C158" s="10" t="s">
        <v>198</v>
      </c>
    </row>
    <row r="159" spans="1:3" x14ac:dyDescent="0.25">
      <c r="A159" s="9" t="s">
        <v>201</v>
      </c>
      <c r="B159" s="9" t="s">
        <v>138</v>
      </c>
      <c r="C159" s="10" t="s">
        <v>200</v>
      </c>
    </row>
    <row r="160" spans="1:3" x14ac:dyDescent="0.25">
      <c r="A160" s="9" t="s">
        <v>203</v>
      </c>
      <c r="B160" s="9" t="s">
        <v>138</v>
      </c>
      <c r="C160" s="10" t="s">
        <v>202</v>
      </c>
    </row>
    <row r="161" spans="1:3" x14ac:dyDescent="0.25">
      <c r="A161" s="9" t="s">
        <v>205</v>
      </c>
      <c r="B161" s="9" t="s">
        <v>138</v>
      </c>
      <c r="C161" s="10" t="s">
        <v>204</v>
      </c>
    </row>
    <row r="162" spans="1:3" x14ac:dyDescent="0.25">
      <c r="A162" s="9" t="s">
        <v>207</v>
      </c>
      <c r="B162" s="9" t="s">
        <v>138</v>
      </c>
      <c r="C162" s="10" t="s">
        <v>206</v>
      </c>
    </row>
    <row r="163" spans="1:3" x14ac:dyDescent="0.25">
      <c r="A163" s="9" t="s">
        <v>209</v>
      </c>
      <c r="B163" s="9" t="s">
        <v>138</v>
      </c>
      <c r="C163" s="10" t="s">
        <v>208</v>
      </c>
    </row>
    <row r="164" spans="1:3" x14ac:dyDescent="0.25">
      <c r="A164" s="9" t="s">
        <v>211</v>
      </c>
      <c r="B164" s="9" t="s">
        <v>138</v>
      </c>
      <c r="C164" s="10" t="s">
        <v>210</v>
      </c>
    </row>
    <row r="165" spans="1:3" x14ac:dyDescent="0.25">
      <c r="A165" s="9" t="s">
        <v>213</v>
      </c>
      <c r="B165" s="9" t="s">
        <v>138</v>
      </c>
      <c r="C165" s="10" t="s">
        <v>212</v>
      </c>
    </row>
    <row r="166" spans="1:3" x14ac:dyDescent="0.25">
      <c r="A166" s="9" t="s">
        <v>215</v>
      </c>
      <c r="B166" s="9" t="s">
        <v>138</v>
      </c>
      <c r="C166" s="10" t="s">
        <v>214</v>
      </c>
    </row>
    <row r="167" spans="1:3" x14ac:dyDescent="0.25">
      <c r="A167" s="9" t="s">
        <v>217</v>
      </c>
      <c r="B167" s="9" t="s">
        <v>138</v>
      </c>
      <c r="C167" s="10" t="s">
        <v>216</v>
      </c>
    </row>
    <row r="168" spans="1:3" x14ac:dyDescent="0.25">
      <c r="A168" s="9" t="s">
        <v>219</v>
      </c>
      <c r="B168" s="9" t="s">
        <v>138</v>
      </c>
      <c r="C168" s="10" t="s">
        <v>218</v>
      </c>
    </row>
    <row r="169" spans="1:3" x14ac:dyDescent="0.25">
      <c r="A169" s="9" t="s">
        <v>221</v>
      </c>
      <c r="B169" s="9" t="s">
        <v>138</v>
      </c>
      <c r="C169" s="10" t="s">
        <v>220</v>
      </c>
    </row>
    <row r="170" spans="1:3" ht="15" x14ac:dyDescent="0.25">
      <c r="A170" s="3" t="s">
        <v>227</v>
      </c>
      <c r="B170" s="6" t="s">
        <v>138</v>
      </c>
      <c r="C170" s="4" t="s">
        <v>226</v>
      </c>
    </row>
    <row r="171" spans="1:3" ht="15" x14ac:dyDescent="0.25">
      <c r="A171" s="3" t="s">
        <v>229</v>
      </c>
      <c r="B171" s="6" t="s">
        <v>138</v>
      </c>
      <c r="C171" s="4" t="s">
        <v>228</v>
      </c>
    </row>
    <row r="172" spans="1:3" ht="15" x14ac:dyDescent="0.25">
      <c r="A172" s="3" t="s">
        <v>232</v>
      </c>
      <c r="B172" s="4" t="s">
        <v>231</v>
      </c>
      <c r="C172" s="4" t="s">
        <v>230</v>
      </c>
    </row>
    <row r="173" spans="1:3" ht="15" x14ac:dyDescent="0.25">
      <c r="A173" s="3" t="s">
        <v>234</v>
      </c>
      <c r="B173" s="4" t="s">
        <v>231</v>
      </c>
      <c r="C173" s="4" t="s">
        <v>233</v>
      </c>
    </row>
    <row r="174" spans="1:3" ht="15" x14ac:dyDescent="0.25">
      <c r="A174" s="24" t="s">
        <v>1588</v>
      </c>
      <c r="B174" s="4" t="s">
        <v>236</v>
      </c>
      <c r="C174" s="4" t="s">
        <v>1594</v>
      </c>
    </row>
    <row r="175" spans="1:3" x14ac:dyDescent="0.25">
      <c r="A175" s="9">
        <v>4317</v>
      </c>
      <c r="B175" s="9" t="s">
        <v>138</v>
      </c>
      <c r="C175" s="10" t="s">
        <v>238</v>
      </c>
    </row>
    <row r="176" spans="1:3" x14ac:dyDescent="0.25">
      <c r="A176" s="18" t="s">
        <v>1559</v>
      </c>
      <c r="B176" s="10" t="s">
        <v>1563</v>
      </c>
      <c r="C176" s="18" t="s">
        <v>1560</v>
      </c>
    </row>
    <row r="177" spans="1:3" x14ac:dyDescent="0.25">
      <c r="A177" s="9" t="s">
        <v>242</v>
      </c>
      <c r="B177" s="9" t="s">
        <v>241</v>
      </c>
      <c r="C177" s="10" t="s">
        <v>240</v>
      </c>
    </row>
    <row r="178" spans="1:3" x14ac:dyDescent="0.25">
      <c r="A178" s="9" t="s">
        <v>244</v>
      </c>
      <c r="B178" s="9" t="s">
        <v>241</v>
      </c>
      <c r="C178" s="10" t="s">
        <v>243</v>
      </c>
    </row>
    <row r="179" spans="1:3" x14ac:dyDescent="0.25">
      <c r="A179" s="9" t="s">
        <v>246</v>
      </c>
      <c r="B179" s="9" t="s">
        <v>241</v>
      </c>
      <c r="C179" s="10" t="s">
        <v>245</v>
      </c>
    </row>
    <row r="180" spans="1:3" x14ac:dyDescent="0.25">
      <c r="A180" s="9" t="s">
        <v>248</v>
      </c>
      <c r="B180" s="9" t="s">
        <v>241</v>
      </c>
      <c r="C180" s="10" t="s">
        <v>247</v>
      </c>
    </row>
    <row r="181" spans="1:3" x14ac:dyDescent="0.25">
      <c r="A181" s="9" t="s">
        <v>250</v>
      </c>
      <c r="B181" s="9" t="s">
        <v>241</v>
      </c>
      <c r="C181" s="10" t="s">
        <v>249</v>
      </c>
    </row>
    <row r="182" spans="1:3" x14ac:dyDescent="0.25">
      <c r="A182" s="3" t="s">
        <v>264</v>
      </c>
      <c r="B182" s="9" t="s">
        <v>263</v>
      </c>
      <c r="C182" s="10" t="s">
        <v>262</v>
      </c>
    </row>
    <row r="183" spans="1:3" ht="15" x14ac:dyDescent="0.25">
      <c r="A183" s="18" t="s">
        <v>1589</v>
      </c>
      <c r="B183" t="s">
        <v>263</v>
      </c>
      <c r="C183" s="18" t="s">
        <v>1595</v>
      </c>
    </row>
    <row r="184" spans="1:3" ht="15" x14ac:dyDescent="0.25">
      <c r="A184" s="18" t="s">
        <v>1590</v>
      </c>
      <c r="B184" t="s">
        <v>263</v>
      </c>
      <c r="C184" s="18" t="s">
        <v>1596</v>
      </c>
    </row>
    <row r="185" spans="1:3" x14ac:dyDescent="0.25">
      <c r="A185" s="9" t="s">
        <v>253</v>
      </c>
      <c r="B185" s="9" t="s">
        <v>252</v>
      </c>
      <c r="C185" s="10" t="s">
        <v>251</v>
      </c>
    </row>
    <row r="186" spans="1:3" x14ac:dyDescent="0.25">
      <c r="A186" s="9" t="s">
        <v>255</v>
      </c>
      <c r="B186" s="9" t="s">
        <v>252</v>
      </c>
      <c r="C186" s="10" t="s">
        <v>254</v>
      </c>
    </row>
    <row r="187" spans="1:3" x14ac:dyDescent="0.25">
      <c r="A187" s="9" t="s">
        <v>257</v>
      </c>
      <c r="B187" s="9" t="s">
        <v>252</v>
      </c>
      <c r="C187" s="10" t="s">
        <v>256</v>
      </c>
    </row>
    <row r="188" spans="1:3" x14ac:dyDescent="0.25">
      <c r="A188" s="9" t="s">
        <v>259</v>
      </c>
      <c r="B188" s="9" t="s">
        <v>252</v>
      </c>
      <c r="C188" s="10" t="s">
        <v>258</v>
      </c>
    </row>
    <row r="189" spans="1:3" x14ac:dyDescent="0.25">
      <c r="A189" s="3" t="s">
        <v>261</v>
      </c>
      <c r="B189" s="9" t="s">
        <v>260</v>
      </c>
      <c r="C189" s="10" t="s">
        <v>260</v>
      </c>
    </row>
    <row r="190" spans="1:3" x14ac:dyDescent="0.25">
      <c r="A190" s="9" t="s">
        <v>266</v>
      </c>
      <c r="B190" s="9" t="s">
        <v>263</v>
      </c>
      <c r="C190" s="10" t="s">
        <v>265</v>
      </c>
    </row>
    <row r="191" spans="1:3" x14ac:dyDescent="0.25">
      <c r="A191" s="9" t="s">
        <v>268</v>
      </c>
      <c r="B191" s="9" t="s">
        <v>263</v>
      </c>
      <c r="C191" s="10" t="s">
        <v>267</v>
      </c>
    </row>
    <row r="192" spans="1:3" x14ac:dyDescent="0.25">
      <c r="A192" s="9" t="s">
        <v>270</v>
      </c>
      <c r="B192" s="9" t="s">
        <v>263</v>
      </c>
      <c r="C192" s="10" t="s">
        <v>269</v>
      </c>
    </row>
    <row r="193" spans="1:3" x14ac:dyDescent="0.25">
      <c r="A193" s="9" t="s">
        <v>272</v>
      </c>
      <c r="B193" s="9" t="s">
        <v>263</v>
      </c>
      <c r="C193" s="10" t="s">
        <v>271</v>
      </c>
    </row>
    <row r="194" spans="1:3" x14ac:dyDescent="0.25">
      <c r="A194" s="9" t="s">
        <v>274</v>
      </c>
      <c r="B194" s="9" t="s">
        <v>263</v>
      </c>
      <c r="C194" s="10" t="s">
        <v>273</v>
      </c>
    </row>
    <row r="195" spans="1:3" x14ac:dyDescent="0.25">
      <c r="A195" s="9" t="s">
        <v>276</v>
      </c>
      <c r="B195" s="9" t="s">
        <v>263</v>
      </c>
      <c r="C195" s="10" t="s">
        <v>275</v>
      </c>
    </row>
    <row r="196" spans="1:3" x14ac:dyDescent="0.25">
      <c r="A196" s="9" t="s">
        <v>278</v>
      </c>
      <c r="B196" s="9" t="s">
        <v>263</v>
      </c>
      <c r="C196" s="10" t="s">
        <v>277</v>
      </c>
    </row>
    <row r="197" spans="1:3" x14ac:dyDescent="0.25">
      <c r="A197" s="9" t="s">
        <v>280</v>
      </c>
      <c r="B197" s="9" t="s">
        <v>263</v>
      </c>
      <c r="C197" s="10" t="s">
        <v>279</v>
      </c>
    </row>
    <row r="198" spans="1:3" x14ac:dyDescent="0.25">
      <c r="A198" s="9" t="s">
        <v>282</v>
      </c>
      <c r="B198" s="9" t="s">
        <v>263</v>
      </c>
      <c r="C198" s="10" t="s">
        <v>281</v>
      </c>
    </row>
    <row r="199" spans="1:3" x14ac:dyDescent="0.25">
      <c r="A199" s="9" t="s">
        <v>284</v>
      </c>
      <c r="B199" s="9" t="s">
        <v>263</v>
      </c>
      <c r="C199" s="10" t="s">
        <v>283</v>
      </c>
    </row>
    <row r="200" spans="1:3" x14ac:dyDescent="0.25">
      <c r="A200" s="9" t="s">
        <v>286</v>
      </c>
      <c r="B200" s="9" t="s">
        <v>263</v>
      </c>
      <c r="C200" s="10" t="s">
        <v>285</v>
      </c>
    </row>
    <row r="201" spans="1:3" x14ac:dyDescent="0.25">
      <c r="A201" s="9" t="s">
        <v>288</v>
      </c>
      <c r="B201" s="9" t="s">
        <v>263</v>
      </c>
      <c r="C201" s="10" t="s">
        <v>287</v>
      </c>
    </row>
    <row r="202" spans="1:3" x14ac:dyDescent="0.25">
      <c r="A202" s="9" t="s">
        <v>290</v>
      </c>
      <c r="B202" s="9" t="s">
        <v>263</v>
      </c>
      <c r="C202" s="10" t="s">
        <v>289</v>
      </c>
    </row>
    <row r="203" spans="1:3" x14ac:dyDescent="0.25">
      <c r="A203" s="9" t="s">
        <v>292</v>
      </c>
      <c r="B203" s="9" t="s">
        <v>263</v>
      </c>
      <c r="C203" s="10" t="s">
        <v>291</v>
      </c>
    </row>
    <row r="204" spans="1:3" x14ac:dyDescent="0.25">
      <c r="A204" s="9" t="s">
        <v>294</v>
      </c>
      <c r="B204" s="9" t="s">
        <v>263</v>
      </c>
      <c r="C204" s="10" t="s">
        <v>293</v>
      </c>
    </row>
    <row r="205" spans="1:3" x14ac:dyDescent="0.25">
      <c r="A205" s="9" t="s">
        <v>296</v>
      </c>
      <c r="B205" s="9" t="s">
        <v>263</v>
      </c>
      <c r="C205" s="10" t="s">
        <v>295</v>
      </c>
    </row>
    <row r="206" spans="1:3" x14ac:dyDescent="0.25">
      <c r="A206" s="9" t="s">
        <v>298</v>
      </c>
      <c r="B206" s="9" t="s">
        <v>263</v>
      </c>
      <c r="C206" s="10" t="s">
        <v>297</v>
      </c>
    </row>
    <row r="207" spans="1:3" x14ac:dyDescent="0.25">
      <c r="A207" s="9" t="s">
        <v>300</v>
      </c>
      <c r="B207" s="9" t="s">
        <v>263</v>
      </c>
      <c r="C207" s="10" t="s">
        <v>299</v>
      </c>
    </row>
    <row r="208" spans="1:3" x14ac:dyDescent="0.25">
      <c r="A208" s="9" t="s">
        <v>302</v>
      </c>
      <c r="B208" s="9" t="s">
        <v>263</v>
      </c>
      <c r="C208" s="10" t="s">
        <v>301</v>
      </c>
    </row>
    <row r="209" spans="1:3" x14ac:dyDescent="0.25">
      <c r="A209" s="9" t="s">
        <v>304</v>
      </c>
      <c r="B209" s="9" t="s">
        <v>263</v>
      </c>
      <c r="C209" s="10" t="s">
        <v>303</v>
      </c>
    </row>
    <row r="210" spans="1:3" x14ac:dyDescent="0.25">
      <c r="A210" s="9" t="s">
        <v>306</v>
      </c>
      <c r="B210" s="9" t="s">
        <v>263</v>
      </c>
      <c r="C210" s="10" t="s">
        <v>305</v>
      </c>
    </row>
    <row r="211" spans="1:3" x14ac:dyDescent="0.25">
      <c r="A211" s="9" t="s">
        <v>308</v>
      </c>
      <c r="B211" s="9" t="s">
        <v>263</v>
      </c>
      <c r="C211" s="10" t="s">
        <v>307</v>
      </c>
    </row>
    <row r="212" spans="1:3" x14ac:dyDescent="0.25">
      <c r="A212" s="9" t="s">
        <v>310</v>
      </c>
      <c r="B212" s="9" t="s">
        <v>263</v>
      </c>
      <c r="C212" s="10" t="s">
        <v>309</v>
      </c>
    </row>
    <row r="213" spans="1:3" x14ac:dyDescent="0.25">
      <c r="A213" s="9" t="s">
        <v>312</v>
      </c>
      <c r="B213" s="9" t="s">
        <v>263</v>
      </c>
      <c r="C213" s="10" t="s">
        <v>311</v>
      </c>
    </row>
    <row r="214" spans="1:3" x14ac:dyDescent="0.25">
      <c r="A214" s="9" t="s">
        <v>314</v>
      </c>
      <c r="B214" s="9" t="s">
        <v>263</v>
      </c>
      <c r="C214" s="10" t="s">
        <v>313</v>
      </c>
    </row>
    <row r="215" spans="1:3" x14ac:dyDescent="0.25">
      <c r="A215" s="9" t="s">
        <v>316</v>
      </c>
      <c r="B215" s="9" t="s">
        <v>263</v>
      </c>
      <c r="C215" s="10" t="s">
        <v>315</v>
      </c>
    </row>
    <row r="216" spans="1:3" x14ac:dyDescent="0.25">
      <c r="A216" s="9" t="s">
        <v>318</v>
      </c>
      <c r="B216" s="9" t="s">
        <v>263</v>
      </c>
      <c r="C216" s="10" t="s">
        <v>317</v>
      </c>
    </row>
    <row r="217" spans="1:3" x14ac:dyDescent="0.25">
      <c r="A217" s="9" t="s">
        <v>320</v>
      </c>
      <c r="B217" s="9" t="s">
        <v>263</v>
      </c>
      <c r="C217" s="10" t="s">
        <v>319</v>
      </c>
    </row>
    <row r="218" spans="1:3" x14ac:dyDescent="0.25">
      <c r="A218" s="9" t="s">
        <v>322</v>
      </c>
      <c r="B218" s="9" t="s">
        <v>263</v>
      </c>
      <c r="C218" s="10" t="s">
        <v>321</v>
      </c>
    </row>
    <row r="219" spans="1:3" x14ac:dyDescent="0.25">
      <c r="A219" s="9" t="s">
        <v>324</v>
      </c>
      <c r="B219" s="9" t="s">
        <v>263</v>
      </c>
      <c r="C219" s="10" t="s">
        <v>323</v>
      </c>
    </row>
    <row r="220" spans="1:3" x14ac:dyDescent="0.25">
      <c r="A220" s="9" t="s">
        <v>326</v>
      </c>
      <c r="B220" s="9" t="s">
        <v>263</v>
      </c>
      <c r="C220" s="10" t="s">
        <v>325</v>
      </c>
    </row>
    <row r="221" spans="1:3" x14ac:dyDescent="0.25">
      <c r="A221" s="9" t="s">
        <v>328</v>
      </c>
      <c r="B221" s="9" t="s">
        <v>263</v>
      </c>
      <c r="C221" s="10" t="s">
        <v>327</v>
      </c>
    </row>
    <row r="222" spans="1:3" x14ac:dyDescent="0.25">
      <c r="A222" s="9" t="s">
        <v>330</v>
      </c>
      <c r="B222" s="9" t="s">
        <v>263</v>
      </c>
      <c r="C222" s="10" t="s">
        <v>329</v>
      </c>
    </row>
    <row r="223" spans="1:3" x14ac:dyDescent="0.25">
      <c r="A223" s="9" t="s">
        <v>332</v>
      </c>
      <c r="B223" s="9" t="s">
        <v>263</v>
      </c>
      <c r="C223" s="10" t="s">
        <v>331</v>
      </c>
    </row>
    <row r="224" spans="1:3" x14ac:dyDescent="0.25">
      <c r="A224" s="9" t="s">
        <v>334</v>
      </c>
      <c r="B224" s="9" t="s">
        <v>263</v>
      </c>
      <c r="C224" s="10" t="s">
        <v>333</v>
      </c>
    </row>
    <row r="225" spans="1:3" x14ac:dyDescent="0.25">
      <c r="A225" s="9" t="s">
        <v>336</v>
      </c>
      <c r="B225" s="9" t="s">
        <v>263</v>
      </c>
      <c r="C225" s="10" t="s">
        <v>335</v>
      </c>
    </row>
    <row r="226" spans="1:3" x14ac:dyDescent="0.25">
      <c r="A226" s="9" t="s">
        <v>338</v>
      </c>
      <c r="B226" s="9" t="s">
        <v>263</v>
      </c>
      <c r="C226" s="10" t="s">
        <v>337</v>
      </c>
    </row>
    <row r="227" spans="1:3" x14ac:dyDescent="0.25">
      <c r="A227" s="9" t="s">
        <v>340</v>
      </c>
      <c r="B227" s="9" t="s">
        <v>263</v>
      </c>
      <c r="C227" s="10" t="s">
        <v>339</v>
      </c>
    </row>
    <row r="228" spans="1:3" x14ac:dyDescent="0.25">
      <c r="A228" s="9" t="s">
        <v>342</v>
      </c>
      <c r="B228" s="9" t="s">
        <v>263</v>
      </c>
      <c r="C228" s="10" t="s">
        <v>341</v>
      </c>
    </row>
    <row r="229" spans="1:3" x14ac:dyDescent="0.25">
      <c r="A229" s="9" t="s">
        <v>344</v>
      </c>
      <c r="B229" s="9" t="s">
        <v>263</v>
      </c>
      <c r="C229" s="10" t="s">
        <v>343</v>
      </c>
    </row>
    <row r="230" spans="1:3" x14ac:dyDescent="0.25">
      <c r="A230" s="9" t="s">
        <v>346</v>
      </c>
      <c r="B230" s="9" t="s">
        <v>263</v>
      </c>
      <c r="C230" s="10" t="s">
        <v>345</v>
      </c>
    </row>
    <row r="231" spans="1:3" x14ac:dyDescent="0.25">
      <c r="A231" s="9" t="s">
        <v>348</v>
      </c>
      <c r="B231" s="9" t="s">
        <v>263</v>
      </c>
      <c r="C231" s="10" t="s">
        <v>347</v>
      </c>
    </row>
    <row r="232" spans="1:3" x14ac:dyDescent="0.25">
      <c r="A232" s="9" t="s">
        <v>350</v>
      </c>
      <c r="B232" s="9" t="s">
        <v>263</v>
      </c>
      <c r="C232" s="10" t="s">
        <v>349</v>
      </c>
    </row>
    <row r="233" spans="1:3" x14ac:dyDescent="0.25">
      <c r="A233" s="9" t="s">
        <v>352</v>
      </c>
      <c r="B233" s="9" t="s">
        <v>263</v>
      </c>
      <c r="C233" s="10" t="s">
        <v>351</v>
      </c>
    </row>
    <row r="234" spans="1:3" x14ac:dyDescent="0.25">
      <c r="A234" s="9" t="s">
        <v>354</v>
      </c>
      <c r="B234" s="9" t="s">
        <v>263</v>
      </c>
      <c r="C234" s="10" t="s">
        <v>353</v>
      </c>
    </row>
    <row r="235" spans="1:3" x14ac:dyDescent="0.25">
      <c r="A235" s="9" t="s">
        <v>356</v>
      </c>
      <c r="B235" s="9" t="s">
        <v>263</v>
      </c>
      <c r="C235" s="10" t="s">
        <v>355</v>
      </c>
    </row>
    <row r="236" spans="1:3" x14ac:dyDescent="0.25">
      <c r="A236" s="9" t="s">
        <v>358</v>
      </c>
      <c r="B236" s="9" t="s">
        <v>263</v>
      </c>
      <c r="C236" s="10" t="s">
        <v>357</v>
      </c>
    </row>
    <row r="237" spans="1:3" x14ac:dyDescent="0.25">
      <c r="A237" s="3" t="s">
        <v>360</v>
      </c>
      <c r="B237" s="9" t="s">
        <v>263</v>
      </c>
      <c r="C237" s="10" t="s">
        <v>359</v>
      </c>
    </row>
    <row r="238" spans="1:3" x14ac:dyDescent="0.25">
      <c r="A238" s="9" t="s">
        <v>362</v>
      </c>
      <c r="B238" s="9" t="s">
        <v>263</v>
      </c>
      <c r="C238" s="10" t="s">
        <v>361</v>
      </c>
    </row>
    <row r="239" spans="1:3" x14ac:dyDescent="0.25">
      <c r="A239" s="9" t="s">
        <v>364</v>
      </c>
      <c r="B239" s="9" t="s">
        <v>263</v>
      </c>
      <c r="C239" s="10" t="s">
        <v>363</v>
      </c>
    </row>
    <row r="240" spans="1:3" x14ac:dyDescent="0.25">
      <c r="A240" s="9" t="s">
        <v>366</v>
      </c>
      <c r="B240" s="9" t="s">
        <v>263</v>
      </c>
      <c r="C240" s="10" t="s">
        <v>365</v>
      </c>
    </row>
    <row r="241" spans="1:3" x14ac:dyDescent="0.25">
      <c r="A241" s="9" t="s">
        <v>368</v>
      </c>
      <c r="B241" s="9" t="s">
        <v>263</v>
      </c>
      <c r="C241" s="10" t="s">
        <v>367</v>
      </c>
    </row>
    <row r="242" spans="1:3" x14ac:dyDescent="0.25">
      <c r="A242" s="9" t="s">
        <v>370</v>
      </c>
      <c r="B242" s="9" t="s">
        <v>263</v>
      </c>
      <c r="C242" s="10" t="s">
        <v>369</v>
      </c>
    </row>
    <row r="243" spans="1:3" x14ac:dyDescent="0.25">
      <c r="A243" s="9" t="s">
        <v>372</v>
      </c>
      <c r="B243" s="9" t="s">
        <v>263</v>
      </c>
      <c r="C243" s="10" t="s">
        <v>371</v>
      </c>
    </row>
    <row r="244" spans="1:3" x14ac:dyDescent="0.25">
      <c r="A244" s="9" t="s">
        <v>374</v>
      </c>
      <c r="B244" s="9" t="s">
        <v>263</v>
      </c>
      <c r="C244" s="10" t="s">
        <v>373</v>
      </c>
    </row>
    <row r="245" spans="1:3" x14ac:dyDescent="0.25">
      <c r="A245" s="9" t="s">
        <v>376</v>
      </c>
      <c r="B245" s="9" t="s">
        <v>263</v>
      </c>
      <c r="C245" s="10" t="s">
        <v>375</v>
      </c>
    </row>
    <row r="246" spans="1:3" x14ac:dyDescent="0.25">
      <c r="A246" s="9" t="s">
        <v>378</v>
      </c>
      <c r="B246" s="9" t="s">
        <v>263</v>
      </c>
      <c r="C246" s="10" t="s">
        <v>377</v>
      </c>
    </row>
    <row r="247" spans="1:3" x14ac:dyDescent="0.25">
      <c r="A247" s="9" t="s">
        <v>380</v>
      </c>
      <c r="B247" s="9" t="s">
        <v>263</v>
      </c>
      <c r="C247" s="10" t="s">
        <v>379</v>
      </c>
    </row>
    <row r="248" spans="1:3" x14ac:dyDescent="0.25">
      <c r="A248" s="9" t="s">
        <v>382</v>
      </c>
      <c r="B248" s="9" t="s">
        <v>263</v>
      </c>
      <c r="C248" s="10" t="s">
        <v>381</v>
      </c>
    </row>
    <row r="249" spans="1:3" x14ac:dyDescent="0.25">
      <c r="A249" s="9" t="s">
        <v>384</v>
      </c>
      <c r="B249" s="9" t="s">
        <v>263</v>
      </c>
      <c r="C249" s="10" t="s">
        <v>383</v>
      </c>
    </row>
    <row r="250" spans="1:3" x14ac:dyDescent="0.25">
      <c r="A250" s="9" t="s">
        <v>386</v>
      </c>
      <c r="B250" s="9" t="s">
        <v>263</v>
      </c>
      <c r="C250" s="10" t="s">
        <v>385</v>
      </c>
    </row>
    <row r="251" spans="1:3" x14ac:dyDescent="0.25">
      <c r="A251" s="9" t="s">
        <v>388</v>
      </c>
      <c r="B251" s="9" t="s">
        <v>263</v>
      </c>
      <c r="C251" s="10" t="s">
        <v>387</v>
      </c>
    </row>
    <row r="252" spans="1:3" x14ac:dyDescent="0.25">
      <c r="A252" s="9" t="s">
        <v>390</v>
      </c>
      <c r="B252" s="9" t="s">
        <v>263</v>
      </c>
      <c r="C252" s="10" t="s">
        <v>389</v>
      </c>
    </row>
    <row r="253" spans="1:3" x14ac:dyDescent="0.25">
      <c r="A253" s="9" t="s">
        <v>392</v>
      </c>
      <c r="B253" s="9" t="s">
        <v>263</v>
      </c>
      <c r="C253" s="10" t="s">
        <v>391</v>
      </c>
    </row>
    <row r="254" spans="1:3" x14ac:dyDescent="0.25">
      <c r="A254" s="9" t="s">
        <v>394</v>
      </c>
      <c r="B254" s="9" t="s">
        <v>263</v>
      </c>
      <c r="C254" s="10" t="s">
        <v>393</v>
      </c>
    </row>
    <row r="255" spans="1:3" x14ac:dyDescent="0.25">
      <c r="A255" s="9" t="s">
        <v>396</v>
      </c>
      <c r="B255" s="9" t="s">
        <v>263</v>
      </c>
      <c r="C255" s="10" t="s">
        <v>395</v>
      </c>
    </row>
    <row r="256" spans="1:3" x14ac:dyDescent="0.25">
      <c r="A256" s="9" t="s">
        <v>398</v>
      </c>
      <c r="B256" s="9" t="s">
        <v>263</v>
      </c>
      <c r="C256" s="10" t="s">
        <v>397</v>
      </c>
    </row>
    <row r="257" spans="1:3" x14ac:dyDescent="0.25">
      <c r="A257" s="9" t="s">
        <v>400</v>
      </c>
      <c r="B257" s="9" t="s">
        <v>263</v>
      </c>
      <c r="C257" s="10" t="s">
        <v>399</v>
      </c>
    </row>
    <row r="258" spans="1:3" x14ac:dyDescent="0.25">
      <c r="A258" s="9" t="s">
        <v>402</v>
      </c>
      <c r="B258" s="9" t="s">
        <v>263</v>
      </c>
      <c r="C258" s="10" t="s">
        <v>401</v>
      </c>
    </row>
    <row r="259" spans="1:3" x14ac:dyDescent="0.25">
      <c r="A259" s="9" t="s">
        <v>404</v>
      </c>
      <c r="B259" s="9" t="s">
        <v>263</v>
      </c>
      <c r="C259" s="10" t="s">
        <v>403</v>
      </c>
    </row>
    <row r="260" spans="1:3" x14ac:dyDescent="0.25">
      <c r="A260" s="9" t="s">
        <v>406</v>
      </c>
      <c r="B260" s="9" t="s">
        <v>263</v>
      </c>
      <c r="C260" s="10" t="s">
        <v>405</v>
      </c>
    </row>
    <row r="261" spans="1:3" x14ac:dyDescent="0.25">
      <c r="A261" s="9" t="s">
        <v>408</v>
      </c>
      <c r="B261" s="9" t="s">
        <v>263</v>
      </c>
      <c r="C261" s="10" t="s">
        <v>407</v>
      </c>
    </row>
    <row r="262" spans="1:3" x14ac:dyDescent="0.25">
      <c r="A262" s="9" t="s">
        <v>410</v>
      </c>
      <c r="B262" s="9" t="s">
        <v>263</v>
      </c>
      <c r="C262" s="10" t="s">
        <v>409</v>
      </c>
    </row>
    <row r="263" spans="1:3" x14ac:dyDescent="0.25">
      <c r="A263" s="9" t="s">
        <v>412</v>
      </c>
      <c r="B263" s="9" t="s">
        <v>263</v>
      </c>
      <c r="C263" s="10" t="s">
        <v>411</v>
      </c>
    </row>
    <row r="264" spans="1:3" x14ac:dyDescent="0.25">
      <c r="A264" s="9" t="s">
        <v>414</v>
      </c>
      <c r="B264" s="9" t="s">
        <v>263</v>
      </c>
      <c r="C264" s="10" t="s">
        <v>413</v>
      </c>
    </row>
    <row r="265" spans="1:3" x14ac:dyDescent="0.25">
      <c r="A265" s="9" t="s">
        <v>416</v>
      </c>
      <c r="B265" s="9" t="s">
        <v>263</v>
      </c>
      <c r="C265" s="10" t="s">
        <v>415</v>
      </c>
    </row>
    <row r="266" spans="1:3" x14ac:dyDescent="0.25">
      <c r="A266" s="9" t="s">
        <v>418</v>
      </c>
      <c r="B266" s="9" t="s">
        <v>263</v>
      </c>
      <c r="C266" s="10" t="s">
        <v>417</v>
      </c>
    </row>
    <row r="267" spans="1:3" x14ac:dyDescent="0.25">
      <c r="A267" s="9" t="s">
        <v>420</v>
      </c>
      <c r="B267" s="9" t="s">
        <v>263</v>
      </c>
      <c r="C267" s="10" t="s">
        <v>419</v>
      </c>
    </row>
    <row r="268" spans="1:3" x14ac:dyDescent="0.25">
      <c r="A268" s="9" t="s">
        <v>422</v>
      </c>
      <c r="B268" s="9" t="s">
        <v>263</v>
      </c>
      <c r="C268" s="10" t="s">
        <v>421</v>
      </c>
    </row>
    <row r="269" spans="1:3" x14ac:dyDescent="0.25">
      <c r="A269" s="9" t="s">
        <v>424</v>
      </c>
      <c r="B269" s="9" t="s">
        <v>263</v>
      </c>
      <c r="C269" s="10" t="s">
        <v>423</v>
      </c>
    </row>
    <row r="270" spans="1:3" x14ac:dyDescent="0.25">
      <c r="A270" s="9" t="s">
        <v>426</v>
      </c>
      <c r="B270" s="9" t="s">
        <v>263</v>
      </c>
      <c r="C270" s="10" t="s">
        <v>425</v>
      </c>
    </row>
    <row r="271" spans="1:3" x14ac:dyDescent="0.25">
      <c r="A271" s="9" t="s">
        <v>428</v>
      </c>
      <c r="B271" s="9" t="s">
        <v>263</v>
      </c>
      <c r="C271" s="10" t="s">
        <v>427</v>
      </c>
    </row>
    <row r="272" spans="1:3" x14ac:dyDescent="0.25">
      <c r="A272" s="9" t="s">
        <v>430</v>
      </c>
      <c r="B272" s="9" t="s">
        <v>263</v>
      </c>
      <c r="C272" s="10" t="s">
        <v>429</v>
      </c>
    </row>
    <row r="273" spans="1:3" x14ac:dyDescent="0.25">
      <c r="A273" s="9" t="s">
        <v>432</v>
      </c>
      <c r="B273" s="9" t="s">
        <v>263</v>
      </c>
      <c r="C273" s="10" t="s">
        <v>431</v>
      </c>
    </row>
    <row r="274" spans="1:3" x14ac:dyDescent="0.25">
      <c r="A274" s="9" t="s">
        <v>434</v>
      </c>
      <c r="B274" s="9" t="s">
        <v>263</v>
      </c>
      <c r="C274" s="10" t="s">
        <v>433</v>
      </c>
    </row>
    <row r="275" spans="1:3" x14ac:dyDescent="0.25">
      <c r="A275" s="9" t="s">
        <v>436</v>
      </c>
      <c r="B275" s="9" t="s">
        <v>263</v>
      </c>
      <c r="C275" s="10" t="s">
        <v>435</v>
      </c>
    </row>
    <row r="276" spans="1:3" x14ac:dyDescent="0.25">
      <c r="A276" s="9" t="s">
        <v>438</v>
      </c>
      <c r="B276" s="9" t="s">
        <v>263</v>
      </c>
      <c r="C276" s="10" t="s">
        <v>437</v>
      </c>
    </row>
    <row r="277" spans="1:3" x14ac:dyDescent="0.25">
      <c r="A277" s="9" t="s">
        <v>440</v>
      </c>
      <c r="B277" s="9" t="s">
        <v>263</v>
      </c>
      <c r="C277" s="10" t="s">
        <v>439</v>
      </c>
    </row>
    <row r="278" spans="1:3" x14ac:dyDescent="0.25">
      <c r="A278" s="9" t="s">
        <v>442</v>
      </c>
      <c r="B278" s="9" t="s">
        <v>263</v>
      </c>
      <c r="C278" s="10" t="s">
        <v>441</v>
      </c>
    </row>
    <row r="279" spans="1:3" x14ac:dyDescent="0.25">
      <c r="A279" s="9" t="s">
        <v>444</v>
      </c>
      <c r="B279" s="9" t="s">
        <v>263</v>
      </c>
      <c r="C279" s="10" t="s">
        <v>443</v>
      </c>
    </row>
    <row r="280" spans="1:3" x14ac:dyDescent="0.25">
      <c r="A280" s="9" t="s">
        <v>446</v>
      </c>
      <c r="B280" s="9" t="s">
        <v>263</v>
      </c>
      <c r="C280" s="10" t="s">
        <v>445</v>
      </c>
    </row>
    <row r="281" spans="1:3" x14ac:dyDescent="0.25">
      <c r="A281" s="9" t="s">
        <v>448</v>
      </c>
      <c r="B281" s="9" t="s">
        <v>263</v>
      </c>
      <c r="C281" s="10" t="s">
        <v>447</v>
      </c>
    </row>
    <row r="282" spans="1:3" x14ac:dyDescent="0.25">
      <c r="A282" s="9" t="s">
        <v>450</v>
      </c>
      <c r="B282" s="9" t="s">
        <v>263</v>
      </c>
      <c r="C282" s="10" t="s">
        <v>449</v>
      </c>
    </row>
    <row r="283" spans="1:3" x14ac:dyDescent="0.25">
      <c r="A283" s="9" t="s">
        <v>452</v>
      </c>
      <c r="B283" s="9" t="s">
        <v>263</v>
      </c>
      <c r="C283" s="10" t="s">
        <v>451</v>
      </c>
    </row>
    <row r="284" spans="1:3" x14ac:dyDescent="0.25">
      <c r="A284" s="9" t="s">
        <v>454</v>
      </c>
      <c r="B284" s="9" t="s">
        <v>263</v>
      </c>
      <c r="C284" s="10" t="s">
        <v>453</v>
      </c>
    </row>
    <row r="285" spans="1:3" x14ac:dyDescent="0.25">
      <c r="A285" s="9" t="s">
        <v>456</v>
      </c>
      <c r="B285" s="9" t="s">
        <v>263</v>
      </c>
      <c r="C285" s="10" t="s">
        <v>455</v>
      </c>
    </row>
    <row r="286" spans="1:3" x14ac:dyDescent="0.25">
      <c r="A286" s="9" t="s">
        <v>458</v>
      </c>
      <c r="B286" s="9" t="s">
        <v>263</v>
      </c>
      <c r="C286" s="10" t="s">
        <v>457</v>
      </c>
    </row>
    <row r="287" spans="1:3" x14ac:dyDescent="0.25">
      <c r="A287" s="9" t="s">
        <v>460</v>
      </c>
      <c r="B287" s="9" t="s">
        <v>263</v>
      </c>
      <c r="C287" s="10" t="s">
        <v>459</v>
      </c>
    </row>
    <row r="288" spans="1:3" x14ac:dyDescent="0.25">
      <c r="A288" s="9" t="s">
        <v>462</v>
      </c>
      <c r="B288" s="9" t="s">
        <v>263</v>
      </c>
      <c r="C288" s="10" t="s">
        <v>461</v>
      </c>
    </row>
    <row r="289" spans="1:3" x14ac:dyDescent="0.25">
      <c r="A289" s="9" t="s">
        <v>464</v>
      </c>
      <c r="B289" s="9" t="s">
        <v>263</v>
      </c>
      <c r="C289" s="10" t="s">
        <v>463</v>
      </c>
    </row>
    <row r="290" spans="1:3" x14ac:dyDescent="0.25">
      <c r="A290" s="9" t="s">
        <v>466</v>
      </c>
      <c r="B290" s="9" t="s">
        <v>263</v>
      </c>
      <c r="C290" s="10" t="s">
        <v>465</v>
      </c>
    </row>
    <row r="291" spans="1:3" x14ac:dyDescent="0.25">
      <c r="A291" s="9" t="s">
        <v>468</v>
      </c>
      <c r="B291" s="9" t="s">
        <v>263</v>
      </c>
      <c r="C291" s="10" t="s">
        <v>467</v>
      </c>
    </row>
    <row r="292" spans="1:3" x14ac:dyDescent="0.25">
      <c r="A292" s="9" t="s">
        <v>470</v>
      </c>
      <c r="B292" s="9" t="s">
        <v>263</v>
      </c>
      <c r="C292" s="10" t="s">
        <v>469</v>
      </c>
    </row>
    <row r="293" spans="1:3" x14ac:dyDescent="0.25">
      <c r="A293" s="9" t="s">
        <v>472</v>
      </c>
      <c r="B293" s="9" t="s">
        <v>263</v>
      </c>
      <c r="C293" s="10" t="s">
        <v>471</v>
      </c>
    </row>
    <row r="294" spans="1:3" x14ac:dyDescent="0.25">
      <c r="A294" s="9" t="s">
        <v>474</v>
      </c>
      <c r="B294" s="9" t="s">
        <v>263</v>
      </c>
      <c r="C294" s="10" t="s">
        <v>473</v>
      </c>
    </row>
    <row r="295" spans="1:3" x14ac:dyDescent="0.25">
      <c r="A295" s="9" t="s">
        <v>476</v>
      </c>
      <c r="B295" s="9" t="s">
        <v>263</v>
      </c>
      <c r="C295" s="10" t="s">
        <v>475</v>
      </c>
    </row>
    <row r="296" spans="1:3" x14ac:dyDescent="0.25">
      <c r="A296" s="9" t="s">
        <v>478</v>
      </c>
      <c r="B296" s="9" t="s">
        <v>263</v>
      </c>
      <c r="C296" s="10" t="s">
        <v>477</v>
      </c>
    </row>
    <row r="297" spans="1:3" x14ac:dyDescent="0.25">
      <c r="A297" s="9" t="s">
        <v>480</v>
      </c>
      <c r="B297" s="9" t="s">
        <v>263</v>
      </c>
      <c r="C297" s="10" t="s">
        <v>479</v>
      </c>
    </row>
    <row r="298" spans="1:3" x14ac:dyDescent="0.25">
      <c r="A298" s="3" t="s">
        <v>482</v>
      </c>
      <c r="B298" s="9" t="s">
        <v>263</v>
      </c>
      <c r="C298" s="10" t="s">
        <v>481</v>
      </c>
    </row>
    <row r="299" spans="1:3" x14ac:dyDescent="0.25">
      <c r="A299" s="9" t="s">
        <v>484</v>
      </c>
      <c r="B299" s="9" t="s">
        <v>263</v>
      </c>
      <c r="C299" s="10" t="s">
        <v>483</v>
      </c>
    </row>
    <row r="300" spans="1:3" x14ac:dyDescent="0.25">
      <c r="A300" s="9" t="s">
        <v>486</v>
      </c>
      <c r="B300" s="9" t="s">
        <v>263</v>
      </c>
      <c r="C300" s="10" t="s">
        <v>485</v>
      </c>
    </row>
    <row r="301" spans="1:3" x14ac:dyDescent="0.25">
      <c r="A301" s="9" t="s">
        <v>488</v>
      </c>
      <c r="B301" s="9" t="s">
        <v>263</v>
      </c>
      <c r="C301" s="10" t="s">
        <v>487</v>
      </c>
    </row>
    <row r="302" spans="1:3" x14ac:dyDescent="0.25">
      <c r="A302" s="9" t="s">
        <v>490</v>
      </c>
      <c r="B302" s="9" t="s">
        <v>263</v>
      </c>
      <c r="C302" s="10" t="s">
        <v>489</v>
      </c>
    </row>
    <row r="303" spans="1:3" x14ac:dyDescent="0.25">
      <c r="A303" s="9" t="s">
        <v>492</v>
      </c>
      <c r="B303" s="9" t="s">
        <v>263</v>
      </c>
      <c r="C303" s="10" t="s">
        <v>491</v>
      </c>
    </row>
    <row r="304" spans="1:3" x14ac:dyDescent="0.25">
      <c r="A304" s="9" t="s">
        <v>494</v>
      </c>
      <c r="B304" s="9" t="s">
        <v>263</v>
      </c>
      <c r="C304" s="10" t="s">
        <v>493</v>
      </c>
    </row>
    <row r="305" spans="1:3" x14ac:dyDescent="0.25">
      <c r="A305" s="9" t="s">
        <v>496</v>
      </c>
      <c r="B305" s="9" t="s">
        <v>263</v>
      </c>
      <c r="C305" s="10" t="s">
        <v>495</v>
      </c>
    </row>
    <row r="306" spans="1:3" x14ac:dyDescent="0.25">
      <c r="A306" s="9" t="s">
        <v>498</v>
      </c>
      <c r="B306" s="9" t="s">
        <v>263</v>
      </c>
      <c r="C306" s="10" t="s">
        <v>497</v>
      </c>
    </row>
    <row r="307" spans="1:3" x14ac:dyDescent="0.25">
      <c r="A307" s="9" t="s">
        <v>500</v>
      </c>
      <c r="B307" s="9" t="s">
        <v>263</v>
      </c>
      <c r="C307" s="10" t="s">
        <v>499</v>
      </c>
    </row>
    <row r="308" spans="1:3" x14ac:dyDescent="0.25">
      <c r="A308" s="9" t="s">
        <v>502</v>
      </c>
      <c r="B308" s="9" t="s">
        <v>263</v>
      </c>
      <c r="C308" s="10" t="s">
        <v>501</v>
      </c>
    </row>
    <row r="309" spans="1:3" x14ac:dyDescent="0.25">
      <c r="A309" s="9" t="s">
        <v>504</v>
      </c>
      <c r="B309" s="9" t="s">
        <v>263</v>
      </c>
      <c r="C309" s="10" t="s">
        <v>503</v>
      </c>
    </row>
    <row r="310" spans="1:3" x14ac:dyDescent="0.25">
      <c r="A310" s="9" t="s">
        <v>506</v>
      </c>
      <c r="B310" s="9" t="s">
        <v>263</v>
      </c>
      <c r="C310" s="10" t="s">
        <v>505</v>
      </c>
    </row>
    <row r="311" spans="1:3" x14ac:dyDescent="0.25">
      <c r="A311" s="9" t="s">
        <v>508</v>
      </c>
      <c r="B311" s="9" t="s">
        <v>263</v>
      </c>
      <c r="C311" s="10" t="s">
        <v>507</v>
      </c>
    </row>
    <row r="312" spans="1:3" x14ac:dyDescent="0.25">
      <c r="A312" s="9" t="s">
        <v>510</v>
      </c>
      <c r="B312" s="9" t="s">
        <v>263</v>
      </c>
      <c r="C312" s="10" t="s">
        <v>509</v>
      </c>
    </row>
    <row r="313" spans="1:3" x14ac:dyDescent="0.25">
      <c r="A313" s="9" t="s">
        <v>512</v>
      </c>
      <c r="B313" s="9" t="s">
        <v>263</v>
      </c>
      <c r="C313" s="10" t="s">
        <v>511</v>
      </c>
    </row>
    <row r="314" spans="1:3" x14ac:dyDescent="0.25">
      <c r="A314" s="9" t="s">
        <v>514</v>
      </c>
      <c r="B314" s="9" t="s">
        <v>263</v>
      </c>
      <c r="C314" s="10" t="s">
        <v>513</v>
      </c>
    </row>
    <row r="315" spans="1:3" x14ac:dyDescent="0.25">
      <c r="A315" s="9" t="s">
        <v>516</v>
      </c>
      <c r="B315" s="9" t="s">
        <v>263</v>
      </c>
      <c r="C315" s="10" t="s">
        <v>515</v>
      </c>
    </row>
    <row r="316" spans="1:3" x14ac:dyDescent="0.25">
      <c r="A316" s="9" t="s">
        <v>518</v>
      </c>
      <c r="B316" s="9" t="s">
        <v>263</v>
      </c>
      <c r="C316" s="10" t="s">
        <v>517</v>
      </c>
    </row>
    <row r="317" spans="1:3" x14ac:dyDescent="0.25">
      <c r="A317" s="9" t="s">
        <v>520</v>
      </c>
      <c r="B317" s="9" t="s">
        <v>263</v>
      </c>
      <c r="C317" s="10" t="s">
        <v>519</v>
      </c>
    </row>
    <row r="318" spans="1:3" x14ac:dyDescent="0.25">
      <c r="A318" s="9" t="s">
        <v>522</v>
      </c>
      <c r="B318" s="9" t="s">
        <v>263</v>
      </c>
      <c r="C318" s="10" t="s">
        <v>521</v>
      </c>
    </row>
    <row r="319" spans="1:3" x14ac:dyDescent="0.25">
      <c r="A319" s="9" t="s">
        <v>524</v>
      </c>
      <c r="B319" s="9" t="s">
        <v>263</v>
      </c>
      <c r="C319" s="10" t="s">
        <v>523</v>
      </c>
    </row>
    <row r="320" spans="1:3" x14ac:dyDescent="0.25">
      <c r="A320" s="9" t="s">
        <v>526</v>
      </c>
      <c r="B320" s="9" t="s">
        <v>525</v>
      </c>
      <c r="C320" s="10" t="s">
        <v>525</v>
      </c>
    </row>
    <row r="321" spans="1:3" x14ac:dyDescent="0.25">
      <c r="A321" s="3" t="s">
        <v>1552</v>
      </c>
      <c r="B321" s="9" t="s">
        <v>527</v>
      </c>
      <c r="C321" s="3" t="s">
        <v>1553</v>
      </c>
    </row>
    <row r="322" spans="1:3" x14ac:dyDescent="0.25">
      <c r="A322" s="9" t="s">
        <v>529</v>
      </c>
      <c r="B322" s="9" t="s">
        <v>528</v>
      </c>
      <c r="C322" s="10" t="s">
        <v>528</v>
      </c>
    </row>
    <row r="323" spans="1:3" x14ac:dyDescent="0.25">
      <c r="A323" s="9" t="s">
        <v>531</v>
      </c>
      <c r="B323" s="9" t="s">
        <v>530</v>
      </c>
      <c r="C323" s="10" t="s">
        <v>530</v>
      </c>
    </row>
    <row r="324" spans="1:3" x14ac:dyDescent="0.25">
      <c r="A324" s="9" t="s">
        <v>534</v>
      </c>
      <c r="B324" s="9" t="s">
        <v>533</v>
      </c>
      <c r="C324" s="10" t="s">
        <v>532</v>
      </c>
    </row>
    <row r="325" spans="1:3" x14ac:dyDescent="0.25">
      <c r="A325" s="9" t="s">
        <v>536</v>
      </c>
      <c r="B325" s="9" t="s">
        <v>533</v>
      </c>
      <c r="C325" s="10" t="s">
        <v>535</v>
      </c>
    </row>
    <row r="326" spans="1:3" x14ac:dyDescent="0.25">
      <c r="A326" s="9" t="s">
        <v>538</v>
      </c>
      <c r="B326" s="9" t="s">
        <v>533</v>
      </c>
      <c r="C326" s="10" t="s">
        <v>537</v>
      </c>
    </row>
    <row r="327" spans="1:3" x14ac:dyDescent="0.25">
      <c r="A327" s="9" t="s">
        <v>540</v>
      </c>
      <c r="B327" s="9" t="s">
        <v>533</v>
      </c>
      <c r="C327" s="10" t="s">
        <v>539</v>
      </c>
    </row>
    <row r="328" spans="1:3" x14ac:dyDescent="0.25">
      <c r="A328" s="9" t="s">
        <v>542</v>
      </c>
      <c r="B328" s="9" t="s">
        <v>533</v>
      </c>
      <c r="C328" s="10" t="s">
        <v>541</v>
      </c>
    </row>
    <row r="329" spans="1:3" x14ac:dyDescent="0.25">
      <c r="A329" s="3" t="s">
        <v>544</v>
      </c>
      <c r="B329" s="9" t="s">
        <v>533</v>
      </c>
      <c r="C329" s="10" t="s">
        <v>543</v>
      </c>
    </row>
    <row r="330" spans="1:3" ht="15" x14ac:dyDescent="0.25">
      <c r="A330" s="3" t="s">
        <v>1554</v>
      </c>
      <c r="B330" s="3" t="s">
        <v>74</v>
      </c>
      <c r="C330" t="s">
        <v>1555</v>
      </c>
    </row>
    <row r="331" spans="1:3" ht="15" x14ac:dyDescent="0.25">
      <c r="A331" s="3" t="s">
        <v>1530</v>
      </c>
      <c r="B331" s="3" t="s">
        <v>74</v>
      </c>
      <c r="C331" s="3" t="s">
        <v>1535</v>
      </c>
    </row>
    <row r="332" spans="1:3" ht="15" x14ac:dyDescent="0.25">
      <c r="A332" t="s">
        <v>547</v>
      </c>
      <c r="B332" t="s">
        <v>546</v>
      </c>
      <c r="C332" t="s">
        <v>545</v>
      </c>
    </row>
    <row r="333" spans="1:3" x14ac:dyDescent="0.25">
      <c r="A333" s="9" t="s">
        <v>550</v>
      </c>
      <c r="B333" s="9" t="s">
        <v>549</v>
      </c>
      <c r="C333" s="10" t="s">
        <v>548</v>
      </c>
    </row>
    <row r="334" spans="1:3" x14ac:dyDescent="0.25">
      <c r="A334" s="9" t="s">
        <v>552</v>
      </c>
      <c r="B334" s="9" t="s">
        <v>549</v>
      </c>
      <c r="C334" s="10" t="s">
        <v>551</v>
      </c>
    </row>
    <row r="335" spans="1:3" x14ac:dyDescent="0.25">
      <c r="A335" s="9" t="s">
        <v>554</v>
      </c>
      <c r="B335" s="9" t="s">
        <v>553</v>
      </c>
      <c r="C335" s="10" t="s">
        <v>553</v>
      </c>
    </row>
    <row r="336" spans="1:3" x14ac:dyDescent="0.25">
      <c r="A336" s="9" t="s">
        <v>557</v>
      </c>
      <c r="B336" s="9" t="s">
        <v>556</v>
      </c>
      <c r="C336" s="10" t="s">
        <v>555</v>
      </c>
    </row>
    <row r="337" spans="1:3" x14ac:dyDescent="0.25">
      <c r="A337" s="9" t="s">
        <v>559</v>
      </c>
      <c r="B337" s="9" t="s">
        <v>556</v>
      </c>
      <c r="C337" s="10" t="s">
        <v>558</v>
      </c>
    </row>
    <row r="338" spans="1:3" x14ac:dyDescent="0.25">
      <c r="A338" s="9" t="s">
        <v>561</v>
      </c>
      <c r="B338" s="9" t="s">
        <v>556</v>
      </c>
      <c r="C338" s="10" t="s">
        <v>560</v>
      </c>
    </row>
    <row r="339" spans="1:3" x14ac:dyDescent="0.25">
      <c r="A339" s="9">
        <v>0</v>
      </c>
      <c r="B339" s="9" t="s">
        <v>556</v>
      </c>
      <c r="C339" s="10" t="s">
        <v>562</v>
      </c>
    </row>
    <row r="340" spans="1:3" x14ac:dyDescent="0.25">
      <c r="A340" s="9">
        <v>0</v>
      </c>
      <c r="B340" s="9" t="s">
        <v>556</v>
      </c>
      <c r="C340" s="10" t="s">
        <v>563</v>
      </c>
    </row>
    <row r="341" spans="1:3" x14ac:dyDescent="0.25">
      <c r="A341" s="9" t="s">
        <v>565</v>
      </c>
      <c r="B341" s="9" t="s">
        <v>556</v>
      </c>
      <c r="C341" s="10" t="s">
        <v>564</v>
      </c>
    </row>
    <row r="342" spans="1:3" x14ac:dyDescent="0.25">
      <c r="A342" s="9" t="s">
        <v>571</v>
      </c>
      <c r="B342" s="9" t="s">
        <v>570</v>
      </c>
      <c r="C342" s="10" t="s">
        <v>570</v>
      </c>
    </row>
    <row r="343" spans="1:3" x14ac:dyDescent="0.25">
      <c r="A343" s="9" t="s">
        <v>574</v>
      </c>
      <c r="B343" s="9" t="s">
        <v>573</v>
      </c>
      <c r="C343" s="10" t="s">
        <v>572</v>
      </c>
    </row>
    <row r="344" spans="1:3" x14ac:dyDescent="0.25">
      <c r="A344" s="9" t="s">
        <v>576</v>
      </c>
      <c r="B344" s="9" t="s">
        <v>573</v>
      </c>
      <c r="C344" s="10" t="s">
        <v>575</v>
      </c>
    </row>
    <row r="345" spans="1:3" x14ac:dyDescent="0.25">
      <c r="A345" s="9" t="s">
        <v>579</v>
      </c>
      <c r="B345" s="9" t="s">
        <v>578</v>
      </c>
      <c r="C345" s="10" t="s">
        <v>577</v>
      </c>
    </row>
    <row r="346" spans="1:3" x14ac:dyDescent="0.25">
      <c r="A346" s="9" t="s">
        <v>581</v>
      </c>
      <c r="B346" s="9" t="s">
        <v>578</v>
      </c>
      <c r="C346" s="10" t="s">
        <v>580</v>
      </c>
    </row>
    <row r="347" spans="1:3" x14ac:dyDescent="0.25">
      <c r="A347" s="9" t="s">
        <v>583</v>
      </c>
      <c r="B347" s="9" t="s">
        <v>578</v>
      </c>
      <c r="C347" s="10" t="s">
        <v>582</v>
      </c>
    </row>
    <row r="348" spans="1:3" x14ac:dyDescent="0.25">
      <c r="A348" s="9" t="s">
        <v>585</v>
      </c>
      <c r="B348" s="9" t="s">
        <v>578</v>
      </c>
      <c r="C348" s="10" t="s">
        <v>584</v>
      </c>
    </row>
    <row r="349" spans="1:3" x14ac:dyDescent="0.25">
      <c r="A349" s="2" t="s">
        <v>587</v>
      </c>
      <c r="B349" s="9" t="s">
        <v>578</v>
      </c>
      <c r="C349" s="10" t="s">
        <v>586</v>
      </c>
    </row>
    <row r="350" spans="1:3" x14ac:dyDescent="0.25">
      <c r="A350" s="9" t="s">
        <v>589</v>
      </c>
      <c r="B350" s="9" t="s">
        <v>135</v>
      </c>
      <c r="C350" s="10" t="s">
        <v>588</v>
      </c>
    </row>
    <row r="351" spans="1:3" x14ac:dyDescent="0.25">
      <c r="A351" s="9" t="s">
        <v>591</v>
      </c>
      <c r="B351" s="9" t="s">
        <v>135</v>
      </c>
      <c r="C351" s="10" t="s">
        <v>590</v>
      </c>
    </row>
    <row r="352" spans="1:3" x14ac:dyDescent="0.25">
      <c r="A352" s="9" t="s">
        <v>593</v>
      </c>
      <c r="B352" s="9" t="s">
        <v>135</v>
      </c>
      <c r="C352" s="10" t="s">
        <v>592</v>
      </c>
    </row>
    <row r="353" spans="1:3" x14ac:dyDescent="0.25">
      <c r="A353" s="9" t="s">
        <v>595</v>
      </c>
      <c r="B353" s="9" t="s">
        <v>135</v>
      </c>
      <c r="C353" s="10" t="s">
        <v>594</v>
      </c>
    </row>
    <row r="354" spans="1:3" x14ac:dyDescent="0.25">
      <c r="A354" s="9" t="s">
        <v>597</v>
      </c>
      <c r="B354" s="9" t="s">
        <v>135</v>
      </c>
      <c r="C354" s="10" t="s">
        <v>596</v>
      </c>
    </row>
    <row r="355" spans="1:3" x14ac:dyDescent="0.25">
      <c r="A355" s="9" t="s">
        <v>599</v>
      </c>
      <c r="B355" s="9" t="s">
        <v>135</v>
      </c>
      <c r="C355" s="10" t="s">
        <v>598</v>
      </c>
    </row>
    <row r="356" spans="1:3" x14ac:dyDescent="0.25">
      <c r="A356" s="9" t="s">
        <v>601</v>
      </c>
      <c r="B356" s="9" t="s">
        <v>135</v>
      </c>
      <c r="C356" s="10" t="s">
        <v>600</v>
      </c>
    </row>
    <row r="357" spans="1:3" x14ac:dyDescent="0.25">
      <c r="A357" s="5" t="s">
        <v>603</v>
      </c>
      <c r="B357" s="9" t="s">
        <v>135</v>
      </c>
      <c r="C357" s="10" t="s">
        <v>602</v>
      </c>
    </row>
    <row r="358" spans="1:3" x14ac:dyDescent="0.25">
      <c r="A358" s="3" t="s">
        <v>136</v>
      </c>
      <c r="B358" s="9" t="s">
        <v>135</v>
      </c>
      <c r="C358" s="10" t="s">
        <v>134</v>
      </c>
    </row>
    <row r="359" spans="1:3" x14ac:dyDescent="0.25">
      <c r="A359" s="9" t="s">
        <v>606</v>
      </c>
      <c r="B359" s="9" t="s">
        <v>605</v>
      </c>
      <c r="C359" s="10" t="s">
        <v>604</v>
      </c>
    </row>
    <row r="360" spans="1:3" x14ac:dyDescent="0.25">
      <c r="A360" s="9" t="s">
        <v>608</v>
      </c>
      <c r="B360" s="9" t="s">
        <v>605</v>
      </c>
      <c r="C360" s="10" t="s">
        <v>607</v>
      </c>
    </row>
    <row r="361" spans="1:3" x14ac:dyDescent="0.25">
      <c r="A361" s="9" t="s">
        <v>610</v>
      </c>
      <c r="B361" s="9" t="s">
        <v>605</v>
      </c>
      <c r="C361" s="10" t="s">
        <v>609</v>
      </c>
    </row>
    <row r="362" spans="1:3" x14ac:dyDescent="0.25">
      <c r="A362" s="9" t="s">
        <v>612</v>
      </c>
      <c r="B362" s="9" t="s">
        <v>605</v>
      </c>
      <c r="C362" s="10" t="s">
        <v>611</v>
      </c>
    </row>
    <row r="363" spans="1:3" x14ac:dyDescent="0.25">
      <c r="A363" s="9" t="s">
        <v>614</v>
      </c>
      <c r="B363" s="9" t="s">
        <v>605</v>
      </c>
      <c r="C363" s="10" t="s">
        <v>613</v>
      </c>
    </row>
    <row r="364" spans="1:3" x14ac:dyDescent="0.25">
      <c r="A364" s="9" t="s">
        <v>616</v>
      </c>
      <c r="B364" s="9" t="s">
        <v>605</v>
      </c>
      <c r="C364" s="10" t="s">
        <v>615</v>
      </c>
    </row>
    <row r="365" spans="1:3" x14ac:dyDescent="0.25">
      <c r="A365" s="9" t="s">
        <v>618</v>
      </c>
      <c r="B365" s="9" t="s">
        <v>605</v>
      </c>
      <c r="C365" s="10" t="s">
        <v>617</v>
      </c>
    </row>
    <row r="366" spans="1:3" x14ac:dyDescent="0.25">
      <c r="A366" s="9" t="s">
        <v>620</v>
      </c>
      <c r="B366" s="9" t="s">
        <v>605</v>
      </c>
      <c r="C366" s="10" t="s">
        <v>619</v>
      </c>
    </row>
    <row r="367" spans="1:3" x14ac:dyDescent="0.25">
      <c r="A367" s="9" t="s">
        <v>622</v>
      </c>
      <c r="B367" s="9" t="s">
        <v>605</v>
      </c>
      <c r="C367" s="10" t="s">
        <v>621</v>
      </c>
    </row>
    <row r="368" spans="1:3" x14ac:dyDescent="0.25">
      <c r="A368" s="9" t="s">
        <v>624</v>
      </c>
      <c r="B368" s="9" t="s">
        <v>605</v>
      </c>
      <c r="C368" s="10" t="s">
        <v>623</v>
      </c>
    </row>
    <row r="369" spans="1:3" x14ac:dyDescent="0.25">
      <c r="A369" s="9" t="s">
        <v>626</v>
      </c>
      <c r="B369" s="9" t="s">
        <v>605</v>
      </c>
      <c r="C369" s="10" t="s">
        <v>625</v>
      </c>
    </row>
    <row r="370" spans="1:3" x14ac:dyDescent="0.25">
      <c r="A370" s="9" t="s">
        <v>628</v>
      </c>
      <c r="B370" s="9" t="s">
        <v>605</v>
      </c>
      <c r="C370" s="10" t="s">
        <v>627</v>
      </c>
    </row>
    <row r="371" spans="1:3" x14ac:dyDescent="0.25">
      <c r="A371" s="9" t="s">
        <v>630</v>
      </c>
      <c r="B371" s="9" t="s">
        <v>605</v>
      </c>
      <c r="C371" s="10" t="s">
        <v>629</v>
      </c>
    </row>
    <row r="372" spans="1:3" x14ac:dyDescent="0.25">
      <c r="A372" s="9" t="s">
        <v>632</v>
      </c>
      <c r="B372" s="9" t="s">
        <v>605</v>
      </c>
      <c r="C372" s="10" t="s">
        <v>631</v>
      </c>
    </row>
    <row r="373" spans="1:3" x14ac:dyDescent="0.25">
      <c r="A373" s="9" t="s">
        <v>634</v>
      </c>
      <c r="B373" s="9" t="s">
        <v>605</v>
      </c>
      <c r="C373" s="10" t="s">
        <v>633</v>
      </c>
    </row>
    <row r="374" spans="1:3" x14ac:dyDescent="0.25">
      <c r="A374" s="9" t="s">
        <v>636</v>
      </c>
      <c r="B374" s="9" t="s">
        <v>605</v>
      </c>
      <c r="C374" s="10" t="s">
        <v>635</v>
      </c>
    </row>
    <row r="375" spans="1:3" x14ac:dyDescent="0.25">
      <c r="A375" s="9" t="s">
        <v>639</v>
      </c>
      <c r="B375" s="9" t="s">
        <v>638</v>
      </c>
      <c r="C375" s="10" t="s">
        <v>637</v>
      </c>
    </row>
    <row r="376" spans="1:3" x14ac:dyDescent="0.25">
      <c r="A376" s="9" t="s">
        <v>641</v>
      </c>
      <c r="B376" s="9" t="s">
        <v>638</v>
      </c>
      <c r="C376" s="10" t="s">
        <v>640</v>
      </c>
    </row>
    <row r="377" spans="1:3" x14ac:dyDescent="0.25">
      <c r="A377" s="9" t="s">
        <v>643</v>
      </c>
      <c r="B377" s="9" t="s">
        <v>638</v>
      </c>
      <c r="C377" s="10" t="s">
        <v>642</v>
      </c>
    </row>
    <row r="378" spans="1:3" x14ac:dyDescent="0.25">
      <c r="A378" s="9" t="s">
        <v>645</v>
      </c>
      <c r="B378" s="9" t="s">
        <v>638</v>
      </c>
      <c r="C378" s="10" t="s">
        <v>644</v>
      </c>
    </row>
    <row r="379" spans="1:3" x14ac:dyDescent="0.25">
      <c r="A379" s="9" t="s">
        <v>647</v>
      </c>
      <c r="B379" s="9" t="s">
        <v>638</v>
      </c>
      <c r="C379" s="10" t="s">
        <v>646</v>
      </c>
    </row>
    <row r="380" spans="1:3" x14ac:dyDescent="0.25">
      <c r="A380" s="9" t="s">
        <v>649</v>
      </c>
      <c r="B380" s="9" t="s">
        <v>638</v>
      </c>
      <c r="C380" s="10" t="s">
        <v>648</v>
      </c>
    </row>
    <row r="381" spans="1:3" x14ac:dyDescent="0.25">
      <c r="A381" s="9" t="s">
        <v>651</v>
      </c>
      <c r="B381" s="9" t="s">
        <v>638</v>
      </c>
      <c r="C381" s="10" t="s">
        <v>650</v>
      </c>
    </row>
    <row r="382" spans="1:3" x14ac:dyDescent="0.25">
      <c r="A382" s="9" t="s">
        <v>653</v>
      </c>
      <c r="B382" s="9" t="s">
        <v>638</v>
      </c>
      <c r="C382" s="10" t="s">
        <v>652</v>
      </c>
    </row>
    <row r="383" spans="1:3" x14ac:dyDescent="0.25">
      <c r="A383" s="9" t="s">
        <v>655</v>
      </c>
      <c r="B383" s="9" t="s">
        <v>638</v>
      </c>
      <c r="C383" s="10" t="s">
        <v>654</v>
      </c>
    </row>
    <row r="384" spans="1:3" x14ac:dyDescent="0.25">
      <c r="A384" s="9" t="s">
        <v>657</v>
      </c>
      <c r="B384" s="9" t="s">
        <v>638</v>
      </c>
      <c r="C384" s="10" t="s">
        <v>656</v>
      </c>
    </row>
    <row r="385" spans="1:3" x14ac:dyDescent="0.25">
      <c r="A385" s="9" t="s">
        <v>659</v>
      </c>
      <c r="B385" s="9" t="s">
        <v>638</v>
      </c>
      <c r="C385" s="10" t="s">
        <v>658</v>
      </c>
    </row>
    <row r="386" spans="1:3" x14ac:dyDescent="0.25">
      <c r="A386" s="9" t="s">
        <v>661</v>
      </c>
      <c r="B386" s="9" t="s">
        <v>638</v>
      </c>
      <c r="C386" s="10" t="s">
        <v>660</v>
      </c>
    </row>
    <row r="387" spans="1:3" x14ac:dyDescent="0.25">
      <c r="A387" s="9" t="s">
        <v>663</v>
      </c>
      <c r="B387" s="9" t="s">
        <v>638</v>
      </c>
      <c r="C387" s="10" t="s">
        <v>662</v>
      </c>
    </row>
    <row r="388" spans="1:3" x14ac:dyDescent="0.25">
      <c r="A388" s="9" t="s">
        <v>665</v>
      </c>
      <c r="B388" s="9" t="s">
        <v>638</v>
      </c>
      <c r="C388" s="10" t="s">
        <v>664</v>
      </c>
    </row>
    <row r="389" spans="1:3" x14ac:dyDescent="0.25">
      <c r="A389" s="9" t="s">
        <v>667</v>
      </c>
      <c r="B389" s="9" t="s">
        <v>638</v>
      </c>
      <c r="C389" s="10" t="s">
        <v>666</v>
      </c>
    </row>
    <row r="390" spans="1:3" x14ac:dyDescent="0.25">
      <c r="A390" s="9" t="s">
        <v>669</v>
      </c>
      <c r="B390" s="9" t="s">
        <v>638</v>
      </c>
      <c r="C390" s="10" t="s">
        <v>668</v>
      </c>
    </row>
    <row r="391" spans="1:3" x14ac:dyDescent="0.25">
      <c r="A391" s="9" t="s">
        <v>671</v>
      </c>
      <c r="B391" s="9" t="s">
        <v>638</v>
      </c>
      <c r="C391" s="10" t="s">
        <v>670</v>
      </c>
    </row>
    <row r="392" spans="1:3" x14ac:dyDescent="0.25">
      <c r="A392" s="9" t="s">
        <v>673</v>
      </c>
      <c r="B392" s="9" t="s">
        <v>638</v>
      </c>
      <c r="C392" s="10" t="s">
        <v>672</v>
      </c>
    </row>
    <row r="393" spans="1:3" x14ac:dyDescent="0.25">
      <c r="A393" s="9" t="s">
        <v>675</v>
      </c>
      <c r="B393" s="9" t="s">
        <v>638</v>
      </c>
      <c r="C393" s="10" t="s">
        <v>674</v>
      </c>
    </row>
    <row r="394" spans="1:3" x14ac:dyDescent="0.25">
      <c r="A394" s="9" t="s">
        <v>677</v>
      </c>
      <c r="B394" s="9" t="s">
        <v>638</v>
      </c>
      <c r="C394" s="10" t="s">
        <v>676</v>
      </c>
    </row>
    <row r="395" spans="1:3" x14ac:dyDescent="0.25">
      <c r="A395" s="9" t="s">
        <v>679</v>
      </c>
      <c r="B395" s="9" t="s">
        <v>638</v>
      </c>
      <c r="C395" s="10" t="s">
        <v>678</v>
      </c>
    </row>
    <row r="396" spans="1:3" x14ac:dyDescent="0.25">
      <c r="A396" s="9" t="s">
        <v>681</v>
      </c>
      <c r="B396" s="9" t="s">
        <v>638</v>
      </c>
      <c r="C396" s="10" t="s">
        <v>680</v>
      </c>
    </row>
    <row r="397" spans="1:3" x14ac:dyDescent="0.25">
      <c r="A397" s="9" t="s">
        <v>683</v>
      </c>
      <c r="B397" s="9" t="s">
        <v>638</v>
      </c>
      <c r="C397" s="10" t="s">
        <v>682</v>
      </c>
    </row>
    <row r="398" spans="1:3" x14ac:dyDescent="0.25">
      <c r="A398" s="9" t="s">
        <v>685</v>
      </c>
      <c r="B398" s="9" t="s">
        <v>638</v>
      </c>
      <c r="C398" s="10" t="s">
        <v>684</v>
      </c>
    </row>
    <row r="399" spans="1:3" x14ac:dyDescent="0.25">
      <c r="A399" s="9" t="s">
        <v>687</v>
      </c>
      <c r="B399" s="9" t="s">
        <v>638</v>
      </c>
      <c r="C399" s="10" t="s">
        <v>686</v>
      </c>
    </row>
    <row r="400" spans="1:3" x14ac:dyDescent="0.25">
      <c r="A400" s="9" t="s">
        <v>689</v>
      </c>
      <c r="B400" s="9" t="s">
        <v>638</v>
      </c>
      <c r="C400" s="10" t="s">
        <v>688</v>
      </c>
    </row>
    <row r="401" spans="1:3" x14ac:dyDescent="0.25">
      <c r="A401" s="9" t="s">
        <v>691</v>
      </c>
      <c r="B401" s="9" t="s">
        <v>638</v>
      </c>
      <c r="C401" s="10" t="s">
        <v>690</v>
      </c>
    </row>
    <row r="402" spans="1:3" x14ac:dyDescent="0.25">
      <c r="A402" s="9" t="s">
        <v>693</v>
      </c>
      <c r="B402" s="9" t="s">
        <v>638</v>
      </c>
      <c r="C402" s="10" t="s">
        <v>692</v>
      </c>
    </row>
    <row r="403" spans="1:3" x14ac:dyDescent="0.25">
      <c r="A403" s="9" t="s">
        <v>695</v>
      </c>
      <c r="B403" s="9" t="s">
        <v>638</v>
      </c>
      <c r="C403" s="10" t="s">
        <v>694</v>
      </c>
    </row>
    <row r="404" spans="1:3" x14ac:dyDescent="0.25">
      <c r="A404" s="9" t="s">
        <v>697</v>
      </c>
      <c r="B404" s="9" t="s">
        <v>638</v>
      </c>
      <c r="C404" s="10" t="s">
        <v>696</v>
      </c>
    </row>
    <row r="405" spans="1:3" x14ac:dyDescent="0.25">
      <c r="A405" s="9" t="s">
        <v>699</v>
      </c>
      <c r="B405" s="9" t="s">
        <v>638</v>
      </c>
      <c r="C405" s="10" t="s">
        <v>698</v>
      </c>
    </row>
    <row r="406" spans="1:3" x14ac:dyDescent="0.25">
      <c r="A406" s="9" t="s">
        <v>701</v>
      </c>
      <c r="B406" s="9" t="s">
        <v>638</v>
      </c>
      <c r="C406" s="10" t="s">
        <v>700</v>
      </c>
    </row>
    <row r="407" spans="1:3" x14ac:dyDescent="0.25">
      <c r="A407" s="9" t="s">
        <v>703</v>
      </c>
      <c r="B407" s="9" t="s">
        <v>638</v>
      </c>
      <c r="C407" s="10" t="s">
        <v>702</v>
      </c>
    </row>
    <row r="408" spans="1:3" x14ac:dyDescent="0.25">
      <c r="A408" s="9" t="s">
        <v>705</v>
      </c>
      <c r="B408" s="9" t="s">
        <v>638</v>
      </c>
      <c r="C408" s="10" t="s">
        <v>704</v>
      </c>
    </row>
    <row r="409" spans="1:3" x14ac:dyDescent="0.25">
      <c r="A409" s="9" t="s">
        <v>707</v>
      </c>
      <c r="B409" s="9" t="s">
        <v>638</v>
      </c>
      <c r="C409" s="10" t="s">
        <v>706</v>
      </c>
    </row>
    <row r="410" spans="1:3" x14ac:dyDescent="0.25">
      <c r="A410" s="9" t="s">
        <v>709</v>
      </c>
      <c r="B410" s="9" t="s">
        <v>638</v>
      </c>
      <c r="C410" s="10" t="s">
        <v>708</v>
      </c>
    </row>
    <row r="411" spans="1:3" x14ac:dyDescent="0.25">
      <c r="A411" s="9" t="s">
        <v>711</v>
      </c>
      <c r="B411" s="9" t="s">
        <v>638</v>
      </c>
      <c r="C411" s="10" t="s">
        <v>710</v>
      </c>
    </row>
    <row r="412" spans="1:3" x14ac:dyDescent="0.25">
      <c r="A412" s="9" t="s">
        <v>713</v>
      </c>
      <c r="B412" s="9" t="s">
        <v>638</v>
      </c>
      <c r="C412" s="10" t="s">
        <v>712</v>
      </c>
    </row>
    <row r="413" spans="1:3" x14ac:dyDescent="0.25">
      <c r="A413" s="9" t="s">
        <v>715</v>
      </c>
      <c r="B413" s="9" t="s">
        <v>638</v>
      </c>
      <c r="C413" s="10" t="s">
        <v>714</v>
      </c>
    </row>
    <row r="414" spans="1:3" x14ac:dyDescent="0.25">
      <c r="A414" s="9" t="s">
        <v>717</v>
      </c>
      <c r="B414" s="9" t="s">
        <v>638</v>
      </c>
      <c r="C414" s="10" t="s">
        <v>716</v>
      </c>
    </row>
    <row r="415" spans="1:3" x14ac:dyDescent="0.25">
      <c r="A415" s="9" t="s">
        <v>719</v>
      </c>
      <c r="B415" s="9" t="s">
        <v>638</v>
      </c>
      <c r="C415" s="10" t="s">
        <v>718</v>
      </c>
    </row>
    <row r="416" spans="1:3" x14ac:dyDescent="0.25">
      <c r="A416" s="9" t="s">
        <v>721</v>
      </c>
      <c r="B416" s="9" t="s">
        <v>638</v>
      </c>
      <c r="C416" s="10" t="s">
        <v>720</v>
      </c>
    </row>
    <row r="417" spans="1:3" x14ac:dyDescent="0.25">
      <c r="A417" s="9" t="s">
        <v>723</v>
      </c>
      <c r="B417" s="9" t="s">
        <v>638</v>
      </c>
      <c r="C417" s="10" t="s">
        <v>722</v>
      </c>
    </row>
    <row r="418" spans="1:3" x14ac:dyDescent="0.25">
      <c r="A418" s="9" t="s">
        <v>725</v>
      </c>
      <c r="B418" s="9" t="s">
        <v>638</v>
      </c>
      <c r="C418" s="10" t="s">
        <v>724</v>
      </c>
    </row>
    <row r="419" spans="1:3" x14ac:dyDescent="0.25">
      <c r="A419" s="9" t="s">
        <v>727</v>
      </c>
      <c r="B419" s="9" t="s">
        <v>638</v>
      </c>
      <c r="C419" s="10" t="s">
        <v>726</v>
      </c>
    </row>
    <row r="420" spans="1:3" x14ac:dyDescent="0.25">
      <c r="A420" s="9" t="s">
        <v>729</v>
      </c>
      <c r="B420" s="9" t="s">
        <v>638</v>
      </c>
      <c r="C420" s="10" t="s">
        <v>728</v>
      </c>
    </row>
    <row r="421" spans="1:3" x14ac:dyDescent="0.25">
      <c r="A421" s="9" t="s">
        <v>731</v>
      </c>
      <c r="B421" s="9" t="s">
        <v>638</v>
      </c>
      <c r="C421" s="10" t="s">
        <v>730</v>
      </c>
    </row>
    <row r="422" spans="1:3" x14ac:dyDescent="0.25">
      <c r="A422" s="9" t="s">
        <v>733</v>
      </c>
      <c r="B422" s="9" t="s">
        <v>638</v>
      </c>
      <c r="C422" s="10" t="s">
        <v>732</v>
      </c>
    </row>
    <row r="423" spans="1:3" x14ac:dyDescent="0.25">
      <c r="A423" s="9" t="s">
        <v>735</v>
      </c>
      <c r="B423" s="9" t="s">
        <v>638</v>
      </c>
      <c r="C423" s="10" t="s">
        <v>734</v>
      </c>
    </row>
    <row r="424" spans="1:3" x14ac:dyDescent="0.25">
      <c r="A424" s="9" t="s">
        <v>737</v>
      </c>
      <c r="B424" s="9" t="s">
        <v>638</v>
      </c>
      <c r="C424" s="10" t="s">
        <v>736</v>
      </c>
    </row>
    <row r="425" spans="1:3" x14ac:dyDescent="0.25">
      <c r="A425" s="9" t="s">
        <v>739</v>
      </c>
      <c r="B425" s="9" t="s">
        <v>638</v>
      </c>
      <c r="C425" s="10" t="s">
        <v>738</v>
      </c>
    </row>
    <row r="426" spans="1:3" x14ac:dyDescent="0.25">
      <c r="A426" s="9" t="s">
        <v>741</v>
      </c>
      <c r="B426" s="9" t="s">
        <v>638</v>
      </c>
      <c r="C426" s="10" t="s">
        <v>740</v>
      </c>
    </row>
    <row r="427" spans="1:3" x14ac:dyDescent="0.25">
      <c r="A427" s="9" t="s">
        <v>743</v>
      </c>
      <c r="B427" s="9" t="s">
        <v>638</v>
      </c>
      <c r="C427" s="10" t="s">
        <v>742</v>
      </c>
    </row>
    <row r="428" spans="1:3" x14ac:dyDescent="0.25">
      <c r="A428" s="9" t="s">
        <v>745</v>
      </c>
      <c r="B428" s="9" t="s">
        <v>638</v>
      </c>
      <c r="C428" s="10" t="s">
        <v>744</v>
      </c>
    </row>
    <row r="429" spans="1:3" x14ac:dyDescent="0.25">
      <c r="A429" s="9" t="s">
        <v>747</v>
      </c>
      <c r="B429" s="9" t="s">
        <v>638</v>
      </c>
      <c r="C429" s="10" t="s">
        <v>746</v>
      </c>
    </row>
    <row r="430" spans="1:3" x14ac:dyDescent="0.25">
      <c r="A430" s="9" t="s">
        <v>749</v>
      </c>
      <c r="B430" s="9" t="s">
        <v>638</v>
      </c>
      <c r="C430" s="10" t="s">
        <v>748</v>
      </c>
    </row>
    <row r="431" spans="1:3" x14ac:dyDescent="0.25">
      <c r="A431" s="9">
        <v>0</v>
      </c>
      <c r="B431" s="9" t="s">
        <v>638</v>
      </c>
      <c r="C431" s="10" t="s">
        <v>750</v>
      </c>
    </row>
    <row r="432" spans="1:3" x14ac:dyDescent="0.25">
      <c r="A432" s="9">
        <v>0</v>
      </c>
      <c r="B432" s="9" t="s">
        <v>638</v>
      </c>
      <c r="C432" s="10" t="s">
        <v>751</v>
      </c>
    </row>
    <row r="433" spans="1:3" x14ac:dyDescent="0.25">
      <c r="A433" s="9">
        <v>0</v>
      </c>
      <c r="B433" s="9" t="s">
        <v>638</v>
      </c>
      <c r="C433" s="10" t="s">
        <v>752</v>
      </c>
    </row>
    <row r="434" spans="1:3" x14ac:dyDescent="0.25">
      <c r="A434" s="9" t="s">
        <v>754</v>
      </c>
      <c r="B434" s="9" t="s">
        <v>638</v>
      </c>
      <c r="C434" s="10" t="s">
        <v>753</v>
      </c>
    </row>
    <row r="435" spans="1:3" x14ac:dyDescent="0.25">
      <c r="A435" s="9" t="s">
        <v>756</v>
      </c>
      <c r="B435" s="9" t="s">
        <v>638</v>
      </c>
      <c r="C435" s="10" t="s">
        <v>755</v>
      </c>
    </row>
    <row r="436" spans="1:3" x14ac:dyDescent="0.25">
      <c r="A436" s="9">
        <v>0</v>
      </c>
      <c r="B436" s="9" t="s">
        <v>638</v>
      </c>
      <c r="C436" s="10" t="s">
        <v>757</v>
      </c>
    </row>
    <row r="437" spans="1:3" x14ac:dyDescent="0.25">
      <c r="A437" s="9" t="s">
        <v>759</v>
      </c>
      <c r="B437" s="9" t="s">
        <v>638</v>
      </c>
      <c r="C437" s="10" t="s">
        <v>758</v>
      </c>
    </row>
    <row r="438" spans="1:3" x14ac:dyDescent="0.25">
      <c r="A438" s="9">
        <v>0</v>
      </c>
      <c r="B438" s="9" t="s">
        <v>638</v>
      </c>
      <c r="C438" s="10" t="s">
        <v>760</v>
      </c>
    </row>
    <row r="439" spans="1:3" x14ac:dyDescent="0.25">
      <c r="A439" s="9">
        <v>0</v>
      </c>
      <c r="B439" s="9" t="s">
        <v>638</v>
      </c>
      <c r="C439" s="10" t="s">
        <v>761</v>
      </c>
    </row>
    <row r="440" spans="1:3" x14ac:dyDescent="0.25">
      <c r="A440" s="9" t="s">
        <v>763</v>
      </c>
      <c r="B440" s="9" t="s">
        <v>638</v>
      </c>
      <c r="C440" s="10" t="s">
        <v>762</v>
      </c>
    </row>
    <row r="441" spans="1:3" x14ac:dyDescent="0.25">
      <c r="A441" s="9" t="s">
        <v>765</v>
      </c>
      <c r="B441" s="9" t="s">
        <v>638</v>
      </c>
      <c r="C441" s="10" t="s">
        <v>764</v>
      </c>
    </row>
    <row r="442" spans="1:3" x14ac:dyDescent="0.25">
      <c r="A442" s="9" t="s">
        <v>767</v>
      </c>
      <c r="B442" s="9" t="s">
        <v>638</v>
      </c>
      <c r="C442" s="10" t="s">
        <v>766</v>
      </c>
    </row>
    <row r="443" spans="1:3" x14ac:dyDescent="0.25">
      <c r="A443" s="9" t="s">
        <v>769</v>
      </c>
      <c r="B443" s="9" t="s">
        <v>638</v>
      </c>
      <c r="C443" s="10" t="s">
        <v>768</v>
      </c>
    </row>
    <row r="444" spans="1:3" x14ac:dyDescent="0.25">
      <c r="A444" s="9" t="s">
        <v>771</v>
      </c>
      <c r="B444" s="9" t="s">
        <v>638</v>
      </c>
      <c r="C444" s="10" t="s">
        <v>770</v>
      </c>
    </row>
    <row r="445" spans="1:3" x14ac:dyDescent="0.25">
      <c r="A445" s="9" t="s">
        <v>773</v>
      </c>
      <c r="B445" s="9" t="s">
        <v>638</v>
      </c>
      <c r="C445" s="10" t="s">
        <v>772</v>
      </c>
    </row>
    <row r="446" spans="1:3" x14ac:dyDescent="0.25">
      <c r="A446" s="9" t="s">
        <v>775</v>
      </c>
      <c r="B446" s="9" t="s">
        <v>638</v>
      </c>
      <c r="C446" s="10" t="s">
        <v>774</v>
      </c>
    </row>
    <row r="447" spans="1:3" x14ac:dyDescent="0.25">
      <c r="A447" s="9" t="s">
        <v>777</v>
      </c>
      <c r="B447" s="9" t="s">
        <v>638</v>
      </c>
      <c r="C447" s="10" t="s">
        <v>776</v>
      </c>
    </row>
    <row r="448" spans="1:3" x14ac:dyDescent="0.25">
      <c r="A448" s="9" t="s">
        <v>779</v>
      </c>
      <c r="B448" s="9" t="s">
        <v>638</v>
      </c>
      <c r="C448" s="10" t="s">
        <v>778</v>
      </c>
    </row>
    <row r="449" spans="1:3" x14ac:dyDescent="0.25">
      <c r="A449" s="9">
        <v>0</v>
      </c>
      <c r="B449" s="9" t="s">
        <v>638</v>
      </c>
      <c r="C449" s="10" t="s">
        <v>780</v>
      </c>
    </row>
    <row r="450" spans="1:3" x14ac:dyDescent="0.25">
      <c r="A450" s="9">
        <v>0</v>
      </c>
      <c r="B450" s="9" t="s">
        <v>638</v>
      </c>
      <c r="C450" s="10" t="s">
        <v>781</v>
      </c>
    </row>
    <row r="451" spans="1:3" x14ac:dyDescent="0.25">
      <c r="A451" s="9">
        <v>0</v>
      </c>
      <c r="B451" s="9" t="s">
        <v>638</v>
      </c>
      <c r="C451" s="10" t="s">
        <v>782</v>
      </c>
    </row>
    <row r="452" spans="1:3" x14ac:dyDescent="0.25">
      <c r="A452" s="9">
        <v>0</v>
      </c>
      <c r="B452" s="9" t="s">
        <v>638</v>
      </c>
      <c r="C452" s="10" t="s">
        <v>783</v>
      </c>
    </row>
    <row r="453" spans="1:3" x14ac:dyDescent="0.25">
      <c r="A453" s="9">
        <v>0</v>
      </c>
      <c r="B453" s="9" t="s">
        <v>638</v>
      </c>
      <c r="C453" s="10" t="s">
        <v>784</v>
      </c>
    </row>
    <row r="454" spans="1:3" x14ac:dyDescent="0.25">
      <c r="A454" s="9">
        <v>0</v>
      </c>
      <c r="B454" s="9" t="s">
        <v>638</v>
      </c>
      <c r="C454" s="10" t="s">
        <v>785</v>
      </c>
    </row>
    <row r="455" spans="1:3" x14ac:dyDescent="0.25">
      <c r="A455" s="9">
        <v>0</v>
      </c>
      <c r="B455" s="9" t="s">
        <v>638</v>
      </c>
      <c r="C455" s="10" t="s">
        <v>786</v>
      </c>
    </row>
    <row r="456" spans="1:3" x14ac:dyDescent="0.25">
      <c r="A456" s="9" t="s">
        <v>788</v>
      </c>
      <c r="B456" s="9" t="s">
        <v>638</v>
      </c>
      <c r="C456" s="10" t="s">
        <v>787</v>
      </c>
    </row>
    <row r="457" spans="1:3" x14ac:dyDescent="0.25">
      <c r="A457" s="9">
        <v>0</v>
      </c>
      <c r="B457" s="9" t="s">
        <v>638</v>
      </c>
      <c r="C457" s="10" t="s">
        <v>789</v>
      </c>
    </row>
    <row r="458" spans="1:3" x14ac:dyDescent="0.25">
      <c r="A458" s="9">
        <v>0</v>
      </c>
      <c r="B458" s="9" t="s">
        <v>638</v>
      </c>
      <c r="C458" s="10" t="s">
        <v>790</v>
      </c>
    </row>
    <row r="459" spans="1:3" x14ac:dyDescent="0.25">
      <c r="A459" s="9">
        <v>0</v>
      </c>
      <c r="B459" s="9" t="s">
        <v>638</v>
      </c>
      <c r="C459" s="10" t="s">
        <v>791</v>
      </c>
    </row>
    <row r="460" spans="1:3" x14ac:dyDescent="0.25">
      <c r="A460" s="9">
        <v>0</v>
      </c>
      <c r="B460" s="9" t="s">
        <v>638</v>
      </c>
      <c r="C460" s="10" t="s">
        <v>792</v>
      </c>
    </row>
    <row r="461" spans="1:3" x14ac:dyDescent="0.25">
      <c r="A461" s="9">
        <v>0</v>
      </c>
      <c r="B461" s="9" t="s">
        <v>638</v>
      </c>
      <c r="C461" s="10" t="s">
        <v>793</v>
      </c>
    </row>
    <row r="462" spans="1:3" x14ac:dyDescent="0.25">
      <c r="A462" s="9">
        <v>0</v>
      </c>
      <c r="B462" s="9" t="s">
        <v>638</v>
      </c>
      <c r="C462" s="10" t="s">
        <v>794</v>
      </c>
    </row>
    <row r="463" spans="1:3" x14ac:dyDescent="0.25">
      <c r="A463" s="9">
        <v>0</v>
      </c>
      <c r="B463" s="9" t="s">
        <v>638</v>
      </c>
      <c r="C463" s="10" t="s">
        <v>795</v>
      </c>
    </row>
    <row r="464" spans="1:3" x14ac:dyDescent="0.25">
      <c r="A464" s="9">
        <v>0</v>
      </c>
      <c r="B464" s="9" t="s">
        <v>638</v>
      </c>
      <c r="C464" s="10" t="s">
        <v>796</v>
      </c>
    </row>
    <row r="465" spans="1:3" x14ac:dyDescent="0.25">
      <c r="A465" s="9">
        <v>0</v>
      </c>
      <c r="B465" s="9" t="s">
        <v>638</v>
      </c>
      <c r="C465" s="10" t="s">
        <v>797</v>
      </c>
    </row>
    <row r="466" spans="1:3" x14ac:dyDescent="0.25">
      <c r="A466" s="9" t="s">
        <v>800</v>
      </c>
      <c r="B466" s="9" t="s">
        <v>799</v>
      </c>
      <c r="C466" s="10" t="s">
        <v>798</v>
      </c>
    </row>
    <row r="467" spans="1:3" x14ac:dyDescent="0.25">
      <c r="A467" s="9" t="s">
        <v>802</v>
      </c>
      <c r="B467" s="9" t="s">
        <v>799</v>
      </c>
      <c r="C467" s="10" t="s">
        <v>801</v>
      </c>
    </row>
    <row r="468" spans="1:3" x14ac:dyDescent="0.25">
      <c r="A468" s="9" t="s">
        <v>804</v>
      </c>
      <c r="B468" s="9" t="s">
        <v>799</v>
      </c>
      <c r="C468" s="10" t="s">
        <v>803</v>
      </c>
    </row>
    <row r="469" spans="1:3" x14ac:dyDescent="0.25">
      <c r="A469" s="9" t="s">
        <v>806</v>
      </c>
      <c r="B469" s="9" t="s">
        <v>799</v>
      </c>
      <c r="C469" s="10" t="s">
        <v>805</v>
      </c>
    </row>
    <row r="470" spans="1:3" x14ac:dyDescent="0.25">
      <c r="A470" s="9" t="s">
        <v>808</v>
      </c>
      <c r="B470" s="9" t="s">
        <v>799</v>
      </c>
      <c r="C470" s="10" t="s">
        <v>807</v>
      </c>
    </row>
    <row r="471" spans="1:3" x14ac:dyDescent="0.25">
      <c r="A471" s="9" t="s">
        <v>810</v>
      </c>
      <c r="B471" s="9" t="s">
        <v>799</v>
      </c>
      <c r="C471" s="10" t="s">
        <v>809</v>
      </c>
    </row>
    <row r="472" spans="1:3" x14ac:dyDescent="0.25">
      <c r="A472" s="9" t="s">
        <v>812</v>
      </c>
      <c r="B472" s="9" t="s">
        <v>799</v>
      </c>
      <c r="C472" s="10" t="s">
        <v>811</v>
      </c>
    </row>
    <row r="473" spans="1:3" x14ac:dyDescent="0.25">
      <c r="A473" s="9" t="s">
        <v>814</v>
      </c>
      <c r="B473" s="9" t="s">
        <v>799</v>
      </c>
      <c r="C473" s="10" t="s">
        <v>813</v>
      </c>
    </row>
    <row r="474" spans="1:3" x14ac:dyDescent="0.25">
      <c r="A474" s="9" t="s">
        <v>816</v>
      </c>
      <c r="B474" s="9" t="s">
        <v>799</v>
      </c>
      <c r="C474" s="10" t="s">
        <v>815</v>
      </c>
    </row>
    <row r="475" spans="1:3" x14ac:dyDescent="0.25">
      <c r="A475" s="9" t="s">
        <v>818</v>
      </c>
      <c r="B475" s="9" t="s">
        <v>799</v>
      </c>
      <c r="C475" s="10" t="s">
        <v>817</v>
      </c>
    </row>
    <row r="476" spans="1:3" x14ac:dyDescent="0.25">
      <c r="A476" s="9" t="s">
        <v>820</v>
      </c>
      <c r="B476" s="9" t="s">
        <v>799</v>
      </c>
      <c r="C476" s="10" t="s">
        <v>819</v>
      </c>
    </row>
    <row r="477" spans="1:3" x14ac:dyDescent="0.25">
      <c r="A477" s="9" t="s">
        <v>822</v>
      </c>
      <c r="B477" s="9" t="s">
        <v>799</v>
      </c>
      <c r="C477" s="10" t="s">
        <v>821</v>
      </c>
    </row>
    <row r="478" spans="1:3" x14ac:dyDescent="0.25">
      <c r="A478" s="9" t="s">
        <v>824</v>
      </c>
      <c r="B478" s="9" t="s">
        <v>799</v>
      </c>
      <c r="C478" s="10" t="s">
        <v>823</v>
      </c>
    </row>
    <row r="479" spans="1:3" x14ac:dyDescent="0.25">
      <c r="A479" s="9" t="s">
        <v>826</v>
      </c>
      <c r="B479" s="9" t="s">
        <v>799</v>
      </c>
      <c r="C479" s="10" t="s">
        <v>825</v>
      </c>
    </row>
    <row r="480" spans="1:3" x14ac:dyDescent="0.25">
      <c r="A480" s="9" t="s">
        <v>828</v>
      </c>
      <c r="B480" s="9" t="s">
        <v>799</v>
      </c>
      <c r="C480" s="10" t="s">
        <v>827</v>
      </c>
    </row>
    <row r="481" spans="1:3" x14ac:dyDescent="0.25">
      <c r="A481" s="9" t="s">
        <v>830</v>
      </c>
      <c r="B481" s="9" t="s">
        <v>799</v>
      </c>
      <c r="C481" s="10" t="s">
        <v>829</v>
      </c>
    </row>
    <row r="482" spans="1:3" x14ac:dyDescent="0.25">
      <c r="A482" s="9" t="s">
        <v>832</v>
      </c>
      <c r="B482" s="9" t="s">
        <v>799</v>
      </c>
      <c r="C482" s="10" t="s">
        <v>831</v>
      </c>
    </row>
    <row r="483" spans="1:3" x14ac:dyDescent="0.25">
      <c r="A483" s="9" t="s">
        <v>834</v>
      </c>
      <c r="B483" s="9" t="s">
        <v>799</v>
      </c>
      <c r="C483" s="10" t="s">
        <v>833</v>
      </c>
    </row>
    <row r="484" spans="1:3" x14ac:dyDescent="0.25">
      <c r="A484" s="9" t="s">
        <v>836</v>
      </c>
      <c r="B484" s="9" t="s">
        <v>799</v>
      </c>
      <c r="C484" s="10" t="s">
        <v>835</v>
      </c>
    </row>
    <row r="485" spans="1:3" x14ac:dyDescent="0.25">
      <c r="A485" s="9" t="s">
        <v>838</v>
      </c>
      <c r="B485" s="9" t="s">
        <v>799</v>
      </c>
      <c r="C485" s="10" t="s">
        <v>837</v>
      </c>
    </row>
    <row r="486" spans="1:3" x14ac:dyDescent="0.25">
      <c r="A486" s="9" t="s">
        <v>840</v>
      </c>
      <c r="B486" s="9" t="s">
        <v>799</v>
      </c>
      <c r="C486" s="10" t="s">
        <v>839</v>
      </c>
    </row>
    <row r="487" spans="1:3" x14ac:dyDescent="0.25">
      <c r="A487" s="9" t="s">
        <v>842</v>
      </c>
      <c r="B487" s="9" t="s">
        <v>799</v>
      </c>
      <c r="C487" s="10" t="s">
        <v>841</v>
      </c>
    </row>
    <row r="488" spans="1:3" x14ac:dyDescent="0.25">
      <c r="A488" s="13" t="s">
        <v>1521</v>
      </c>
      <c r="B488" s="9" t="s">
        <v>848</v>
      </c>
      <c r="C488" s="10" t="s">
        <v>848</v>
      </c>
    </row>
    <row r="489" spans="1:3" x14ac:dyDescent="0.25">
      <c r="A489" s="9" t="s">
        <v>845</v>
      </c>
      <c r="B489" s="9" t="s">
        <v>844</v>
      </c>
      <c r="C489" s="10" t="s">
        <v>843</v>
      </c>
    </row>
    <row r="490" spans="1:3" x14ac:dyDescent="0.25">
      <c r="A490" s="9" t="s">
        <v>847</v>
      </c>
      <c r="B490" s="9" t="s">
        <v>846</v>
      </c>
      <c r="C490" s="10" t="s">
        <v>846</v>
      </c>
    </row>
    <row r="491" spans="1:3" x14ac:dyDescent="0.25">
      <c r="A491" s="9" t="s">
        <v>850</v>
      </c>
      <c r="B491" s="9" t="s">
        <v>849</v>
      </c>
      <c r="C491" s="10" t="s">
        <v>849</v>
      </c>
    </row>
    <row r="492" spans="1:3" x14ac:dyDescent="0.25">
      <c r="A492" s="9" t="s">
        <v>852</v>
      </c>
      <c r="B492" s="9" t="s">
        <v>851</v>
      </c>
      <c r="C492" s="10" t="s">
        <v>851</v>
      </c>
    </row>
    <row r="493" spans="1:3" x14ac:dyDescent="0.25">
      <c r="A493" s="9" t="s">
        <v>854</v>
      </c>
      <c r="B493" s="10" t="s">
        <v>853</v>
      </c>
      <c r="C493" s="10" t="s">
        <v>853</v>
      </c>
    </row>
    <row r="494" spans="1:3" x14ac:dyDescent="0.25">
      <c r="A494" s="9" t="s">
        <v>857</v>
      </c>
      <c r="B494" s="9" t="s">
        <v>856</v>
      </c>
      <c r="C494" s="10" t="s">
        <v>855</v>
      </c>
    </row>
    <row r="495" spans="1:3" x14ac:dyDescent="0.25">
      <c r="A495" s="9" t="s">
        <v>859</v>
      </c>
      <c r="B495" s="9" t="s">
        <v>856</v>
      </c>
      <c r="C495" s="10" t="s">
        <v>858</v>
      </c>
    </row>
    <row r="496" spans="1:3" x14ac:dyDescent="0.25">
      <c r="A496" s="9" t="s">
        <v>861</v>
      </c>
      <c r="B496" s="9" t="s">
        <v>856</v>
      </c>
      <c r="C496" s="10" t="s">
        <v>860</v>
      </c>
    </row>
    <row r="497" spans="1:3" x14ac:dyDescent="0.25">
      <c r="A497" s="9" t="s">
        <v>863</v>
      </c>
      <c r="B497" s="9" t="s">
        <v>856</v>
      </c>
      <c r="C497" s="10" t="s">
        <v>862</v>
      </c>
    </row>
    <row r="498" spans="1:3" x14ac:dyDescent="0.25">
      <c r="A498" s="9" t="s">
        <v>866</v>
      </c>
      <c r="B498" s="9" t="s">
        <v>865</v>
      </c>
      <c r="C498" s="10" t="s">
        <v>864</v>
      </c>
    </row>
    <row r="499" spans="1:3" x14ac:dyDescent="0.25">
      <c r="A499" s="9" t="s">
        <v>868</v>
      </c>
      <c r="B499" s="9" t="s">
        <v>865</v>
      </c>
      <c r="C499" s="10" t="s">
        <v>867</v>
      </c>
    </row>
    <row r="500" spans="1:3" x14ac:dyDescent="0.25">
      <c r="A500" s="9" t="s">
        <v>870</v>
      </c>
      <c r="B500" s="9" t="s">
        <v>865</v>
      </c>
      <c r="C500" s="10" t="s">
        <v>869</v>
      </c>
    </row>
    <row r="501" spans="1:3" x14ac:dyDescent="0.25">
      <c r="A501" s="9" t="s">
        <v>872</v>
      </c>
      <c r="B501" s="9" t="s">
        <v>865</v>
      </c>
      <c r="C501" s="10" t="s">
        <v>871</v>
      </c>
    </row>
    <row r="502" spans="1:3" x14ac:dyDescent="0.25">
      <c r="A502" s="9" t="s">
        <v>874</v>
      </c>
      <c r="B502" s="9" t="s">
        <v>865</v>
      </c>
      <c r="C502" s="10" t="s">
        <v>873</v>
      </c>
    </row>
    <row r="503" spans="1:3" x14ac:dyDescent="0.25">
      <c r="A503" s="9" t="s">
        <v>876</v>
      </c>
      <c r="B503" s="9" t="s">
        <v>865</v>
      </c>
      <c r="C503" s="10" t="s">
        <v>875</v>
      </c>
    </row>
    <row r="504" spans="1:3" x14ac:dyDescent="0.25">
      <c r="A504" s="9" t="s">
        <v>878</v>
      </c>
      <c r="B504" s="9" t="s">
        <v>865</v>
      </c>
      <c r="C504" s="10" t="s">
        <v>877</v>
      </c>
    </row>
    <row r="505" spans="1:3" x14ac:dyDescent="0.25">
      <c r="A505" s="9" t="s">
        <v>880</v>
      </c>
      <c r="B505" s="9" t="s">
        <v>865</v>
      </c>
      <c r="C505" s="10" t="s">
        <v>879</v>
      </c>
    </row>
    <row r="506" spans="1:3" x14ac:dyDescent="0.25">
      <c r="A506" s="9" t="s">
        <v>882</v>
      </c>
      <c r="B506" s="9" t="s">
        <v>865</v>
      </c>
      <c r="C506" s="10" t="s">
        <v>881</v>
      </c>
    </row>
    <row r="507" spans="1:3" x14ac:dyDescent="0.25">
      <c r="A507" s="9" t="s">
        <v>884</v>
      </c>
      <c r="B507" s="9" t="s">
        <v>865</v>
      </c>
      <c r="C507" s="10" t="s">
        <v>883</v>
      </c>
    </row>
    <row r="508" spans="1:3" x14ac:dyDescent="0.25">
      <c r="A508" s="9" t="s">
        <v>886</v>
      </c>
      <c r="B508" s="9" t="s">
        <v>865</v>
      </c>
      <c r="C508" s="10" t="s">
        <v>885</v>
      </c>
    </row>
    <row r="509" spans="1:3" x14ac:dyDescent="0.25">
      <c r="A509" s="9" t="s">
        <v>888</v>
      </c>
      <c r="B509" s="9" t="s">
        <v>865</v>
      </c>
      <c r="C509" s="10" t="s">
        <v>887</v>
      </c>
    </row>
    <row r="510" spans="1:3" x14ac:dyDescent="0.25">
      <c r="A510" s="9" t="s">
        <v>890</v>
      </c>
      <c r="B510" s="9" t="s">
        <v>865</v>
      </c>
      <c r="C510" s="10" t="s">
        <v>889</v>
      </c>
    </row>
    <row r="511" spans="1:3" x14ac:dyDescent="0.25">
      <c r="A511" s="3" t="s">
        <v>936</v>
      </c>
      <c r="B511" s="9" t="s">
        <v>865</v>
      </c>
      <c r="C511" s="10" t="s">
        <v>935</v>
      </c>
    </row>
    <row r="512" spans="1:3" x14ac:dyDescent="0.25">
      <c r="A512" s="9" t="s">
        <v>892</v>
      </c>
      <c r="B512" s="9" t="s">
        <v>865</v>
      </c>
      <c r="C512" s="10" t="s">
        <v>891</v>
      </c>
    </row>
    <row r="513" spans="1:3" x14ac:dyDescent="0.25">
      <c r="A513" s="9" t="s">
        <v>894</v>
      </c>
      <c r="B513" s="9" t="s">
        <v>865</v>
      </c>
      <c r="C513" s="10" t="s">
        <v>893</v>
      </c>
    </row>
    <row r="514" spans="1:3" x14ac:dyDescent="0.25">
      <c r="A514" s="9" t="s">
        <v>896</v>
      </c>
      <c r="B514" s="9" t="s">
        <v>865</v>
      </c>
      <c r="C514" s="10" t="s">
        <v>895</v>
      </c>
    </row>
    <row r="515" spans="1:3" x14ac:dyDescent="0.25">
      <c r="A515" s="9" t="s">
        <v>898</v>
      </c>
      <c r="B515" s="9" t="s">
        <v>865</v>
      </c>
      <c r="C515" s="10" t="s">
        <v>897</v>
      </c>
    </row>
    <row r="516" spans="1:3" x14ac:dyDescent="0.25">
      <c r="A516" s="9" t="s">
        <v>900</v>
      </c>
      <c r="B516" s="9" t="s">
        <v>865</v>
      </c>
      <c r="C516" s="10" t="s">
        <v>899</v>
      </c>
    </row>
    <row r="517" spans="1:3" x14ac:dyDescent="0.25">
      <c r="A517" s="9" t="s">
        <v>902</v>
      </c>
      <c r="B517" s="9" t="s">
        <v>865</v>
      </c>
      <c r="C517" s="10" t="s">
        <v>901</v>
      </c>
    </row>
    <row r="518" spans="1:3" x14ac:dyDescent="0.25">
      <c r="A518" s="9" t="s">
        <v>904</v>
      </c>
      <c r="B518" s="9" t="s">
        <v>865</v>
      </c>
      <c r="C518" s="10" t="s">
        <v>903</v>
      </c>
    </row>
    <row r="519" spans="1:3" x14ac:dyDescent="0.25">
      <c r="A519" s="9" t="s">
        <v>906</v>
      </c>
      <c r="B519" s="9" t="s">
        <v>865</v>
      </c>
      <c r="C519" s="10" t="s">
        <v>905</v>
      </c>
    </row>
    <row r="520" spans="1:3" x14ac:dyDescent="0.25">
      <c r="A520" s="9" t="s">
        <v>908</v>
      </c>
      <c r="B520" s="9" t="s">
        <v>865</v>
      </c>
      <c r="C520" s="10" t="s">
        <v>907</v>
      </c>
    </row>
    <row r="521" spans="1:3" x14ac:dyDescent="0.25">
      <c r="A521" s="9" t="s">
        <v>910</v>
      </c>
      <c r="B521" s="9" t="s">
        <v>865</v>
      </c>
      <c r="C521" s="10" t="s">
        <v>909</v>
      </c>
    </row>
    <row r="522" spans="1:3" x14ac:dyDescent="0.25">
      <c r="A522" s="9" t="s">
        <v>912</v>
      </c>
      <c r="B522" s="9" t="s">
        <v>865</v>
      </c>
      <c r="C522" s="10" t="s">
        <v>911</v>
      </c>
    </row>
    <row r="523" spans="1:3" x14ac:dyDescent="0.25">
      <c r="A523" s="9" t="s">
        <v>914</v>
      </c>
      <c r="B523" s="9" t="s">
        <v>865</v>
      </c>
      <c r="C523" s="10" t="s">
        <v>913</v>
      </c>
    </row>
    <row r="524" spans="1:3" x14ac:dyDescent="0.25">
      <c r="A524" s="9" t="s">
        <v>916</v>
      </c>
      <c r="B524" s="9" t="s">
        <v>865</v>
      </c>
      <c r="C524" s="10" t="s">
        <v>915</v>
      </c>
    </row>
    <row r="525" spans="1:3" x14ac:dyDescent="0.25">
      <c r="A525" s="17" t="s">
        <v>1524</v>
      </c>
      <c r="B525" s="9" t="s">
        <v>865</v>
      </c>
      <c r="C525" t="s">
        <v>1558</v>
      </c>
    </row>
    <row r="526" spans="1:3" x14ac:dyDescent="0.25">
      <c r="A526" s="9" t="s">
        <v>918</v>
      </c>
      <c r="B526" s="9" t="s">
        <v>865</v>
      </c>
      <c r="C526" s="10" t="s">
        <v>917</v>
      </c>
    </row>
    <row r="527" spans="1:3" x14ac:dyDescent="0.25">
      <c r="A527" s="9" t="s">
        <v>920</v>
      </c>
      <c r="B527" s="9" t="s">
        <v>865</v>
      </c>
      <c r="C527" s="10" t="s">
        <v>919</v>
      </c>
    </row>
    <row r="528" spans="1:3" x14ac:dyDescent="0.25">
      <c r="A528" s="9" t="s">
        <v>922</v>
      </c>
      <c r="B528" s="9" t="s">
        <v>865</v>
      </c>
      <c r="C528" s="10" t="s">
        <v>921</v>
      </c>
    </row>
    <row r="529" spans="1:3" x14ac:dyDescent="0.25">
      <c r="A529" s="9" t="s">
        <v>924</v>
      </c>
      <c r="B529" s="9" t="s">
        <v>865</v>
      </c>
      <c r="C529" s="10" t="s">
        <v>923</v>
      </c>
    </row>
    <row r="530" spans="1:3" x14ac:dyDescent="0.25">
      <c r="A530" s="9" t="s">
        <v>926</v>
      </c>
      <c r="B530" s="9" t="s">
        <v>865</v>
      </c>
      <c r="C530" s="10" t="s">
        <v>925</v>
      </c>
    </row>
    <row r="531" spans="1:3" x14ac:dyDescent="0.25">
      <c r="A531" s="9" t="s">
        <v>928</v>
      </c>
      <c r="B531" s="9" t="s">
        <v>865</v>
      </c>
      <c r="C531" s="10" t="s">
        <v>927</v>
      </c>
    </row>
    <row r="532" spans="1:3" x14ac:dyDescent="0.25">
      <c r="A532" s="9" t="s">
        <v>930</v>
      </c>
      <c r="B532" s="9" t="s">
        <v>865</v>
      </c>
      <c r="C532" s="10" t="s">
        <v>929</v>
      </c>
    </row>
    <row r="533" spans="1:3" x14ac:dyDescent="0.25">
      <c r="A533" s="9" t="s">
        <v>932</v>
      </c>
      <c r="B533" s="9" t="s">
        <v>865</v>
      </c>
      <c r="C533" s="10" t="s">
        <v>931</v>
      </c>
    </row>
    <row r="534" spans="1:3" x14ac:dyDescent="0.25">
      <c r="A534" s="9" t="s">
        <v>934</v>
      </c>
      <c r="B534" s="9" t="s">
        <v>865</v>
      </c>
      <c r="C534" s="10" t="s">
        <v>933</v>
      </c>
    </row>
    <row r="535" spans="1:3" x14ac:dyDescent="0.25">
      <c r="A535" s="9" t="s">
        <v>938</v>
      </c>
      <c r="B535" s="9" t="s">
        <v>865</v>
      </c>
      <c r="C535" s="10" t="s">
        <v>937</v>
      </c>
    </row>
    <row r="536" spans="1:3" x14ac:dyDescent="0.25">
      <c r="A536" s="9" t="s">
        <v>940</v>
      </c>
      <c r="B536" s="9" t="s">
        <v>865</v>
      </c>
      <c r="C536" s="10" t="s">
        <v>939</v>
      </c>
    </row>
    <row r="537" spans="1:3" x14ac:dyDescent="0.25">
      <c r="A537" s="9" t="s">
        <v>942</v>
      </c>
      <c r="B537" s="9" t="s">
        <v>865</v>
      </c>
      <c r="C537" s="10" t="s">
        <v>941</v>
      </c>
    </row>
    <row r="538" spans="1:3" x14ac:dyDescent="0.25">
      <c r="A538" s="9" t="s">
        <v>944</v>
      </c>
      <c r="B538" s="9" t="s">
        <v>865</v>
      </c>
      <c r="C538" s="10" t="s">
        <v>943</v>
      </c>
    </row>
    <row r="539" spans="1:3" x14ac:dyDescent="0.25">
      <c r="A539" s="9" t="s">
        <v>948</v>
      </c>
      <c r="B539" s="9" t="s">
        <v>865</v>
      </c>
      <c r="C539" s="10" t="s">
        <v>947</v>
      </c>
    </row>
    <row r="540" spans="1:3" x14ac:dyDescent="0.25">
      <c r="A540" s="9" t="s">
        <v>950</v>
      </c>
      <c r="B540" s="9" t="s">
        <v>865</v>
      </c>
      <c r="C540" s="10" t="s">
        <v>949</v>
      </c>
    </row>
    <row r="541" spans="1:3" x14ac:dyDescent="0.25">
      <c r="A541" s="9" t="s">
        <v>952</v>
      </c>
      <c r="B541" s="9" t="s">
        <v>865</v>
      </c>
      <c r="C541" s="10" t="s">
        <v>951</v>
      </c>
    </row>
    <row r="542" spans="1:3" x14ac:dyDescent="0.25">
      <c r="A542" s="9" t="s">
        <v>954</v>
      </c>
      <c r="B542" s="9" t="s">
        <v>865</v>
      </c>
      <c r="C542" s="10" t="s">
        <v>953</v>
      </c>
    </row>
    <row r="543" spans="1:3" x14ac:dyDescent="0.25">
      <c r="A543" s="9" t="s">
        <v>956</v>
      </c>
      <c r="B543" s="9" t="s">
        <v>865</v>
      </c>
      <c r="C543" s="10" t="s">
        <v>955</v>
      </c>
    </row>
    <row r="544" spans="1:3" x14ac:dyDescent="0.25">
      <c r="A544" s="9" t="s">
        <v>958</v>
      </c>
      <c r="B544" s="9" t="s">
        <v>865</v>
      </c>
      <c r="C544" s="10" t="s">
        <v>957</v>
      </c>
    </row>
    <row r="545" spans="1:3" x14ac:dyDescent="0.25">
      <c r="A545" s="9" t="s">
        <v>960</v>
      </c>
      <c r="B545" s="9" t="s">
        <v>865</v>
      </c>
      <c r="C545" s="10" t="s">
        <v>959</v>
      </c>
    </row>
    <row r="546" spans="1:3" ht="15" x14ac:dyDescent="0.25">
      <c r="A546" s="2" t="s">
        <v>946</v>
      </c>
      <c r="B546" t="s">
        <v>865</v>
      </c>
      <c r="C546" t="s">
        <v>945</v>
      </c>
    </row>
    <row r="547" spans="1:3" x14ac:dyDescent="0.25">
      <c r="A547" s="9" t="s">
        <v>962</v>
      </c>
      <c r="B547" s="9" t="s">
        <v>865</v>
      </c>
      <c r="C547" s="10" t="s">
        <v>961</v>
      </c>
    </row>
    <row r="548" spans="1:3" x14ac:dyDescent="0.25">
      <c r="A548" s="9" t="s">
        <v>964</v>
      </c>
      <c r="B548" s="9" t="s">
        <v>865</v>
      </c>
      <c r="C548" s="10" t="s">
        <v>963</v>
      </c>
    </row>
    <row r="549" spans="1:3" x14ac:dyDescent="0.25">
      <c r="A549" s="9" t="s">
        <v>966</v>
      </c>
      <c r="B549" s="9" t="s">
        <v>865</v>
      </c>
      <c r="C549" s="10" t="s">
        <v>965</v>
      </c>
    </row>
    <row r="550" spans="1:3" x14ac:dyDescent="0.25">
      <c r="A550" s="9" t="s">
        <v>968</v>
      </c>
      <c r="B550" s="9" t="s">
        <v>865</v>
      </c>
      <c r="C550" s="10" t="s">
        <v>967</v>
      </c>
    </row>
    <row r="551" spans="1:3" x14ac:dyDescent="0.25">
      <c r="A551" s="9" t="s">
        <v>970</v>
      </c>
      <c r="B551" s="9" t="s">
        <v>865</v>
      </c>
      <c r="C551" s="10" t="s">
        <v>969</v>
      </c>
    </row>
    <row r="552" spans="1:3" x14ac:dyDescent="0.25">
      <c r="A552" s="9" t="s">
        <v>972</v>
      </c>
      <c r="B552" s="9" t="s">
        <v>865</v>
      </c>
      <c r="C552" s="10" t="s">
        <v>971</v>
      </c>
    </row>
    <row r="553" spans="1:3" x14ac:dyDescent="0.25">
      <c r="A553" s="9" t="s">
        <v>974</v>
      </c>
      <c r="B553" s="9" t="s">
        <v>865</v>
      </c>
      <c r="C553" s="10" t="s">
        <v>973</v>
      </c>
    </row>
    <row r="554" spans="1:3" x14ac:dyDescent="0.25">
      <c r="A554" s="9" t="s">
        <v>976</v>
      </c>
      <c r="B554" s="9" t="s">
        <v>865</v>
      </c>
      <c r="C554" s="10" t="s">
        <v>975</v>
      </c>
    </row>
    <row r="555" spans="1:3" x14ac:dyDescent="0.25">
      <c r="A555" s="9" t="s">
        <v>978</v>
      </c>
      <c r="B555" s="9" t="s">
        <v>865</v>
      </c>
      <c r="C555" s="10" t="s">
        <v>977</v>
      </c>
    </row>
    <row r="556" spans="1:3" x14ac:dyDescent="0.25">
      <c r="A556" s="9" t="s">
        <v>980</v>
      </c>
      <c r="B556" s="9" t="s">
        <v>865</v>
      </c>
      <c r="C556" s="10" t="s">
        <v>979</v>
      </c>
    </row>
    <row r="557" spans="1:3" x14ac:dyDescent="0.25">
      <c r="A557" s="9" t="s">
        <v>982</v>
      </c>
      <c r="B557" s="9" t="s">
        <v>865</v>
      </c>
      <c r="C557" s="10" t="s">
        <v>981</v>
      </c>
    </row>
    <row r="558" spans="1:3" x14ac:dyDescent="0.25">
      <c r="A558" s="9" t="s">
        <v>984</v>
      </c>
      <c r="B558" s="9" t="s">
        <v>865</v>
      </c>
      <c r="C558" s="10" t="s">
        <v>983</v>
      </c>
    </row>
    <row r="559" spans="1:3" x14ac:dyDescent="0.25">
      <c r="A559" s="9" t="s">
        <v>986</v>
      </c>
      <c r="B559" s="9" t="s">
        <v>865</v>
      </c>
      <c r="C559" s="10" t="s">
        <v>985</v>
      </c>
    </row>
    <row r="560" spans="1:3" x14ac:dyDescent="0.25">
      <c r="A560" s="9" t="s">
        <v>988</v>
      </c>
      <c r="B560" s="9" t="s">
        <v>865</v>
      </c>
      <c r="C560" s="9" t="s">
        <v>987</v>
      </c>
    </row>
    <row r="561" spans="1:3" x14ac:dyDescent="0.25">
      <c r="A561" s="9" t="s">
        <v>990</v>
      </c>
      <c r="B561" s="9" t="s">
        <v>865</v>
      </c>
      <c r="C561" s="9" t="s">
        <v>989</v>
      </c>
    </row>
    <row r="562" spans="1:3" x14ac:dyDescent="0.25">
      <c r="A562" s="9" t="s">
        <v>992</v>
      </c>
      <c r="B562" s="9" t="s">
        <v>865</v>
      </c>
      <c r="C562" s="9" t="s">
        <v>991</v>
      </c>
    </row>
    <row r="563" spans="1:3" x14ac:dyDescent="0.25">
      <c r="A563" s="9" t="s">
        <v>994</v>
      </c>
      <c r="B563" s="9" t="s">
        <v>865</v>
      </c>
      <c r="C563" s="9" t="s">
        <v>993</v>
      </c>
    </row>
    <row r="564" spans="1:3" x14ac:dyDescent="0.25">
      <c r="A564" s="9" t="s">
        <v>996</v>
      </c>
      <c r="B564" s="9" t="s">
        <v>865</v>
      </c>
      <c r="C564" s="9" t="s">
        <v>995</v>
      </c>
    </row>
    <row r="565" spans="1:3" x14ac:dyDescent="0.25">
      <c r="A565" s="9" t="s">
        <v>998</v>
      </c>
      <c r="B565" s="9" t="s">
        <v>865</v>
      </c>
      <c r="C565" s="9" t="s">
        <v>997</v>
      </c>
    </row>
    <row r="566" spans="1:3" x14ac:dyDescent="0.25">
      <c r="A566" s="9" t="s">
        <v>1000</v>
      </c>
      <c r="B566" s="9" t="s">
        <v>865</v>
      </c>
      <c r="C566" s="9" t="s">
        <v>999</v>
      </c>
    </row>
    <row r="567" spans="1:3" x14ac:dyDescent="0.25">
      <c r="A567" s="9" t="s">
        <v>1002</v>
      </c>
      <c r="B567" s="9" t="s">
        <v>865</v>
      </c>
      <c r="C567" s="9" t="s">
        <v>1001</v>
      </c>
    </row>
    <row r="568" spans="1:3" x14ac:dyDescent="0.25">
      <c r="A568" s="9" t="s">
        <v>1004</v>
      </c>
      <c r="B568" s="9" t="s">
        <v>865</v>
      </c>
      <c r="C568" s="9" t="s">
        <v>1003</v>
      </c>
    </row>
    <row r="569" spans="1:3" x14ac:dyDescent="0.25">
      <c r="A569" s="9" t="s">
        <v>1006</v>
      </c>
      <c r="B569" s="9" t="s">
        <v>865</v>
      </c>
      <c r="C569" s="9" t="s">
        <v>1005</v>
      </c>
    </row>
    <row r="570" spans="1:3" x14ac:dyDescent="0.25">
      <c r="A570" s="9" t="s">
        <v>1008</v>
      </c>
      <c r="B570" s="9" t="s">
        <v>865</v>
      </c>
      <c r="C570" s="9" t="s">
        <v>1007</v>
      </c>
    </row>
    <row r="571" spans="1:3" x14ac:dyDescent="0.25">
      <c r="A571" s="9" t="s">
        <v>1010</v>
      </c>
      <c r="B571" s="9" t="s">
        <v>865</v>
      </c>
      <c r="C571" s="9" t="s">
        <v>1009</v>
      </c>
    </row>
    <row r="572" spans="1:3" x14ac:dyDescent="0.25">
      <c r="A572" s="9" t="s">
        <v>1012</v>
      </c>
      <c r="B572" s="9" t="s">
        <v>865</v>
      </c>
      <c r="C572" s="9" t="s">
        <v>1011</v>
      </c>
    </row>
    <row r="573" spans="1:3" x14ac:dyDescent="0.25">
      <c r="A573" s="9" t="s">
        <v>1014</v>
      </c>
      <c r="B573" s="9" t="s">
        <v>865</v>
      </c>
      <c r="C573" s="9" t="s">
        <v>1013</v>
      </c>
    </row>
    <row r="574" spans="1:3" x14ac:dyDescent="0.25">
      <c r="A574" s="9" t="s">
        <v>1016</v>
      </c>
      <c r="B574" s="9" t="s">
        <v>865</v>
      </c>
      <c r="C574" s="9" t="s">
        <v>1015</v>
      </c>
    </row>
    <row r="575" spans="1:3" x14ac:dyDescent="0.25">
      <c r="A575" s="9" t="s">
        <v>1018</v>
      </c>
      <c r="B575" s="9" t="s">
        <v>865</v>
      </c>
      <c r="C575" s="9" t="s">
        <v>1017</v>
      </c>
    </row>
    <row r="576" spans="1:3" x14ac:dyDescent="0.25">
      <c r="A576" s="9" t="s">
        <v>1020</v>
      </c>
      <c r="B576" s="9" t="s">
        <v>865</v>
      </c>
      <c r="C576" s="9" t="s">
        <v>1019</v>
      </c>
    </row>
    <row r="577" spans="1:3" x14ac:dyDescent="0.25">
      <c r="A577" s="9" t="s">
        <v>1022</v>
      </c>
      <c r="B577" s="9" t="s">
        <v>865</v>
      </c>
      <c r="C577" s="9" t="s">
        <v>1021</v>
      </c>
    </row>
    <row r="578" spans="1:3" x14ac:dyDescent="0.25">
      <c r="A578" s="9" t="s">
        <v>1024</v>
      </c>
      <c r="B578" s="9" t="s">
        <v>865</v>
      </c>
      <c r="C578" s="9" t="s">
        <v>1023</v>
      </c>
    </row>
    <row r="579" spans="1:3" x14ac:dyDescent="0.25">
      <c r="A579" s="9" t="s">
        <v>1026</v>
      </c>
      <c r="B579" s="9" t="s">
        <v>865</v>
      </c>
      <c r="C579" s="9" t="s">
        <v>1025</v>
      </c>
    </row>
    <row r="580" spans="1:3" x14ac:dyDescent="0.25">
      <c r="A580" s="9" t="s">
        <v>1028</v>
      </c>
      <c r="B580" s="9" t="s">
        <v>865</v>
      </c>
      <c r="C580" s="9" t="s">
        <v>1027</v>
      </c>
    </row>
    <row r="581" spans="1:3" x14ac:dyDescent="0.25">
      <c r="A581" s="9" t="s">
        <v>1030</v>
      </c>
      <c r="B581" s="9" t="s">
        <v>865</v>
      </c>
      <c r="C581" s="9" t="s">
        <v>1029</v>
      </c>
    </row>
    <row r="582" spans="1:3" x14ac:dyDescent="0.25">
      <c r="A582" s="9" t="s">
        <v>1032</v>
      </c>
      <c r="B582" s="9" t="s">
        <v>865</v>
      </c>
      <c r="C582" s="9" t="s">
        <v>1031</v>
      </c>
    </row>
    <row r="583" spans="1:3" x14ac:dyDescent="0.25">
      <c r="A583" s="9" t="s">
        <v>1034</v>
      </c>
      <c r="B583" s="9" t="s">
        <v>865</v>
      </c>
      <c r="C583" s="9" t="s">
        <v>1033</v>
      </c>
    </row>
    <row r="584" spans="1:3" x14ac:dyDescent="0.25">
      <c r="A584" s="9" t="s">
        <v>1036</v>
      </c>
      <c r="B584" s="9" t="s">
        <v>865</v>
      </c>
      <c r="C584" s="9" t="s">
        <v>1035</v>
      </c>
    </row>
    <row r="585" spans="1:3" x14ac:dyDescent="0.25">
      <c r="A585" s="9" t="s">
        <v>1038</v>
      </c>
      <c r="B585" s="9" t="s">
        <v>865</v>
      </c>
      <c r="C585" s="9" t="s">
        <v>1037</v>
      </c>
    </row>
    <row r="586" spans="1:3" x14ac:dyDescent="0.25">
      <c r="A586" s="9" t="s">
        <v>1040</v>
      </c>
      <c r="B586" s="9" t="s">
        <v>865</v>
      </c>
      <c r="C586" s="9" t="s">
        <v>1039</v>
      </c>
    </row>
    <row r="587" spans="1:3" x14ac:dyDescent="0.25">
      <c r="A587" s="9" t="s">
        <v>1042</v>
      </c>
      <c r="B587" s="9" t="s">
        <v>865</v>
      </c>
      <c r="C587" s="9" t="s">
        <v>1041</v>
      </c>
    </row>
    <row r="588" spans="1:3" x14ac:dyDescent="0.25">
      <c r="A588" s="9" t="s">
        <v>1044</v>
      </c>
      <c r="B588" s="9" t="s">
        <v>865</v>
      </c>
      <c r="C588" s="9" t="s">
        <v>1043</v>
      </c>
    </row>
    <row r="589" spans="1:3" x14ac:dyDescent="0.25">
      <c r="A589" s="9" t="s">
        <v>1046</v>
      </c>
      <c r="B589" s="9" t="s">
        <v>865</v>
      </c>
      <c r="C589" s="9" t="s">
        <v>1045</v>
      </c>
    </row>
    <row r="590" spans="1:3" x14ac:dyDescent="0.25">
      <c r="A590" s="9" t="s">
        <v>1048</v>
      </c>
      <c r="B590" s="9" t="s">
        <v>865</v>
      </c>
      <c r="C590" s="9" t="s">
        <v>1047</v>
      </c>
    </row>
    <row r="591" spans="1:3" x14ac:dyDescent="0.25">
      <c r="A591" s="9" t="s">
        <v>1050</v>
      </c>
      <c r="B591" s="9" t="s">
        <v>865</v>
      </c>
      <c r="C591" s="9" t="s">
        <v>1049</v>
      </c>
    </row>
    <row r="592" spans="1:3" x14ac:dyDescent="0.25">
      <c r="A592" s="9" t="s">
        <v>1052</v>
      </c>
      <c r="B592" s="9" t="s">
        <v>865</v>
      </c>
      <c r="C592" s="9" t="s">
        <v>1051</v>
      </c>
    </row>
    <row r="593" spans="1:3" x14ac:dyDescent="0.25">
      <c r="A593" s="9" t="s">
        <v>1054</v>
      </c>
      <c r="B593" s="9" t="s">
        <v>865</v>
      </c>
      <c r="C593" s="9" t="s">
        <v>1053</v>
      </c>
    </row>
    <row r="594" spans="1:3" x14ac:dyDescent="0.25">
      <c r="A594" s="9" t="s">
        <v>1056</v>
      </c>
      <c r="B594" s="9" t="s">
        <v>865</v>
      </c>
      <c r="C594" s="9" t="s">
        <v>1055</v>
      </c>
    </row>
    <row r="595" spans="1:3" x14ac:dyDescent="0.25">
      <c r="A595" s="9" t="s">
        <v>1058</v>
      </c>
      <c r="B595" s="9" t="s">
        <v>865</v>
      </c>
      <c r="C595" s="9" t="s">
        <v>1057</v>
      </c>
    </row>
    <row r="596" spans="1:3" x14ac:dyDescent="0.25">
      <c r="A596" s="9" t="s">
        <v>1060</v>
      </c>
      <c r="B596" s="9" t="s">
        <v>865</v>
      </c>
      <c r="C596" s="9" t="s">
        <v>1059</v>
      </c>
    </row>
    <row r="597" spans="1:3" x14ac:dyDescent="0.25">
      <c r="A597" s="9" t="s">
        <v>1062</v>
      </c>
      <c r="B597" s="9" t="s">
        <v>865</v>
      </c>
      <c r="C597" s="9" t="s">
        <v>1061</v>
      </c>
    </row>
    <row r="598" spans="1:3" x14ac:dyDescent="0.25">
      <c r="A598" s="9" t="s">
        <v>1064</v>
      </c>
      <c r="B598" s="9" t="s">
        <v>865</v>
      </c>
      <c r="C598" s="9" t="s">
        <v>1063</v>
      </c>
    </row>
    <row r="599" spans="1:3" x14ac:dyDescent="0.25">
      <c r="A599" s="9" t="s">
        <v>1066</v>
      </c>
      <c r="B599" s="9" t="s">
        <v>865</v>
      </c>
      <c r="C599" s="9" t="s">
        <v>1065</v>
      </c>
    </row>
    <row r="600" spans="1:3" x14ac:dyDescent="0.25">
      <c r="A600" s="9" t="s">
        <v>1068</v>
      </c>
      <c r="B600" s="9" t="s">
        <v>865</v>
      </c>
      <c r="C600" s="9" t="s">
        <v>1067</v>
      </c>
    </row>
    <row r="601" spans="1:3" x14ac:dyDescent="0.25">
      <c r="A601" s="9" t="s">
        <v>1070</v>
      </c>
      <c r="B601" s="9" t="s">
        <v>865</v>
      </c>
      <c r="C601" s="9" t="s">
        <v>1069</v>
      </c>
    </row>
    <row r="602" spans="1:3" x14ac:dyDescent="0.25">
      <c r="A602" s="9" t="s">
        <v>1072</v>
      </c>
      <c r="B602" s="9" t="s">
        <v>865</v>
      </c>
      <c r="C602" s="9" t="s">
        <v>1071</v>
      </c>
    </row>
    <row r="603" spans="1:3" x14ac:dyDescent="0.25">
      <c r="A603" s="9" t="s">
        <v>1074</v>
      </c>
      <c r="B603" s="9" t="s">
        <v>865</v>
      </c>
      <c r="C603" s="9" t="s">
        <v>1073</v>
      </c>
    </row>
    <row r="604" spans="1:3" x14ac:dyDescent="0.25">
      <c r="A604" s="9" t="s">
        <v>1076</v>
      </c>
      <c r="B604" s="9" t="s">
        <v>865</v>
      </c>
      <c r="C604" s="9" t="s">
        <v>1075</v>
      </c>
    </row>
    <row r="605" spans="1:3" x14ac:dyDescent="0.25">
      <c r="A605" s="9" t="s">
        <v>1078</v>
      </c>
      <c r="B605" s="9" t="s">
        <v>865</v>
      </c>
      <c r="C605" s="9" t="s">
        <v>1077</v>
      </c>
    </row>
    <row r="606" spans="1:3" x14ac:dyDescent="0.25">
      <c r="A606" s="9" t="s">
        <v>1080</v>
      </c>
      <c r="B606" s="9" t="s">
        <v>865</v>
      </c>
      <c r="C606" s="9" t="s">
        <v>1079</v>
      </c>
    </row>
    <row r="607" spans="1:3" x14ac:dyDescent="0.25">
      <c r="A607" s="9" t="s">
        <v>1082</v>
      </c>
      <c r="B607" s="9" t="s">
        <v>865</v>
      </c>
      <c r="C607" s="9" t="s">
        <v>1081</v>
      </c>
    </row>
    <row r="608" spans="1:3" x14ac:dyDescent="0.25">
      <c r="A608" s="9" t="s">
        <v>1084</v>
      </c>
      <c r="B608" s="9" t="s">
        <v>865</v>
      </c>
      <c r="C608" s="9" t="s">
        <v>1083</v>
      </c>
    </row>
    <row r="609" spans="1:3" x14ac:dyDescent="0.25">
      <c r="A609" s="9" t="s">
        <v>1086</v>
      </c>
      <c r="B609" s="9" t="s">
        <v>865</v>
      </c>
      <c r="C609" s="9" t="s">
        <v>1085</v>
      </c>
    </row>
    <row r="610" spans="1:3" x14ac:dyDescent="0.25">
      <c r="A610" s="9" t="s">
        <v>1088</v>
      </c>
      <c r="B610" s="9" t="s">
        <v>865</v>
      </c>
      <c r="C610" s="9" t="s">
        <v>1087</v>
      </c>
    </row>
    <row r="611" spans="1:3" x14ac:dyDescent="0.25">
      <c r="A611" s="9" t="s">
        <v>1090</v>
      </c>
      <c r="B611" s="9" t="s">
        <v>865</v>
      </c>
      <c r="C611" s="9" t="s">
        <v>1089</v>
      </c>
    </row>
    <row r="612" spans="1:3" x14ac:dyDescent="0.25">
      <c r="A612" s="9" t="s">
        <v>1092</v>
      </c>
      <c r="B612" s="9" t="s">
        <v>865</v>
      </c>
      <c r="C612" s="9" t="s">
        <v>1091</v>
      </c>
    </row>
    <row r="613" spans="1:3" x14ac:dyDescent="0.25">
      <c r="A613" s="9" t="s">
        <v>1094</v>
      </c>
      <c r="B613" s="9" t="s">
        <v>865</v>
      </c>
      <c r="C613" s="9" t="s">
        <v>1093</v>
      </c>
    </row>
    <row r="614" spans="1:3" x14ac:dyDescent="0.25">
      <c r="A614" s="9" t="s">
        <v>1096</v>
      </c>
      <c r="B614" s="9" t="s">
        <v>865</v>
      </c>
      <c r="C614" s="9" t="s">
        <v>1095</v>
      </c>
    </row>
    <row r="615" spans="1:3" x14ac:dyDescent="0.25">
      <c r="A615" s="9" t="s">
        <v>1098</v>
      </c>
      <c r="B615" s="9" t="s">
        <v>865</v>
      </c>
      <c r="C615" s="9" t="s">
        <v>1097</v>
      </c>
    </row>
    <row r="616" spans="1:3" x14ac:dyDescent="0.25">
      <c r="A616" s="9" t="s">
        <v>1100</v>
      </c>
      <c r="B616" s="9" t="s">
        <v>865</v>
      </c>
      <c r="C616" s="9" t="s">
        <v>1099</v>
      </c>
    </row>
    <row r="617" spans="1:3" x14ac:dyDescent="0.25">
      <c r="A617" s="9" t="s">
        <v>1102</v>
      </c>
      <c r="B617" s="9" t="s">
        <v>865</v>
      </c>
      <c r="C617" s="9" t="s">
        <v>1101</v>
      </c>
    </row>
    <row r="618" spans="1:3" x14ac:dyDescent="0.25">
      <c r="A618" s="9" t="s">
        <v>1104</v>
      </c>
      <c r="B618" s="9" t="s">
        <v>865</v>
      </c>
      <c r="C618" s="9" t="s">
        <v>1103</v>
      </c>
    </row>
    <row r="619" spans="1:3" x14ac:dyDescent="0.25">
      <c r="A619" s="9" t="s">
        <v>1106</v>
      </c>
      <c r="B619" s="9" t="s">
        <v>865</v>
      </c>
      <c r="C619" s="9" t="s">
        <v>1105</v>
      </c>
    </row>
    <row r="620" spans="1:3" x14ac:dyDescent="0.25">
      <c r="A620" s="9" t="s">
        <v>1108</v>
      </c>
      <c r="B620" s="9" t="s">
        <v>865</v>
      </c>
      <c r="C620" s="9" t="s">
        <v>1107</v>
      </c>
    </row>
    <row r="621" spans="1:3" x14ac:dyDescent="0.25">
      <c r="A621" s="9" t="s">
        <v>1110</v>
      </c>
      <c r="B621" s="9" t="s">
        <v>865</v>
      </c>
      <c r="C621" s="9" t="s">
        <v>1109</v>
      </c>
    </row>
    <row r="622" spans="1:3" x14ac:dyDescent="0.25">
      <c r="A622" s="9" t="s">
        <v>1112</v>
      </c>
      <c r="B622" s="9" t="s">
        <v>865</v>
      </c>
      <c r="C622" s="9" t="s">
        <v>1111</v>
      </c>
    </row>
    <row r="623" spans="1:3" x14ac:dyDescent="0.25">
      <c r="A623" s="9" t="s">
        <v>1114</v>
      </c>
      <c r="B623" s="9" t="s">
        <v>865</v>
      </c>
      <c r="C623" s="9" t="s">
        <v>1113</v>
      </c>
    </row>
    <row r="624" spans="1:3" x14ac:dyDescent="0.25">
      <c r="A624" s="9" t="s">
        <v>1116</v>
      </c>
      <c r="B624" s="9" t="s">
        <v>865</v>
      </c>
      <c r="C624" s="9" t="s">
        <v>1115</v>
      </c>
    </row>
    <row r="625" spans="1:3" x14ac:dyDescent="0.25">
      <c r="A625" s="9" t="s">
        <v>1118</v>
      </c>
      <c r="B625" s="9" t="s">
        <v>865</v>
      </c>
      <c r="C625" s="9" t="s">
        <v>1117</v>
      </c>
    </row>
    <row r="626" spans="1:3" x14ac:dyDescent="0.25">
      <c r="A626" s="9" t="s">
        <v>1120</v>
      </c>
      <c r="B626" s="9" t="s">
        <v>865</v>
      </c>
      <c r="C626" s="9" t="s">
        <v>1119</v>
      </c>
    </row>
    <row r="627" spans="1:3" x14ac:dyDescent="0.25">
      <c r="A627" s="9" t="s">
        <v>1122</v>
      </c>
      <c r="B627" s="9" t="s">
        <v>865</v>
      </c>
      <c r="C627" s="9" t="s">
        <v>1121</v>
      </c>
    </row>
    <row r="628" spans="1:3" x14ac:dyDescent="0.25">
      <c r="A628" s="9" t="s">
        <v>1124</v>
      </c>
      <c r="B628" s="9" t="s">
        <v>865</v>
      </c>
      <c r="C628" s="9" t="s">
        <v>1123</v>
      </c>
    </row>
    <row r="629" spans="1:3" x14ac:dyDescent="0.25">
      <c r="A629" s="9" t="s">
        <v>1126</v>
      </c>
      <c r="B629" s="9" t="s">
        <v>865</v>
      </c>
      <c r="C629" s="9" t="s">
        <v>1125</v>
      </c>
    </row>
    <row r="630" spans="1:3" x14ac:dyDescent="0.25">
      <c r="A630" s="9" t="s">
        <v>1128</v>
      </c>
      <c r="B630" s="9" t="s">
        <v>865</v>
      </c>
      <c r="C630" s="9" t="s">
        <v>1127</v>
      </c>
    </row>
    <row r="631" spans="1:3" x14ac:dyDescent="0.25">
      <c r="A631" s="9" t="s">
        <v>1130</v>
      </c>
      <c r="B631" s="9" t="s">
        <v>865</v>
      </c>
      <c r="C631" s="9" t="s">
        <v>1129</v>
      </c>
    </row>
    <row r="632" spans="1:3" x14ac:dyDescent="0.25">
      <c r="A632" s="9" t="s">
        <v>1132</v>
      </c>
      <c r="B632" s="9" t="s">
        <v>865</v>
      </c>
      <c r="C632" s="9" t="s">
        <v>1131</v>
      </c>
    </row>
    <row r="633" spans="1:3" x14ac:dyDescent="0.25">
      <c r="A633" s="9" t="s">
        <v>1134</v>
      </c>
      <c r="B633" s="9" t="s">
        <v>865</v>
      </c>
      <c r="C633" s="9" t="s">
        <v>1133</v>
      </c>
    </row>
    <row r="634" spans="1:3" x14ac:dyDescent="0.25">
      <c r="A634" s="9" t="s">
        <v>1136</v>
      </c>
      <c r="B634" s="9" t="s">
        <v>865</v>
      </c>
      <c r="C634" s="9" t="s">
        <v>1135</v>
      </c>
    </row>
    <row r="635" spans="1:3" x14ac:dyDescent="0.25">
      <c r="A635" s="9" t="s">
        <v>1138</v>
      </c>
      <c r="B635" s="9" t="s">
        <v>865</v>
      </c>
      <c r="C635" s="9" t="s">
        <v>1137</v>
      </c>
    </row>
    <row r="636" spans="1:3" x14ac:dyDescent="0.25">
      <c r="A636" s="9" t="s">
        <v>1140</v>
      </c>
      <c r="B636" s="9" t="s">
        <v>865</v>
      </c>
      <c r="C636" s="9" t="s">
        <v>1139</v>
      </c>
    </row>
    <row r="637" spans="1:3" x14ac:dyDescent="0.25">
      <c r="A637" s="9" t="s">
        <v>1142</v>
      </c>
      <c r="B637" s="9" t="s">
        <v>865</v>
      </c>
      <c r="C637" s="9" t="s">
        <v>1141</v>
      </c>
    </row>
    <row r="638" spans="1:3" x14ac:dyDescent="0.25">
      <c r="A638" s="9" t="s">
        <v>1144</v>
      </c>
      <c r="B638" s="9" t="s">
        <v>865</v>
      </c>
      <c r="C638" s="9" t="s">
        <v>1143</v>
      </c>
    </row>
    <row r="639" spans="1:3" x14ac:dyDescent="0.25">
      <c r="A639" s="9" t="s">
        <v>1146</v>
      </c>
      <c r="B639" s="9" t="s">
        <v>865</v>
      </c>
      <c r="C639" s="9" t="s">
        <v>1145</v>
      </c>
    </row>
    <row r="640" spans="1:3" x14ac:dyDescent="0.25">
      <c r="A640" s="9" t="s">
        <v>1148</v>
      </c>
      <c r="B640" s="9" t="s">
        <v>865</v>
      </c>
      <c r="C640" s="9" t="s">
        <v>1147</v>
      </c>
    </row>
    <row r="641" spans="1:3" x14ac:dyDescent="0.25">
      <c r="A641" s="9" t="s">
        <v>1150</v>
      </c>
      <c r="B641" s="9" t="s">
        <v>865</v>
      </c>
      <c r="C641" s="9" t="s">
        <v>1149</v>
      </c>
    </row>
    <row r="642" spans="1:3" x14ac:dyDescent="0.25">
      <c r="A642" s="9" t="s">
        <v>1152</v>
      </c>
      <c r="B642" s="9" t="s">
        <v>865</v>
      </c>
      <c r="C642" s="9" t="s">
        <v>1151</v>
      </c>
    </row>
    <row r="643" spans="1:3" x14ac:dyDescent="0.25">
      <c r="A643" s="9" t="s">
        <v>1154</v>
      </c>
      <c r="B643" s="9" t="s">
        <v>865</v>
      </c>
      <c r="C643" s="9" t="s">
        <v>1153</v>
      </c>
    </row>
    <row r="644" spans="1:3" x14ac:dyDescent="0.25">
      <c r="A644" s="9" t="s">
        <v>1156</v>
      </c>
      <c r="B644" s="9" t="s">
        <v>865</v>
      </c>
      <c r="C644" s="9" t="s">
        <v>1155</v>
      </c>
    </row>
    <row r="645" spans="1:3" x14ac:dyDescent="0.25">
      <c r="A645" s="9" t="s">
        <v>1158</v>
      </c>
      <c r="B645" s="9" t="s">
        <v>865</v>
      </c>
      <c r="C645" s="9" t="s">
        <v>1157</v>
      </c>
    </row>
    <row r="646" spans="1:3" x14ac:dyDescent="0.25">
      <c r="A646" s="9" t="s">
        <v>1160</v>
      </c>
      <c r="B646" s="9" t="s">
        <v>865</v>
      </c>
      <c r="C646" s="9" t="s">
        <v>1159</v>
      </c>
    </row>
    <row r="647" spans="1:3" x14ac:dyDescent="0.25">
      <c r="A647" s="9" t="s">
        <v>1162</v>
      </c>
      <c r="B647" s="9" t="s">
        <v>865</v>
      </c>
      <c r="C647" s="9" t="s">
        <v>1161</v>
      </c>
    </row>
    <row r="648" spans="1:3" x14ac:dyDescent="0.25">
      <c r="A648" s="9" t="s">
        <v>1164</v>
      </c>
      <c r="B648" s="9" t="s">
        <v>865</v>
      </c>
      <c r="C648" s="9" t="s">
        <v>1163</v>
      </c>
    </row>
    <row r="649" spans="1:3" x14ac:dyDescent="0.25">
      <c r="A649" s="9" t="s">
        <v>1166</v>
      </c>
      <c r="B649" s="9" t="s">
        <v>865</v>
      </c>
      <c r="C649" s="9" t="s">
        <v>1165</v>
      </c>
    </row>
    <row r="650" spans="1:3" x14ac:dyDescent="0.25">
      <c r="A650" s="9" t="s">
        <v>1168</v>
      </c>
      <c r="B650" s="9" t="s">
        <v>865</v>
      </c>
      <c r="C650" s="9" t="s">
        <v>1167</v>
      </c>
    </row>
    <row r="651" spans="1:3" x14ac:dyDescent="0.25">
      <c r="A651" s="9" t="s">
        <v>1170</v>
      </c>
      <c r="B651" s="9" t="s">
        <v>865</v>
      </c>
      <c r="C651" s="9" t="s">
        <v>1169</v>
      </c>
    </row>
    <row r="652" spans="1:3" x14ac:dyDescent="0.25">
      <c r="A652" s="9" t="s">
        <v>1172</v>
      </c>
      <c r="B652" s="9" t="s">
        <v>865</v>
      </c>
      <c r="C652" s="9" t="s">
        <v>1171</v>
      </c>
    </row>
    <row r="653" spans="1:3" x14ac:dyDescent="0.25">
      <c r="A653" s="9" t="s">
        <v>1174</v>
      </c>
      <c r="B653" s="9" t="s">
        <v>865</v>
      </c>
      <c r="C653" s="9" t="s">
        <v>1173</v>
      </c>
    </row>
    <row r="654" spans="1:3" x14ac:dyDescent="0.25">
      <c r="A654" s="9" t="s">
        <v>1176</v>
      </c>
      <c r="B654" s="9" t="s">
        <v>865</v>
      </c>
      <c r="C654" s="9" t="s">
        <v>1175</v>
      </c>
    </row>
    <row r="655" spans="1:3" x14ac:dyDescent="0.25">
      <c r="A655" s="9" t="s">
        <v>1178</v>
      </c>
      <c r="B655" s="9" t="s">
        <v>865</v>
      </c>
      <c r="C655" s="9" t="s">
        <v>1177</v>
      </c>
    </row>
    <row r="656" spans="1:3" x14ac:dyDescent="0.25">
      <c r="A656" s="9" t="s">
        <v>1180</v>
      </c>
      <c r="B656" s="9" t="s">
        <v>865</v>
      </c>
      <c r="C656" s="9" t="s">
        <v>1179</v>
      </c>
    </row>
    <row r="657" spans="1:3" x14ac:dyDescent="0.25">
      <c r="A657" s="9" t="s">
        <v>1182</v>
      </c>
      <c r="B657" s="9" t="s">
        <v>865</v>
      </c>
      <c r="C657" s="9" t="s">
        <v>1181</v>
      </c>
    </row>
    <row r="658" spans="1:3" x14ac:dyDescent="0.25">
      <c r="A658" s="9" t="s">
        <v>1184</v>
      </c>
      <c r="B658" s="9" t="s">
        <v>865</v>
      </c>
      <c r="C658" s="9" t="s">
        <v>1183</v>
      </c>
    </row>
    <row r="659" spans="1:3" x14ac:dyDescent="0.25">
      <c r="A659" s="9" t="s">
        <v>1186</v>
      </c>
      <c r="B659" s="9" t="s">
        <v>865</v>
      </c>
      <c r="C659" s="9" t="s">
        <v>1185</v>
      </c>
    </row>
    <row r="660" spans="1:3" x14ac:dyDescent="0.25">
      <c r="A660" s="9" t="s">
        <v>1188</v>
      </c>
      <c r="B660" s="9" t="s">
        <v>865</v>
      </c>
      <c r="C660" s="9" t="s">
        <v>1187</v>
      </c>
    </row>
    <row r="661" spans="1:3" x14ac:dyDescent="0.25">
      <c r="A661" s="9" t="s">
        <v>1190</v>
      </c>
      <c r="B661" s="9" t="s">
        <v>865</v>
      </c>
      <c r="C661" s="9" t="s">
        <v>1189</v>
      </c>
    </row>
    <row r="662" spans="1:3" x14ac:dyDescent="0.25">
      <c r="A662" s="9" t="s">
        <v>1192</v>
      </c>
      <c r="B662" s="9" t="s">
        <v>865</v>
      </c>
      <c r="C662" s="9" t="s">
        <v>1191</v>
      </c>
    </row>
    <row r="663" spans="1:3" x14ac:dyDescent="0.25">
      <c r="A663" s="9" t="s">
        <v>1194</v>
      </c>
      <c r="B663" s="9" t="s">
        <v>865</v>
      </c>
      <c r="C663" s="9" t="s">
        <v>1193</v>
      </c>
    </row>
    <row r="664" spans="1:3" x14ac:dyDescent="0.25">
      <c r="A664" s="9" t="s">
        <v>1196</v>
      </c>
      <c r="B664" s="9" t="s">
        <v>865</v>
      </c>
      <c r="C664" s="9" t="s">
        <v>1195</v>
      </c>
    </row>
    <row r="665" spans="1:3" x14ac:dyDescent="0.25">
      <c r="A665" s="9" t="s">
        <v>1198</v>
      </c>
      <c r="B665" s="9" t="s">
        <v>865</v>
      </c>
      <c r="C665" s="9" t="s">
        <v>1197</v>
      </c>
    </row>
    <row r="666" spans="1:3" x14ac:dyDescent="0.25">
      <c r="A666" s="9" t="s">
        <v>1200</v>
      </c>
      <c r="B666" s="9" t="s">
        <v>865</v>
      </c>
      <c r="C666" s="9" t="s">
        <v>1199</v>
      </c>
    </row>
    <row r="667" spans="1:3" x14ac:dyDescent="0.25">
      <c r="A667" s="9" t="s">
        <v>1202</v>
      </c>
      <c r="B667" s="9" t="s">
        <v>865</v>
      </c>
      <c r="C667" s="9" t="s">
        <v>1201</v>
      </c>
    </row>
    <row r="668" spans="1:3" x14ac:dyDescent="0.25">
      <c r="A668" s="9" t="s">
        <v>1204</v>
      </c>
      <c r="B668" s="9" t="s">
        <v>865</v>
      </c>
      <c r="C668" s="9" t="s">
        <v>1203</v>
      </c>
    </row>
    <row r="669" spans="1:3" x14ac:dyDescent="0.25">
      <c r="A669" s="9" t="s">
        <v>1206</v>
      </c>
      <c r="B669" s="9" t="s">
        <v>865</v>
      </c>
      <c r="C669" s="9" t="s">
        <v>1205</v>
      </c>
    </row>
    <row r="670" spans="1:3" x14ac:dyDescent="0.25">
      <c r="A670" s="9" t="s">
        <v>1208</v>
      </c>
      <c r="B670" s="9" t="s">
        <v>865</v>
      </c>
      <c r="C670" s="9" t="s">
        <v>1207</v>
      </c>
    </row>
    <row r="671" spans="1:3" x14ac:dyDescent="0.25">
      <c r="A671" s="9" t="s">
        <v>1210</v>
      </c>
      <c r="B671" s="9" t="s">
        <v>865</v>
      </c>
      <c r="C671" s="9" t="s">
        <v>1209</v>
      </c>
    </row>
    <row r="672" spans="1:3" x14ac:dyDescent="0.25">
      <c r="A672" s="9" t="s">
        <v>1212</v>
      </c>
      <c r="B672" s="9" t="s">
        <v>865</v>
      </c>
      <c r="C672" s="9" t="s">
        <v>1211</v>
      </c>
    </row>
    <row r="673" spans="1:3" x14ac:dyDescent="0.25">
      <c r="A673" s="9" t="s">
        <v>1214</v>
      </c>
      <c r="B673" s="9" t="s">
        <v>865</v>
      </c>
      <c r="C673" s="9" t="s">
        <v>1213</v>
      </c>
    </row>
    <row r="674" spans="1:3" x14ac:dyDescent="0.25">
      <c r="A674" s="9" t="s">
        <v>1216</v>
      </c>
      <c r="B674" s="9" t="s">
        <v>865</v>
      </c>
      <c r="C674" s="9" t="s">
        <v>1215</v>
      </c>
    </row>
    <row r="675" spans="1:3" x14ac:dyDescent="0.25">
      <c r="A675" s="9" t="s">
        <v>1218</v>
      </c>
      <c r="B675" s="9" t="s">
        <v>865</v>
      </c>
      <c r="C675" s="9" t="s">
        <v>1217</v>
      </c>
    </row>
    <row r="676" spans="1:3" x14ac:dyDescent="0.25">
      <c r="A676" s="9" t="s">
        <v>1220</v>
      </c>
      <c r="B676" s="9" t="s">
        <v>865</v>
      </c>
      <c r="C676" s="9" t="s">
        <v>1219</v>
      </c>
    </row>
    <row r="677" spans="1:3" x14ac:dyDescent="0.25">
      <c r="A677" s="9" t="s">
        <v>1222</v>
      </c>
      <c r="B677" s="9" t="s">
        <v>865</v>
      </c>
      <c r="C677" s="9" t="s">
        <v>1221</v>
      </c>
    </row>
    <row r="678" spans="1:3" x14ac:dyDescent="0.25">
      <c r="A678" s="9" t="s">
        <v>1224</v>
      </c>
      <c r="B678" s="9" t="s">
        <v>865</v>
      </c>
      <c r="C678" s="9" t="s">
        <v>1223</v>
      </c>
    </row>
    <row r="679" spans="1:3" x14ac:dyDescent="0.25">
      <c r="A679" s="9" t="s">
        <v>1226</v>
      </c>
      <c r="B679" s="9" t="s">
        <v>865</v>
      </c>
      <c r="C679" s="9" t="s">
        <v>1225</v>
      </c>
    </row>
    <row r="680" spans="1:3" x14ac:dyDescent="0.25">
      <c r="A680" s="9" t="s">
        <v>1228</v>
      </c>
      <c r="B680" s="9" t="s">
        <v>865</v>
      </c>
      <c r="C680" s="9" t="s">
        <v>1227</v>
      </c>
    </row>
    <row r="681" spans="1:3" x14ac:dyDescent="0.25">
      <c r="A681" s="9" t="s">
        <v>1230</v>
      </c>
      <c r="B681" s="9" t="s">
        <v>865</v>
      </c>
      <c r="C681" s="9" t="s">
        <v>1229</v>
      </c>
    </row>
    <row r="682" spans="1:3" x14ac:dyDescent="0.25">
      <c r="A682" s="9" t="s">
        <v>1232</v>
      </c>
      <c r="B682" s="9" t="s">
        <v>865</v>
      </c>
      <c r="C682" s="9" t="s">
        <v>1231</v>
      </c>
    </row>
    <row r="683" spans="1:3" x14ac:dyDescent="0.25">
      <c r="A683" s="9" t="s">
        <v>1234</v>
      </c>
      <c r="B683" s="9" t="s">
        <v>865</v>
      </c>
      <c r="C683" s="9" t="s">
        <v>1233</v>
      </c>
    </row>
    <row r="684" spans="1:3" x14ac:dyDescent="0.25">
      <c r="A684" s="9" t="s">
        <v>1236</v>
      </c>
      <c r="B684" s="9" t="s">
        <v>865</v>
      </c>
      <c r="C684" s="9" t="s">
        <v>1235</v>
      </c>
    </row>
    <row r="685" spans="1:3" x14ac:dyDescent="0.25">
      <c r="A685" s="9" t="s">
        <v>1238</v>
      </c>
      <c r="B685" s="9" t="s">
        <v>865</v>
      </c>
      <c r="C685" s="9" t="s">
        <v>1237</v>
      </c>
    </row>
    <row r="686" spans="1:3" x14ac:dyDescent="0.25">
      <c r="A686" s="9" t="s">
        <v>1524</v>
      </c>
      <c r="B686" s="9" t="s">
        <v>865</v>
      </c>
      <c r="C686" s="9" t="s">
        <v>1239</v>
      </c>
    </row>
    <row r="687" spans="1:3" x14ac:dyDescent="0.25">
      <c r="A687" s="9" t="s">
        <v>1241</v>
      </c>
      <c r="B687" s="9" t="s">
        <v>865</v>
      </c>
      <c r="C687" s="9" t="s">
        <v>1240</v>
      </c>
    </row>
    <row r="688" spans="1:3" x14ac:dyDescent="0.25">
      <c r="A688" s="9" t="s">
        <v>1243</v>
      </c>
      <c r="B688" s="9" t="s">
        <v>865</v>
      </c>
      <c r="C688" s="9" t="s">
        <v>1242</v>
      </c>
    </row>
    <row r="689" spans="1:3" x14ac:dyDescent="0.25">
      <c r="A689" s="9" t="s">
        <v>1245</v>
      </c>
      <c r="B689" s="9" t="s">
        <v>865</v>
      </c>
      <c r="C689" s="9" t="s">
        <v>1244</v>
      </c>
    </row>
    <row r="690" spans="1:3" x14ac:dyDescent="0.25">
      <c r="A690" s="9" t="s">
        <v>1247</v>
      </c>
      <c r="B690" s="9" t="s">
        <v>865</v>
      </c>
      <c r="C690" s="9" t="s">
        <v>1246</v>
      </c>
    </row>
    <row r="691" spans="1:3" x14ac:dyDescent="0.25">
      <c r="A691" s="9" t="s">
        <v>1249</v>
      </c>
      <c r="B691" s="9" t="s">
        <v>865</v>
      </c>
      <c r="C691" s="9" t="s">
        <v>1248</v>
      </c>
    </row>
    <row r="692" spans="1:3" x14ac:dyDescent="0.25">
      <c r="A692" s="9" t="s">
        <v>1251</v>
      </c>
      <c r="B692" s="9" t="s">
        <v>865</v>
      </c>
      <c r="C692" s="9" t="s">
        <v>1250</v>
      </c>
    </row>
    <row r="693" spans="1:3" x14ac:dyDescent="0.25">
      <c r="A693" s="9" t="s">
        <v>1253</v>
      </c>
      <c r="B693" s="9" t="s">
        <v>865</v>
      </c>
      <c r="C693" s="9" t="s">
        <v>1252</v>
      </c>
    </row>
    <row r="694" spans="1:3" x14ac:dyDescent="0.25">
      <c r="A694" s="9" t="s">
        <v>1255</v>
      </c>
      <c r="B694" s="9" t="s">
        <v>865</v>
      </c>
      <c r="C694" s="9" t="s">
        <v>1254</v>
      </c>
    </row>
    <row r="695" spans="1:3" x14ac:dyDescent="0.25">
      <c r="A695" s="9" t="s">
        <v>1257</v>
      </c>
      <c r="B695" s="9" t="s">
        <v>865</v>
      </c>
      <c r="C695" s="9" t="s">
        <v>1256</v>
      </c>
    </row>
    <row r="696" spans="1:3" x14ac:dyDescent="0.25">
      <c r="A696" s="9" t="s">
        <v>1259</v>
      </c>
      <c r="B696" s="9" t="s">
        <v>865</v>
      </c>
      <c r="C696" s="9" t="s">
        <v>1258</v>
      </c>
    </row>
    <row r="697" spans="1:3" x14ac:dyDescent="0.25">
      <c r="A697" s="9" t="s">
        <v>1261</v>
      </c>
      <c r="B697" s="9" t="s">
        <v>865</v>
      </c>
      <c r="C697" s="9" t="s">
        <v>1260</v>
      </c>
    </row>
    <row r="698" spans="1:3" x14ac:dyDescent="0.25">
      <c r="A698" s="9" t="s">
        <v>1263</v>
      </c>
      <c r="B698" s="9" t="s">
        <v>865</v>
      </c>
      <c r="C698" s="9" t="s">
        <v>1262</v>
      </c>
    </row>
    <row r="699" spans="1:3" x14ac:dyDescent="0.25">
      <c r="A699" s="9" t="s">
        <v>1265</v>
      </c>
      <c r="B699" s="9" t="s">
        <v>865</v>
      </c>
      <c r="C699" s="9" t="s">
        <v>1264</v>
      </c>
    </row>
    <row r="700" spans="1:3" x14ac:dyDescent="0.25">
      <c r="A700" s="9" t="s">
        <v>1267</v>
      </c>
      <c r="B700" s="9" t="s">
        <v>865</v>
      </c>
      <c r="C700" s="9" t="s">
        <v>1266</v>
      </c>
    </row>
    <row r="701" spans="1:3" x14ac:dyDescent="0.25">
      <c r="A701" s="9" t="s">
        <v>1269</v>
      </c>
      <c r="B701" s="9" t="s">
        <v>865</v>
      </c>
      <c r="C701" s="9" t="s">
        <v>1268</v>
      </c>
    </row>
    <row r="702" spans="1:3" x14ac:dyDescent="0.25">
      <c r="A702" s="9" t="s">
        <v>1271</v>
      </c>
      <c r="B702" s="9" t="s">
        <v>865</v>
      </c>
      <c r="C702" s="9" t="s">
        <v>1270</v>
      </c>
    </row>
    <row r="703" spans="1:3" x14ac:dyDescent="0.25">
      <c r="A703" s="9" t="s">
        <v>1273</v>
      </c>
      <c r="B703" s="9" t="s">
        <v>865</v>
      </c>
      <c r="C703" s="9" t="s">
        <v>1272</v>
      </c>
    </row>
    <row r="704" spans="1:3" x14ac:dyDescent="0.25">
      <c r="A704" s="9" t="s">
        <v>1275</v>
      </c>
      <c r="B704" s="9" t="s">
        <v>865</v>
      </c>
      <c r="C704" s="9" t="s">
        <v>1274</v>
      </c>
    </row>
    <row r="705" spans="1:3" x14ac:dyDescent="0.25">
      <c r="A705" s="9" t="s">
        <v>1277</v>
      </c>
      <c r="B705" s="9" t="s">
        <v>865</v>
      </c>
      <c r="C705" s="9" t="s">
        <v>1276</v>
      </c>
    </row>
    <row r="706" spans="1:3" x14ac:dyDescent="0.25">
      <c r="A706" s="9" t="s">
        <v>1279</v>
      </c>
      <c r="B706" s="9" t="s">
        <v>865</v>
      </c>
      <c r="C706" s="9" t="s">
        <v>1278</v>
      </c>
    </row>
    <row r="707" spans="1:3" x14ac:dyDescent="0.25">
      <c r="A707" s="9" t="s">
        <v>1281</v>
      </c>
      <c r="B707" s="9" t="s">
        <v>1280</v>
      </c>
      <c r="C707" s="9" t="s">
        <v>1280</v>
      </c>
    </row>
    <row r="708" spans="1:3" x14ac:dyDescent="0.25">
      <c r="A708" s="9" t="s">
        <v>1283</v>
      </c>
      <c r="B708" s="9" t="s">
        <v>1282</v>
      </c>
      <c r="C708" s="9" t="s">
        <v>1282</v>
      </c>
    </row>
    <row r="709" spans="1:3" x14ac:dyDescent="0.25">
      <c r="A709" s="9" t="s">
        <v>1286</v>
      </c>
      <c r="B709" s="9" t="s">
        <v>1285</v>
      </c>
      <c r="C709" s="9" t="s">
        <v>1284</v>
      </c>
    </row>
    <row r="710" spans="1:3" x14ac:dyDescent="0.25">
      <c r="A710" s="9" t="s">
        <v>1288</v>
      </c>
      <c r="B710" s="9" t="s">
        <v>1285</v>
      </c>
      <c r="C710" s="9" t="s">
        <v>1287</v>
      </c>
    </row>
    <row r="711" spans="1:3" x14ac:dyDescent="0.25">
      <c r="A711" s="9" t="s">
        <v>1290</v>
      </c>
      <c r="B711" s="9" t="s">
        <v>1285</v>
      </c>
      <c r="C711" s="9" t="s">
        <v>1289</v>
      </c>
    </row>
    <row r="712" spans="1:3" x14ac:dyDescent="0.25">
      <c r="A712" s="9" t="s">
        <v>1292</v>
      </c>
      <c r="B712" s="9" t="s">
        <v>1285</v>
      </c>
      <c r="C712" s="9" t="s">
        <v>1291</v>
      </c>
    </row>
    <row r="713" spans="1:3" x14ac:dyDescent="0.25">
      <c r="A713" s="11" t="s">
        <v>1296</v>
      </c>
      <c r="B713" s="9" t="s">
        <v>1285</v>
      </c>
      <c r="C713" s="9" t="s">
        <v>1295</v>
      </c>
    </row>
    <row r="714" spans="1:3" x14ac:dyDescent="0.25">
      <c r="A714" s="9" t="s">
        <v>1294</v>
      </c>
      <c r="B714" s="9" t="s">
        <v>1285</v>
      </c>
      <c r="C714" s="9" t="s">
        <v>1293</v>
      </c>
    </row>
    <row r="715" spans="1:3" x14ac:dyDescent="0.25">
      <c r="A715" s="9" t="s">
        <v>1298</v>
      </c>
      <c r="B715" s="9" t="s">
        <v>1285</v>
      </c>
      <c r="C715" s="9" t="s">
        <v>1297</v>
      </c>
    </row>
    <row r="716" spans="1:3" x14ac:dyDescent="0.25">
      <c r="A716" s="9" t="s">
        <v>1300</v>
      </c>
      <c r="B716" s="9" t="s">
        <v>1285</v>
      </c>
      <c r="C716" s="9" t="s">
        <v>1299</v>
      </c>
    </row>
    <row r="717" spans="1:3" x14ac:dyDescent="0.25">
      <c r="A717" s="5" t="s">
        <v>1302</v>
      </c>
      <c r="B717" s="9" t="s">
        <v>1285</v>
      </c>
      <c r="C717" s="9" t="s">
        <v>1301</v>
      </c>
    </row>
    <row r="718" spans="1:3" ht="15" x14ac:dyDescent="0.25">
      <c r="A718" s="18" t="s">
        <v>1578</v>
      </c>
      <c r="B718" t="s">
        <v>1583</v>
      </c>
      <c r="C718" t="s">
        <v>1582</v>
      </c>
    </row>
    <row r="719" spans="1:3" ht="15" x14ac:dyDescent="0.25">
      <c r="A719" s="18" t="s">
        <v>1579</v>
      </c>
      <c r="B719" t="s">
        <v>1585</v>
      </c>
      <c r="C719" t="s">
        <v>1584</v>
      </c>
    </row>
    <row r="720" spans="1:3" ht="15" x14ac:dyDescent="0.25">
      <c r="A720" s="18" t="s">
        <v>1580</v>
      </c>
      <c r="B720" t="s">
        <v>263</v>
      </c>
      <c r="C720" t="s">
        <v>1586</v>
      </c>
    </row>
    <row r="721" spans="1:3" ht="15" x14ac:dyDescent="0.25">
      <c r="A721" s="18" t="s">
        <v>1581</v>
      </c>
      <c r="B721" t="s">
        <v>138</v>
      </c>
      <c r="C721" t="s">
        <v>1587</v>
      </c>
    </row>
    <row r="722" spans="1:3" x14ac:dyDescent="0.25">
      <c r="A722" s="9">
        <v>0</v>
      </c>
      <c r="B722" s="9" t="s">
        <v>1285</v>
      </c>
      <c r="C722" s="9" t="s">
        <v>1303</v>
      </c>
    </row>
    <row r="723" spans="1:3" x14ac:dyDescent="0.25">
      <c r="A723" s="9" t="s">
        <v>1305</v>
      </c>
      <c r="B723" s="9" t="s">
        <v>1285</v>
      </c>
      <c r="C723" s="9" t="s">
        <v>1304</v>
      </c>
    </row>
    <row r="724" spans="1:3" x14ac:dyDescent="0.25">
      <c r="A724" s="9" t="s">
        <v>1307</v>
      </c>
      <c r="B724" s="9" t="s">
        <v>1285</v>
      </c>
      <c r="C724" s="9" t="s">
        <v>1306</v>
      </c>
    </row>
    <row r="725" spans="1:3" x14ac:dyDescent="0.25">
      <c r="A725" s="9">
        <v>0</v>
      </c>
      <c r="B725" s="9" t="s">
        <v>1285</v>
      </c>
      <c r="C725" s="9" t="s">
        <v>1308</v>
      </c>
    </row>
    <row r="726" spans="1:3" x14ac:dyDescent="0.25">
      <c r="A726" s="9" t="s">
        <v>1310</v>
      </c>
      <c r="B726" s="9" t="s">
        <v>1285</v>
      </c>
      <c r="C726" s="9" t="s">
        <v>1309</v>
      </c>
    </row>
    <row r="727" spans="1:3" x14ac:dyDescent="0.25">
      <c r="A727" s="9" t="s">
        <v>1312</v>
      </c>
      <c r="B727" s="9" t="s">
        <v>1285</v>
      </c>
      <c r="C727" s="9" t="s">
        <v>1311</v>
      </c>
    </row>
    <row r="728" spans="1:3" x14ac:dyDescent="0.25">
      <c r="A728" s="9" t="s">
        <v>1314</v>
      </c>
      <c r="B728" s="9" t="s">
        <v>1285</v>
      </c>
      <c r="C728" s="9" t="s">
        <v>1313</v>
      </c>
    </row>
    <row r="729" spans="1:3" x14ac:dyDescent="0.25">
      <c r="A729" s="9" t="s">
        <v>1316</v>
      </c>
      <c r="B729" s="9" t="s">
        <v>1285</v>
      </c>
      <c r="C729" s="9" t="s">
        <v>1315</v>
      </c>
    </row>
    <row r="730" spans="1:3" x14ac:dyDescent="0.25">
      <c r="A730" s="9" t="s">
        <v>1318</v>
      </c>
      <c r="B730" s="9" t="s">
        <v>1285</v>
      </c>
      <c r="C730" s="9" t="s">
        <v>1317</v>
      </c>
    </row>
    <row r="731" spans="1:3" x14ac:dyDescent="0.25">
      <c r="A731" s="9" t="s">
        <v>1320</v>
      </c>
      <c r="B731" s="9" t="s">
        <v>1285</v>
      </c>
      <c r="C731" s="9" t="s">
        <v>1319</v>
      </c>
    </row>
    <row r="732" spans="1:3" x14ac:dyDescent="0.25">
      <c r="A732" s="9" t="s">
        <v>1322</v>
      </c>
      <c r="B732" s="9" t="s">
        <v>1285</v>
      </c>
      <c r="C732" s="9" t="s">
        <v>1321</v>
      </c>
    </row>
    <row r="733" spans="1:3" x14ac:dyDescent="0.25">
      <c r="A733" s="9">
        <v>0</v>
      </c>
      <c r="B733" s="9" t="s">
        <v>1285</v>
      </c>
      <c r="C733" s="9" t="s">
        <v>1323</v>
      </c>
    </row>
    <row r="734" spans="1:3" x14ac:dyDescent="0.25">
      <c r="A734" s="9" t="s">
        <v>1325</v>
      </c>
      <c r="B734" s="9" t="s">
        <v>1285</v>
      </c>
      <c r="C734" s="9" t="s">
        <v>1324</v>
      </c>
    </row>
    <row r="735" spans="1:3" x14ac:dyDescent="0.25">
      <c r="A735" s="9" t="s">
        <v>1327</v>
      </c>
      <c r="B735" s="9" t="s">
        <v>1285</v>
      </c>
      <c r="C735" s="9" t="s">
        <v>1326</v>
      </c>
    </row>
    <row r="736" spans="1:3" x14ac:dyDescent="0.25">
      <c r="A736" s="9" t="s">
        <v>1329</v>
      </c>
      <c r="B736" s="9" t="s">
        <v>1285</v>
      </c>
      <c r="C736" s="9" t="s">
        <v>1328</v>
      </c>
    </row>
    <row r="737" spans="1:3" x14ac:dyDescent="0.25">
      <c r="A737" s="9">
        <v>0</v>
      </c>
      <c r="B737" s="9" t="s">
        <v>1285</v>
      </c>
      <c r="C737" s="9" t="s">
        <v>1330</v>
      </c>
    </row>
    <row r="738" spans="1:3" x14ac:dyDescent="0.25">
      <c r="A738" s="9" t="s">
        <v>1332</v>
      </c>
      <c r="B738" s="9" t="s">
        <v>1285</v>
      </c>
      <c r="C738" s="9" t="s">
        <v>1331</v>
      </c>
    </row>
    <row r="739" spans="1:3" x14ac:dyDescent="0.25">
      <c r="A739" s="9">
        <v>0</v>
      </c>
      <c r="B739" s="9" t="s">
        <v>1285</v>
      </c>
      <c r="C739" s="9" t="s">
        <v>1333</v>
      </c>
    </row>
    <row r="740" spans="1:3" x14ac:dyDescent="0.25">
      <c r="A740" s="9" t="s">
        <v>1335</v>
      </c>
      <c r="B740" s="9" t="s">
        <v>1285</v>
      </c>
      <c r="C740" s="9" t="s">
        <v>1334</v>
      </c>
    </row>
    <row r="741" spans="1:3" x14ac:dyDescent="0.25">
      <c r="A741" s="9" t="s">
        <v>1337</v>
      </c>
      <c r="B741" s="9" t="s">
        <v>1285</v>
      </c>
      <c r="C741" s="9" t="s">
        <v>1336</v>
      </c>
    </row>
    <row r="742" spans="1:3" x14ac:dyDescent="0.25">
      <c r="A742" s="9" t="s">
        <v>1339</v>
      </c>
      <c r="B742" s="9" t="s">
        <v>1285</v>
      </c>
      <c r="C742" s="9" t="s">
        <v>1338</v>
      </c>
    </row>
    <row r="743" spans="1:3" x14ac:dyDescent="0.25">
      <c r="A743" s="9" t="s">
        <v>1341</v>
      </c>
      <c r="B743" s="9" t="s">
        <v>1285</v>
      </c>
      <c r="C743" s="9" t="s">
        <v>1340</v>
      </c>
    </row>
    <row r="744" spans="1:3" x14ac:dyDescent="0.25">
      <c r="A744" s="9">
        <v>0</v>
      </c>
      <c r="B744" s="9" t="s">
        <v>1285</v>
      </c>
      <c r="C744" s="9" t="s">
        <v>1342</v>
      </c>
    </row>
    <row r="745" spans="1:3" x14ac:dyDescent="0.25">
      <c r="A745" s="9" t="s">
        <v>1344</v>
      </c>
      <c r="B745" s="9" t="s">
        <v>1285</v>
      </c>
      <c r="C745" s="9" t="s">
        <v>1343</v>
      </c>
    </row>
    <row r="746" spans="1:3" x14ac:dyDescent="0.25">
      <c r="A746" s="9" t="s">
        <v>1346</v>
      </c>
      <c r="B746" s="9" t="s">
        <v>1285</v>
      </c>
      <c r="C746" s="9" t="s">
        <v>1345</v>
      </c>
    </row>
    <row r="747" spans="1:3" x14ac:dyDescent="0.25">
      <c r="A747" s="9" t="s">
        <v>1348</v>
      </c>
      <c r="B747" s="9" t="s">
        <v>1285</v>
      </c>
      <c r="C747" s="9" t="s">
        <v>1347</v>
      </c>
    </row>
    <row r="748" spans="1:3" x14ac:dyDescent="0.25">
      <c r="A748" s="9" t="s">
        <v>1350</v>
      </c>
      <c r="B748" s="9" t="s">
        <v>1285</v>
      </c>
      <c r="C748" s="9" t="s">
        <v>1349</v>
      </c>
    </row>
    <row r="749" spans="1:3" x14ac:dyDescent="0.25">
      <c r="A749" s="9" t="s">
        <v>1352</v>
      </c>
      <c r="B749" s="9" t="s">
        <v>1285</v>
      </c>
      <c r="C749" s="9" t="s">
        <v>1351</v>
      </c>
    </row>
    <row r="750" spans="1:3" x14ac:dyDescent="0.25">
      <c r="A750" s="9">
        <v>0</v>
      </c>
      <c r="B750" s="9" t="s">
        <v>1285</v>
      </c>
      <c r="C750" s="9" t="s">
        <v>1353</v>
      </c>
    </row>
    <row r="751" spans="1:3" x14ac:dyDescent="0.25">
      <c r="A751" s="9" t="s">
        <v>1355</v>
      </c>
      <c r="B751" s="9" t="s">
        <v>1285</v>
      </c>
      <c r="C751" s="9" t="s">
        <v>1354</v>
      </c>
    </row>
    <row r="752" spans="1:3" x14ac:dyDescent="0.25">
      <c r="A752" s="9" t="s">
        <v>1357</v>
      </c>
      <c r="B752" s="9" t="s">
        <v>1285</v>
      </c>
      <c r="C752" s="9" t="s">
        <v>1356</v>
      </c>
    </row>
    <row r="753" spans="1:3" x14ac:dyDescent="0.25">
      <c r="A753" s="9" t="s">
        <v>1359</v>
      </c>
      <c r="B753" s="9" t="s">
        <v>1285</v>
      </c>
      <c r="C753" s="9" t="s">
        <v>1358</v>
      </c>
    </row>
    <row r="754" spans="1:3" x14ac:dyDescent="0.25">
      <c r="A754" s="9" t="s">
        <v>1361</v>
      </c>
      <c r="B754" s="9" t="s">
        <v>1285</v>
      </c>
      <c r="C754" s="9" t="s">
        <v>1360</v>
      </c>
    </row>
    <row r="755" spans="1:3" x14ac:dyDescent="0.25">
      <c r="A755" s="9" t="s">
        <v>1363</v>
      </c>
      <c r="B755" s="9" t="s">
        <v>1285</v>
      </c>
      <c r="C755" s="9" t="s">
        <v>1362</v>
      </c>
    </row>
    <row r="756" spans="1:3" x14ac:dyDescent="0.25">
      <c r="A756" s="9">
        <v>0</v>
      </c>
      <c r="B756" s="9" t="s">
        <v>1285</v>
      </c>
      <c r="C756" s="9" t="s">
        <v>1364</v>
      </c>
    </row>
    <row r="757" spans="1:3" x14ac:dyDescent="0.25">
      <c r="A757" s="9" t="s">
        <v>1366</v>
      </c>
      <c r="B757" s="9" t="s">
        <v>1285</v>
      </c>
      <c r="C757" s="9" t="s">
        <v>1365</v>
      </c>
    </row>
    <row r="758" spans="1:3" x14ac:dyDescent="0.25">
      <c r="A758" s="9" t="s">
        <v>1368</v>
      </c>
      <c r="B758" s="9" t="s">
        <v>1285</v>
      </c>
      <c r="C758" s="9" t="s">
        <v>1367</v>
      </c>
    </row>
    <row r="759" spans="1:3" x14ac:dyDescent="0.25">
      <c r="A759" s="9" t="s">
        <v>1370</v>
      </c>
      <c r="B759" s="9" t="s">
        <v>1285</v>
      </c>
      <c r="C759" s="9" t="s">
        <v>1369</v>
      </c>
    </row>
    <row r="760" spans="1:3" x14ac:dyDescent="0.25">
      <c r="A760" s="9" t="s">
        <v>1372</v>
      </c>
      <c r="B760" s="9" t="s">
        <v>1285</v>
      </c>
      <c r="C760" s="9" t="s">
        <v>1371</v>
      </c>
    </row>
    <row r="761" spans="1:3" x14ac:dyDescent="0.25">
      <c r="A761" s="9" t="s">
        <v>1374</v>
      </c>
      <c r="B761" s="9" t="s">
        <v>1285</v>
      </c>
      <c r="C761" s="9" t="s">
        <v>1373</v>
      </c>
    </row>
    <row r="762" spans="1:3" x14ac:dyDescent="0.25">
      <c r="A762" s="9" t="s">
        <v>1376</v>
      </c>
      <c r="B762" s="9" t="s">
        <v>1285</v>
      </c>
      <c r="C762" s="9" t="s">
        <v>1375</v>
      </c>
    </row>
    <row r="763" spans="1:3" x14ac:dyDescent="0.25">
      <c r="A763" s="9">
        <v>0</v>
      </c>
      <c r="B763" s="9" t="s">
        <v>1285</v>
      </c>
      <c r="C763" s="9" t="s">
        <v>1377</v>
      </c>
    </row>
    <row r="764" spans="1:3" x14ac:dyDescent="0.25">
      <c r="A764" s="9" t="s">
        <v>1381</v>
      </c>
      <c r="B764" s="9" t="s">
        <v>1285</v>
      </c>
      <c r="C764" s="9" t="s">
        <v>1380</v>
      </c>
    </row>
    <row r="765" spans="1:3" x14ac:dyDescent="0.25">
      <c r="A765" s="9" t="s">
        <v>1383</v>
      </c>
      <c r="B765" s="9" t="s">
        <v>1285</v>
      </c>
      <c r="C765" s="9" t="s">
        <v>1382</v>
      </c>
    </row>
    <row r="766" spans="1:3" x14ac:dyDescent="0.25">
      <c r="A766" s="9" t="s">
        <v>1385</v>
      </c>
      <c r="B766" s="9" t="s">
        <v>1285</v>
      </c>
      <c r="C766" s="9" t="s">
        <v>1384</v>
      </c>
    </row>
    <row r="767" spans="1:3" x14ac:dyDescent="0.25">
      <c r="A767" s="9" t="s">
        <v>1387</v>
      </c>
      <c r="B767" s="9" t="s">
        <v>1285</v>
      </c>
      <c r="C767" s="9" t="s">
        <v>1386</v>
      </c>
    </row>
    <row r="768" spans="1:3" x14ac:dyDescent="0.25">
      <c r="A768" s="9" t="s">
        <v>1379</v>
      </c>
      <c r="B768" s="9" t="s">
        <v>1285</v>
      </c>
      <c r="C768" s="9" t="s">
        <v>1378</v>
      </c>
    </row>
    <row r="769" spans="1:3" x14ac:dyDescent="0.25">
      <c r="A769" s="9" t="s">
        <v>1390</v>
      </c>
      <c r="B769" s="9" t="s">
        <v>1389</v>
      </c>
      <c r="C769" s="9" t="s">
        <v>1388</v>
      </c>
    </row>
    <row r="770" spans="1:3" x14ac:dyDescent="0.25">
      <c r="A770" s="9" t="s">
        <v>1392</v>
      </c>
      <c r="B770" s="9" t="s">
        <v>1389</v>
      </c>
      <c r="C770" s="9" t="s">
        <v>1391</v>
      </c>
    </row>
    <row r="771" spans="1:3" x14ac:dyDescent="0.25">
      <c r="A771" s="9" t="s">
        <v>1394</v>
      </c>
      <c r="B771" s="9" t="s">
        <v>1389</v>
      </c>
      <c r="C771" s="9" t="s">
        <v>1393</v>
      </c>
    </row>
    <row r="772" spans="1:3" x14ac:dyDescent="0.25">
      <c r="A772" s="9" t="s">
        <v>1445</v>
      </c>
      <c r="B772" s="9" t="s">
        <v>1396</v>
      </c>
      <c r="C772" s="9" t="s">
        <v>1525</v>
      </c>
    </row>
    <row r="773" spans="1:3" x14ac:dyDescent="0.25">
      <c r="A773" s="9" t="s">
        <v>1397</v>
      </c>
      <c r="B773" s="9" t="s">
        <v>1396</v>
      </c>
      <c r="C773" s="9" t="s">
        <v>1395</v>
      </c>
    </row>
    <row r="774" spans="1:3" x14ac:dyDescent="0.25">
      <c r="A774" s="20" t="s">
        <v>1564</v>
      </c>
      <c r="B774" s="9" t="s">
        <v>1396</v>
      </c>
      <c r="C774" t="s">
        <v>1565</v>
      </c>
    </row>
    <row r="775" spans="1:3" x14ac:dyDescent="0.25">
      <c r="A775" s="9" t="s">
        <v>1398</v>
      </c>
      <c r="B775" s="9" t="s">
        <v>1396</v>
      </c>
      <c r="C775" s="9" t="s">
        <v>1395</v>
      </c>
    </row>
    <row r="776" spans="1:3" x14ac:dyDescent="0.25">
      <c r="A776" s="9" t="s">
        <v>1400</v>
      </c>
      <c r="B776" s="9" t="s">
        <v>1396</v>
      </c>
      <c r="C776" s="9" t="s">
        <v>1399</v>
      </c>
    </row>
    <row r="777" spans="1:3" x14ac:dyDescent="0.25">
      <c r="A777" s="9" t="s">
        <v>1402</v>
      </c>
      <c r="B777" s="9" t="s">
        <v>1396</v>
      </c>
      <c r="C777" s="9" t="s">
        <v>1401</v>
      </c>
    </row>
    <row r="778" spans="1:3" x14ac:dyDescent="0.25">
      <c r="A778" s="9" t="s">
        <v>1404</v>
      </c>
      <c r="B778" s="9" t="s">
        <v>1396</v>
      </c>
      <c r="C778" s="9" t="s">
        <v>1403</v>
      </c>
    </row>
    <row r="779" spans="1:3" x14ac:dyDescent="0.25">
      <c r="A779" s="9" t="s">
        <v>1406</v>
      </c>
      <c r="B779" s="9" t="s">
        <v>1396</v>
      </c>
      <c r="C779" s="9" t="s">
        <v>1405</v>
      </c>
    </row>
    <row r="780" spans="1:3" x14ac:dyDescent="0.25">
      <c r="A780" s="9" t="s">
        <v>1408</v>
      </c>
      <c r="B780" s="9" t="s">
        <v>1396</v>
      </c>
      <c r="C780" s="9" t="s">
        <v>1407</v>
      </c>
    </row>
    <row r="781" spans="1:3" x14ac:dyDescent="0.25">
      <c r="A781" s="9" t="s">
        <v>1410</v>
      </c>
      <c r="B781" s="9" t="s">
        <v>1396</v>
      </c>
      <c r="C781" s="9" t="s">
        <v>1409</v>
      </c>
    </row>
    <row r="782" spans="1:3" x14ac:dyDescent="0.25">
      <c r="A782" s="9" t="s">
        <v>1412</v>
      </c>
      <c r="B782" s="9" t="s">
        <v>1396</v>
      </c>
      <c r="C782" s="9" t="s">
        <v>1411</v>
      </c>
    </row>
    <row r="783" spans="1:3" x14ac:dyDescent="0.25">
      <c r="A783" s="9" t="s">
        <v>1414</v>
      </c>
      <c r="B783" s="9" t="s">
        <v>1396</v>
      </c>
      <c r="C783" s="9" t="s">
        <v>1413</v>
      </c>
    </row>
    <row r="784" spans="1:3" x14ac:dyDescent="0.25">
      <c r="A784" s="9" t="s">
        <v>1416</v>
      </c>
      <c r="B784" s="9" t="s">
        <v>1396</v>
      </c>
      <c r="C784" s="9" t="s">
        <v>1415</v>
      </c>
    </row>
    <row r="785" spans="1:3" x14ac:dyDescent="0.25">
      <c r="A785" s="9" t="s">
        <v>1418</v>
      </c>
      <c r="B785" s="9" t="s">
        <v>1396</v>
      </c>
      <c r="C785" s="9" t="s">
        <v>1417</v>
      </c>
    </row>
    <row r="786" spans="1:3" x14ac:dyDescent="0.25">
      <c r="A786" s="9" t="s">
        <v>1420</v>
      </c>
      <c r="B786" s="9" t="s">
        <v>1396</v>
      </c>
      <c r="C786" s="9" t="s">
        <v>1419</v>
      </c>
    </row>
    <row r="787" spans="1:3" x14ac:dyDescent="0.25">
      <c r="A787" s="9" t="s">
        <v>1422</v>
      </c>
      <c r="B787" s="9" t="s">
        <v>1396</v>
      </c>
      <c r="C787" s="9" t="s">
        <v>1421</v>
      </c>
    </row>
    <row r="788" spans="1:3" x14ac:dyDescent="0.25">
      <c r="A788" s="9" t="s">
        <v>1424</v>
      </c>
      <c r="B788" s="9" t="s">
        <v>1396</v>
      </c>
      <c r="C788" s="9" t="s">
        <v>1423</v>
      </c>
    </row>
    <row r="789" spans="1:3" x14ac:dyDescent="0.25">
      <c r="A789" s="9" t="s">
        <v>1426</v>
      </c>
      <c r="B789" s="9" t="s">
        <v>1396</v>
      </c>
      <c r="C789" s="9" t="s">
        <v>1425</v>
      </c>
    </row>
    <row r="790" spans="1:3" x14ac:dyDescent="0.25">
      <c r="A790" s="9" t="s">
        <v>1428</v>
      </c>
      <c r="B790" s="9" t="s">
        <v>1396</v>
      </c>
      <c r="C790" s="9" t="s">
        <v>1427</v>
      </c>
    </row>
    <row r="791" spans="1:3" x14ac:dyDescent="0.25">
      <c r="A791" s="9" t="s">
        <v>1430</v>
      </c>
      <c r="B791" s="9" t="s">
        <v>1396</v>
      </c>
      <c r="C791" s="9" t="s">
        <v>1429</v>
      </c>
    </row>
    <row r="792" spans="1:3" x14ac:dyDescent="0.25">
      <c r="A792" s="9" t="s">
        <v>1432</v>
      </c>
      <c r="B792" s="9" t="s">
        <v>1396</v>
      </c>
      <c r="C792" s="9" t="s">
        <v>1431</v>
      </c>
    </row>
    <row r="793" spans="1:3" x14ac:dyDescent="0.25">
      <c r="A793" s="9" t="s">
        <v>1434</v>
      </c>
      <c r="B793" s="9" t="s">
        <v>1396</v>
      </c>
      <c r="C793" s="9" t="s">
        <v>1433</v>
      </c>
    </row>
    <row r="794" spans="1:3" x14ac:dyDescent="0.25">
      <c r="A794" s="9" t="s">
        <v>1436</v>
      </c>
      <c r="B794" s="9" t="s">
        <v>1396</v>
      </c>
      <c r="C794" s="9" t="s">
        <v>1435</v>
      </c>
    </row>
    <row r="795" spans="1:3" x14ac:dyDescent="0.25">
      <c r="A795" s="9" t="s">
        <v>1438</v>
      </c>
      <c r="B795" s="9" t="s">
        <v>1396</v>
      </c>
      <c r="C795" s="9" t="s">
        <v>1437</v>
      </c>
    </row>
    <row r="796" spans="1:3" x14ac:dyDescent="0.25">
      <c r="A796" s="9" t="s">
        <v>1442</v>
      </c>
      <c r="B796" s="9" t="s">
        <v>1396</v>
      </c>
      <c r="C796" s="9" t="s">
        <v>1441</v>
      </c>
    </row>
    <row r="797" spans="1:3" x14ac:dyDescent="0.25">
      <c r="A797" s="9" t="s">
        <v>1448</v>
      </c>
      <c r="B797" s="9" t="s">
        <v>1447</v>
      </c>
      <c r="C797" s="9" t="s">
        <v>1446</v>
      </c>
    </row>
    <row r="798" spans="1:3" x14ac:dyDescent="0.25">
      <c r="A798" s="9" t="s">
        <v>1452</v>
      </c>
      <c r="B798" s="9" t="s">
        <v>1447</v>
      </c>
      <c r="C798" s="9" t="s">
        <v>1451</v>
      </c>
    </row>
    <row r="799" spans="1:3" x14ac:dyDescent="0.25">
      <c r="A799" s="9" t="s">
        <v>1450</v>
      </c>
      <c r="B799" s="9" t="s">
        <v>1447</v>
      </c>
      <c r="C799" s="9" t="s">
        <v>1449</v>
      </c>
    </row>
    <row r="800" spans="1:3" x14ac:dyDescent="0.25">
      <c r="A800" s="18" t="s">
        <v>1592</v>
      </c>
      <c r="B800" s="9" t="s">
        <v>1396</v>
      </c>
      <c r="C800" s="9" t="s">
        <v>1593</v>
      </c>
    </row>
    <row r="801" spans="1:3" x14ac:dyDescent="0.25">
      <c r="A801" s="9" t="s">
        <v>1454</v>
      </c>
      <c r="B801" s="9" t="s">
        <v>1447</v>
      </c>
      <c r="C801" s="9" t="s">
        <v>1453</v>
      </c>
    </row>
    <row r="802" spans="1:3" x14ac:dyDescent="0.25">
      <c r="A802" s="2" t="s">
        <v>1440</v>
      </c>
      <c r="B802" s="9" t="s">
        <v>1396</v>
      </c>
      <c r="C802" t="s">
        <v>1439</v>
      </c>
    </row>
    <row r="803" spans="1:3" x14ac:dyDescent="0.25">
      <c r="A803" s="3" t="s">
        <v>1444</v>
      </c>
      <c r="B803" s="9" t="s">
        <v>1396</v>
      </c>
      <c r="C803" s="9" t="s">
        <v>1443</v>
      </c>
    </row>
    <row r="804" spans="1:3" x14ac:dyDescent="0.25">
      <c r="A804" s="9" t="s">
        <v>1463</v>
      </c>
      <c r="B804" s="9" t="s">
        <v>1447</v>
      </c>
      <c r="C804" s="9" t="s">
        <v>1451</v>
      </c>
    </row>
    <row r="805" spans="1:3" x14ac:dyDescent="0.25">
      <c r="A805" s="9" t="s">
        <v>1456</v>
      </c>
      <c r="B805" s="9" t="s">
        <v>1447</v>
      </c>
      <c r="C805" s="9" t="s">
        <v>1455</v>
      </c>
    </row>
    <row r="806" spans="1:3" x14ac:dyDescent="0.25">
      <c r="A806" s="9" t="s">
        <v>1458</v>
      </c>
      <c r="B806" s="9" t="s">
        <v>1447</v>
      </c>
      <c r="C806" s="9" t="s">
        <v>1457</v>
      </c>
    </row>
    <row r="807" spans="1:3" x14ac:dyDescent="0.25">
      <c r="A807" s="9" t="s">
        <v>1460</v>
      </c>
      <c r="B807" s="9" t="s">
        <v>1447</v>
      </c>
      <c r="C807" s="9" t="s">
        <v>1459</v>
      </c>
    </row>
    <row r="808" spans="1:3" x14ac:dyDescent="0.25">
      <c r="A808" s="9" t="s">
        <v>1462</v>
      </c>
      <c r="B808" s="9" t="s">
        <v>1447</v>
      </c>
      <c r="C808" s="9" t="s">
        <v>1461</v>
      </c>
    </row>
    <row r="809" spans="1:3" x14ac:dyDescent="0.25">
      <c r="A809" s="9" t="s">
        <v>1465</v>
      </c>
      <c r="B809" s="9" t="s">
        <v>1447</v>
      </c>
      <c r="C809" s="9" t="s">
        <v>1464</v>
      </c>
    </row>
    <row r="810" spans="1:3" x14ac:dyDescent="0.25">
      <c r="A810" s="9" t="s">
        <v>1467</v>
      </c>
      <c r="B810" s="9" t="s">
        <v>1447</v>
      </c>
      <c r="C810" s="9" t="s">
        <v>1466</v>
      </c>
    </row>
    <row r="811" spans="1:3" x14ac:dyDescent="0.25">
      <c r="A811" s="19" t="s">
        <v>1561</v>
      </c>
      <c r="B811" s="9" t="s">
        <v>1396</v>
      </c>
      <c r="C811" t="s">
        <v>1562</v>
      </c>
    </row>
    <row r="812" spans="1:3" x14ac:dyDescent="0.25">
      <c r="A812" s="9" t="s">
        <v>1470</v>
      </c>
      <c r="B812" s="9" t="s">
        <v>1469</v>
      </c>
      <c r="C812" s="9" t="s">
        <v>1468</v>
      </c>
    </row>
    <row r="813" spans="1:3" x14ac:dyDescent="0.25">
      <c r="A813" s="9" t="s">
        <v>1472</v>
      </c>
      <c r="B813" s="9" t="s">
        <v>1469</v>
      </c>
      <c r="C813" s="9" t="s">
        <v>1471</v>
      </c>
    </row>
    <row r="814" spans="1:3" x14ac:dyDescent="0.25">
      <c r="A814" s="9" t="s">
        <v>1474</v>
      </c>
      <c r="B814" s="9" t="s">
        <v>1469</v>
      </c>
      <c r="C814" s="9" t="s">
        <v>1473</v>
      </c>
    </row>
    <row r="815" spans="1:3" x14ac:dyDescent="0.25">
      <c r="A815" s="9" t="s">
        <v>1476</v>
      </c>
      <c r="B815" s="9" t="s">
        <v>1469</v>
      </c>
      <c r="C815" s="9" t="s">
        <v>1475</v>
      </c>
    </row>
    <row r="816" spans="1:3" x14ac:dyDescent="0.25">
      <c r="A816" s="9" t="s">
        <v>1478</v>
      </c>
      <c r="B816" s="9" t="s">
        <v>1469</v>
      </c>
      <c r="C816" s="9" t="s">
        <v>1477</v>
      </c>
    </row>
    <row r="817" spans="1:3" x14ac:dyDescent="0.25">
      <c r="A817" s="9" t="s">
        <v>1480</v>
      </c>
      <c r="B817" s="9" t="s">
        <v>1469</v>
      </c>
      <c r="C817" s="9" t="s">
        <v>1479</v>
      </c>
    </row>
    <row r="818" spans="1:3" x14ac:dyDescent="0.25">
      <c r="A818" s="9" t="s">
        <v>1482</v>
      </c>
      <c r="B818" s="9" t="s">
        <v>1469</v>
      </c>
      <c r="C818" s="9" t="s">
        <v>1481</v>
      </c>
    </row>
    <row r="819" spans="1:3" x14ac:dyDescent="0.25">
      <c r="A819" s="9" t="s">
        <v>1484</v>
      </c>
      <c r="B819" s="9" t="s">
        <v>1469</v>
      </c>
      <c r="C819" s="9" t="s">
        <v>1483</v>
      </c>
    </row>
    <row r="820" spans="1:3" x14ac:dyDescent="0.25">
      <c r="A820" s="9" t="s">
        <v>1487</v>
      </c>
      <c r="B820" s="9" t="s">
        <v>1486</v>
      </c>
      <c r="C820" s="9" t="s">
        <v>1485</v>
      </c>
    </row>
    <row r="821" spans="1:3" x14ac:dyDescent="0.25">
      <c r="A821" s="9" t="s">
        <v>1489</v>
      </c>
      <c r="B821" s="9" t="s">
        <v>1486</v>
      </c>
      <c r="C821" s="9" t="s">
        <v>1488</v>
      </c>
    </row>
    <row r="822" spans="1:3" x14ac:dyDescent="0.25">
      <c r="A822" s="9" t="s">
        <v>1491</v>
      </c>
      <c r="B822" s="9" t="s">
        <v>1486</v>
      </c>
      <c r="C822" s="9" t="s">
        <v>1490</v>
      </c>
    </row>
    <row r="823" spans="1:3" x14ac:dyDescent="0.25">
      <c r="A823" s="9" t="s">
        <v>1493</v>
      </c>
      <c r="B823" s="9" t="s">
        <v>1486</v>
      </c>
      <c r="C823" s="9" t="s">
        <v>1492</v>
      </c>
    </row>
    <row r="824" spans="1:3" x14ac:dyDescent="0.25">
      <c r="A824" s="9" t="s">
        <v>1495</v>
      </c>
      <c r="B824" s="9" t="s">
        <v>1486</v>
      </c>
      <c r="C824" s="9" t="s">
        <v>1494</v>
      </c>
    </row>
    <row r="825" spans="1:3" x14ac:dyDescent="0.25">
      <c r="A825" s="9" t="s">
        <v>1498</v>
      </c>
      <c r="B825" s="9" t="s">
        <v>1497</v>
      </c>
      <c r="C825" s="9" t="s">
        <v>1496</v>
      </c>
    </row>
    <row r="826" spans="1:3" x14ac:dyDescent="0.25">
      <c r="A826" s="9" t="s">
        <v>1500</v>
      </c>
      <c r="B826" s="9" t="s">
        <v>1497</v>
      </c>
      <c r="C826" s="9" t="s">
        <v>1499</v>
      </c>
    </row>
    <row r="827" spans="1:3" x14ac:dyDescent="0.25">
      <c r="A827" s="9" t="s">
        <v>1502</v>
      </c>
      <c r="B827" s="9" t="s">
        <v>1497</v>
      </c>
      <c r="C827" s="9" t="s">
        <v>1501</v>
      </c>
    </row>
    <row r="828" spans="1:3" x14ac:dyDescent="0.25">
      <c r="A828" s="9" t="s">
        <v>1504</v>
      </c>
      <c r="B828" s="9" t="s">
        <v>1497</v>
      </c>
      <c r="C828" s="9" t="s">
        <v>1503</v>
      </c>
    </row>
    <row r="829" spans="1:3" x14ac:dyDescent="0.25">
      <c r="A829" s="9" t="s">
        <v>1506</v>
      </c>
      <c r="B829" s="9" t="s">
        <v>1497</v>
      </c>
      <c r="C829" s="9" t="s">
        <v>1505</v>
      </c>
    </row>
    <row r="830" spans="1:3" x14ac:dyDescent="0.25">
      <c r="A830" s="9" t="s">
        <v>1508</v>
      </c>
      <c r="B830" s="9" t="s">
        <v>1497</v>
      </c>
      <c r="C830" s="9" t="s">
        <v>1507</v>
      </c>
    </row>
    <row r="831" spans="1:3" x14ac:dyDescent="0.25">
      <c r="A831" s="9" t="s">
        <v>1510</v>
      </c>
      <c r="B831" s="9" t="s">
        <v>1497</v>
      </c>
      <c r="C831" s="9" t="s">
        <v>1509</v>
      </c>
    </row>
  </sheetData>
  <autoFilter ref="A1:C831" xr:uid="{00000000-0009-0000-0000-000003000000}"/>
  <conditionalFormatting sqref="A3:A4">
    <cfRule type="duplicateValues" dxfId="479" priority="198"/>
  </conditionalFormatting>
  <conditionalFormatting sqref="A8">
    <cfRule type="duplicateValues" dxfId="478" priority="200"/>
  </conditionalFormatting>
  <conditionalFormatting sqref="A12:A14">
    <cfRule type="duplicateValues" dxfId="477" priority="10"/>
  </conditionalFormatting>
  <conditionalFormatting sqref="A15 A18:A19">
    <cfRule type="duplicateValues" dxfId="476" priority="706"/>
  </conditionalFormatting>
  <conditionalFormatting sqref="A16:A17">
    <cfRule type="duplicateValues" dxfId="475" priority="4"/>
  </conditionalFormatting>
  <conditionalFormatting sqref="A20:A23">
    <cfRule type="duplicateValues" dxfId="474" priority="2"/>
  </conditionalFormatting>
  <conditionalFormatting sqref="A24:A28">
    <cfRule type="duplicateValues" dxfId="473" priority="12"/>
  </conditionalFormatting>
  <conditionalFormatting sqref="A29:A31">
    <cfRule type="duplicateValues" dxfId="472" priority="14"/>
  </conditionalFormatting>
  <conditionalFormatting sqref="A32:A35 A39:A40">
    <cfRule type="duplicateValues" dxfId="471" priority="44"/>
  </conditionalFormatting>
  <conditionalFormatting sqref="A36:A38">
    <cfRule type="duplicateValues" dxfId="470" priority="39"/>
  </conditionalFormatting>
  <conditionalFormatting sqref="A41:A42">
    <cfRule type="duplicateValues" dxfId="469" priority="41"/>
  </conditionalFormatting>
  <conditionalFormatting sqref="A43 A47:A55">
    <cfRule type="duplicateValues" dxfId="468" priority="37"/>
  </conditionalFormatting>
  <conditionalFormatting sqref="A44:A45">
    <cfRule type="duplicateValues" dxfId="467" priority="33"/>
    <cfRule type="duplicateValues" dxfId="466" priority="34"/>
    <cfRule type="duplicateValues" dxfId="465" priority="35"/>
  </conditionalFormatting>
  <conditionalFormatting sqref="A46">
    <cfRule type="duplicateValues" dxfId="464" priority="29"/>
    <cfRule type="duplicateValues" dxfId="463" priority="30"/>
    <cfRule type="duplicateValues" dxfId="462" priority="31"/>
  </conditionalFormatting>
  <conditionalFormatting sqref="A56">
    <cfRule type="duplicateValues" dxfId="461" priority="18"/>
  </conditionalFormatting>
  <conditionalFormatting sqref="A57">
    <cfRule type="duplicateValues" dxfId="460" priority="16"/>
  </conditionalFormatting>
  <conditionalFormatting sqref="A58">
    <cfRule type="duplicateValues" dxfId="459" priority="115"/>
    <cfRule type="duplicateValues" dxfId="458" priority="116"/>
    <cfRule type="duplicateValues" dxfId="457" priority="114"/>
    <cfRule type="duplicateValues" dxfId="456" priority="118"/>
    <cfRule type="duplicateValues" dxfId="455" priority="117"/>
  </conditionalFormatting>
  <conditionalFormatting sqref="A59">
    <cfRule type="duplicateValues" dxfId="454" priority="108"/>
    <cfRule type="duplicateValues" dxfId="453" priority="111"/>
    <cfRule type="duplicateValues" dxfId="452" priority="112"/>
    <cfRule type="duplicateValues" dxfId="451" priority="109"/>
    <cfRule type="duplicateValues" dxfId="450" priority="110"/>
  </conditionalFormatting>
  <conditionalFormatting sqref="A60">
    <cfRule type="duplicateValues" dxfId="449" priority="86"/>
  </conditionalFormatting>
  <conditionalFormatting sqref="A61">
    <cfRule type="duplicateValues" dxfId="448" priority="104"/>
  </conditionalFormatting>
  <conditionalFormatting sqref="A62">
    <cfRule type="duplicateValues" dxfId="447" priority="46"/>
  </conditionalFormatting>
  <conditionalFormatting sqref="A84:A85">
    <cfRule type="duplicateValues" dxfId="446" priority="213"/>
  </conditionalFormatting>
  <conditionalFormatting sqref="A86">
    <cfRule type="duplicateValues" dxfId="445" priority="212"/>
  </conditionalFormatting>
  <conditionalFormatting sqref="A92:A93">
    <cfRule type="duplicateValues" dxfId="444" priority="67"/>
  </conditionalFormatting>
  <conditionalFormatting sqref="A94 A107">
    <cfRule type="duplicateValues" dxfId="443" priority="176"/>
  </conditionalFormatting>
  <conditionalFormatting sqref="A95:A97">
    <cfRule type="duplicateValues" dxfId="442" priority="64"/>
  </conditionalFormatting>
  <conditionalFormatting sqref="A98">
    <cfRule type="duplicateValues" dxfId="441" priority="60"/>
    <cfRule type="duplicateValues" dxfId="440" priority="57"/>
    <cfRule type="duplicateValues" dxfId="439" priority="61"/>
    <cfRule type="duplicateValues" dxfId="438" priority="59"/>
    <cfRule type="duplicateValues" dxfId="437" priority="58"/>
  </conditionalFormatting>
  <conditionalFormatting sqref="A99:A102">
    <cfRule type="duplicateValues" dxfId="436" priority="164"/>
  </conditionalFormatting>
  <conditionalFormatting sqref="A103">
    <cfRule type="duplicateValues" dxfId="435" priority="173"/>
  </conditionalFormatting>
  <conditionalFormatting sqref="A104:A105">
    <cfRule type="duplicateValues" dxfId="434" priority="162"/>
  </conditionalFormatting>
  <conditionalFormatting sqref="A106">
    <cfRule type="duplicateValues" dxfId="433" priority="172"/>
  </conditionalFormatting>
  <conditionalFormatting sqref="A108">
    <cfRule type="duplicateValues" dxfId="432" priority="165"/>
  </conditionalFormatting>
  <conditionalFormatting sqref="A109:A110">
    <cfRule type="duplicateValues" dxfId="431" priority="166"/>
  </conditionalFormatting>
  <conditionalFormatting sqref="A111">
    <cfRule type="duplicateValues" dxfId="430" priority="203"/>
  </conditionalFormatting>
  <conditionalFormatting sqref="A112">
    <cfRule type="duplicateValues" dxfId="429" priority="194"/>
  </conditionalFormatting>
  <conditionalFormatting sqref="A113">
    <cfRule type="duplicateValues" dxfId="428" priority="191"/>
  </conditionalFormatting>
  <conditionalFormatting sqref="A114">
    <cfRule type="duplicateValues" dxfId="427" priority="161"/>
  </conditionalFormatting>
  <conditionalFormatting sqref="A115">
    <cfRule type="duplicateValues" dxfId="426" priority="187"/>
  </conditionalFormatting>
  <conditionalFormatting sqref="A116:A117 A119">
    <cfRule type="duplicateValues" dxfId="425" priority="159"/>
  </conditionalFormatting>
  <conditionalFormatting sqref="A118">
    <cfRule type="duplicateValues" dxfId="424" priority="123"/>
  </conditionalFormatting>
  <conditionalFormatting sqref="A120">
    <cfRule type="duplicateValues" dxfId="423" priority="160"/>
  </conditionalFormatting>
  <conditionalFormatting sqref="A121">
    <cfRule type="duplicateValues" dxfId="422" priority="122"/>
  </conditionalFormatting>
  <conditionalFormatting sqref="A122:A123">
    <cfRule type="duplicateValues" dxfId="421" priority="97"/>
  </conditionalFormatting>
  <conditionalFormatting sqref="A124">
    <cfRule type="duplicateValues" dxfId="420" priority="156"/>
    <cfRule type="duplicateValues" dxfId="419" priority="155"/>
    <cfRule type="duplicateValues" dxfId="418" priority="154"/>
    <cfRule type="duplicateValues" dxfId="417" priority="152"/>
    <cfRule type="duplicateValues" dxfId="416" priority="153"/>
  </conditionalFormatting>
  <conditionalFormatting sqref="A125:A126">
    <cfRule type="duplicateValues" dxfId="415" priority="157"/>
  </conditionalFormatting>
  <conditionalFormatting sqref="A131">
    <cfRule type="duplicateValues" dxfId="414" priority="211"/>
  </conditionalFormatting>
  <conditionalFormatting sqref="A140">
    <cfRule type="duplicateValues" dxfId="413" priority="218"/>
  </conditionalFormatting>
  <conditionalFormatting sqref="A159">
    <cfRule type="duplicateValues" dxfId="412" priority="210"/>
  </conditionalFormatting>
  <conditionalFormatting sqref="A170 A172:A174">
    <cfRule type="duplicateValues" dxfId="411" priority="103"/>
  </conditionalFormatting>
  <conditionalFormatting sqref="A171">
    <cfRule type="duplicateValues" dxfId="410" priority="99"/>
  </conditionalFormatting>
  <conditionalFormatting sqref="A176">
    <cfRule type="duplicateValues" dxfId="409" priority="76"/>
  </conditionalFormatting>
  <conditionalFormatting sqref="A183:A184">
    <cfRule type="duplicateValues" dxfId="408" priority="48"/>
  </conditionalFormatting>
  <conditionalFormatting sqref="A233">
    <cfRule type="duplicateValues" dxfId="407" priority="205"/>
  </conditionalFormatting>
  <conditionalFormatting sqref="A234">
    <cfRule type="duplicateValues" dxfId="406" priority="186"/>
  </conditionalFormatting>
  <conditionalFormatting sqref="A236">
    <cfRule type="duplicateValues" dxfId="405" priority="217"/>
  </conditionalFormatting>
  <conditionalFormatting sqref="A237">
    <cfRule type="duplicateValues" dxfId="404" priority="119"/>
  </conditionalFormatting>
  <conditionalFormatting sqref="A241">
    <cfRule type="duplicateValues" dxfId="403" priority="204"/>
  </conditionalFormatting>
  <conditionalFormatting sqref="A242">
    <cfRule type="duplicateValues" dxfId="402" priority="216"/>
  </conditionalFormatting>
  <conditionalFormatting sqref="A298">
    <cfRule type="duplicateValues" dxfId="401" priority="177"/>
  </conditionalFormatting>
  <conditionalFormatting sqref="A302">
    <cfRule type="duplicateValues" dxfId="400" priority="183"/>
  </conditionalFormatting>
  <conditionalFormatting sqref="A321">
    <cfRule type="duplicateValues" dxfId="399" priority="93"/>
  </conditionalFormatting>
  <conditionalFormatting sqref="A327">
    <cfRule type="duplicateValues" dxfId="398" priority="206"/>
  </conditionalFormatting>
  <conditionalFormatting sqref="A328:A329">
    <cfRule type="duplicateValues" dxfId="397" priority="184"/>
  </conditionalFormatting>
  <conditionalFormatting sqref="A330">
    <cfRule type="duplicateValues" dxfId="396" priority="90"/>
    <cfRule type="duplicateValues" dxfId="395" priority="91"/>
    <cfRule type="duplicateValues" dxfId="394" priority="92"/>
    <cfRule type="duplicateValues" dxfId="393" priority="88"/>
    <cfRule type="duplicateValues" dxfId="392" priority="89"/>
  </conditionalFormatting>
  <conditionalFormatting sqref="A332">
    <cfRule type="duplicateValues" dxfId="391" priority="94"/>
  </conditionalFormatting>
  <conditionalFormatting sqref="A348">
    <cfRule type="duplicateValues" dxfId="390" priority="190"/>
  </conditionalFormatting>
  <conditionalFormatting sqref="A349">
    <cfRule type="duplicateValues" dxfId="389" priority="129"/>
    <cfRule type="duplicateValues" dxfId="388" priority="130"/>
    <cfRule type="duplicateValues" dxfId="387" priority="131"/>
    <cfRule type="duplicateValues" dxfId="386" priority="134"/>
    <cfRule type="duplicateValues" dxfId="385" priority="132"/>
    <cfRule type="duplicateValues" dxfId="384" priority="133"/>
  </conditionalFormatting>
  <conditionalFormatting sqref="A353">
    <cfRule type="duplicateValues" dxfId="383" priority="195"/>
  </conditionalFormatting>
  <conditionalFormatting sqref="A354">
    <cfRule type="duplicateValues" dxfId="382" priority="207"/>
  </conditionalFormatting>
  <conditionalFormatting sqref="A357:A358">
    <cfRule type="duplicateValues" dxfId="381" priority="171"/>
    <cfRule type="duplicateValues" dxfId="380" priority="169"/>
    <cfRule type="duplicateValues" dxfId="379" priority="167"/>
    <cfRule type="duplicateValues" dxfId="378" priority="170"/>
    <cfRule type="duplicateValues" dxfId="377" priority="168"/>
  </conditionalFormatting>
  <conditionalFormatting sqref="A411">
    <cfRule type="duplicateValues" dxfId="376" priority="189"/>
  </conditionalFormatting>
  <conditionalFormatting sqref="A493">
    <cfRule type="duplicateValues" dxfId="375" priority="185"/>
  </conditionalFormatting>
  <conditionalFormatting sqref="A525">
    <cfRule type="duplicateValues" dxfId="374" priority="83"/>
    <cfRule type="duplicateValues" dxfId="373" priority="82"/>
    <cfRule type="duplicateValues" dxfId="372" priority="81"/>
    <cfRule type="duplicateValues" dxfId="371" priority="80"/>
    <cfRule type="duplicateValues" dxfId="370" priority="79"/>
  </conditionalFormatting>
  <conditionalFormatting sqref="A546">
    <cfRule type="duplicateValues" dxfId="369" priority="151"/>
    <cfRule type="duplicateValues" dxfId="368" priority="150"/>
    <cfRule type="duplicateValues" dxfId="367" priority="149"/>
    <cfRule type="duplicateValues" dxfId="366" priority="148"/>
    <cfRule type="duplicateValues" dxfId="365" priority="147"/>
  </conditionalFormatting>
  <conditionalFormatting sqref="A601">
    <cfRule type="duplicateValues" dxfId="364" priority="219"/>
  </conditionalFormatting>
  <conditionalFormatting sqref="A705">
    <cfRule type="duplicateValues" dxfId="363" priority="215"/>
  </conditionalFormatting>
  <conditionalFormatting sqref="A706">
    <cfRule type="duplicateValues" dxfId="362" priority="188"/>
  </conditionalFormatting>
  <conditionalFormatting sqref="A713">
    <cfRule type="duplicateValues" dxfId="361" priority="178"/>
    <cfRule type="duplicateValues" dxfId="360" priority="181"/>
    <cfRule type="duplicateValues" dxfId="359" priority="180"/>
    <cfRule type="duplicateValues" dxfId="358" priority="182"/>
    <cfRule type="duplicateValues" dxfId="357" priority="179"/>
  </conditionalFormatting>
  <conditionalFormatting sqref="A718:A721">
    <cfRule type="duplicateValues" dxfId="356" priority="55"/>
  </conditionalFormatting>
  <conditionalFormatting sqref="A768">
    <cfRule type="duplicateValues" dxfId="355" priority="214"/>
  </conditionalFormatting>
  <conditionalFormatting sqref="A772">
    <cfRule type="duplicateValues" dxfId="354" priority="124"/>
    <cfRule type="duplicateValues" dxfId="353" priority="125"/>
    <cfRule type="duplicateValues" dxfId="352" priority="126"/>
    <cfRule type="duplicateValues" dxfId="351" priority="127"/>
    <cfRule type="duplicateValues" dxfId="350" priority="128"/>
  </conditionalFormatting>
  <conditionalFormatting sqref="A774">
    <cfRule type="duplicateValues" dxfId="349" priority="69"/>
    <cfRule type="duplicateValues" dxfId="348" priority="70"/>
    <cfRule type="duplicateValues" dxfId="347" priority="71"/>
    <cfRule type="duplicateValues" dxfId="346" priority="73"/>
    <cfRule type="duplicateValues" dxfId="345" priority="72"/>
  </conditionalFormatting>
  <conditionalFormatting sqref="A775">
    <cfRule type="duplicateValues" dxfId="344" priority="220"/>
  </conditionalFormatting>
  <conditionalFormatting sqref="A783">
    <cfRule type="duplicateValues" dxfId="343" priority="202"/>
  </conditionalFormatting>
  <conditionalFormatting sqref="A784">
    <cfRule type="duplicateValues" dxfId="342" priority="197"/>
  </conditionalFormatting>
  <conditionalFormatting sqref="A785">
    <cfRule type="duplicateValues" dxfId="341" priority="196"/>
  </conditionalFormatting>
  <conditionalFormatting sqref="A788">
    <cfRule type="duplicateValues" dxfId="340" priority="201"/>
  </conditionalFormatting>
  <conditionalFormatting sqref="A797">
    <cfRule type="duplicateValues" dxfId="339" priority="193"/>
  </conditionalFormatting>
  <conditionalFormatting sqref="A800">
    <cfRule type="duplicateValues" dxfId="338" priority="53"/>
    <cfRule type="duplicateValues" dxfId="337" priority="52"/>
    <cfRule type="duplicateValues" dxfId="336" priority="51"/>
    <cfRule type="duplicateValues" dxfId="335" priority="50"/>
    <cfRule type="duplicateValues" dxfId="334" priority="49"/>
  </conditionalFormatting>
  <conditionalFormatting sqref="A801">
    <cfRule type="duplicateValues" dxfId="333" priority="222"/>
  </conditionalFormatting>
  <conditionalFormatting sqref="A802">
    <cfRule type="duplicateValues" dxfId="332" priority="141"/>
    <cfRule type="duplicateValues" dxfId="331" priority="142"/>
    <cfRule type="duplicateValues" dxfId="330" priority="143"/>
    <cfRule type="duplicateValues" dxfId="329" priority="144"/>
    <cfRule type="duplicateValues" dxfId="328" priority="145"/>
  </conditionalFormatting>
  <conditionalFormatting sqref="A803">
    <cfRule type="duplicateValues" dxfId="327" priority="139"/>
    <cfRule type="duplicateValues" dxfId="326" priority="135"/>
    <cfRule type="duplicateValues" dxfId="325" priority="136"/>
    <cfRule type="duplicateValues" dxfId="324" priority="137"/>
    <cfRule type="duplicateValues" dxfId="323" priority="138"/>
  </conditionalFormatting>
  <conditionalFormatting sqref="A808">
    <cfRule type="duplicateValues" dxfId="322" priority="209"/>
  </conditionalFormatting>
  <conditionalFormatting sqref="A816">
    <cfRule type="duplicateValues" dxfId="321" priority="199"/>
  </conditionalFormatting>
  <conditionalFormatting sqref="A826:A827">
    <cfRule type="duplicateValues" dxfId="320" priority="208"/>
  </conditionalFormatting>
  <conditionalFormatting sqref="A828:A829 A1:A2 A602:A704 A141:A158 A238:A240 A243:A297 A707:A712 A87:A91 A132:A139 A160:A169 A804:A807 A809:A815 A355:A356 A333:A347 A235 A127:A130 A786:A787 A789:A796 A9:A11 A817:A825 A5:A7 A798:A799 A832:A1048576 A769:A771 A776:A782 A350:A352 A412:A492 A494:A524 A303:A320 A714:A717 A299:A301 A359:A410 A547:A600 A773 A63:A83 A175 A322:A326 A526:A545 A177:A182 A722:A767 A185:A232">
    <cfRule type="duplicateValues" dxfId="319" priority="221"/>
  </conditionalFormatting>
  <conditionalFormatting sqref="A830:A831">
    <cfRule type="duplicateValues" dxfId="318" priority="192"/>
  </conditionalFormatting>
  <conditionalFormatting sqref="A331:C331 B330">
    <cfRule type="duplicateValues" dxfId="317" priority="95"/>
  </conditionalFormatting>
  <conditionalFormatting sqref="B12:B14">
    <cfRule type="duplicateValues" dxfId="316" priority="9"/>
  </conditionalFormatting>
  <conditionalFormatting sqref="B15:B19">
    <cfRule type="duplicateValues" dxfId="315" priority="708"/>
  </conditionalFormatting>
  <conditionalFormatting sqref="B32:B33 B35">
    <cfRule type="duplicateValues" dxfId="314" priority="43"/>
  </conditionalFormatting>
  <conditionalFormatting sqref="B58">
    <cfRule type="duplicateValues" dxfId="313" priority="113"/>
  </conditionalFormatting>
  <conditionalFormatting sqref="B59">
    <cfRule type="duplicateValues" dxfId="312" priority="107"/>
  </conditionalFormatting>
  <conditionalFormatting sqref="B60">
    <cfRule type="duplicateValues" dxfId="311" priority="84"/>
  </conditionalFormatting>
  <conditionalFormatting sqref="B93">
    <cfRule type="duplicateValues" dxfId="310" priority="66"/>
  </conditionalFormatting>
  <conditionalFormatting sqref="B94 B98:B110">
    <cfRule type="duplicateValues" dxfId="309" priority="175"/>
  </conditionalFormatting>
  <conditionalFormatting sqref="B95:B97">
    <cfRule type="duplicateValues" dxfId="308" priority="63"/>
  </conditionalFormatting>
  <conditionalFormatting sqref="B172:B174">
    <cfRule type="duplicateValues" dxfId="307" priority="102"/>
  </conditionalFormatting>
  <conditionalFormatting sqref="B176">
    <cfRule type="duplicateValues" dxfId="306" priority="75"/>
  </conditionalFormatting>
  <conditionalFormatting sqref="C12:C14">
    <cfRule type="duplicateValues" dxfId="305" priority="8"/>
  </conditionalFormatting>
  <conditionalFormatting sqref="C15 C18:C19">
    <cfRule type="duplicateValues" dxfId="304" priority="710"/>
  </conditionalFormatting>
  <conditionalFormatting sqref="C16:C17">
    <cfRule type="duplicateValues" dxfId="303" priority="3"/>
  </conditionalFormatting>
  <conditionalFormatting sqref="C20:C23">
    <cfRule type="duplicateValues" dxfId="302" priority="1"/>
  </conditionalFormatting>
  <conditionalFormatting sqref="C24:C28">
    <cfRule type="duplicateValues" dxfId="301" priority="11"/>
  </conditionalFormatting>
  <conditionalFormatting sqref="C29:C31">
    <cfRule type="duplicateValues" dxfId="300" priority="13"/>
  </conditionalFormatting>
  <conditionalFormatting sqref="C32:C35 C39:C40">
    <cfRule type="duplicateValues" dxfId="299" priority="42"/>
  </conditionalFormatting>
  <conditionalFormatting sqref="C36:C38">
    <cfRule type="duplicateValues" dxfId="298" priority="38"/>
  </conditionalFormatting>
  <conditionalFormatting sqref="C41:C42">
    <cfRule type="duplicateValues" dxfId="297" priority="40"/>
  </conditionalFormatting>
  <conditionalFormatting sqref="C43">
    <cfRule type="duplicateValues" dxfId="296" priority="36"/>
  </conditionalFormatting>
  <conditionalFormatting sqref="C44:C45">
    <cfRule type="duplicateValues" dxfId="295" priority="32"/>
  </conditionalFormatting>
  <conditionalFormatting sqref="C46">
    <cfRule type="duplicateValues" dxfId="294" priority="28"/>
  </conditionalFormatting>
  <conditionalFormatting sqref="C47">
    <cfRule type="duplicateValues" dxfId="293" priority="27"/>
  </conditionalFormatting>
  <conditionalFormatting sqref="C48">
    <cfRule type="duplicateValues" dxfId="292" priority="26"/>
  </conditionalFormatting>
  <conditionalFormatting sqref="C49">
    <cfRule type="duplicateValues" dxfId="291" priority="25"/>
  </conditionalFormatting>
  <conditionalFormatting sqref="C50">
    <cfRule type="duplicateValues" dxfId="290" priority="24"/>
  </conditionalFormatting>
  <conditionalFormatting sqref="C51">
    <cfRule type="duplicateValues" dxfId="289" priority="23"/>
  </conditionalFormatting>
  <conditionalFormatting sqref="C52">
    <cfRule type="duplicateValues" dxfId="288" priority="22"/>
  </conditionalFormatting>
  <conditionalFormatting sqref="C53">
    <cfRule type="duplicateValues" dxfId="287" priority="21"/>
  </conditionalFormatting>
  <conditionalFormatting sqref="C54">
    <cfRule type="duplicateValues" dxfId="286" priority="20"/>
  </conditionalFormatting>
  <conditionalFormatting sqref="C55">
    <cfRule type="duplicateValues" dxfId="285" priority="19"/>
  </conditionalFormatting>
  <conditionalFormatting sqref="C56">
    <cfRule type="duplicateValues" dxfId="284" priority="17"/>
  </conditionalFormatting>
  <conditionalFormatting sqref="C57">
    <cfRule type="duplicateValues" dxfId="283" priority="15"/>
  </conditionalFormatting>
  <conditionalFormatting sqref="C59">
    <cfRule type="duplicateValues" dxfId="282" priority="106"/>
  </conditionalFormatting>
  <conditionalFormatting sqref="C60">
    <cfRule type="duplicateValues" dxfId="281" priority="85"/>
  </conditionalFormatting>
  <conditionalFormatting sqref="C61">
    <cfRule type="duplicateValues" dxfId="280" priority="105"/>
  </conditionalFormatting>
  <conditionalFormatting sqref="C62">
    <cfRule type="duplicateValues" dxfId="279" priority="45"/>
  </conditionalFormatting>
  <conditionalFormatting sqref="C92:C93">
    <cfRule type="duplicateValues" dxfId="278" priority="65"/>
  </conditionalFormatting>
  <conditionalFormatting sqref="C94 C103:C110">
    <cfRule type="duplicateValues" dxfId="277" priority="174"/>
  </conditionalFormatting>
  <conditionalFormatting sqref="C95:C97">
    <cfRule type="duplicateValues" dxfId="276" priority="62"/>
  </conditionalFormatting>
  <conditionalFormatting sqref="C98">
    <cfRule type="duplicateValues" dxfId="275" priority="56"/>
  </conditionalFormatting>
  <conditionalFormatting sqref="C99:C102">
    <cfRule type="duplicateValues" dxfId="274" priority="163"/>
  </conditionalFormatting>
  <conditionalFormatting sqref="C116:C120">
    <cfRule type="duplicateValues" dxfId="273" priority="158"/>
  </conditionalFormatting>
  <conditionalFormatting sqref="C121">
    <cfRule type="duplicateValues" dxfId="272" priority="121"/>
  </conditionalFormatting>
  <conditionalFormatting sqref="C122:C123">
    <cfRule type="duplicateValues" dxfId="271" priority="96"/>
  </conditionalFormatting>
  <conditionalFormatting sqref="C126">
    <cfRule type="duplicateValues" dxfId="270" priority="120"/>
  </conditionalFormatting>
  <conditionalFormatting sqref="C170 C172">
    <cfRule type="duplicateValues" dxfId="269" priority="101"/>
  </conditionalFormatting>
  <conditionalFormatting sqref="C171">
    <cfRule type="duplicateValues" dxfId="268" priority="98"/>
  </conditionalFormatting>
  <conditionalFormatting sqref="C173:C174">
    <cfRule type="duplicateValues" dxfId="267" priority="100"/>
  </conditionalFormatting>
  <conditionalFormatting sqref="C176">
    <cfRule type="duplicateValues" dxfId="266" priority="74"/>
  </conditionalFormatting>
  <conditionalFormatting sqref="C183:C184">
    <cfRule type="duplicateValues" dxfId="265" priority="47"/>
  </conditionalFormatting>
  <conditionalFormatting sqref="C330">
    <cfRule type="duplicateValues" dxfId="264" priority="87"/>
  </conditionalFormatting>
  <conditionalFormatting sqref="C525">
    <cfRule type="duplicateValues" dxfId="263" priority="78"/>
  </conditionalFormatting>
  <conditionalFormatting sqref="C546">
    <cfRule type="duplicateValues" dxfId="262" priority="146"/>
  </conditionalFormatting>
  <conditionalFormatting sqref="C718:C721">
    <cfRule type="duplicateValues" dxfId="261" priority="54"/>
  </conditionalFormatting>
  <conditionalFormatting sqref="C774">
    <cfRule type="duplicateValues" dxfId="260" priority="68"/>
  </conditionalFormatting>
  <conditionalFormatting sqref="C802:C803">
    <cfRule type="duplicateValues" dxfId="259" priority="140"/>
  </conditionalFormatting>
  <conditionalFormatting sqref="C811">
    <cfRule type="duplicateValues" dxfId="258" priority="77"/>
  </conditionalFormatting>
  <hyperlinks>
    <hyperlink ref="A713" r:id="rId1" xr:uid="{00000000-0004-0000-0300-000000000000}"/>
    <hyperlink ref="A329" r:id="rId2" xr:uid="{00000000-0004-0000-0300-000001000000}"/>
    <hyperlink ref="A511" r:id="rId3" xr:uid="{00000000-0004-0000-0300-000002000000}"/>
    <hyperlink ref="A11" r:id="rId4" xr:uid="{00000000-0004-0000-0300-000003000000}"/>
    <hyperlink ref="A189" r:id="rId5" xr:uid="{00000000-0004-0000-0300-000004000000}"/>
    <hyperlink ref="A298" r:id="rId6" xr:uid="{00000000-0004-0000-0300-000005000000}"/>
    <hyperlink ref="A94" r:id="rId7" xr:uid="{00000000-0004-0000-0300-000006000000}"/>
    <hyperlink ref="A103" r:id="rId8" xr:uid="{00000000-0004-0000-0300-000007000000}"/>
    <hyperlink ref="A106" r:id="rId9" xr:uid="{00000000-0004-0000-0300-000008000000}"/>
    <hyperlink ref="A107" r:id="rId10" xr:uid="{00000000-0004-0000-0300-000009000000}"/>
    <hyperlink ref="A182" r:id="rId11" xr:uid="{00000000-0004-0000-0300-00000A000000}"/>
    <hyperlink ref="A357" r:id="rId12" xr:uid="{00000000-0004-0000-0300-00000B000000}"/>
    <hyperlink ref="A717" r:id="rId13" xr:uid="{00000000-0004-0000-0300-00000C000000}"/>
    <hyperlink ref="A99" r:id="rId14" xr:uid="{00000000-0004-0000-0300-00000D000000}"/>
    <hyperlink ref="A100" r:id="rId15" xr:uid="{00000000-0004-0000-0300-00000E000000}"/>
    <hyperlink ref="A101" r:id="rId16" xr:uid="{00000000-0004-0000-0300-00000F000000}"/>
    <hyperlink ref="A102" r:id="rId17" xr:uid="{00000000-0004-0000-0300-000010000000}"/>
    <hyperlink ref="A104" r:id="rId18" xr:uid="{00000000-0004-0000-0300-000011000000}"/>
    <hyperlink ref="A105" r:id="rId19" xr:uid="{00000000-0004-0000-0300-000012000000}"/>
    <hyperlink ref="A116" r:id="rId20" xr:uid="{00000000-0004-0000-0300-000013000000}"/>
    <hyperlink ref="A117" r:id="rId21" xr:uid="{00000000-0004-0000-0300-000014000000}"/>
    <hyperlink ref="A119" r:id="rId22" xr:uid="{00000000-0004-0000-0300-000015000000}"/>
    <hyperlink ref="A120" r:id="rId23" xr:uid="{00000000-0004-0000-0300-000016000000}"/>
    <hyperlink ref="A358" r:id="rId24" xr:uid="{00000000-0004-0000-0300-000017000000}"/>
    <hyperlink ref="A803" r:id="rId25" xr:uid="{00000000-0004-0000-0300-000018000000}"/>
    <hyperlink ref="A121" r:id="rId26" xr:uid="{00000000-0004-0000-0300-000019000000}"/>
    <hyperlink ref="A237" r:id="rId27" xr:uid="{00000000-0004-0000-0300-00001A000000}"/>
    <hyperlink ref="A58" r:id="rId28" xr:uid="{00000000-0004-0000-0300-00001B000000}"/>
    <hyperlink ref="A59" r:id="rId29" xr:uid="{00000000-0004-0000-0300-00001C000000}"/>
    <hyperlink ref="A61" r:id="rId30" xr:uid="{00000000-0004-0000-0300-00001D000000}"/>
    <hyperlink ref="A172" r:id="rId31" xr:uid="{00000000-0004-0000-0300-00001E000000}"/>
    <hyperlink ref="A173" r:id="rId32" xr:uid="{00000000-0004-0000-0300-00001F000000}"/>
    <hyperlink ref="A122" r:id="rId33" xr:uid="{00000000-0004-0000-0300-000020000000}"/>
    <hyperlink ref="A123" r:id="rId34" xr:uid="{00000000-0004-0000-0300-000021000000}"/>
    <hyperlink ref="A331:C331" r:id="rId35" display="SD_TERRACE" xr:uid="{00000000-0004-0000-0300-000022000000}"/>
    <hyperlink ref="A321" r:id="rId36" xr:uid="{00000000-0004-0000-0300-000023000000}"/>
    <hyperlink ref="B330" r:id="rId37" display="SD_TERRACE" xr:uid="{00000000-0004-0000-0300-000024000000}"/>
    <hyperlink ref="A330" r:id="rId38" xr:uid="{00000000-0004-0000-0300-000025000000}"/>
    <hyperlink ref="A60" r:id="rId39" xr:uid="{00000000-0004-0000-0300-000026000000}"/>
    <hyperlink ref="A525" r:id="rId40" xr:uid="{00000000-0004-0000-0300-000027000000}"/>
    <hyperlink ref="A171" r:id="rId41" xr:uid="{00000000-0004-0000-0300-000028000000}"/>
    <hyperlink ref="A170" r:id="rId42" xr:uid="{00000000-0004-0000-0300-000029000000}"/>
    <hyperlink ref="A152" r:id="rId43" xr:uid="{00000000-0004-0000-0300-00002A000000}"/>
    <hyperlink ref="A126" r:id="rId44" xr:uid="{00000000-0004-0000-0300-00002B000000}"/>
    <hyperlink ref="A176" r:id="rId45" xr:uid="{00000000-0004-0000-0300-00002C000000}"/>
    <hyperlink ref="A92" r:id="rId46" xr:uid="{00000000-0004-0000-0300-00002D000000}"/>
    <hyperlink ref="A93" r:id="rId47" xr:uid="{00000000-0004-0000-0300-00002E000000}"/>
    <hyperlink ref="A95" r:id="rId48" xr:uid="{00000000-0004-0000-0300-00002F000000}"/>
    <hyperlink ref="A96" r:id="rId49" xr:uid="{00000000-0004-0000-0300-000030000000}"/>
    <hyperlink ref="A97" r:id="rId50" xr:uid="{00000000-0004-0000-0300-000031000000}"/>
    <hyperlink ref="A98" r:id="rId51" xr:uid="{00000000-0004-0000-0300-000032000000}"/>
    <hyperlink ref="A718" r:id="rId52" xr:uid="{00000000-0004-0000-0300-000033000000}"/>
    <hyperlink ref="A719" r:id="rId53" xr:uid="{00000000-0004-0000-0300-000034000000}"/>
    <hyperlink ref="A720" r:id="rId54" xr:uid="{00000000-0004-0000-0300-000035000000}"/>
    <hyperlink ref="A721" r:id="rId55" xr:uid="{00000000-0004-0000-0300-000036000000}"/>
    <hyperlink ref="A800" r:id="rId56" xr:uid="{00000000-0004-0000-0300-000037000000}"/>
    <hyperlink ref="A183" r:id="rId57" xr:uid="{00000000-0004-0000-0300-000038000000}"/>
    <hyperlink ref="A184" r:id="rId58" xr:uid="{00000000-0004-0000-0300-000039000000}"/>
    <hyperlink ref="C183" r:id="rId59" display="COOP_MDUC" xr:uid="{00000000-0004-0000-0300-00003A000000}"/>
    <hyperlink ref="C184" r:id="rId60" display="COOP_QLO50" xr:uid="{00000000-0004-0000-0300-00003B000000}"/>
    <hyperlink ref="A32" r:id="rId61" xr:uid="{00000000-0004-0000-0300-00003C000000}"/>
    <hyperlink ref="A33" r:id="rId62" xr:uid="{00000000-0004-0000-0300-00003D000000}"/>
    <hyperlink ref="A34" r:id="rId63" xr:uid="{00000000-0004-0000-0300-00003E000000}"/>
    <hyperlink ref="A35" r:id="rId64" xr:uid="{00000000-0004-0000-0300-00003F000000}"/>
    <hyperlink ref="A39" r:id="rId65" xr:uid="{00000000-0004-0000-0300-000040000000}"/>
    <hyperlink ref="A41" r:id="rId66" xr:uid="{00000000-0004-0000-0300-000041000000}"/>
    <hyperlink ref="A42" r:id="rId67" xr:uid="{00000000-0004-0000-0300-000042000000}"/>
    <hyperlink ref="A36" r:id="rId68" xr:uid="{00000000-0004-0000-0300-000043000000}"/>
    <hyperlink ref="A37" r:id="rId69" xr:uid="{00000000-0004-0000-0300-000044000000}"/>
    <hyperlink ref="A38" r:id="rId70" xr:uid="{00000000-0004-0000-0300-000045000000}"/>
    <hyperlink ref="A43" r:id="rId71" xr:uid="{00000000-0004-0000-0300-000046000000}"/>
    <hyperlink ref="A44" r:id="rId72" xr:uid="{00000000-0004-0000-0300-000047000000}"/>
    <hyperlink ref="A45" r:id="rId73" xr:uid="{00000000-0004-0000-0300-000048000000}"/>
    <hyperlink ref="A46" r:id="rId74" xr:uid="{00000000-0004-0000-0300-000049000000}"/>
    <hyperlink ref="A47" r:id="rId75" xr:uid="{00000000-0004-0000-0300-00004A000000}"/>
    <hyperlink ref="A48" r:id="rId76" xr:uid="{00000000-0004-0000-0300-00004B000000}"/>
    <hyperlink ref="A49" r:id="rId77" xr:uid="{00000000-0004-0000-0300-00004C000000}"/>
    <hyperlink ref="A50" r:id="rId78" xr:uid="{00000000-0004-0000-0300-00004D000000}"/>
    <hyperlink ref="A51" r:id="rId79" xr:uid="{00000000-0004-0000-0300-00004E000000}"/>
    <hyperlink ref="A52" r:id="rId80" xr:uid="{00000000-0004-0000-0300-00004F000000}"/>
    <hyperlink ref="C52" r:id="rId81" display="LC_HCM" xr:uid="{00000000-0004-0000-0300-000050000000}"/>
    <hyperlink ref="A53" r:id="rId82" xr:uid="{00000000-0004-0000-0300-000051000000}"/>
    <hyperlink ref="C53" r:id="rId83" display="HD_AUCO" xr:uid="{00000000-0004-0000-0300-000052000000}"/>
    <hyperlink ref="A54" r:id="rId84" xr:uid="{00000000-0004-0000-0300-000053000000}"/>
    <hyperlink ref="A55" r:id="rId85" xr:uid="{00000000-0004-0000-0300-000054000000}"/>
    <hyperlink ref="A56" r:id="rId86" xr:uid="{00000000-0004-0000-0300-000055000000}"/>
    <hyperlink ref="C56" r:id="rId87" display="TNH_VINCOMVTRI" xr:uid="{00000000-0004-0000-0300-000056000000}"/>
    <hyperlink ref="A57" r:id="rId88" xr:uid="{00000000-0004-0000-0300-000057000000}"/>
    <hyperlink ref="A29" r:id="rId89" xr:uid="{00000000-0004-0000-0300-000058000000}"/>
    <hyperlink ref="A30" r:id="rId90" xr:uid="{00000000-0004-0000-0300-000059000000}"/>
    <hyperlink ref="A31" r:id="rId91" xr:uid="{00000000-0004-0000-0300-00005A000000}"/>
    <hyperlink ref="A24" r:id="rId92" xr:uid="{00000000-0004-0000-0300-00005B000000}"/>
    <hyperlink ref="A26" r:id="rId93" xr:uid="{00000000-0004-0000-0300-00005C000000}"/>
    <hyperlink ref="A27" r:id="rId94" xr:uid="{00000000-0004-0000-0300-00005D000000}"/>
    <hyperlink ref="A28" r:id="rId95" xr:uid="{00000000-0004-0000-0300-00005E000000}"/>
    <hyperlink ref="A25" r:id="rId96" xr:uid="{00000000-0004-0000-0300-00005F000000}"/>
    <hyperlink ref="C25" r:id="rId97" display="KOHNAN_NTT" xr:uid="{00000000-0004-0000-0300-000060000000}"/>
    <hyperlink ref="A12" r:id="rId98" xr:uid="{00000000-0004-0000-0300-000061000000}"/>
    <hyperlink ref="A13" r:id="rId99" xr:uid="{00000000-0004-0000-0300-000062000000}"/>
    <hyperlink ref="A14" r:id="rId100" xr:uid="{00000000-0004-0000-0300-000063000000}"/>
    <hyperlink ref="A15" r:id="rId101" xr:uid="{00000000-0004-0000-0300-000064000000}"/>
    <hyperlink ref="A18" r:id="rId102" xr:uid="{00000000-0004-0000-0300-000065000000}"/>
    <hyperlink ref="A19" r:id="rId103" xr:uid="{00000000-0004-0000-0300-000066000000}"/>
    <hyperlink ref="C15" r:id="rId104" display="SD_LBIEN" xr:uid="{00000000-0004-0000-0300-000067000000}"/>
    <hyperlink ref="C18" r:id="rId105" display="BIGC_GO_PMY" xr:uid="{00000000-0004-0000-0300-000068000000}"/>
    <hyperlink ref="C19" r:id="rId106" display="COOP_NLB" xr:uid="{00000000-0004-0000-0300-000069000000}"/>
    <hyperlink ref="A16" r:id="rId107" xr:uid="{00000000-0004-0000-0300-00006A000000}"/>
    <hyperlink ref="A17" r:id="rId108" xr:uid="{00000000-0004-0000-0300-00006B000000}"/>
    <hyperlink ref="A20" r:id="rId109" xr:uid="{00000000-0004-0000-0300-00006C000000}"/>
    <hyperlink ref="A21" r:id="rId110" xr:uid="{00000000-0004-0000-0300-00006D000000}"/>
    <hyperlink ref="A22" r:id="rId111" xr:uid="{00000000-0004-0000-0300-00006E000000}"/>
    <hyperlink ref="A23" r:id="rId112" xr:uid="{00000000-0004-0000-0300-00006F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21"/>
  <sheetViews>
    <sheetView topLeftCell="A37" workbookViewId="0">
      <selection activeCell="A47" sqref="A47:C50"/>
    </sheetView>
  </sheetViews>
  <sheetFormatPr defaultRowHeight="15.75" x14ac:dyDescent="0.25"/>
  <cols>
    <col min="1" max="1" width="38.5703125" style="9" customWidth="1"/>
    <col min="2" max="2" width="18.42578125" style="9" customWidth="1"/>
    <col min="3" max="3" width="27.5703125" style="9" bestFit="1" customWidth="1"/>
  </cols>
  <sheetData>
    <row r="1" spans="1:9" ht="18.75" x14ac:dyDescent="0.25">
      <c r="A1" s="14" t="s">
        <v>1513</v>
      </c>
      <c r="B1" s="14" t="s">
        <v>1514</v>
      </c>
      <c r="C1" s="14" t="s">
        <v>1515</v>
      </c>
    </row>
    <row r="2" spans="1:9" x14ac:dyDescent="0.25">
      <c r="A2" s="10" t="s">
        <v>4</v>
      </c>
      <c r="B2" s="9" t="s">
        <v>5</v>
      </c>
      <c r="C2" s="9" t="s">
        <v>6</v>
      </c>
    </row>
    <row r="3" spans="1:9" x14ac:dyDescent="0.25">
      <c r="A3" s="10" t="s">
        <v>7</v>
      </c>
      <c r="B3" s="9" t="s">
        <v>5</v>
      </c>
      <c r="C3" s="9" t="s">
        <v>8</v>
      </c>
    </row>
    <row r="4" spans="1:9" x14ac:dyDescent="0.25">
      <c r="A4" s="10" t="s">
        <v>0</v>
      </c>
      <c r="B4" s="9" t="s">
        <v>0</v>
      </c>
      <c r="C4" s="13" t="s">
        <v>1</v>
      </c>
    </row>
    <row r="5" spans="1:9" x14ac:dyDescent="0.25">
      <c r="A5" s="4" t="s">
        <v>1557</v>
      </c>
      <c r="B5" s="4" t="s">
        <v>1557</v>
      </c>
      <c r="C5" s="17" t="s">
        <v>1556</v>
      </c>
    </row>
    <row r="6" spans="1:9" ht="15" x14ac:dyDescent="0.25">
      <c r="A6" t="s">
        <v>566</v>
      </c>
      <c r="B6" t="s">
        <v>566</v>
      </c>
      <c r="C6" s="3" t="s">
        <v>567</v>
      </c>
    </row>
    <row r="7" spans="1:9" x14ac:dyDescent="0.25">
      <c r="A7" t="s">
        <v>568</v>
      </c>
      <c r="B7" t="s">
        <v>568</v>
      </c>
      <c r="C7" s="3" t="s">
        <v>569</v>
      </c>
      <c r="G7" s="4"/>
      <c r="H7" s="4"/>
      <c r="I7" s="17"/>
    </row>
    <row r="8" spans="1:9" x14ac:dyDescent="0.25">
      <c r="A8" s="22" t="s">
        <v>1604</v>
      </c>
      <c r="B8" s="22" t="s">
        <v>1285</v>
      </c>
      <c r="C8" s="25" t="s">
        <v>1598</v>
      </c>
      <c r="G8" s="4"/>
      <c r="H8" s="4"/>
      <c r="I8" s="26"/>
    </row>
    <row r="9" spans="1:9" x14ac:dyDescent="0.25">
      <c r="A9" s="22" t="s">
        <v>1605</v>
      </c>
      <c r="B9" s="22" t="s">
        <v>638</v>
      </c>
      <c r="C9" s="25" t="s">
        <v>1599</v>
      </c>
      <c r="G9" s="4"/>
      <c r="H9" s="4"/>
      <c r="I9" s="26"/>
    </row>
    <row r="10" spans="1:9" x14ac:dyDescent="0.25">
      <c r="A10" s="22" t="s">
        <v>1606</v>
      </c>
      <c r="B10" t="s">
        <v>263</v>
      </c>
      <c r="C10" s="25" t="s">
        <v>1600</v>
      </c>
      <c r="G10" s="4"/>
      <c r="H10" s="4"/>
      <c r="I10" s="26"/>
    </row>
    <row r="11" spans="1:9" x14ac:dyDescent="0.25">
      <c r="A11" s="22" t="s">
        <v>1607</v>
      </c>
      <c r="B11" s="22" t="s">
        <v>1608</v>
      </c>
      <c r="C11" s="25" t="s">
        <v>1601</v>
      </c>
      <c r="G11" s="4"/>
      <c r="H11" s="4"/>
      <c r="I11" s="26"/>
    </row>
    <row r="12" spans="1:9" x14ac:dyDescent="0.25">
      <c r="A12" s="22" t="s">
        <v>1609</v>
      </c>
      <c r="B12" t="s">
        <v>263</v>
      </c>
      <c r="C12" s="25" t="s">
        <v>1602</v>
      </c>
      <c r="G12" s="4"/>
      <c r="H12" s="4"/>
      <c r="I12" s="26"/>
    </row>
    <row r="13" spans="1:9" x14ac:dyDescent="0.25">
      <c r="A13" s="24" t="s">
        <v>1620</v>
      </c>
      <c r="B13" t="s">
        <v>1666</v>
      </c>
      <c r="C13" s="27" t="s">
        <v>1615</v>
      </c>
      <c r="G13" s="4"/>
      <c r="H13" s="4"/>
      <c r="I13" s="26"/>
    </row>
    <row r="14" spans="1:9" x14ac:dyDescent="0.25">
      <c r="A14" s="24" t="s">
        <v>1618</v>
      </c>
      <c r="B14" t="s">
        <v>1666</v>
      </c>
      <c r="C14" s="27" t="s">
        <v>1616</v>
      </c>
      <c r="G14" s="4"/>
      <c r="H14" s="4"/>
      <c r="I14" s="26"/>
    </row>
    <row r="15" spans="1:9" x14ac:dyDescent="0.25">
      <c r="A15" s="24" t="s">
        <v>1619</v>
      </c>
      <c r="B15" t="s">
        <v>1666</v>
      </c>
      <c r="C15" s="27" t="s">
        <v>1617</v>
      </c>
      <c r="G15" s="4"/>
      <c r="H15" s="4"/>
      <c r="I15" s="26"/>
    </row>
    <row r="16" spans="1:9" x14ac:dyDescent="0.25">
      <c r="A16" s="22" t="s">
        <v>1610</v>
      </c>
      <c r="B16" t="s">
        <v>1666</v>
      </c>
      <c r="C16" s="25" t="s">
        <v>1603</v>
      </c>
      <c r="G16" s="4"/>
      <c r="H16" s="4"/>
      <c r="I16" s="26"/>
    </row>
    <row r="17" spans="1:9" x14ac:dyDescent="0.25">
      <c r="A17" s="18" t="s">
        <v>1611</v>
      </c>
      <c r="B17" t="s">
        <v>263</v>
      </c>
      <c r="C17" s="18" t="s">
        <v>1613</v>
      </c>
      <c r="G17" s="4"/>
      <c r="H17" s="4"/>
      <c r="I17" s="26"/>
    </row>
    <row r="18" spans="1:9" x14ac:dyDescent="0.25">
      <c r="A18" s="18" t="s">
        <v>1612</v>
      </c>
      <c r="B18" t="s">
        <v>263</v>
      </c>
      <c r="C18" s="18" t="s">
        <v>1614</v>
      </c>
      <c r="G18" s="4"/>
      <c r="H18" s="4"/>
      <c r="I18" s="26"/>
    </row>
    <row r="19" spans="1:9" ht="15" x14ac:dyDescent="0.25">
      <c r="A19" t="s">
        <v>1622</v>
      </c>
      <c r="B19" t="s">
        <v>263</v>
      </c>
      <c r="C19" s="18" t="s">
        <v>1621</v>
      </c>
    </row>
    <row r="20" spans="1:9" ht="15" x14ac:dyDescent="0.25">
      <c r="A20" s="29" t="s">
        <v>1654</v>
      </c>
      <c r="B20" t="s">
        <v>1666</v>
      </c>
      <c r="C20" s="28" t="s">
        <v>1651</v>
      </c>
    </row>
    <row r="21" spans="1:9" ht="15" x14ac:dyDescent="0.25">
      <c r="A21" s="29" t="s">
        <v>1655</v>
      </c>
      <c r="B21" t="s">
        <v>1666</v>
      </c>
      <c r="C21" s="28" t="s">
        <v>1653</v>
      </c>
    </row>
    <row r="22" spans="1:9" ht="15" x14ac:dyDescent="0.25">
      <c r="A22" s="4" t="s">
        <v>1670</v>
      </c>
      <c r="B22" s="4" t="s">
        <v>74</v>
      </c>
      <c r="C22" s="31" t="s">
        <v>1667</v>
      </c>
    </row>
    <row r="23" spans="1:9" ht="15" x14ac:dyDescent="0.25">
      <c r="A23" s="4" t="s">
        <v>1671</v>
      </c>
      <c r="B23" s="4" t="s">
        <v>263</v>
      </c>
      <c r="C23" s="31" t="s">
        <v>1668</v>
      </c>
    </row>
    <row r="24" spans="1:9" ht="15" x14ac:dyDescent="0.25">
      <c r="A24" s="4" t="s">
        <v>1672</v>
      </c>
      <c r="B24" s="4" t="s">
        <v>1672</v>
      </c>
      <c r="C24" s="31" t="s">
        <v>1669</v>
      </c>
    </row>
    <row r="25" spans="1:9" ht="15" x14ac:dyDescent="0.25">
      <c r="A25" s="21" t="s">
        <v>1676</v>
      </c>
      <c r="B25" s="4" t="s">
        <v>74</v>
      </c>
      <c r="C25" s="21" t="s">
        <v>1674</v>
      </c>
    </row>
    <row r="26" spans="1:9" ht="15" x14ac:dyDescent="0.25">
      <c r="A26" s="21" t="s">
        <v>1677</v>
      </c>
      <c r="B26" s="4" t="s">
        <v>138</v>
      </c>
      <c r="C26" s="21" t="s">
        <v>1675</v>
      </c>
    </row>
    <row r="27" spans="1:9" ht="15" x14ac:dyDescent="0.25">
      <c r="A27" s="21" t="s">
        <v>1678</v>
      </c>
      <c r="B27" s="4" t="s">
        <v>263</v>
      </c>
      <c r="C27" s="21" t="s">
        <v>1673</v>
      </c>
    </row>
    <row r="28" spans="1:9" x14ac:dyDescent="0.25">
      <c r="A28" s="29" t="s">
        <v>1377</v>
      </c>
      <c r="B28" s="10" t="s">
        <v>1285</v>
      </c>
      <c r="C28" s="28" t="s">
        <v>1652</v>
      </c>
    </row>
    <row r="29" spans="1:9" ht="15" x14ac:dyDescent="0.25">
      <c r="A29" s="22" t="s">
        <v>1661</v>
      </c>
      <c r="B29" t="s">
        <v>1666</v>
      </c>
      <c r="C29" s="30" t="s">
        <v>1656</v>
      </c>
    </row>
    <row r="30" spans="1:9" x14ac:dyDescent="0.25">
      <c r="A30" s="30" t="s">
        <v>1662</v>
      </c>
      <c r="B30" s="10" t="s">
        <v>135</v>
      </c>
      <c r="C30" s="30" t="s">
        <v>1657</v>
      </c>
    </row>
    <row r="31" spans="1:9" ht="15" x14ac:dyDescent="0.25">
      <c r="A31" s="22" t="s">
        <v>1663</v>
      </c>
      <c r="B31" t="s">
        <v>1666</v>
      </c>
      <c r="C31" s="30" t="s">
        <v>1658</v>
      </c>
    </row>
    <row r="32" spans="1:9" x14ac:dyDescent="0.25">
      <c r="A32" s="22" t="s">
        <v>1664</v>
      </c>
      <c r="B32" s="10" t="s">
        <v>263</v>
      </c>
      <c r="C32" s="30" t="s">
        <v>1659</v>
      </c>
    </row>
    <row r="33" spans="1:3" x14ac:dyDescent="0.25">
      <c r="A33" s="22" t="s">
        <v>1665</v>
      </c>
      <c r="B33" s="10" t="s">
        <v>74</v>
      </c>
      <c r="C33" s="30" t="s">
        <v>1660</v>
      </c>
    </row>
    <row r="34" spans="1:3" x14ac:dyDescent="0.25">
      <c r="A34" s="10" t="s">
        <v>1636</v>
      </c>
      <c r="B34" s="10" t="s">
        <v>1396</v>
      </c>
      <c r="C34" s="28" t="s">
        <v>1623</v>
      </c>
    </row>
    <row r="35" spans="1:3" x14ac:dyDescent="0.25">
      <c r="A35" s="10" t="s">
        <v>1637</v>
      </c>
      <c r="B35" s="10" t="s">
        <v>1396</v>
      </c>
      <c r="C35" s="28" t="s">
        <v>1624</v>
      </c>
    </row>
    <row r="36" spans="1:3" x14ac:dyDescent="0.25">
      <c r="A36" s="10" t="s">
        <v>1638</v>
      </c>
      <c r="B36" s="10" t="s">
        <v>138</v>
      </c>
      <c r="C36" s="28" t="s">
        <v>1625</v>
      </c>
    </row>
    <row r="37" spans="1:3" x14ac:dyDescent="0.25">
      <c r="A37" s="10" t="s">
        <v>1639</v>
      </c>
      <c r="B37" s="10" t="s">
        <v>605</v>
      </c>
      <c r="C37" s="28" t="s">
        <v>1626</v>
      </c>
    </row>
    <row r="38" spans="1:3" x14ac:dyDescent="0.25">
      <c r="A38" s="10" t="s">
        <v>1640</v>
      </c>
      <c r="B38" t="s">
        <v>1666</v>
      </c>
      <c r="C38" s="28" t="s">
        <v>1627</v>
      </c>
    </row>
    <row r="39" spans="1:3" x14ac:dyDescent="0.25">
      <c r="A39" s="10" t="s">
        <v>1641</v>
      </c>
      <c r="B39" s="10" t="s">
        <v>74</v>
      </c>
      <c r="C39" s="28" t="s">
        <v>1628</v>
      </c>
    </row>
    <row r="40" spans="1:3" x14ac:dyDescent="0.25">
      <c r="A40" s="10" t="s">
        <v>1642</v>
      </c>
      <c r="B40" s="10" t="s">
        <v>74</v>
      </c>
      <c r="C40" s="28" t="s">
        <v>1629</v>
      </c>
    </row>
    <row r="41" spans="1:3" x14ac:dyDescent="0.25">
      <c r="A41" s="10" t="s">
        <v>1643</v>
      </c>
      <c r="B41" t="s">
        <v>1666</v>
      </c>
      <c r="C41" s="28" t="s">
        <v>1630</v>
      </c>
    </row>
    <row r="42" spans="1:3" x14ac:dyDescent="0.25">
      <c r="A42" s="28" t="s">
        <v>1644</v>
      </c>
      <c r="B42" s="10" t="s">
        <v>1645</v>
      </c>
      <c r="C42" s="28" t="s">
        <v>1631</v>
      </c>
    </row>
    <row r="43" spans="1:3" x14ac:dyDescent="0.25">
      <c r="A43" s="28" t="s">
        <v>1646</v>
      </c>
      <c r="B43" s="10" t="s">
        <v>533</v>
      </c>
      <c r="C43" s="28" t="s">
        <v>1632</v>
      </c>
    </row>
    <row r="44" spans="1:3" x14ac:dyDescent="0.25">
      <c r="A44" s="29" t="s">
        <v>1647</v>
      </c>
      <c r="B44" s="10" t="s">
        <v>74</v>
      </c>
      <c r="C44" s="28" t="s">
        <v>1633</v>
      </c>
    </row>
    <row r="45" spans="1:3" x14ac:dyDescent="0.25">
      <c r="A45" s="29" t="s">
        <v>1648</v>
      </c>
      <c r="B45" s="10" t="s">
        <v>1645</v>
      </c>
      <c r="C45" s="28" t="s">
        <v>1634</v>
      </c>
    </row>
    <row r="46" spans="1:3" x14ac:dyDescent="0.25">
      <c r="A46" s="28" t="s">
        <v>1377</v>
      </c>
      <c r="B46" s="10" t="s">
        <v>1285</v>
      </c>
      <c r="C46" s="28" t="s">
        <v>1635</v>
      </c>
    </row>
    <row r="47" spans="1:3" x14ac:dyDescent="0.25">
      <c r="A47" s="22" t="s">
        <v>1689</v>
      </c>
      <c r="B47" s="10" t="s">
        <v>263</v>
      </c>
      <c r="C47" s="32" t="s">
        <v>1684</v>
      </c>
    </row>
    <row r="48" spans="1:3" x14ac:dyDescent="0.25">
      <c r="A48" s="22" t="s">
        <v>1690</v>
      </c>
      <c r="B48" s="10" t="s">
        <v>263</v>
      </c>
      <c r="C48" s="32" t="s">
        <v>1685</v>
      </c>
    </row>
    <row r="49" spans="1:3" x14ac:dyDescent="0.25">
      <c r="A49" s="32" t="s">
        <v>1687</v>
      </c>
      <c r="B49" s="10" t="s">
        <v>1691</v>
      </c>
      <c r="C49" s="32" t="s">
        <v>1686</v>
      </c>
    </row>
    <row r="50" spans="1:3" ht="15" x14ac:dyDescent="0.25">
      <c r="A50" s="24" t="s">
        <v>1692</v>
      </c>
      <c r="B50" t="s">
        <v>527</v>
      </c>
      <c r="C50" s="32" t="s">
        <v>1688</v>
      </c>
    </row>
    <row r="51" spans="1:3" x14ac:dyDescent="0.25">
      <c r="A51" s="22" t="s">
        <v>1681</v>
      </c>
      <c r="B51" s="10" t="s">
        <v>263</v>
      </c>
      <c r="C51" s="32" t="s">
        <v>1679</v>
      </c>
    </row>
    <row r="52" spans="1:3" x14ac:dyDescent="0.25">
      <c r="A52" s="22" t="s">
        <v>1682</v>
      </c>
      <c r="B52" s="10" t="s">
        <v>87</v>
      </c>
      <c r="C52" s="32" t="s">
        <v>1680</v>
      </c>
    </row>
    <row r="53" spans="1:3" ht="15" x14ac:dyDescent="0.25">
      <c r="A53" s="29" t="s">
        <v>1650</v>
      </c>
      <c r="B53" t="s">
        <v>1666</v>
      </c>
      <c r="C53" s="28" t="s">
        <v>1649</v>
      </c>
    </row>
    <row r="54" spans="1:3" ht="15" x14ac:dyDescent="0.25">
      <c r="A54" s="4" t="s">
        <v>84</v>
      </c>
      <c r="B54" s="4" t="s">
        <v>74</v>
      </c>
      <c r="C54" s="3" t="s">
        <v>85</v>
      </c>
    </row>
    <row r="55" spans="1:3" ht="15" x14ac:dyDescent="0.25">
      <c r="A55" t="s">
        <v>1555</v>
      </c>
      <c r="B55" s="4" t="s">
        <v>74</v>
      </c>
      <c r="C55" s="3" t="s">
        <v>1554</v>
      </c>
    </row>
    <row r="56" spans="1:3" x14ac:dyDescent="0.25">
      <c r="A56" s="10" t="s">
        <v>9</v>
      </c>
      <c r="B56" s="9" t="s">
        <v>10</v>
      </c>
      <c r="C56" s="9" t="s">
        <v>11</v>
      </c>
    </row>
    <row r="57" spans="1:3" x14ac:dyDescent="0.25">
      <c r="A57" s="10" t="s">
        <v>12</v>
      </c>
      <c r="B57" s="9" t="s">
        <v>10</v>
      </c>
      <c r="C57" s="9" t="s">
        <v>13</v>
      </c>
    </row>
    <row r="58" spans="1:3" x14ac:dyDescent="0.25">
      <c r="A58" s="10" t="s">
        <v>14</v>
      </c>
      <c r="B58" s="9" t="s">
        <v>10</v>
      </c>
      <c r="C58" s="9" t="s">
        <v>15</v>
      </c>
    </row>
    <row r="59" spans="1:3" x14ac:dyDescent="0.25">
      <c r="A59" s="10" t="s">
        <v>16</v>
      </c>
      <c r="B59" s="9" t="s">
        <v>10</v>
      </c>
      <c r="C59" s="2" t="s">
        <v>17</v>
      </c>
    </row>
    <row r="60" spans="1:3" x14ac:dyDescent="0.25">
      <c r="A60" s="10" t="s">
        <v>20</v>
      </c>
      <c r="B60" s="9" t="s">
        <v>10</v>
      </c>
      <c r="C60" s="9" t="s">
        <v>21</v>
      </c>
    </row>
    <row r="61" spans="1:3" x14ac:dyDescent="0.25">
      <c r="A61" s="10" t="s">
        <v>22</v>
      </c>
      <c r="B61" s="9" t="s">
        <v>10</v>
      </c>
      <c r="C61" s="9" t="s">
        <v>23</v>
      </c>
    </row>
    <row r="62" spans="1:3" x14ac:dyDescent="0.25">
      <c r="A62" s="9" t="s">
        <v>18</v>
      </c>
      <c r="B62" s="9" t="s">
        <v>10</v>
      </c>
      <c r="C62" s="3" t="s">
        <v>19</v>
      </c>
    </row>
    <row r="63" spans="1:3" x14ac:dyDescent="0.25">
      <c r="A63" s="10" t="s">
        <v>24</v>
      </c>
      <c r="B63" s="9" t="s">
        <v>25</v>
      </c>
      <c r="C63" s="9" t="s">
        <v>26</v>
      </c>
    </row>
    <row r="64" spans="1:3" x14ac:dyDescent="0.25">
      <c r="A64" s="10" t="s">
        <v>27</v>
      </c>
      <c r="B64" s="9" t="s">
        <v>25</v>
      </c>
      <c r="C64" s="9" t="s">
        <v>28</v>
      </c>
    </row>
    <row r="65" spans="1:3" x14ac:dyDescent="0.25">
      <c r="A65" s="10" t="s">
        <v>29</v>
      </c>
      <c r="B65" s="9" t="s">
        <v>25</v>
      </c>
      <c r="C65" s="9" t="s">
        <v>30</v>
      </c>
    </row>
    <row r="66" spans="1:3" x14ac:dyDescent="0.25">
      <c r="A66" s="10" t="s">
        <v>31</v>
      </c>
      <c r="B66" s="9" t="s">
        <v>25</v>
      </c>
      <c r="C66" s="9" t="s">
        <v>32</v>
      </c>
    </row>
    <row r="67" spans="1:3" x14ac:dyDescent="0.25">
      <c r="A67" s="10" t="s">
        <v>33</v>
      </c>
      <c r="B67" s="9" t="s">
        <v>25</v>
      </c>
      <c r="C67" s="9" t="s">
        <v>34</v>
      </c>
    </row>
    <row r="68" spans="1:3" x14ac:dyDescent="0.25">
      <c r="A68" s="10" t="s">
        <v>35</v>
      </c>
      <c r="B68" s="9" t="s">
        <v>25</v>
      </c>
      <c r="C68" s="9" t="s">
        <v>36</v>
      </c>
    </row>
    <row r="69" spans="1:3" x14ac:dyDescent="0.25">
      <c r="A69" s="10" t="s">
        <v>37</v>
      </c>
      <c r="B69" s="9" t="s">
        <v>25</v>
      </c>
      <c r="C69" s="9" t="s">
        <v>38</v>
      </c>
    </row>
    <row r="70" spans="1:3" x14ac:dyDescent="0.25">
      <c r="A70" s="10" t="s">
        <v>39</v>
      </c>
      <c r="B70" s="9" t="s">
        <v>25</v>
      </c>
      <c r="C70" s="9" t="s">
        <v>40</v>
      </c>
    </row>
    <row r="71" spans="1:3" x14ac:dyDescent="0.25">
      <c r="A71" s="10" t="s">
        <v>41</v>
      </c>
      <c r="B71" s="9" t="s">
        <v>25</v>
      </c>
      <c r="C71" s="9" t="s">
        <v>42</v>
      </c>
    </row>
    <row r="72" spans="1:3" x14ac:dyDescent="0.25">
      <c r="A72" s="10" t="s">
        <v>43</v>
      </c>
      <c r="B72" s="9" t="s">
        <v>25</v>
      </c>
      <c r="C72" s="9" t="s">
        <v>44</v>
      </c>
    </row>
    <row r="73" spans="1:3" x14ac:dyDescent="0.25">
      <c r="A73" s="10" t="s">
        <v>45</v>
      </c>
      <c r="B73" s="9" t="s">
        <v>25</v>
      </c>
      <c r="C73" s="9" t="s">
        <v>46</v>
      </c>
    </row>
    <row r="74" spans="1:3" x14ac:dyDescent="0.25">
      <c r="A74" s="10" t="s">
        <v>47</v>
      </c>
      <c r="B74" s="9" t="s">
        <v>25</v>
      </c>
      <c r="C74" s="9" t="s">
        <v>48</v>
      </c>
    </row>
    <row r="75" spans="1:3" x14ac:dyDescent="0.25">
      <c r="A75" s="10" t="s">
        <v>49</v>
      </c>
      <c r="B75" s="9" t="s">
        <v>25</v>
      </c>
      <c r="C75" s="9" t="s">
        <v>50</v>
      </c>
    </row>
    <row r="76" spans="1:3" x14ac:dyDescent="0.25">
      <c r="A76" s="10" t="s">
        <v>51</v>
      </c>
      <c r="B76" s="9" t="s">
        <v>25</v>
      </c>
      <c r="C76" s="9" t="s">
        <v>52</v>
      </c>
    </row>
    <row r="77" spans="1:3" x14ac:dyDescent="0.25">
      <c r="A77" s="10" t="s">
        <v>53</v>
      </c>
      <c r="B77" s="9" t="s">
        <v>25</v>
      </c>
      <c r="C77" s="9" t="s">
        <v>54</v>
      </c>
    </row>
    <row r="78" spans="1:3" x14ac:dyDescent="0.25">
      <c r="A78" s="10" t="s">
        <v>55</v>
      </c>
      <c r="B78" s="9" t="s">
        <v>25</v>
      </c>
      <c r="C78" s="9" t="s">
        <v>56</v>
      </c>
    </row>
    <row r="79" spans="1:3" x14ac:dyDescent="0.25">
      <c r="A79" s="10" t="s">
        <v>57</v>
      </c>
      <c r="B79" s="9" t="s">
        <v>25</v>
      </c>
      <c r="C79" s="9" t="s">
        <v>58</v>
      </c>
    </row>
    <row r="80" spans="1:3" x14ac:dyDescent="0.25">
      <c r="A80" s="10" t="s">
        <v>59</v>
      </c>
      <c r="B80" s="9" t="s">
        <v>25</v>
      </c>
      <c r="C80" s="9" t="s">
        <v>60</v>
      </c>
    </row>
    <row r="81" spans="1:3" x14ac:dyDescent="0.25">
      <c r="A81" s="10" t="s">
        <v>61</v>
      </c>
      <c r="B81" s="9" t="s">
        <v>25</v>
      </c>
      <c r="C81" s="9" t="s">
        <v>62</v>
      </c>
    </row>
    <row r="82" spans="1:3" x14ac:dyDescent="0.25">
      <c r="A82" s="10" t="s">
        <v>63</v>
      </c>
      <c r="B82" s="9" t="s">
        <v>25</v>
      </c>
      <c r="C82" s="9" t="s">
        <v>64</v>
      </c>
    </row>
    <row r="83" spans="1:3" x14ac:dyDescent="0.25">
      <c r="A83" s="10" t="s">
        <v>65</v>
      </c>
      <c r="B83" s="9" t="s">
        <v>25</v>
      </c>
      <c r="C83" s="9" t="s">
        <v>66</v>
      </c>
    </row>
    <row r="84" spans="1:3" x14ac:dyDescent="0.25">
      <c r="A84" s="10" t="s">
        <v>67</v>
      </c>
      <c r="B84" s="9" t="s">
        <v>25</v>
      </c>
      <c r="C84" s="9" t="s">
        <v>68</v>
      </c>
    </row>
    <row r="85" spans="1:3" x14ac:dyDescent="0.25">
      <c r="A85" s="10" t="s">
        <v>69</v>
      </c>
      <c r="B85" s="9" t="s">
        <v>25</v>
      </c>
      <c r="C85" s="9" t="s">
        <v>70</v>
      </c>
    </row>
    <row r="86" spans="1:3" x14ac:dyDescent="0.25">
      <c r="A86" s="10" t="s">
        <v>71</v>
      </c>
      <c r="B86" s="9" t="s">
        <v>25</v>
      </c>
      <c r="C86" s="9" t="s">
        <v>72</v>
      </c>
    </row>
    <row r="87" spans="1:3" x14ac:dyDescent="0.25">
      <c r="A87" s="10" t="s">
        <v>73</v>
      </c>
      <c r="B87" s="9" t="s">
        <v>74</v>
      </c>
      <c r="C87" s="9" t="s">
        <v>75</v>
      </c>
    </row>
    <row r="88" spans="1:3" x14ac:dyDescent="0.25">
      <c r="A88" s="10" t="s">
        <v>76</v>
      </c>
      <c r="B88" s="9" t="s">
        <v>74</v>
      </c>
      <c r="C88" s="9" t="s">
        <v>77</v>
      </c>
    </row>
    <row r="89" spans="1:3" x14ac:dyDescent="0.25">
      <c r="A89" s="10" t="s">
        <v>78</v>
      </c>
      <c r="B89" s="9" t="s">
        <v>74</v>
      </c>
      <c r="C89" s="9" t="s">
        <v>79</v>
      </c>
    </row>
    <row r="90" spans="1:3" x14ac:dyDescent="0.25">
      <c r="A90" s="10" t="s">
        <v>80</v>
      </c>
      <c r="B90" s="9" t="s">
        <v>74</v>
      </c>
      <c r="C90" s="9" t="s">
        <v>81</v>
      </c>
    </row>
    <row r="91" spans="1:3" x14ac:dyDescent="0.25">
      <c r="A91" s="10" t="s">
        <v>82</v>
      </c>
      <c r="B91" s="9" t="s">
        <v>74</v>
      </c>
      <c r="C91" s="9" t="s">
        <v>83</v>
      </c>
    </row>
    <row r="92" spans="1:3" ht="15" x14ac:dyDescent="0.25">
      <c r="A92" s="4" t="s">
        <v>1568</v>
      </c>
      <c r="B92" s="4" t="s">
        <v>74</v>
      </c>
      <c r="C92" s="21" t="s">
        <v>1566</v>
      </c>
    </row>
    <row r="93" spans="1:3" ht="15" x14ac:dyDescent="0.25">
      <c r="A93" s="4" t="s">
        <v>1597</v>
      </c>
      <c r="B93" s="4" t="s">
        <v>74</v>
      </c>
      <c r="C93" s="18" t="s">
        <v>1591</v>
      </c>
    </row>
    <row r="94" spans="1:3" ht="15" x14ac:dyDescent="0.25">
      <c r="A94" s="22" t="s">
        <v>1574</v>
      </c>
      <c r="B94" s="22" t="s">
        <v>138</v>
      </c>
      <c r="C94" s="18" t="s">
        <v>1571</v>
      </c>
    </row>
    <row r="95" spans="1:3" ht="15" x14ac:dyDescent="0.25">
      <c r="A95" s="22" t="s">
        <v>1575</v>
      </c>
      <c r="B95" s="22" t="s">
        <v>87</v>
      </c>
      <c r="C95" s="18" t="s">
        <v>1572</v>
      </c>
    </row>
    <row r="96" spans="1:3" ht="15" x14ac:dyDescent="0.25">
      <c r="A96" t="s">
        <v>1577</v>
      </c>
      <c r="B96" t="s">
        <v>135</v>
      </c>
      <c r="C96" s="23" t="s">
        <v>1576</v>
      </c>
    </row>
    <row r="97" spans="1:3" ht="15" x14ac:dyDescent="0.25">
      <c r="A97" s="21" t="s">
        <v>1569</v>
      </c>
      <c r="B97" s="21" t="s">
        <v>1569</v>
      </c>
      <c r="C97" s="21" t="s">
        <v>1567</v>
      </c>
    </row>
    <row r="98" spans="1:3" x14ac:dyDescent="0.25">
      <c r="A98" s="10" t="s">
        <v>235</v>
      </c>
      <c r="B98" s="10" t="s">
        <v>236</v>
      </c>
      <c r="C98" s="3" t="s">
        <v>237</v>
      </c>
    </row>
    <row r="99" spans="1:3" ht="15" x14ac:dyDescent="0.25">
      <c r="A99" t="s">
        <v>107</v>
      </c>
      <c r="B99" s="6" t="s">
        <v>87</v>
      </c>
      <c r="C99" s="3" t="s">
        <v>108</v>
      </c>
    </row>
    <row r="100" spans="1:3" ht="15" x14ac:dyDescent="0.25">
      <c r="A100" t="s">
        <v>109</v>
      </c>
      <c r="B100" s="6" t="s">
        <v>87</v>
      </c>
      <c r="C100" s="3" t="s">
        <v>110</v>
      </c>
    </row>
    <row r="101" spans="1:3" ht="15" x14ac:dyDescent="0.25">
      <c r="A101" t="s">
        <v>111</v>
      </c>
      <c r="B101" s="6" t="s">
        <v>87</v>
      </c>
      <c r="C101" s="5" t="s">
        <v>112</v>
      </c>
    </row>
    <row r="102" spans="1:3" ht="15" x14ac:dyDescent="0.25">
      <c r="A102" t="s">
        <v>113</v>
      </c>
      <c r="B102" s="6" t="s">
        <v>87</v>
      </c>
      <c r="C102" s="5" t="s">
        <v>114</v>
      </c>
    </row>
    <row r="103" spans="1:3" ht="15" x14ac:dyDescent="0.25">
      <c r="A103" t="s">
        <v>115</v>
      </c>
      <c r="B103" s="6" t="s">
        <v>87</v>
      </c>
      <c r="C103" s="3" t="s">
        <v>116</v>
      </c>
    </row>
    <row r="104" spans="1:3" ht="15" x14ac:dyDescent="0.25">
      <c r="A104" t="s">
        <v>119</v>
      </c>
      <c r="B104" s="6" t="s">
        <v>87</v>
      </c>
      <c r="C104" s="3" t="s">
        <v>120</v>
      </c>
    </row>
    <row r="105" spans="1:3" ht="15" x14ac:dyDescent="0.25">
      <c r="A105" t="s">
        <v>117</v>
      </c>
      <c r="B105" s="6" t="s">
        <v>87</v>
      </c>
      <c r="C105" s="7" t="s">
        <v>118</v>
      </c>
    </row>
    <row r="106" spans="1:3" x14ac:dyDescent="0.25">
      <c r="A106" s="10" t="s">
        <v>86</v>
      </c>
      <c r="B106" s="10" t="s">
        <v>87</v>
      </c>
      <c r="C106" s="3" t="s">
        <v>88</v>
      </c>
    </row>
    <row r="107" spans="1:3" x14ac:dyDescent="0.25">
      <c r="A107" s="10" t="s">
        <v>89</v>
      </c>
      <c r="B107" s="10" t="s">
        <v>87</v>
      </c>
      <c r="C107" s="3" t="s">
        <v>90</v>
      </c>
    </row>
    <row r="108" spans="1:3" x14ac:dyDescent="0.25">
      <c r="A108" s="10" t="s">
        <v>91</v>
      </c>
      <c r="B108" s="10" t="s">
        <v>87</v>
      </c>
      <c r="C108" s="3" t="s">
        <v>92</v>
      </c>
    </row>
    <row r="109" spans="1:3" x14ac:dyDescent="0.25">
      <c r="A109" s="10" t="s">
        <v>93</v>
      </c>
      <c r="B109" s="10" t="s">
        <v>87</v>
      </c>
      <c r="C109" s="9" t="s">
        <v>94</v>
      </c>
    </row>
    <row r="110" spans="1:3" x14ac:dyDescent="0.25">
      <c r="A110" s="10" t="s">
        <v>95</v>
      </c>
      <c r="B110" s="10" t="s">
        <v>87</v>
      </c>
      <c r="C110" s="9" t="s">
        <v>96</v>
      </c>
    </row>
    <row r="111" spans="1:3" x14ac:dyDescent="0.25">
      <c r="A111" s="10" t="s">
        <v>97</v>
      </c>
      <c r="B111" s="10" t="s">
        <v>87</v>
      </c>
      <c r="C111" s="9" t="s">
        <v>98</v>
      </c>
    </row>
    <row r="112" spans="1:3" x14ac:dyDescent="0.25">
      <c r="A112" s="10" t="s">
        <v>99</v>
      </c>
      <c r="B112" s="9" t="s">
        <v>87</v>
      </c>
      <c r="C112" s="9" t="s">
        <v>100</v>
      </c>
    </row>
    <row r="113" spans="1:3" x14ac:dyDescent="0.25">
      <c r="A113" s="10" t="s">
        <v>101</v>
      </c>
      <c r="B113" s="9" t="s">
        <v>87</v>
      </c>
      <c r="C113" s="9" t="s">
        <v>102</v>
      </c>
    </row>
    <row r="114" spans="1:3" x14ac:dyDescent="0.25">
      <c r="A114" s="10" t="s">
        <v>103</v>
      </c>
      <c r="B114" s="9" t="s">
        <v>87</v>
      </c>
      <c r="C114" s="9" t="s">
        <v>104</v>
      </c>
    </row>
    <row r="115" spans="1:3" x14ac:dyDescent="0.25">
      <c r="A115" s="10" t="s">
        <v>105</v>
      </c>
      <c r="B115" s="9" t="s">
        <v>87</v>
      </c>
      <c r="C115" s="9" t="s">
        <v>106</v>
      </c>
    </row>
    <row r="116" spans="1:3" x14ac:dyDescent="0.25">
      <c r="A116" t="s">
        <v>121</v>
      </c>
      <c r="B116" s="9" t="s">
        <v>87</v>
      </c>
      <c r="C116" s="8" t="s">
        <v>122</v>
      </c>
    </row>
    <row r="117" spans="1:3" x14ac:dyDescent="0.25">
      <c r="A117" t="s">
        <v>123</v>
      </c>
      <c r="B117" s="9" t="s">
        <v>87</v>
      </c>
      <c r="C117" s="8" t="s">
        <v>124</v>
      </c>
    </row>
    <row r="118" spans="1:3" x14ac:dyDescent="0.25">
      <c r="A118" s="9" t="s">
        <v>125</v>
      </c>
      <c r="B118" s="9" t="s">
        <v>87</v>
      </c>
      <c r="C118" s="9" t="s">
        <v>126</v>
      </c>
    </row>
    <row r="119" spans="1:3" ht="15" x14ac:dyDescent="0.25">
      <c r="A119" t="s">
        <v>127</v>
      </c>
      <c r="B119" s="6" t="s">
        <v>87</v>
      </c>
      <c r="C119" s="3" t="s">
        <v>128</v>
      </c>
    </row>
    <row r="120" spans="1:3" ht="15" x14ac:dyDescent="0.25">
      <c r="A120" t="s">
        <v>1531</v>
      </c>
      <c r="B120" s="6" t="s">
        <v>87</v>
      </c>
      <c r="C120" s="3" t="s">
        <v>1532</v>
      </c>
    </row>
    <row r="121" spans="1:3" ht="15" x14ac:dyDescent="0.25">
      <c r="A121" t="s">
        <v>1533</v>
      </c>
      <c r="B121" s="6" t="s">
        <v>87</v>
      </c>
      <c r="C121" s="3" t="s">
        <v>1534</v>
      </c>
    </row>
    <row r="122" spans="1:3" ht="15" x14ac:dyDescent="0.25">
      <c r="A122" t="s">
        <v>1511</v>
      </c>
      <c r="B122" t="s">
        <v>1511</v>
      </c>
      <c r="C122" s="12" t="s">
        <v>1512</v>
      </c>
    </row>
    <row r="123" spans="1:3" x14ac:dyDescent="0.25">
      <c r="A123" s="18" t="s">
        <v>1560</v>
      </c>
      <c r="B123" s="10" t="s">
        <v>1563</v>
      </c>
      <c r="C123" s="18" t="s">
        <v>1559</v>
      </c>
    </row>
    <row r="124" spans="1:3" ht="15" x14ac:dyDescent="0.25">
      <c r="A124" t="s">
        <v>2</v>
      </c>
      <c r="B124" t="s">
        <v>2</v>
      </c>
      <c r="C124" s="1" t="s">
        <v>3</v>
      </c>
    </row>
    <row r="125" spans="1:3" x14ac:dyDescent="0.25">
      <c r="A125" s="10" t="s">
        <v>137</v>
      </c>
      <c r="B125" s="9" t="s">
        <v>138</v>
      </c>
      <c r="C125" s="9" t="s">
        <v>139</v>
      </c>
    </row>
    <row r="126" spans="1:3" x14ac:dyDescent="0.25">
      <c r="A126" s="10" t="s">
        <v>140</v>
      </c>
      <c r="B126" s="9" t="s">
        <v>138</v>
      </c>
      <c r="C126" s="9" t="s">
        <v>141</v>
      </c>
    </row>
    <row r="127" spans="1:3" x14ac:dyDescent="0.25">
      <c r="A127" s="10" t="s">
        <v>142</v>
      </c>
      <c r="B127" s="9" t="s">
        <v>138</v>
      </c>
      <c r="C127" s="9" t="s">
        <v>143</v>
      </c>
    </row>
    <row r="128" spans="1:3" x14ac:dyDescent="0.25">
      <c r="A128" s="10" t="s">
        <v>144</v>
      </c>
      <c r="B128" s="9" t="s">
        <v>138</v>
      </c>
      <c r="C128" s="9" t="s">
        <v>145</v>
      </c>
    </row>
    <row r="129" spans="1:3" x14ac:dyDescent="0.25">
      <c r="A129" s="10" t="s">
        <v>146</v>
      </c>
      <c r="B129" s="9" t="s">
        <v>138</v>
      </c>
      <c r="C129" s="9" t="s">
        <v>147</v>
      </c>
    </row>
    <row r="130" spans="1:3" x14ac:dyDescent="0.25">
      <c r="A130" s="10" t="s">
        <v>148</v>
      </c>
      <c r="B130" s="9" t="s">
        <v>138</v>
      </c>
      <c r="C130" s="9" t="s">
        <v>149</v>
      </c>
    </row>
    <row r="131" spans="1:3" x14ac:dyDescent="0.25">
      <c r="A131" s="10" t="s">
        <v>150</v>
      </c>
      <c r="B131" s="9" t="s">
        <v>138</v>
      </c>
      <c r="C131" s="9" t="s">
        <v>151</v>
      </c>
    </row>
    <row r="132" spans="1:3" x14ac:dyDescent="0.25">
      <c r="A132" s="10" t="s">
        <v>152</v>
      </c>
      <c r="B132" s="9" t="s">
        <v>138</v>
      </c>
      <c r="C132" s="9" t="s">
        <v>153</v>
      </c>
    </row>
    <row r="133" spans="1:3" x14ac:dyDescent="0.25">
      <c r="A133" s="10" t="s">
        <v>154</v>
      </c>
      <c r="B133" s="9" t="s">
        <v>138</v>
      </c>
      <c r="C133" s="9" t="s">
        <v>155</v>
      </c>
    </row>
    <row r="134" spans="1:3" x14ac:dyDescent="0.25">
      <c r="A134" s="10" t="s">
        <v>156</v>
      </c>
      <c r="B134" s="9" t="s">
        <v>138</v>
      </c>
      <c r="C134" s="9" t="s">
        <v>157</v>
      </c>
    </row>
    <row r="135" spans="1:3" x14ac:dyDescent="0.25">
      <c r="A135" s="10" t="s">
        <v>158</v>
      </c>
      <c r="B135" s="9" t="s">
        <v>138</v>
      </c>
      <c r="C135" s="9" t="s">
        <v>159</v>
      </c>
    </row>
    <row r="136" spans="1:3" x14ac:dyDescent="0.25">
      <c r="A136" s="10" t="s">
        <v>160</v>
      </c>
      <c r="B136" s="9" t="s">
        <v>138</v>
      </c>
      <c r="C136" s="9" t="s">
        <v>161</v>
      </c>
    </row>
    <row r="137" spans="1:3" x14ac:dyDescent="0.25">
      <c r="A137" s="10" t="s">
        <v>162</v>
      </c>
      <c r="B137" s="9" t="s">
        <v>138</v>
      </c>
      <c r="C137" s="9" t="s">
        <v>163</v>
      </c>
    </row>
    <row r="138" spans="1:3" x14ac:dyDescent="0.25">
      <c r="A138" s="10" t="s">
        <v>164</v>
      </c>
      <c r="B138" s="9" t="s">
        <v>138</v>
      </c>
      <c r="C138" s="9" t="s">
        <v>165</v>
      </c>
    </row>
    <row r="139" spans="1:3" x14ac:dyDescent="0.25">
      <c r="A139" s="10" t="s">
        <v>166</v>
      </c>
      <c r="B139" s="9" t="s">
        <v>138</v>
      </c>
      <c r="C139" s="9" t="s">
        <v>167</v>
      </c>
    </row>
    <row r="140" spans="1:3" x14ac:dyDescent="0.25">
      <c r="A140" s="10" t="s">
        <v>168</v>
      </c>
      <c r="B140" s="9" t="s">
        <v>138</v>
      </c>
      <c r="C140" s="9" t="s">
        <v>169</v>
      </c>
    </row>
    <row r="141" spans="1:3" x14ac:dyDescent="0.25">
      <c r="A141" s="10" t="s">
        <v>170</v>
      </c>
      <c r="B141" s="9" t="s">
        <v>138</v>
      </c>
      <c r="C141" s="9" t="s">
        <v>171</v>
      </c>
    </row>
    <row r="142" spans="1:3" x14ac:dyDescent="0.25">
      <c r="A142" s="10" t="s">
        <v>172</v>
      </c>
      <c r="B142" s="9" t="s">
        <v>138</v>
      </c>
      <c r="C142" s="9" t="s">
        <v>173</v>
      </c>
    </row>
    <row r="143" spans="1:3" x14ac:dyDescent="0.25">
      <c r="A143" s="10" t="s">
        <v>174</v>
      </c>
      <c r="B143" s="9" t="s">
        <v>138</v>
      </c>
      <c r="C143" s="9" t="s">
        <v>175</v>
      </c>
    </row>
    <row r="144" spans="1:3" x14ac:dyDescent="0.25">
      <c r="A144" s="10" t="s">
        <v>176</v>
      </c>
      <c r="B144" s="9" t="s">
        <v>138</v>
      </c>
      <c r="C144" s="9" t="s">
        <v>177</v>
      </c>
    </row>
    <row r="145" spans="1:3" x14ac:dyDescent="0.25">
      <c r="A145" s="10" t="s">
        <v>178</v>
      </c>
      <c r="B145" s="9" t="s">
        <v>138</v>
      </c>
      <c r="C145" s="9" t="s">
        <v>179</v>
      </c>
    </row>
    <row r="146" spans="1:3" x14ac:dyDescent="0.25">
      <c r="A146" s="10" t="s">
        <v>180</v>
      </c>
      <c r="B146" s="9" t="s">
        <v>138</v>
      </c>
      <c r="C146" s="9" t="s">
        <v>181</v>
      </c>
    </row>
    <row r="147" spans="1:3" x14ac:dyDescent="0.25">
      <c r="A147" s="10" t="s">
        <v>182</v>
      </c>
      <c r="B147" s="9" t="s">
        <v>138</v>
      </c>
      <c r="C147" s="9" t="s">
        <v>183</v>
      </c>
    </row>
    <row r="148" spans="1:3" x14ac:dyDescent="0.25">
      <c r="A148" s="10" t="s">
        <v>184</v>
      </c>
      <c r="B148" s="9" t="s">
        <v>138</v>
      </c>
      <c r="C148" s="9" t="s">
        <v>185</v>
      </c>
    </row>
    <row r="149" spans="1:3" x14ac:dyDescent="0.25">
      <c r="A149" s="10" t="s">
        <v>186</v>
      </c>
      <c r="B149" s="9" t="s">
        <v>138</v>
      </c>
      <c r="C149" s="9" t="s">
        <v>187</v>
      </c>
    </row>
    <row r="150" spans="1:3" x14ac:dyDescent="0.25">
      <c r="A150" s="10" t="s">
        <v>188</v>
      </c>
      <c r="B150" s="9" t="s">
        <v>138</v>
      </c>
      <c r="C150" s="9" t="s">
        <v>189</v>
      </c>
    </row>
    <row r="151" spans="1:3" x14ac:dyDescent="0.25">
      <c r="A151" s="10" t="s">
        <v>190</v>
      </c>
      <c r="B151" s="9" t="s">
        <v>138</v>
      </c>
      <c r="C151" s="9" t="s">
        <v>191</v>
      </c>
    </row>
    <row r="152" spans="1:3" x14ac:dyDescent="0.25">
      <c r="A152" s="10" t="s">
        <v>192</v>
      </c>
      <c r="B152" s="9" t="s">
        <v>138</v>
      </c>
      <c r="C152" s="9" t="s">
        <v>193</v>
      </c>
    </row>
    <row r="153" spans="1:3" x14ac:dyDescent="0.25">
      <c r="A153" s="10" t="s">
        <v>194</v>
      </c>
      <c r="B153" s="9" t="s">
        <v>138</v>
      </c>
      <c r="C153" s="9" t="s">
        <v>195</v>
      </c>
    </row>
    <row r="154" spans="1:3" x14ac:dyDescent="0.25">
      <c r="A154" s="10" t="s">
        <v>196</v>
      </c>
      <c r="B154" s="9" t="s">
        <v>138</v>
      </c>
      <c r="C154" s="9" t="s">
        <v>197</v>
      </c>
    </row>
    <row r="155" spans="1:3" x14ac:dyDescent="0.25">
      <c r="A155" s="10" t="s">
        <v>198</v>
      </c>
      <c r="B155" s="9" t="s">
        <v>138</v>
      </c>
      <c r="C155" s="9" t="s">
        <v>199</v>
      </c>
    </row>
    <row r="156" spans="1:3" x14ac:dyDescent="0.25">
      <c r="A156" s="10" t="s">
        <v>200</v>
      </c>
      <c r="B156" s="9" t="s">
        <v>138</v>
      </c>
      <c r="C156" s="9" t="s">
        <v>201</v>
      </c>
    </row>
    <row r="157" spans="1:3" x14ac:dyDescent="0.25">
      <c r="A157" s="10" t="s">
        <v>202</v>
      </c>
      <c r="B157" s="9" t="s">
        <v>138</v>
      </c>
      <c r="C157" s="9" t="s">
        <v>203</v>
      </c>
    </row>
    <row r="158" spans="1:3" x14ac:dyDescent="0.25">
      <c r="A158" s="10" t="s">
        <v>204</v>
      </c>
      <c r="B158" s="9" t="s">
        <v>138</v>
      </c>
      <c r="C158" s="9" t="s">
        <v>205</v>
      </c>
    </row>
    <row r="159" spans="1:3" x14ac:dyDescent="0.25">
      <c r="A159" s="10" t="s">
        <v>206</v>
      </c>
      <c r="B159" s="9" t="s">
        <v>138</v>
      </c>
      <c r="C159" s="9" t="s">
        <v>207</v>
      </c>
    </row>
    <row r="160" spans="1:3" x14ac:dyDescent="0.25">
      <c r="A160" s="10" t="s">
        <v>208</v>
      </c>
      <c r="B160" s="9" t="s">
        <v>138</v>
      </c>
      <c r="C160" s="9" t="s">
        <v>209</v>
      </c>
    </row>
    <row r="161" spans="1:3" x14ac:dyDescent="0.25">
      <c r="A161" s="10" t="s">
        <v>210</v>
      </c>
      <c r="B161" s="9" t="s">
        <v>138</v>
      </c>
      <c r="C161" s="9" t="s">
        <v>211</v>
      </c>
    </row>
    <row r="162" spans="1:3" x14ac:dyDescent="0.25">
      <c r="A162" s="10" t="s">
        <v>212</v>
      </c>
      <c r="B162" s="9" t="s">
        <v>138</v>
      </c>
      <c r="C162" s="9" t="s">
        <v>213</v>
      </c>
    </row>
    <row r="163" spans="1:3" x14ac:dyDescent="0.25">
      <c r="A163" s="10" t="s">
        <v>214</v>
      </c>
      <c r="B163" s="9" t="s">
        <v>138</v>
      </c>
      <c r="C163" s="9" t="s">
        <v>215</v>
      </c>
    </row>
    <row r="164" spans="1:3" x14ac:dyDescent="0.25">
      <c r="A164" s="10" t="s">
        <v>216</v>
      </c>
      <c r="B164" s="9" t="s">
        <v>138</v>
      </c>
      <c r="C164" s="9" t="s">
        <v>217</v>
      </c>
    </row>
    <row r="165" spans="1:3" x14ac:dyDescent="0.25">
      <c r="A165" s="10" t="s">
        <v>218</v>
      </c>
      <c r="B165" s="9" t="s">
        <v>138</v>
      </c>
      <c r="C165" s="9" t="s">
        <v>219</v>
      </c>
    </row>
    <row r="166" spans="1:3" x14ac:dyDescent="0.25">
      <c r="A166" s="10" t="s">
        <v>220</v>
      </c>
      <c r="B166" s="9" t="s">
        <v>138</v>
      </c>
      <c r="C166" s="9" t="s">
        <v>221</v>
      </c>
    </row>
    <row r="167" spans="1:3" ht="15" x14ac:dyDescent="0.25">
      <c r="A167" s="4" t="s">
        <v>226</v>
      </c>
      <c r="B167" s="6" t="s">
        <v>138</v>
      </c>
      <c r="C167" s="3" t="s">
        <v>227</v>
      </c>
    </row>
    <row r="168" spans="1:3" ht="15" x14ac:dyDescent="0.25">
      <c r="A168" s="4" t="s">
        <v>228</v>
      </c>
      <c r="B168" s="6" t="s">
        <v>138</v>
      </c>
      <c r="C168" s="3" t="s">
        <v>229</v>
      </c>
    </row>
    <row r="169" spans="1:3" ht="15" x14ac:dyDescent="0.25">
      <c r="A169" s="4" t="s">
        <v>230</v>
      </c>
      <c r="B169" s="4" t="s">
        <v>231</v>
      </c>
      <c r="C169" s="3" t="s">
        <v>232</v>
      </c>
    </row>
    <row r="170" spans="1:3" ht="15" x14ac:dyDescent="0.25">
      <c r="A170" s="4" t="s">
        <v>233</v>
      </c>
      <c r="B170" s="4" t="s">
        <v>231</v>
      </c>
      <c r="C170" s="3" t="s">
        <v>234</v>
      </c>
    </row>
    <row r="171" spans="1:3" x14ac:dyDescent="0.25">
      <c r="A171" s="10" t="s">
        <v>1594</v>
      </c>
      <c r="B171" s="10" t="s">
        <v>236</v>
      </c>
      <c r="C171" s="18" t="s">
        <v>1588</v>
      </c>
    </row>
    <row r="172" spans="1:3" x14ac:dyDescent="0.25">
      <c r="A172" s="10" t="s">
        <v>238</v>
      </c>
      <c r="B172" s="9" t="s">
        <v>138</v>
      </c>
      <c r="C172" s="9" t="s">
        <v>239</v>
      </c>
    </row>
    <row r="173" spans="1:3" x14ac:dyDescent="0.25">
      <c r="A173" s="10" t="s">
        <v>240</v>
      </c>
      <c r="B173" s="9" t="s">
        <v>241</v>
      </c>
      <c r="C173" s="9" t="s">
        <v>242</v>
      </c>
    </row>
    <row r="174" spans="1:3" x14ac:dyDescent="0.25">
      <c r="A174" s="10" t="s">
        <v>243</v>
      </c>
      <c r="B174" s="9" t="s">
        <v>241</v>
      </c>
      <c r="C174" s="9" t="s">
        <v>244</v>
      </c>
    </row>
    <row r="175" spans="1:3" x14ac:dyDescent="0.25">
      <c r="A175" s="10" t="s">
        <v>245</v>
      </c>
      <c r="B175" s="9" t="s">
        <v>241</v>
      </c>
      <c r="C175" s="9" t="s">
        <v>246</v>
      </c>
    </row>
    <row r="176" spans="1:3" x14ac:dyDescent="0.25">
      <c r="A176" s="10" t="s">
        <v>247</v>
      </c>
      <c r="B176" s="9" t="s">
        <v>241</v>
      </c>
      <c r="C176" s="9" t="s">
        <v>248</v>
      </c>
    </row>
    <row r="177" spans="1:3" x14ac:dyDescent="0.25">
      <c r="A177" s="10" t="s">
        <v>249</v>
      </c>
      <c r="B177" s="9" t="s">
        <v>241</v>
      </c>
      <c r="C177" s="9" t="s">
        <v>250</v>
      </c>
    </row>
    <row r="178" spans="1:3" ht="15" x14ac:dyDescent="0.25">
      <c r="A178" s="18" t="s">
        <v>1595</v>
      </c>
      <c r="B178" t="s">
        <v>263</v>
      </c>
      <c r="C178" s="18" t="s">
        <v>1589</v>
      </c>
    </row>
    <row r="179" spans="1:3" ht="15" x14ac:dyDescent="0.25">
      <c r="A179" s="18" t="s">
        <v>1596</v>
      </c>
      <c r="B179" t="s">
        <v>263</v>
      </c>
      <c r="C179" s="18" t="s">
        <v>1590</v>
      </c>
    </row>
    <row r="180" spans="1:3" x14ac:dyDescent="0.25">
      <c r="A180" s="10" t="s">
        <v>251</v>
      </c>
      <c r="B180" s="9" t="s">
        <v>252</v>
      </c>
      <c r="C180" s="9" t="s">
        <v>253</v>
      </c>
    </row>
    <row r="181" spans="1:3" x14ac:dyDescent="0.25">
      <c r="A181" s="10" t="s">
        <v>254</v>
      </c>
      <c r="B181" s="9" t="s">
        <v>252</v>
      </c>
      <c r="C181" s="9" t="s">
        <v>255</v>
      </c>
    </row>
    <row r="182" spans="1:3" x14ac:dyDescent="0.25">
      <c r="A182" s="10" t="s">
        <v>256</v>
      </c>
      <c r="B182" s="9" t="s">
        <v>252</v>
      </c>
      <c r="C182" s="9" t="s">
        <v>257</v>
      </c>
    </row>
    <row r="183" spans="1:3" x14ac:dyDescent="0.25">
      <c r="A183" s="10" t="s">
        <v>258</v>
      </c>
      <c r="B183" s="9" t="s">
        <v>252</v>
      </c>
      <c r="C183" s="9" t="s">
        <v>259</v>
      </c>
    </row>
    <row r="184" spans="1:3" x14ac:dyDescent="0.25">
      <c r="A184" s="10" t="s">
        <v>260</v>
      </c>
      <c r="B184" s="10" t="s">
        <v>260</v>
      </c>
      <c r="C184" s="3" t="s">
        <v>261</v>
      </c>
    </row>
    <row r="185" spans="1:3" x14ac:dyDescent="0.25">
      <c r="A185" s="10" t="s">
        <v>1526</v>
      </c>
      <c r="B185" s="10" t="s">
        <v>263</v>
      </c>
      <c r="C185" s="3" t="s">
        <v>264</v>
      </c>
    </row>
    <row r="186" spans="1:3" x14ac:dyDescent="0.25">
      <c r="A186" s="10" t="s">
        <v>265</v>
      </c>
      <c r="B186" s="9" t="s">
        <v>263</v>
      </c>
      <c r="C186" s="9" t="s">
        <v>266</v>
      </c>
    </row>
    <row r="187" spans="1:3" x14ac:dyDescent="0.25">
      <c r="A187" s="10" t="s">
        <v>267</v>
      </c>
      <c r="B187" s="9" t="s">
        <v>263</v>
      </c>
      <c r="C187" s="9" t="s">
        <v>268</v>
      </c>
    </row>
    <row r="188" spans="1:3" x14ac:dyDescent="0.25">
      <c r="A188" s="10" t="s">
        <v>269</v>
      </c>
      <c r="B188" s="9" t="s">
        <v>263</v>
      </c>
      <c r="C188" s="9" t="s">
        <v>270</v>
      </c>
    </row>
    <row r="189" spans="1:3" x14ac:dyDescent="0.25">
      <c r="A189" s="10" t="s">
        <v>271</v>
      </c>
      <c r="B189" s="9" t="s">
        <v>263</v>
      </c>
      <c r="C189" s="9" t="s">
        <v>272</v>
      </c>
    </row>
    <row r="190" spans="1:3" x14ac:dyDescent="0.25">
      <c r="A190" s="10" t="s">
        <v>273</v>
      </c>
      <c r="B190" s="9" t="s">
        <v>263</v>
      </c>
      <c r="C190" s="9" t="s">
        <v>274</v>
      </c>
    </row>
    <row r="191" spans="1:3" x14ac:dyDescent="0.25">
      <c r="A191" s="10" t="s">
        <v>275</v>
      </c>
      <c r="B191" s="9" t="s">
        <v>263</v>
      </c>
      <c r="C191" s="9" t="s">
        <v>276</v>
      </c>
    </row>
    <row r="192" spans="1:3" x14ac:dyDescent="0.25">
      <c r="A192" s="10" t="s">
        <v>277</v>
      </c>
      <c r="B192" s="9" t="s">
        <v>263</v>
      </c>
      <c r="C192" s="9" t="s">
        <v>278</v>
      </c>
    </row>
    <row r="193" spans="1:3" x14ac:dyDescent="0.25">
      <c r="A193" s="10" t="s">
        <v>279</v>
      </c>
      <c r="B193" s="9" t="s">
        <v>263</v>
      </c>
      <c r="C193" s="9" t="s">
        <v>280</v>
      </c>
    </row>
    <row r="194" spans="1:3" x14ac:dyDescent="0.25">
      <c r="A194" s="10" t="s">
        <v>281</v>
      </c>
      <c r="B194" s="9" t="s">
        <v>263</v>
      </c>
      <c r="C194" s="9" t="s">
        <v>282</v>
      </c>
    </row>
    <row r="195" spans="1:3" x14ac:dyDescent="0.25">
      <c r="A195" s="10" t="s">
        <v>283</v>
      </c>
      <c r="B195" s="9" t="s">
        <v>263</v>
      </c>
      <c r="C195" s="9" t="s">
        <v>284</v>
      </c>
    </row>
    <row r="196" spans="1:3" x14ac:dyDescent="0.25">
      <c r="A196" s="10" t="s">
        <v>285</v>
      </c>
      <c r="B196" s="9" t="s">
        <v>263</v>
      </c>
      <c r="C196" s="9" t="s">
        <v>286</v>
      </c>
    </row>
    <row r="197" spans="1:3" x14ac:dyDescent="0.25">
      <c r="A197" s="10" t="s">
        <v>287</v>
      </c>
      <c r="B197" s="9" t="s">
        <v>263</v>
      </c>
      <c r="C197" s="9" t="s">
        <v>288</v>
      </c>
    </row>
    <row r="198" spans="1:3" x14ac:dyDescent="0.25">
      <c r="A198" s="10" t="s">
        <v>289</v>
      </c>
      <c r="B198" s="9" t="s">
        <v>263</v>
      </c>
      <c r="C198" s="9" t="s">
        <v>290</v>
      </c>
    </row>
    <row r="199" spans="1:3" x14ac:dyDescent="0.25">
      <c r="A199" s="10" t="s">
        <v>291</v>
      </c>
      <c r="B199" s="9" t="s">
        <v>263</v>
      </c>
      <c r="C199" s="9" t="s">
        <v>292</v>
      </c>
    </row>
    <row r="200" spans="1:3" x14ac:dyDescent="0.25">
      <c r="A200" s="10" t="s">
        <v>293</v>
      </c>
      <c r="B200" s="9" t="s">
        <v>263</v>
      </c>
      <c r="C200" s="9" t="s">
        <v>294</v>
      </c>
    </row>
    <row r="201" spans="1:3" x14ac:dyDescent="0.25">
      <c r="A201" s="10" t="s">
        <v>295</v>
      </c>
      <c r="B201" s="9" t="s">
        <v>263</v>
      </c>
      <c r="C201" s="9" t="s">
        <v>296</v>
      </c>
    </row>
    <row r="202" spans="1:3" x14ac:dyDescent="0.25">
      <c r="A202" s="10" t="s">
        <v>297</v>
      </c>
      <c r="B202" s="9" t="s">
        <v>263</v>
      </c>
      <c r="C202" s="9" t="s">
        <v>298</v>
      </c>
    </row>
    <row r="203" spans="1:3" x14ac:dyDescent="0.25">
      <c r="A203" s="10" t="s">
        <v>299</v>
      </c>
      <c r="B203" s="9" t="s">
        <v>263</v>
      </c>
      <c r="C203" s="9" t="s">
        <v>300</v>
      </c>
    </row>
    <row r="204" spans="1:3" x14ac:dyDescent="0.25">
      <c r="A204" s="10" t="s">
        <v>301</v>
      </c>
      <c r="B204" s="9" t="s">
        <v>263</v>
      </c>
      <c r="C204" s="9" t="s">
        <v>302</v>
      </c>
    </row>
    <row r="205" spans="1:3" x14ac:dyDescent="0.25">
      <c r="A205" s="10" t="s">
        <v>303</v>
      </c>
      <c r="B205" s="9" t="s">
        <v>263</v>
      </c>
      <c r="C205" s="9" t="s">
        <v>304</v>
      </c>
    </row>
    <row r="206" spans="1:3" x14ac:dyDescent="0.25">
      <c r="A206" s="10" t="s">
        <v>305</v>
      </c>
      <c r="B206" s="9" t="s">
        <v>263</v>
      </c>
      <c r="C206" s="9" t="s">
        <v>306</v>
      </c>
    </row>
    <row r="207" spans="1:3" x14ac:dyDescent="0.25">
      <c r="A207" s="10" t="s">
        <v>307</v>
      </c>
      <c r="B207" s="9" t="s">
        <v>263</v>
      </c>
      <c r="C207" s="9" t="s">
        <v>308</v>
      </c>
    </row>
    <row r="208" spans="1:3" x14ac:dyDescent="0.25">
      <c r="A208" s="10" t="s">
        <v>309</v>
      </c>
      <c r="B208" s="9" t="s">
        <v>263</v>
      </c>
      <c r="C208" s="9" t="s">
        <v>310</v>
      </c>
    </row>
    <row r="209" spans="1:3" x14ac:dyDescent="0.25">
      <c r="A209" s="10" t="s">
        <v>311</v>
      </c>
      <c r="B209" s="9" t="s">
        <v>263</v>
      </c>
      <c r="C209" s="9" t="s">
        <v>312</v>
      </c>
    </row>
    <row r="210" spans="1:3" x14ac:dyDescent="0.25">
      <c r="A210" s="10" t="s">
        <v>313</v>
      </c>
      <c r="B210" s="9" t="s">
        <v>263</v>
      </c>
      <c r="C210" s="9" t="s">
        <v>314</v>
      </c>
    </row>
    <row r="211" spans="1:3" x14ac:dyDescent="0.25">
      <c r="A211" s="10" t="s">
        <v>315</v>
      </c>
      <c r="B211" s="9" t="s">
        <v>263</v>
      </c>
      <c r="C211" s="9" t="s">
        <v>316</v>
      </c>
    </row>
    <row r="212" spans="1:3" x14ac:dyDescent="0.25">
      <c r="A212" s="10" t="s">
        <v>317</v>
      </c>
      <c r="B212" s="9" t="s">
        <v>263</v>
      </c>
      <c r="C212" s="9" t="s">
        <v>318</v>
      </c>
    </row>
    <row r="213" spans="1:3" x14ac:dyDescent="0.25">
      <c r="A213" s="10" t="s">
        <v>319</v>
      </c>
      <c r="B213" s="9" t="s">
        <v>263</v>
      </c>
      <c r="C213" s="9" t="s">
        <v>320</v>
      </c>
    </row>
    <row r="214" spans="1:3" x14ac:dyDescent="0.25">
      <c r="A214" s="10" t="s">
        <v>321</v>
      </c>
      <c r="B214" s="9" t="s">
        <v>263</v>
      </c>
      <c r="C214" s="9" t="s">
        <v>322</v>
      </c>
    </row>
    <row r="215" spans="1:3" x14ac:dyDescent="0.25">
      <c r="A215" s="10" t="s">
        <v>323</v>
      </c>
      <c r="B215" s="9" t="s">
        <v>263</v>
      </c>
      <c r="C215" s="9" t="s">
        <v>324</v>
      </c>
    </row>
    <row r="216" spans="1:3" x14ac:dyDescent="0.25">
      <c r="A216" s="10" t="s">
        <v>325</v>
      </c>
      <c r="B216" s="9" t="s">
        <v>263</v>
      </c>
      <c r="C216" s="9" t="s">
        <v>326</v>
      </c>
    </row>
    <row r="217" spans="1:3" x14ac:dyDescent="0.25">
      <c r="A217" s="10" t="s">
        <v>327</v>
      </c>
      <c r="B217" s="9" t="s">
        <v>263</v>
      </c>
      <c r="C217" s="9" t="s">
        <v>328</v>
      </c>
    </row>
    <row r="218" spans="1:3" x14ac:dyDescent="0.25">
      <c r="A218" s="10" t="s">
        <v>329</v>
      </c>
      <c r="B218" s="9" t="s">
        <v>263</v>
      </c>
      <c r="C218" s="9" t="s">
        <v>330</v>
      </c>
    </row>
    <row r="219" spans="1:3" x14ac:dyDescent="0.25">
      <c r="A219" s="10" t="s">
        <v>331</v>
      </c>
      <c r="B219" s="9" t="s">
        <v>263</v>
      </c>
      <c r="C219" s="9" t="s">
        <v>332</v>
      </c>
    </row>
    <row r="220" spans="1:3" x14ac:dyDescent="0.25">
      <c r="A220" s="10" t="s">
        <v>333</v>
      </c>
      <c r="B220" s="9" t="s">
        <v>263</v>
      </c>
      <c r="C220" s="9" t="s">
        <v>334</v>
      </c>
    </row>
    <row r="221" spans="1:3" x14ac:dyDescent="0.25">
      <c r="A221" s="10" t="s">
        <v>335</v>
      </c>
      <c r="B221" s="9" t="s">
        <v>263</v>
      </c>
      <c r="C221" s="9" t="s">
        <v>336</v>
      </c>
    </row>
    <row r="222" spans="1:3" x14ac:dyDescent="0.25">
      <c r="A222" s="10" t="s">
        <v>337</v>
      </c>
      <c r="B222" s="9" t="s">
        <v>263</v>
      </c>
      <c r="C222" s="9" t="s">
        <v>338</v>
      </c>
    </row>
    <row r="223" spans="1:3" x14ac:dyDescent="0.25">
      <c r="A223" s="10" t="s">
        <v>339</v>
      </c>
      <c r="B223" s="9" t="s">
        <v>263</v>
      </c>
      <c r="C223" s="9" t="s">
        <v>340</v>
      </c>
    </row>
    <row r="224" spans="1:3" x14ac:dyDescent="0.25">
      <c r="A224" s="10" t="s">
        <v>341</v>
      </c>
      <c r="B224" s="9" t="s">
        <v>263</v>
      </c>
      <c r="C224" s="9" t="s">
        <v>342</v>
      </c>
    </row>
    <row r="225" spans="1:3" x14ac:dyDescent="0.25">
      <c r="A225" s="10" t="s">
        <v>343</v>
      </c>
      <c r="B225" s="9" t="s">
        <v>263</v>
      </c>
      <c r="C225" s="9" t="s">
        <v>344</v>
      </c>
    </row>
    <row r="226" spans="1:3" x14ac:dyDescent="0.25">
      <c r="A226" s="10" t="s">
        <v>345</v>
      </c>
      <c r="B226" s="9" t="s">
        <v>263</v>
      </c>
      <c r="C226" s="9" t="s">
        <v>346</v>
      </c>
    </row>
    <row r="227" spans="1:3" x14ac:dyDescent="0.25">
      <c r="A227" s="10" t="s">
        <v>347</v>
      </c>
      <c r="B227" s="9" t="s">
        <v>263</v>
      </c>
      <c r="C227" s="9" t="s">
        <v>348</v>
      </c>
    </row>
    <row r="228" spans="1:3" x14ac:dyDescent="0.25">
      <c r="A228" s="10" t="s">
        <v>349</v>
      </c>
      <c r="B228" s="9" t="s">
        <v>263</v>
      </c>
      <c r="C228" s="9" t="s">
        <v>350</v>
      </c>
    </row>
    <row r="229" spans="1:3" x14ac:dyDescent="0.25">
      <c r="A229" s="10" t="s">
        <v>351</v>
      </c>
      <c r="B229" s="9" t="s">
        <v>263</v>
      </c>
      <c r="C229" s="9" t="s">
        <v>352</v>
      </c>
    </row>
    <row r="230" spans="1:3" x14ac:dyDescent="0.25">
      <c r="A230" s="10" t="s">
        <v>353</v>
      </c>
      <c r="B230" s="9" t="s">
        <v>263</v>
      </c>
      <c r="C230" s="9" t="s">
        <v>354</v>
      </c>
    </row>
    <row r="231" spans="1:3" x14ac:dyDescent="0.25">
      <c r="A231" s="10" t="s">
        <v>355</v>
      </c>
      <c r="B231" s="9" t="s">
        <v>263</v>
      </c>
      <c r="C231" s="9" t="s">
        <v>356</v>
      </c>
    </row>
    <row r="232" spans="1:3" x14ac:dyDescent="0.25">
      <c r="A232" s="10" t="s">
        <v>357</v>
      </c>
      <c r="B232" s="9" t="s">
        <v>263</v>
      </c>
      <c r="C232" s="9" t="s">
        <v>358</v>
      </c>
    </row>
    <row r="233" spans="1:3" x14ac:dyDescent="0.25">
      <c r="A233" s="10" t="s">
        <v>359</v>
      </c>
      <c r="B233" s="9" t="s">
        <v>263</v>
      </c>
      <c r="C233" s="3" t="s">
        <v>360</v>
      </c>
    </row>
    <row r="234" spans="1:3" x14ac:dyDescent="0.25">
      <c r="A234" s="10" t="s">
        <v>361</v>
      </c>
      <c r="B234" s="9" t="s">
        <v>263</v>
      </c>
      <c r="C234" s="9" t="s">
        <v>362</v>
      </c>
    </row>
    <row r="235" spans="1:3" x14ac:dyDescent="0.25">
      <c r="A235" s="10" t="s">
        <v>363</v>
      </c>
      <c r="B235" s="9" t="s">
        <v>263</v>
      </c>
      <c r="C235" s="9" t="s">
        <v>364</v>
      </c>
    </row>
    <row r="236" spans="1:3" x14ac:dyDescent="0.25">
      <c r="A236" s="10" t="s">
        <v>365</v>
      </c>
      <c r="B236" s="9" t="s">
        <v>263</v>
      </c>
      <c r="C236" s="9" t="s">
        <v>366</v>
      </c>
    </row>
    <row r="237" spans="1:3" x14ac:dyDescent="0.25">
      <c r="A237" s="10" t="s">
        <v>367</v>
      </c>
      <c r="B237" s="9" t="s">
        <v>263</v>
      </c>
      <c r="C237" s="9" t="s">
        <v>368</v>
      </c>
    </row>
    <row r="238" spans="1:3" x14ac:dyDescent="0.25">
      <c r="A238" s="10" t="s">
        <v>369</v>
      </c>
      <c r="B238" s="9" t="s">
        <v>263</v>
      </c>
      <c r="C238" s="9" t="s">
        <v>370</v>
      </c>
    </row>
    <row r="239" spans="1:3" x14ac:dyDescent="0.25">
      <c r="A239" s="10" t="s">
        <v>371</v>
      </c>
      <c r="B239" s="9" t="s">
        <v>263</v>
      </c>
      <c r="C239" s="9" t="s">
        <v>372</v>
      </c>
    </row>
    <row r="240" spans="1:3" x14ac:dyDescent="0.25">
      <c r="A240" s="10" t="s">
        <v>373</v>
      </c>
      <c r="B240" s="9" t="s">
        <v>263</v>
      </c>
      <c r="C240" s="9" t="s">
        <v>374</v>
      </c>
    </row>
    <row r="241" spans="1:3" x14ac:dyDescent="0.25">
      <c r="A241" s="10" t="s">
        <v>375</v>
      </c>
      <c r="B241" s="9" t="s">
        <v>263</v>
      </c>
      <c r="C241" s="9" t="s">
        <v>376</v>
      </c>
    </row>
    <row r="242" spans="1:3" x14ac:dyDescent="0.25">
      <c r="A242" s="10" t="s">
        <v>377</v>
      </c>
      <c r="B242" s="9" t="s">
        <v>263</v>
      </c>
      <c r="C242" s="9" t="s">
        <v>378</v>
      </c>
    </row>
    <row r="243" spans="1:3" x14ac:dyDescent="0.25">
      <c r="A243" s="10" t="s">
        <v>379</v>
      </c>
      <c r="B243" s="9" t="s">
        <v>263</v>
      </c>
      <c r="C243" s="9" t="s">
        <v>380</v>
      </c>
    </row>
    <row r="244" spans="1:3" x14ac:dyDescent="0.25">
      <c r="A244" s="10" t="s">
        <v>381</v>
      </c>
      <c r="B244" s="9" t="s">
        <v>263</v>
      </c>
      <c r="C244" s="9" t="s">
        <v>382</v>
      </c>
    </row>
    <row r="245" spans="1:3" x14ac:dyDescent="0.25">
      <c r="A245" s="10" t="s">
        <v>383</v>
      </c>
      <c r="B245" s="9" t="s">
        <v>263</v>
      </c>
      <c r="C245" s="9" t="s">
        <v>384</v>
      </c>
    </row>
    <row r="246" spans="1:3" x14ac:dyDescent="0.25">
      <c r="A246" s="10" t="s">
        <v>385</v>
      </c>
      <c r="B246" s="9" t="s">
        <v>263</v>
      </c>
      <c r="C246" s="9" t="s">
        <v>386</v>
      </c>
    </row>
    <row r="247" spans="1:3" x14ac:dyDescent="0.25">
      <c r="A247" s="10" t="s">
        <v>387</v>
      </c>
      <c r="B247" s="9" t="s">
        <v>263</v>
      </c>
      <c r="C247" s="9" t="s">
        <v>388</v>
      </c>
    </row>
    <row r="248" spans="1:3" x14ac:dyDescent="0.25">
      <c r="A248" s="10" t="s">
        <v>389</v>
      </c>
      <c r="B248" s="9" t="s">
        <v>263</v>
      </c>
      <c r="C248" s="9" t="s">
        <v>390</v>
      </c>
    </row>
    <row r="249" spans="1:3" x14ac:dyDescent="0.25">
      <c r="A249" s="10" t="s">
        <v>391</v>
      </c>
      <c r="B249" s="9" t="s">
        <v>263</v>
      </c>
      <c r="C249" s="9" t="s">
        <v>392</v>
      </c>
    </row>
    <row r="250" spans="1:3" x14ac:dyDescent="0.25">
      <c r="A250" s="10" t="s">
        <v>393</v>
      </c>
      <c r="B250" s="9" t="s">
        <v>263</v>
      </c>
      <c r="C250" s="9" t="s">
        <v>394</v>
      </c>
    </row>
    <row r="251" spans="1:3" x14ac:dyDescent="0.25">
      <c r="A251" s="10" t="s">
        <v>395</v>
      </c>
      <c r="B251" s="9" t="s">
        <v>263</v>
      </c>
      <c r="C251" s="9" t="s">
        <v>396</v>
      </c>
    </row>
    <row r="252" spans="1:3" x14ac:dyDescent="0.25">
      <c r="A252" s="10" t="s">
        <v>397</v>
      </c>
      <c r="B252" s="9" t="s">
        <v>263</v>
      </c>
      <c r="C252" s="9" t="s">
        <v>398</v>
      </c>
    </row>
    <row r="253" spans="1:3" x14ac:dyDescent="0.25">
      <c r="A253" s="10" t="s">
        <v>399</v>
      </c>
      <c r="B253" s="9" t="s">
        <v>263</v>
      </c>
      <c r="C253" s="9" t="s">
        <v>400</v>
      </c>
    </row>
    <row r="254" spans="1:3" x14ac:dyDescent="0.25">
      <c r="A254" s="10" t="s">
        <v>401</v>
      </c>
      <c r="B254" s="9" t="s">
        <v>263</v>
      </c>
      <c r="C254" s="9" t="s">
        <v>402</v>
      </c>
    </row>
    <row r="255" spans="1:3" x14ac:dyDescent="0.25">
      <c r="A255" s="10" t="s">
        <v>403</v>
      </c>
      <c r="B255" s="9" t="s">
        <v>263</v>
      </c>
      <c r="C255" s="9" t="s">
        <v>404</v>
      </c>
    </row>
    <row r="256" spans="1:3" x14ac:dyDescent="0.25">
      <c r="A256" s="10" t="s">
        <v>405</v>
      </c>
      <c r="B256" s="9" t="s">
        <v>263</v>
      </c>
      <c r="C256" s="9" t="s">
        <v>406</v>
      </c>
    </row>
    <row r="257" spans="1:3" x14ac:dyDescent="0.25">
      <c r="A257" s="10" t="s">
        <v>407</v>
      </c>
      <c r="B257" s="9" t="s">
        <v>263</v>
      </c>
      <c r="C257" s="9" t="s">
        <v>408</v>
      </c>
    </row>
    <row r="258" spans="1:3" x14ac:dyDescent="0.25">
      <c r="A258" s="10" t="s">
        <v>409</v>
      </c>
      <c r="B258" s="9" t="s">
        <v>263</v>
      </c>
      <c r="C258" s="9" t="s">
        <v>410</v>
      </c>
    </row>
    <row r="259" spans="1:3" x14ac:dyDescent="0.25">
      <c r="A259" s="10" t="s">
        <v>411</v>
      </c>
      <c r="B259" s="9" t="s">
        <v>263</v>
      </c>
      <c r="C259" s="9" t="s">
        <v>412</v>
      </c>
    </row>
    <row r="260" spans="1:3" x14ac:dyDescent="0.25">
      <c r="A260" s="10" t="s">
        <v>413</v>
      </c>
      <c r="B260" s="9" t="s">
        <v>263</v>
      </c>
      <c r="C260" s="9" t="s">
        <v>414</v>
      </c>
    </row>
    <row r="261" spans="1:3" x14ac:dyDescent="0.25">
      <c r="A261" s="10" t="s">
        <v>415</v>
      </c>
      <c r="B261" s="9" t="s">
        <v>263</v>
      </c>
      <c r="C261" s="9" t="s">
        <v>416</v>
      </c>
    </row>
    <row r="262" spans="1:3" x14ac:dyDescent="0.25">
      <c r="A262" s="10" t="s">
        <v>417</v>
      </c>
      <c r="B262" s="9" t="s">
        <v>263</v>
      </c>
      <c r="C262" s="9" t="s">
        <v>418</v>
      </c>
    </row>
    <row r="263" spans="1:3" x14ac:dyDescent="0.25">
      <c r="A263" s="10" t="s">
        <v>419</v>
      </c>
      <c r="B263" s="9" t="s">
        <v>263</v>
      </c>
      <c r="C263" s="9" t="s">
        <v>420</v>
      </c>
    </row>
    <row r="264" spans="1:3" x14ac:dyDescent="0.25">
      <c r="A264" s="10" t="s">
        <v>421</v>
      </c>
      <c r="B264" s="9" t="s">
        <v>263</v>
      </c>
      <c r="C264" s="9" t="s">
        <v>422</v>
      </c>
    </row>
    <row r="265" spans="1:3" x14ac:dyDescent="0.25">
      <c r="A265" s="10" t="s">
        <v>423</v>
      </c>
      <c r="B265" s="9" t="s">
        <v>263</v>
      </c>
      <c r="C265" s="9" t="s">
        <v>424</v>
      </c>
    </row>
    <row r="266" spans="1:3" x14ac:dyDescent="0.25">
      <c r="A266" s="10" t="s">
        <v>425</v>
      </c>
      <c r="B266" s="9" t="s">
        <v>263</v>
      </c>
      <c r="C266" s="9" t="s">
        <v>426</v>
      </c>
    </row>
    <row r="267" spans="1:3" x14ac:dyDescent="0.25">
      <c r="A267" s="10" t="s">
        <v>427</v>
      </c>
      <c r="B267" s="9" t="s">
        <v>263</v>
      </c>
      <c r="C267" s="9" t="s">
        <v>428</v>
      </c>
    </row>
    <row r="268" spans="1:3" x14ac:dyDescent="0.25">
      <c r="A268" s="10" t="s">
        <v>429</v>
      </c>
      <c r="B268" s="9" t="s">
        <v>263</v>
      </c>
      <c r="C268" s="9" t="s">
        <v>430</v>
      </c>
    </row>
    <row r="269" spans="1:3" x14ac:dyDescent="0.25">
      <c r="A269" s="10" t="s">
        <v>431</v>
      </c>
      <c r="B269" s="9" t="s">
        <v>263</v>
      </c>
      <c r="C269" s="9" t="s">
        <v>432</v>
      </c>
    </row>
    <row r="270" spans="1:3" x14ac:dyDescent="0.25">
      <c r="A270" s="10" t="s">
        <v>433</v>
      </c>
      <c r="B270" s="9" t="s">
        <v>263</v>
      </c>
      <c r="C270" s="9" t="s">
        <v>434</v>
      </c>
    </row>
    <row r="271" spans="1:3" x14ac:dyDescent="0.25">
      <c r="A271" s="10" t="s">
        <v>435</v>
      </c>
      <c r="B271" s="9" t="s">
        <v>263</v>
      </c>
      <c r="C271" s="9" t="s">
        <v>436</v>
      </c>
    </row>
    <row r="272" spans="1:3" x14ac:dyDescent="0.25">
      <c r="A272" s="10" t="s">
        <v>437</v>
      </c>
      <c r="B272" s="9" t="s">
        <v>263</v>
      </c>
      <c r="C272" s="9" t="s">
        <v>438</v>
      </c>
    </row>
    <row r="273" spans="1:3" x14ac:dyDescent="0.25">
      <c r="A273" s="10" t="s">
        <v>439</v>
      </c>
      <c r="B273" s="9" t="s">
        <v>263</v>
      </c>
      <c r="C273" s="9" t="s">
        <v>440</v>
      </c>
    </row>
    <row r="274" spans="1:3" x14ac:dyDescent="0.25">
      <c r="A274" s="10" t="s">
        <v>441</v>
      </c>
      <c r="B274" s="9" t="s">
        <v>263</v>
      </c>
      <c r="C274" s="9" t="s">
        <v>442</v>
      </c>
    </row>
    <row r="275" spans="1:3" x14ac:dyDescent="0.25">
      <c r="A275" s="10" t="s">
        <v>443</v>
      </c>
      <c r="B275" s="9" t="s">
        <v>263</v>
      </c>
      <c r="C275" s="9" t="s">
        <v>444</v>
      </c>
    </row>
    <row r="276" spans="1:3" x14ac:dyDescent="0.25">
      <c r="A276" s="10" t="s">
        <v>445</v>
      </c>
      <c r="B276" s="9" t="s">
        <v>263</v>
      </c>
      <c r="C276" s="9" t="s">
        <v>446</v>
      </c>
    </row>
    <row r="277" spans="1:3" x14ac:dyDescent="0.25">
      <c r="A277" s="10" t="s">
        <v>447</v>
      </c>
      <c r="B277" s="9" t="s">
        <v>263</v>
      </c>
      <c r="C277" s="9" t="s">
        <v>448</v>
      </c>
    </row>
    <row r="278" spans="1:3" x14ac:dyDescent="0.25">
      <c r="A278" s="10" t="s">
        <v>449</v>
      </c>
      <c r="B278" s="9" t="s">
        <v>263</v>
      </c>
      <c r="C278" s="9" t="s">
        <v>450</v>
      </c>
    </row>
    <row r="279" spans="1:3" x14ac:dyDescent="0.25">
      <c r="A279" s="10" t="s">
        <v>451</v>
      </c>
      <c r="B279" s="9" t="s">
        <v>263</v>
      </c>
      <c r="C279" s="9" t="s">
        <v>452</v>
      </c>
    </row>
    <row r="280" spans="1:3" x14ac:dyDescent="0.25">
      <c r="A280" s="10" t="s">
        <v>453</v>
      </c>
      <c r="B280" s="9" t="s">
        <v>263</v>
      </c>
      <c r="C280" s="9" t="s">
        <v>454</v>
      </c>
    </row>
    <row r="281" spans="1:3" x14ac:dyDescent="0.25">
      <c r="A281" s="10" t="s">
        <v>455</v>
      </c>
      <c r="B281" s="9" t="s">
        <v>263</v>
      </c>
      <c r="C281" s="9" t="s">
        <v>456</v>
      </c>
    </row>
    <row r="282" spans="1:3" x14ac:dyDescent="0.25">
      <c r="A282" s="10" t="s">
        <v>457</v>
      </c>
      <c r="B282" s="9" t="s">
        <v>263</v>
      </c>
      <c r="C282" s="9" t="s">
        <v>458</v>
      </c>
    </row>
    <row r="283" spans="1:3" x14ac:dyDescent="0.25">
      <c r="A283" s="10" t="s">
        <v>459</v>
      </c>
      <c r="B283" s="9" t="s">
        <v>263</v>
      </c>
      <c r="C283" s="9" t="s">
        <v>460</v>
      </c>
    </row>
    <row r="284" spans="1:3" x14ac:dyDescent="0.25">
      <c r="A284" s="10" t="s">
        <v>461</v>
      </c>
      <c r="B284" s="9" t="s">
        <v>263</v>
      </c>
      <c r="C284" s="9" t="s">
        <v>462</v>
      </c>
    </row>
    <row r="285" spans="1:3" x14ac:dyDescent="0.25">
      <c r="A285" s="10" t="s">
        <v>463</v>
      </c>
      <c r="B285" s="9" t="s">
        <v>263</v>
      </c>
      <c r="C285" s="9" t="s">
        <v>464</v>
      </c>
    </row>
    <row r="286" spans="1:3" x14ac:dyDescent="0.25">
      <c r="A286" s="10" t="s">
        <v>465</v>
      </c>
      <c r="B286" s="9" t="s">
        <v>263</v>
      </c>
      <c r="C286" s="9" t="s">
        <v>466</v>
      </c>
    </row>
    <row r="287" spans="1:3" x14ac:dyDescent="0.25">
      <c r="A287" s="10" t="s">
        <v>467</v>
      </c>
      <c r="B287" s="9" t="s">
        <v>263</v>
      </c>
      <c r="C287" s="9" t="s">
        <v>468</v>
      </c>
    </row>
    <row r="288" spans="1:3" x14ac:dyDescent="0.25">
      <c r="A288" s="10" t="s">
        <v>469</v>
      </c>
      <c r="B288" s="9" t="s">
        <v>263</v>
      </c>
      <c r="C288" s="9" t="s">
        <v>470</v>
      </c>
    </row>
    <row r="289" spans="1:3" x14ac:dyDescent="0.25">
      <c r="A289" s="10" t="s">
        <v>471</v>
      </c>
      <c r="B289" s="9" t="s">
        <v>263</v>
      </c>
      <c r="C289" s="9" t="s">
        <v>472</v>
      </c>
    </row>
    <row r="290" spans="1:3" x14ac:dyDescent="0.25">
      <c r="A290" s="10" t="s">
        <v>473</v>
      </c>
      <c r="B290" s="9" t="s">
        <v>263</v>
      </c>
      <c r="C290" s="9" t="s">
        <v>474</v>
      </c>
    </row>
    <row r="291" spans="1:3" x14ac:dyDescent="0.25">
      <c r="A291" s="10" t="s">
        <v>475</v>
      </c>
      <c r="B291" s="9" t="s">
        <v>263</v>
      </c>
      <c r="C291" s="9" t="s">
        <v>476</v>
      </c>
    </row>
    <row r="292" spans="1:3" x14ac:dyDescent="0.25">
      <c r="A292" s="10" t="s">
        <v>477</v>
      </c>
      <c r="B292" s="9" t="s">
        <v>263</v>
      </c>
      <c r="C292" s="9" t="s">
        <v>478</v>
      </c>
    </row>
    <row r="293" spans="1:3" x14ac:dyDescent="0.25">
      <c r="A293" s="10" t="s">
        <v>479</v>
      </c>
      <c r="B293" s="9" t="s">
        <v>263</v>
      </c>
      <c r="C293" s="9" t="s">
        <v>480</v>
      </c>
    </row>
    <row r="294" spans="1:3" x14ac:dyDescent="0.25">
      <c r="A294" s="10" t="s">
        <v>481</v>
      </c>
      <c r="B294" s="9" t="s">
        <v>263</v>
      </c>
      <c r="C294" s="3" t="s">
        <v>482</v>
      </c>
    </row>
    <row r="295" spans="1:3" x14ac:dyDescent="0.25">
      <c r="A295" s="10" t="s">
        <v>483</v>
      </c>
      <c r="B295" s="9" t="s">
        <v>263</v>
      </c>
      <c r="C295" s="9" t="s">
        <v>484</v>
      </c>
    </row>
    <row r="296" spans="1:3" x14ac:dyDescent="0.25">
      <c r="A296" s="10" t="s">
        <v>485</v>
      </c>
      <c r="B296" s="9" t="s">
        <v>263</v>
      </c>
      <c r="C296" s="9" t="s">
        <v>486</v>
      </c>
    </row>
    <row r="297" spans="1:3" x14ac:dyDescent="0.25">
      <c r="A297" s="10" t="s">
        <v>487</v>
      </c>
      <c r="B297" s="9" t="s">
        <v>263</v>
      </c>
      <c r="C297" s="9" t="s">
        <v>488</v>
      </c>
    </row>
    <row r="298" spans="1:3" x14ac:dyDescent="0.25">
      <c r="A298" s="10" t="s">
        <v>489</v>
      </c>
      <c r="B298" s="9" t="s">
        <v>263</v>
      </c>
      <c r="C298" s="9" t="s">
        <v>490</v>
      </c>
    </row>
    <row r="299" spans="1:3" x14ac:dyDescent="0.25">
      <c r="A299" s="10" t="s">
        <v>491</v>
      </c>
      <c r="B299" s="9" t="s">
        <v>263</v>
      </c>
      <c r="C299" s="9" t="s">
        <v>492</v>
      </c>
    </row>
    <row r="300" spans="1:3" x14ac:dyDescent="0.25">
      <c r="A300" s="10" t="s">
        <v>493</v>
      </c>
      <c r="B300" s="9" t="s">
        <v>263</v>
      </c>
      <c r="C300" s="9" t="s">
        <v>494</v>
      </c>
    </row>
    <row r="301" spans="1:3" x14ac:dyDescent="0.25">
      <c r="A301" s="10" t="s">
        <v>495</v>
      </c>
      <c r="B301" s="9" t="s">
        <v>263</v>
      </c>
      <c r="C301" s="9" t="s">
        <v>496</v>
      </c>
    </row>
    <row r="302" spans="1:3" x14ac:dyDescent="0.25">
      <c r="A302" s="10" t="s">
        <v>497</v>
      </c>
      <c r="B302" s="9" t="s">
        <v>263</v>
      </c>
      <c r="C302" s="9" t="s">
        <v>498</v>
      </c>
    </row>
    <row r="303" spans="1:3" x14ac:dyDescent="0.25">
      <c r="A303" s="10" t="s">
        <v>499</v>
      </c>
      <c r="B303" s="9" t="s">
        <v>263</v>
      </c>
      <c r="C303" s="9" t="s">
        <v>500</v>
      </c>
    </row>
    <row r="304" spans="1:3" x14ac:dyDescent="0.25">
      <c r="A304" s="10" t="s">
        <v>501</v>
      </c>
      <c r="B304" s="9" t="s">
        <v>263</v>
      </c>
      <c r="C304" s="9" t="s">
        <v>502</v>
      </c>
    </row>
    <row r="305" spans="1:3" x14ac:dyDescent="0.25">
      <c r="A305" s="10" t="s">
        <v>503</v>
      </c>
      <c r="B305" s="9" t="s">
        <v>263</v>
      </c>
      <c r="C305" s="9" t="s">
        <v>504</v>
      </c>
    </row>
    <row r="306" spans="1:3" x14ac:dyDescent="0.25">
      <c r="A306" s="10" t="s">
        <v>505</v>
      </c>
      <c r="B306" s="9" t="s">
        <v>263</v>
      </c>
      <c r="C306" s="9" t="s">
        <v>506</v>
      </c>
    </row>
    <row r="307" spans="1:3" x14ac:dyDescent="0.25">
      <c r="A307" s="10" t="s">
        <v>507</v>
      </c>
      <c r="B307" s="9" t="s">
        <v>263</v>
      </c>
      <c r="C307" s="9" t="s">
        <v>508</v>
      </c>
    </row>
    <row r="308" spans="1:3" x14ac:dyDescent="0.25">
      <c r="A308" s="10" t="s">
        <v>509</v>
      </c>
      <c r="B308" s="9" t="s">
        <v>263</v>
      </c>
      <c r="C308" s="9" t="s">
        <v>510</v>
      </c>
    </row>
    <row r="309" spans="1:3" x14ac:dyDescent="0.25">
      <c r="A309" s="10" t="s">
        <v>511</v>
      </c>
      <c r="B309" s="9" t="s">
        <v>263</v>
      </c>
      <c r="C309" s="9" t="s">
        <v>512</v>
      </c>
    </row>
    <row r="310" spans="1:3" x14ac:dyDescent="0.25">
      <c r="A310" s="10" t="s">
        <v>513</v>
      </c>
      <c r="B310" s="9" t="s">
        <v>263</v>
      </c>
      <c r="C310" s="9" t="s">
        <v>514</v>
      </c>
    </row>
    <row r="311" spans="1:3" x14ac:dyDescent="0.25">
      <c r="A311" s="10" t="s">
        <v>515</v>
      </c>
      <c r="B311" s="9" t="s">
        <v>263</v>
      </c>
      <c r="C311" s="9" t="s">
        <v>516</v>
      </c>
    </row>
    <row r="312" spans="1:3" x14ac:dyDescent="0.25">
      <c r="A312" s="10" t="s">
        <v>517</v>
      </c>
      <c r="B312" s="9" t="s">
        <v>263</v>
      </c>
      <c r="C312" s="9" t="s">
        <v>518</v>
      </c>
    </row>
    <row r="313" spans="1:3" x14ac:dyDescent="0.25">
      <c r="A313" s="10" t="s">
        <v>519</v>
      </c>
      <c r="B313" s="9" t="s">
        <v>263</v>
      </c>
      <c r="C313" s="9" t="s">
        <v>520</v>
      </c>
    </row>
    <row r="314" spans="1:3" x14ac:dyDescent="0.25">
      <c r="A314" s="10" t="s">
        <v>521</v>
      </c>
      <c r="B314" s="9" t="s">
        <v>263</v>
      </c>
      <c r="C314" s="9" t="s">
        <v>522</v>
      </c>
    </row>
    <row r="315" spans="1:3" x14ac:dyDescent="0.25">
      <c r="A315" s="10" t="s">
        <v>523</v>
      </c>
      <c r="B315" s="9" t="s">
        <v>263</v>
      </c>
      <c r="C315" s="9" t="s">
        <v>524</v>
      </c>
    </row>
    <row r="316" spans="1:3" x14ac:dyDescent="0.25">
      <c r="A316" s="10" t="s">
        <v>525</v>
      </c>
      <c r="B316" s="9" t="s">
        <v>525</v>
      </c>
      <c r="C316" s="9" t="s">
        <v>526</v>
      </c>
    </row>
    <row r="317" spans="1:3" x14ac:dyDescent="0.25">
      <c r="A317" s="3" t="s">
        <v>1553</v>
      </c>
      <c r="B317" s="9" t="s">
        <v>527</v>
      </c>
      <c r="C317" s="3" t="s">
        <v>1552</v>
      </c>
    </row>
    <row r="318" spans="1:3" x14ac:dyDescent="0.25">
      <c r="A318" s="10" t="s">
        <v>528</v>
      </c>
      <c r="B318" s="9" t="s">
        <v>528</v>
      </c>
      <c r="C318" s="9" t="s">
        <v>529</v>
      </c>
    </row>
    <row r="319" spans="1:3" x14ac:dyDescent="0.25">
      <c r="A319" s="10" t="s">
        <v>530</v>
      </c>
      <c r="B319" s="9" t="s">
        <v>530</v>
      </c>
      <c r="C319" s="9" t="s">
        <v>531</v>
      </c>
    </row>
    <row r="320" spans="1:3" x14ac:dyDescent="0.25">
      <c r="A320" s="10" t="s">
        <v>532</v>
      </c>
      <c r="B320" s="9" t="s">
        <v>533</v>
      </c>
      <c r="C320" s="9" t="s">
        <v>534</v>
      </c>
    </row>
    <row r="321" spans="1:3" x14ac:dyDescent="0.25">
      <c r="A321" s="10" t="s">
        <v>535</v>
      </c>
      <c r="B321" s="9" t="s">
        <v>533</v>
      </c>
      <c r="C321" s="9" t="s">
        <v>536</v>
      </c>
    </row>
    <row r="322" spans="1:3" x14ac:dyDescent="0.25">
      <c r="A322" s="10" t="s">
        <v>537</v>
      </c>
      <c r="B322" s="9" t="s">
        <v>533</v>
      </c>
      <c r="C322" s="9" t="s">
        <v>538</v>
      </c>
    </row>
    <row r="323" spans="1:3" x14ac:dyDescent="0.25">
      <c r="A323" s="10" t="s">
        <v>539</v>
      </c>
      <c r="B323" s="9" t="s">
        <v>533</v>
      </c>
      <c r="C323" s="9" t="s">
        <v>540</v>
      </c>
    </row>
    <row r="324" spans="1:3" x14ac:dyDescent="0.25">
      <c r="A324" s="10" t="s">
        <v>541</v>
      </c>
      <c r="B324" s="9" t="s">
        <v>533</v>
      </c>
      <c r="C324" s="9" t="s">
        <v>542</v>
      </c>
    </row>
    <row r="325" spans="1:3" ht="15" x14ac:dyDescent="0.25">
      <c r="A325" t="s">
        <v>1536</v>
      </c>
      <c r="B325" t="s">
        <v>533</v>
      </c>
      <c r="C325" s="3" t="s">
        <v>1530</v>
      </c>
    </row>
    <row r="326" spans="1:3" x14ac:dyDescent="0.25">
      <c r="A326" s="10" t="s">
        <v>548</v>
      </c>
      <c r="B326" s="9" t="s">
        <v>549</v>
      </c>
      <c r="C326" s="9" t="s">
        <v>550</v>
      </c>
    </row>
    <row r="327" spans="1:3" x14ac:dyDescent="0.25">
      <c r="A327" s="10" t="s">
        <v>551</v>
      </c>
      <c r="B327" s="9" t="s">
        <v>549</v>
      </c>
      <c r="C327" s="9" t="s">
        <v>552</v>
      </c>
    </row>
    <row r="328" spans="1:3" x14ac:dyDescent="0.25">
      <c r="A328" s="10" t="s">
        <v>553</v>
      </c>
      <c r="B328" s="9" t="s">
        <v>553</v>
      </c>
      <c r="C328" s="9" t="s">
        <v>554</v>
      </c>
    </row>
    <row r="329" spans="1:3" x14ac:dyDescent="0.25">
      <c r="A329" s="10" t="s">
        <v>555</v>
      </c>
      <c r="B329" s="9" t="s">
        <v>556</v>
      </c>
      <c r="C329" s="9" t="s">
        <v>557</v>
      </c>
    </row>
    <row r="330" spans="1:3" x14ac:dyDescent="0.25">
      <c r="A330" s="10" t="s">
        <v>558</v>
      </c>
      <c r="B330" s="9" t="s">
        <v>556</v>
      </c>
      <c r="C330" s="9" t="s">
        <v>559</v>
      </c>
    </row>
    <row r="331" spans="1:3" x14ac:dyDescent="0.25">
      <c r="A331" s="10" t="s">
        <v>560</v>
      </c>
      <c r="B331" s="9" t="s">
        <v>556</v>
      </c>
      <c r="C331" s="9" t="s">
        <v>561</v>
      </c>
    </row>
    <row r="332" spans="1:3" x14ac:dyDescent="0.25">
      <c r="A332" s="10" t="s">
        <v>562</v>
      </c>
      <c r="B332" s="9" t="s">
        <v>556</v>
      </c>
      <c r="C332" s="9">
        <v>0</v>
      </c>
    </row>
    <row r="333" spans="1:3" x14ac:dyDescent="0.25">
      <c r="A333" s="10" t="s">
        <v>563</v>
      </c>
      <c r="B333" s="9" t="s">
        <v>556</v>
      </c>
      <c r="C333" s="9">
        <v>0</v>
      </c>
    </row>
    <row r="334" spans="1:3" x14ac:dyDescent="0.25">
      <c r="A334" s="10" t="s">
        <v>564</v>
      </c>
      <c r="B334" s="9" t="s">
        <v>556</v>
      </c>
      <c r="C334" s="9" t="s">
        <v>565</v>
      </c>
    </row>
    <row r="335" spans="1:3" x14ac:dyDescent="0.25">
      <c r="A335" s="10" t="s">
        <v>570</v>
      </c>
      <c r="B335" s="9" t="s">
        <v>570</v>
      </c>
      <c r="C335" s="9" t="s">
        <v>571</v>
      </c>
    </row>
    <row r="336" spans="1:3" x14ac:dyDescent="0.25">
      <c r="A336" s="10" t="s">
        <v>572</v>
      </c>
      <c r="B336" s="9" t="s">
        <v>573</v>
      </c>
      <c r="C336" s="9" t="s">
        <v>574</v>
      </c>
    </row>
    <row r="337" spans="1:3" x14ac:dyDescent="0.25">
      <c r="A337" s="10" t="s">
        <v>575</v>
      </c>
      <c r="B337" s="9" t="s">
        <v>573</v>
      </c>
      <c r="C337" s="9" t="s">
        <v>576</v>
      </c>
    </row>
    <row r="338" spans="1:3" x14ac:dyDescent="0.25">
      <c r="A338" s="10" t="s">
        <v>577</v>
      </c>
      <c r="B338" s="9" t="s">
        <v>578</v>
      </c>
      <c r="C338" s="9" t="s">
        <v>579</v>
      </c>
    </row>
    <row r="339" spans="1:3" x14ac:dyDescent="0.25">
      <c r="A339" s="10" t="s">
        <v>580</v>
      </c>
      <c r="B339" s="9" t="s">
        <v>578</v>
      </c>
      <c r="C339" s="9" t="s">
        <v>581</v>
      </c>
    </row>
    <row r="340" spans="1:3" x14ac:dyDescent="0.25">
      <c r="A340" s="10" t="s">
        <v>582</v>
      </c>
      <c r="B340" s="9" t="s">
        <v>578</v>
      </c>
      <c r="C340" s="9" t="s">
        <v>583</v>
      </c>
    </row>
    <row r="341" spans="1:3" x14ac:dyDescent="0.25">
      <c r="A341" s="10" t="s">
        <v>584</v>
      </c>
      <c r="B341" s="9" t="s">
        <v>578</v>
      </c>
      <c r="C341" s="9" t="s">
        <v>585</v>
      </c>
    </row>
    <row r="342" spans="1:3" x14ac:dyDescent="0.25">
      <c r="A342" s="10" t="s">
        <v>586</v>
      </c>
      <c r="B342" s="9" t="s">
        <v>578</v>
      </c>
      <c r="C342" s="2" t="s">
        <v>587</v>
      </c>
    </row>
    <row r="343" spans="1:3" x14ac:dyDescent="0.25">
      <c r="A343" s="10" t="s">
        <v>588</v>
      </c>
      <c r="B343" s="9" t="s">
        <v>135</v>
      </c>
      <c r="C343" s="9" t="s">
        <v>589</v>
      </c>
    </row>
    <row r="344" spans="1:3" x14ac:dyDescent="0.25">
      <c r="A344" s="10" t="s">
        <v>590</v>
      </c>
      <c r="B344" s="9" t="s">
        <v>135</v>
      </c>
      <c r="C344" s="9" t="s">
        <v>591</v>
      </c>
    </row>
    <row r="345" spans="1:3" x14ac:dyDescent="0.25">
      <c r="A345" s="10" t="s">
        <v>592</v>
      </c>
      <c r="B345" s="9" t="s">
        <v>135</v>
      </c>
      <c r="C345" s="9" t="s">
        <v>593</v>
      </c>
    </row>
    <row r="346" spans="1:3" x14ac:dyDescent="0.25">
      <c r="A346" s="10" t="s">
        <v>594</v>
      </c>
      <c r="B346" s="9" t="s">
        <v>135</v>
      </c>
      <c r="C346" s="9" t="s">
        <v>595</v>
      </c>
    </row>
    <row r="347" spans="1:3" x14ac:dyDescent="0.25">
      <c r="A347" s="10" t="s">
        <v>596</v>
      </c>
      <c r="B347" s="9" t="s">
        <v>135</v>
      </c>
      <c r="C347" s="9" t="s">
        <v>597</v>
      </c>
    </row>
    <row r="348" spans="1:3" x14ac:dyDescent="0.25">
      <c r="A348" s="10" t="s">
        <v>598</v>
      </c>
      <c r="B348" s="9" t="s">
        <v>135</v>
      </c>
      <c r="C348" s="9" t="s">
        <v>599</v>
      </c>
    </row>
    <row r="349" spans="1:3" x14ac:dyDescent="0.25">
      <c r="A349" s="10" t="s">
        <v>600</v>
      </c>
      <c r="B349" s="9" t="s">
        <v>135</v>
      </c>
      <c r="C349" s="9" t="s">
        <v>601</v>
      </c>
    </row>
    <row r="350" spans="1:3" x14ac:dyDescent="0.25">
      <c r="A350" s="10" t="s">
        <v>602</v>
      </c>
      <c r="B350" s="9" t="s">
        <v>135</v>
      </c>
      <c r="C350" s="5" t="s">
        <v>603</v>
      </c>
    </row>
    <row r="351" spans="1:3" ht="15" x14ac:dyDescent="0.25">
      <c r="A351" t="s">
        <v>134</v>
      </c>
      <c r="B351" s="6" t="s">
        <v>135</v>
      </c>
      <c r="C351" s="3" t="s">
        <v>136</v>
      </c>
    </row>
    <row r="352" spans="1:3" x14ac:dyDescent="0.25">
      <c r="A352" s="10" t="s">
        <v>604</v>
      </c>
      <c r="B352" s="9" t="s">
        <v>605</v>
      </c>
      <c r="C352" s="9" t="s">
        <v>606</v>
      </c>
    </row>
    <row r="353" spans="1:3" x14ac:dyDescent="0.25">
      <c r="A353" s="10" t="s">
        <v>607</v>
      </c>
      <c r="B353" s="9" t="s">
        <v>605</v>
      </c>
      <c r="C353" s="9" t="s">
        <v>608</v>
      </c>
    </row>
    <row r="354" spans="1:3" x14ac:dyDescent="0.25">
      <c r="A354" s="10" t="s">
        <v>609</v>
      </c>
      <c r="B354" s="9" t="s">
        <v>605</v>
      </c>
      <c r="C354" s="9" t="s">
        <v>610</v>
      </c>
    </row>
    <row r="355" spans="1:3" x14ac:dyDescent="0.25">
      <c r="A355" s="10" t="s">
        <v>611</v>
      </c>
      <c r="B355" s="9" t="s">
        <v>605</v>
      </c>
      <c r="C355" s="9" t="s">
        <v>612</v>
      </c>
    </row>
    <row r="356" spans="1:3" x14ac:dyDescent="0.25">
      <c r="A356" s="10" t="s">
        <v>613</v>
      </c>
      <c r="B356" s="9" t="s">
        <v>605</v>
      </c>
      <c r="C356" s="9" t="s">
        <v>614</v>
      </c>
    </row>
    <row r="357" spans="1:3" x14ac:dyDescent="0.25">
      <c r="A357" s="10" t="s">
        <v>615</v>
      </c>
      <c r="B357" s="9" t="s">
        <v>605</v>
      </c>
      <c r="C357" s="9" t="s">
        <v>616</v>
      </c>
    </row>
    <row r="358" spans="1:3" x14ac:dyDescent="0.25">
      <c r="A358" s="10" t="s">
        <v>617</v>
      </c>
      <c r="B358" s="9" t="s">
        <v>605</v>
      </c>
      <c r="C358" s="9" t="s">
        <v>618</v>
      </c>
    </row>
    <row r="359" spans="1:3" x14ac:dyDescent="0.25">
      <c r="A359" s="10" t="s">
        <v>619</v>
      </c>
      <c r="B359" s="9" t="s">
        <v>605</v>
      </c>
      <c r="C359" s="9" t="s">
        <v>620</v>
      </c>
    </row>
    <row r="360" spans="1:3" x14ac:dyDescent="0.25">
      <c r="A360" s="10" t="s">
        <v>621</v>
      </c>
      <c r="B360" s="9" t="s">
        <v>605</v>
      </c>
      <c r="C360" s="9" t="s">
        <v>622</v>
      </c>
    </row>
    <row r="361" spans="1:3" x14ac:dyDescent="0.25">
      <c r="A361" s="10" t="s">
        <v>623</v>
      </c>
      <c r="B361" s="9" t="s">
        <v>605</v>
      </c>
      <c r="C361" s="9" t="s">
        <v>624</v>
      </c>
    </row>
    <row r="362" spans="1:3" x14ac:dyDescent="0.25">
      <c r="A362" s="10" t="s">
        <v>625</v>
      </c>
      <c r="B362" s="9" t="s">
        <v>605</v>
      </c>
      <c r="C362" s="9" t="s">
        <v>626</v>
      </c>
    </row>
    <row r="363" spans="1:3" x14ac:dyDescent="0.25">
      <c r="A363" s="10" t="s">
        <v>627</v>
      </c>
      <c r="B363" s="9" t="s">
        <v>605</v>
      </c>
      <c r="C363" s="9" t="s">
        <v>628</v>
      </c>
    </row>
    <row r="364" spans="1:3" x14ac:dyDescent="0.25">
      <c r="A364" s="10" t="s">
        <v>629</v>
      </c>
      <c r="B364" s="9" t="s">
        <v>605</v>
      </c>
      <c r="C364" s="9" t="s">
        <v>630</v>
      </c>
    </row>
    <row r="365" spans="1:3" x14ac:dyDescent="0.25">
      <c r="A365" s="10" t="s">
        <v>631</v>
      </c>
      <c r="B365" s="9" t="s">
        <v>605</v>
      </c>
      <c r="C365" s="9" t="s">
        <v>632</v>
      </c>
    </row>
    <row r="366" spans="1:3" x14ac:dyDescent="0.25">
      <c r="A366" s="10" t="s">
        <v>633</v>
      </c>
      <c r="B366" s="9" t="s">
        <v>605</v>
      </c>
      <c r="C366" s="9" t="s">
        <v>634</v>
      </c>
    </row>
    <row r="367" spans="1:3" x14ac:dyDescent="0.25">
      <c r="A367" s="10" t="s">
        <v>635</v>
      </c>
      <c r="B367" s="9" t="s">
        <v>605</v>
      </c>
      <c r="C367" s="9" t="s">
        <v>636</v>
      </c>
    </row>
    <row r="368" spans="1:3" x14ac:dyDescent="0.25">
      <c r="A368" s="10" t="s">
        <v>637</v>
      </c>
      <c r="B368" s="9" t="s">
        <v>638</v>
      </c>
      <c r="C368" s="9" t="s">
        <v>639</v>
      </c>
    </row>
    <row r="369" spans="1:3" x14ac:dyDescent="0.25">
      <c r="A369" s="10" t="s">
        <v>640</v>
      </c>
      <c r="B369" s="9" t="s">
        <v>638</v>
      </c>
      <c r="C369" s="9" t="s">
        <v>641</v>
      </c>
    </row>
    <row r="370" spans="1:3" x14ac:dyDescent="0.25">
      <c r="A370" s="10" t="s">
        <v>642</v>
      </c>
      <c r="B370" s="9" t="s">
        <v>638</v>
      </c>
      <c r="C370" s="9" t="s">
        <v>643</v>
      </c>
    </row>
    <row r="371" spans="1:3" x14ac:dyDescent="0.25">
      <c r="A371" s="10" t="s">
        <v>644</v>
      </c>
      <c r="B371" s="9" t="s">
        <v>638</v>
      </c>
      <c r="C371" s="9" t="s">
        <v>645</v>
      </c>
    </row>
    <row r="372" spans="1:3" x14ac:dyDescent="0.25">
      <c r="A372" s="10" t="s">
        <v>646</v>
      </c>
      <c r="B372" s="9" t="s">
        <v>638</v>
      </c>
      <c r="C372" s="9" t="s">
        <v>647</v>
      </c>
    </row>
    <row r="373" spans="1:3" x14ac:dyDescent="0.25">
      <c r="A373" s="10" t="s">
        <v>648</v>
      </c>
      <c r="B373" s="9" t="s">
        <v>638</v>
      </c>
      <c r="C373" s="9" t="s">
        <v>649</v>
      </c>
    </row>
    <row r="374" spans="1:3" x14ac:dyDescent="0.25">
      <c r="A374" s="10" t="s">
        <v>650</v>
      </c>
      <c r="B374" s="9" t="s">
        <v>638</v>
      </c>
      <c r="C374" s="9" t="s">
        <v>651</v>
      </c>
    </row>
    <row r="375" spans="1:3" x14ac:dyDescent="0.25">
      <c r="A375" s="10" t="s">
        <v>652</v>
      </c>
      <c r="B375" s="9" t="s">
        <v>638</v>
      </c>
      <c r="C375" s="9" t="s">
        <v>653</v>
      </c>
    </row>
    <row r="376" spans="1:3" x14ac:dyDescent="0.25">
      <c r="A376" s="10" t="s">
        <v>654</v>
      </c>
      <c r="B376" s="9" t="s">
        <v>638</v>
      </c>
      <c r="C376" s="9" t="s">
        <v>655</v>
      </c>
    </row>
    <row r="377" spans="1:3" x14ac:dyDescent="0.25">
      <c r="A377" s="10" t="s">
        <v>656</v>
      </c>
      <c r="B377" s="9" t="s">
        <v>638</v>
      </c>
      <c r="C377" s="9" t="s">
        <v>657</v>
      </c>
    </row>
    <row r="378" spans="1:3" x14ac:dyDescent="0.25">
      <c r="A378" s="10" t="s">
        <v>658</v>
      </c>
      <c r="B378" s="9" t="s">
        <v>638</v>
      </c>
      <c r="C378" s="9" t="s">
        <v>659</v>
      </c>
    </row>
    <row r="379" spans="1:3" x14ac:dyDescent="0.25">
      <c r="A379" s="10" t="s">
        <v>660</v>
      </c>
      <c r="B379" s="9" t="s">
        <v>638</v>
      </c>
      <c r="C379" s="9" t="s">
        <v>661</v>
      </c>
    </row>
    <row r="380" spans="1:3" x14ac:dyDescent="0.25">
      <c r="A380" s="10" t="s">
        <v>662</v>
      </c>
      <c r="B380" s="9" t="s">
        <v>638</v>
      </c>
      <c r="C380" s="9" t="s">
        <v>663</v>
      </c>
    </row>
    <row r="381" spans="1:3" x14ac:dyDescent="0.25">
      <c r="A381" s="10" t="s">
        <v>664</v>
      </c>
      <c r="B381" s="9" t="s">
        <v>638</v>
      </c>
      <c r="C381" s="9" t="s">
        <v>665</v>
      </c>
    </row>
    <row r="382" spans="1:3" x14ac:dyDescent="0.25">
      <c r="A382" s="10" t="s">
        <v>666</v>
      </c>
      <c r="B382" s="9" t="s">
        <v>638</v>
      </c>
      <c r="C382" s="9" t="s">
        <v>667</v>
      </c>
    </row>
    <row r="383" spans="1:3" x14ac:dyDescent="0.25">
      <c r="A383" s="10" t="s">
        <v>668</v>
      </c>
      <c r="B383" s="9" t="s">
        <v>638</v>
      </c>
      <c r="C383" s="9" t="s">
        <v>669</v>
      </c>
    </row>
    <row r="384" spans="1:3" x14ac:dyDescent="0.25">
      <c r="A384" s="10" t="s">
        <v>670</v>
      </c>
      <c r="B384" s="9" t="s">
        <v>638</v>
      </c>
      <c r="C384" s="9" t="s">
        <v>671</v>
      </c>
    </row>
    <row r="385" spans="1:3" x14ac:dyDescent="0.25">
      <c r="A385" s="10" t="s">
        <v>672</v>
      </c>
      <c r="B385" s="9" t="s">
        <v>638</v>
      </c>
      <c r="C385" s="9" t="s">
        <v>673</v>
      </c>
    </row>
    <row r="386" spans="1:3" x14ac:dyDescent="0.25">
      <c r="A386" s="10" t="s">
        <v>674</v>
      </c>
      <c r="B386" s="9" t="s">
        <v>638</v>
      </c>
      <c r="C386" s="9" t="s">
        <v>675</v>
      </c>
    </row>
    <row r="387" spans="1:3" x14ac:dyDescent="0.25">
      <c r="A387" s="10" t="s">
        <v>676</v>
      </c>
      <c r="B387" s="9" t="s">
        <v>638</v>
      </c>
      <c r="C387" s="9" t="s">
        <v>677</v>
      </c>
    </row>
    <row r="388" spans="1:3" x14ac:dyDescent="0.25">
      <c r="A388" s="10" t="s">
        <v>678</v>
      </c>
      <c r="B388" s="9" t="s">
        <v>638</v>
      </c>
      <c r="C388" s="9" t="s">
        <v>679</v>
      </c>
    </row>
    <row r="389" spans="1:3" x14ac:dyDescent="0.25">
      <c r="A389" s="10" t="s">
        <v>680</v>
      </c>
      <c r="B389" s="9" t="s">
        <v>638</v>
      </c>
      <c r="C389" s="9" t="s">
        <v>681</v>
      </c>
    </row>
    <row r="390" spans="1:3" x14ac:dyDescent="0.25">
      <c r="A390" s="10" t="s">
        <v>682</v>
      </c>
      <c r="B390" s="9" t="s">
        <v>638</v>
      </c>
      <c r="C390" s="9" t="s">
        <v>683</v>
      </c>
    </row>
    <row r="391" spans="1:3" x14ac:dyDescent="0.25">
      <c r="A391" s="10" t="s">
        <v>684</v>
      </c>
      <c r="B391" s="9" t="s">
        <v>638</v>
      </c>
      <c r="C391" s="9" t="s">
        <v>685</v>
      </c>
    </row>
    <row r="392" spans="1:3" x14ac:dyDescent="0.25">
      <c r="A392" s="10" t="s">
        <v>686</v>
      </c>
      <c r="B392" s="9" t="s">
        <v>638</v>
      </c>
      <c r="C392" s="9" t="s">
        <v>687</v>
      </c>
    </row>
    <row r="393" spans="1:3" x14ac:dyDescent="0.25">
      <c r="A393" s="10" t="s">
        <v>688</v>
      </c>
      <c r="B393" s="9" t="s">
        <v>638</v>
      </c>
      <c r="C393" s="9" t="s">
        <v>689</v>
      </c>
    </row>
    <row r="394" spans="1:3" x14ac:dyDescent="0.25">
      <c r="A394" s="10" t="s">
        <v>690</v>
      </c>
      <c r="B394" s="9" t="s">
        <v>638</v>
      </c>
      <c r="C394" s="9" t="s">
        <v>691</v>
      </c>
    </row>
    <row r="395" spans="1:3" x14ac:dyDescent="0.25">
      <c r="A395" s="10" t="s">
        <v>692</v>
      </c>
      <c r="B395" s="9" t="s">
        <v>638</v>
      </c>
      <c r="C395" s="9" t="s">
        <v>693</v>
      </c>
    </row>
    <row r="396" spans="1:3" x14ac:dyDescent="0.25">
      <c r="A396" s="10" t="s">
        <v>694</v>
      </c>
      <c r="B396" s="9" t="s">
        <v>638</v>
      </c>
      <c r="C396" s="9" t="s">
        <v>695</v>
      </c>
    </row>
    <row r="397" spans="1:3" x14ac:dyDescent="0.25">
      <c r="A397" s="10" t="s">
        <v>696</v>
      </c>
      <c r="B397" s="9" t="s">
        <v>638</v>
      </c>
      <c r="C397" s="9" t="s">
        <v>697</v>
      </c>
    </row>
    <row r="398" spans="1:3" x14ac:dyDescent="0.25">
      <c r="A398" s="10" t="s">
        <v>698</v>
      </c>
      <c r="B398" s="9" t="s">
        <v>638</v>
      </c>
      <c r="C398" s="9" t="s">
        <v>699</v>
      </c>
    </row>
    <row r="399" spans="1:3" x14ac:dyDescent="0.25">
      <c r="A399" s="10" t="s">
        <v>700</v>
      </c>
      <c r="B399" s="9" t="s">
        <v>638</v>
      </c>
      <c r="C399" s="9" t="s">
        <v>701</v>
      </c>
    </row>
    <row r="400" spans="1:3" x14ac:dyDescent="0.25">
      <c r="A400" s="10" t="s">
        <v>702</v>
      </c>
      <c r="B400" s="9" t="s">
        <v>638</v>
      </c>
      <c r="C400" s="9" t="s">
        <v>703</v>
      </c>
    </row>
    <row r="401" spans="1:3" x14ac:dyDescent="0.25">
      <c r="A401" s="10" t="s">
        <v>704</v>
      </c>
      <c r="B401" s="9" t="s">
        <v>638</v>
      </c>
      <c r="C401" s="9" t="s">
        <v>705</v>
      </c>
    </row>
    <row r="402" spans="1:3" x14ac:dyDescent="0.25">
      <c r="A402" s="10" t="s">
        <v>706</v>
      </c>
      <c r="B402" s="9" t="s">
        <v>638</v>
      </c>
      <c r="C402" s="9" t="s">
        <v>707</v>
      </c>
    </row>
    <row r="403" spans="1:3" x14ac:dyDescent="0.25">
      <c r="A403" s="10" t="s">
        <v>708</v>
      </c>
      <c r="B403" s="9" t="s">
        <v>638</v>
      </c>
      <c r="C403" s="9" t="s">
        <v>709</v>
      </c>
    </row>
    <row r="404" spans="1:3" x14ac:dyDescent="0.25">
      <c r="A404" s="10" t="s">
        <v>710</v>
      </c>
      <c r="B404" s="9" t="s">
        <v>638</v>
      </c>
      <c r="C404" s="9" t="s">
        <v>711</v>
      </c>
    </row>
    <row r="405" spans="1:3" x14ac:dyDescent="0.25">
      <c r="A405" s="10" t="s">
        <v>712</v>
      </c>
      <c r="B405" s="9" t="s">
        <v>638</v>
      </c>
      <c r="C405" s="9" t="s">
        <v>713</v>
      </c>
    </row>
    <row r="406" spans="1:3" x14ac:dyDescent="0.25">
      <c r="A406" s="10" t="s">
        <v>714</v>
      </c>
      <c r="B406" s="9" t="s">
        <v>638</v>
      </c>
      <c r="C406" s="9" t="s">
        <v>715</v>
      </c>
    </row>
    <row r="407" spans="1:3" x14ac:dyDescent="0.25">
      <c r="A407" s="10" t="s">
        <v>716</v>
      </c>
      <c r="B407" s="9" t="s">
        <v>638</v>
      </c>
      <c r="C407" s="9" t="s">
        <v>717</v>
      </c>
    </row>
    <row r="408" spans="1:3" x14ac:dyDescent="0.25">
      <c r="A408" s="10" t="s">
        <v>718</v>
      </c>
      <c r="B408" s="9" t="s">
        <v>638</v>
      </c>
      <c r="C408" s="9" t="s">
        <v>719</v>
      </c>
    </row>
    <row r="409" spans="1:3" x14ac:dyDescent="0.25">
      <c r="A409" s="10" t="s">
        <v>720</v>
      </c>
      <c r="B409" s="9" t="s">
        <v>638</v>
      </c>
      <c r="C409" s="9" t="s">
        <v>721</v>
      </c>
    </row>
    <row r="410" spans="1:3" x14ac:dyDescent="0.25">
      <c r="A410" s="10" t="s">
        <v>722</v>
      </c>
      <c r="B410" s="9" t="s">
        <v>638</v>
      </c>
      <c r="C410" s="9" t="s">
        <v>723</v>
      </c>
    </row>
    <row r="411" spans="1:3" x14ac:dyDescent="0.25">
      <c r="A411" s="10" t="s">
        <v>724</v>
      </c>
      <c r="B411" s="9" t="s">
        <v>638</v>
      </c>
      <c r="C411" s="9" t="s">
        <v>725</v>
      </c>
    </row>
    <row r="412" spans="1:3" x14ac:dyDescent="0.25">
      <c r="A412" s="10" t="s">
        <v>726</v>
      </c>
      <c r="B412" s="9" t="s">
        <v>638</v>
      </c>
      <c r="C412" s="9" t="s">
        <v>727</v>
      </c>
    </row>
    <row r="413" spans="1:3" x14ac:dyDescent="0.25">
      <c r="A413" s="10" t="s">
        <v>728</v>
      </c>
      <c r="B413" s="9" t="s">
        <v>638</v>
      </c>
      <c r="C413" s="9" t="s">
        <v>729</v>
      </c>
    </row>
    <row r="414" spans="1:3" x14ac:dyDescent="0.25">
      <c r="A414" s="10" t="s">
        <v>730</v>
      </c>
      <c r="B414" s="9" t="s">
        <v>638</v>
      </c>
      <c r="C414" s="9" t="s">
        <v>731</v>
      </c>
    </row>
    <row r="415" spans="1:3" x14ac:dyDescent="0.25">
      <c r="A415" s="10" t="s">
        <v>732</v>
      </c>
      <c r="B415" s="9" t="s">
        <v>638</v>
      </c>
      <c r="C415" s="9" t="s">
        <v>733</v>
      </c>
    </row>
    <row r="416" spans="1:3" x14ac:dyDescent="0.25">
      <c r="A416" s="10" t="s">
        <v>734</v>
      </c>
      <c r="B416" s="9" t="s">
        <v>638</v>
      </c>
      <c r="C416" s="9" t="s">
        <v>735</v>
      </c>
    </row>
    <row r="417" spans="1:3" x14ac:dyDescent="0.25">
      <c r="A417" s="10" t="s">
        <v>736</v>
      </c>
      <c r="B417" s="9" t="s">
        <v>638</v>
      </c>
      <c r="C417" s="9" t="s">
        <v>737</v>
      </c>
    </row>
    <row r="418" spans="1:3" x14ac:dyDescent="0.25">
      <c r="A418" s="10" t="s">
        <v>738</v>
      </c>
      <c r="B418" s="9" t="s">
        <v>638</v>
      </c>
      <c r="C418" s="9" t="s">
        <v>739</v>
      </c>
    </row>
    <row r="419" spans="1:3" x14ac:dyDescent="0.25">
      <c r="A419" s="10" t="s">
        <v>740</v>
      </c>
      <c r="B419" s="9" t="s">
        <v>638</v>
      </c>
      <c r="C419" s="9" t="s">
        <v>741</v>
      </c>
    </row>
    <row r="420" spans="1:3" x14ac:dyDescent="0.25">
      <c r="A420" s="10" t="s">
        <v>742</v>
      </c>
      <c r="B420" s="9" t="s">
        <v>638</v>
      </c>
      <c r="C420" s="9" t="s">
        <v>743</v>
      </c>
    </row>
    <row r="421" spans="1:3" x14ac:dyDescent="0.25">
      <c r="A421" s="10" t="s">
        <v>744</v>
      </c>
      <c r="B421" s="9" t="s">
        <v>638</v>
      </c>
      <c r="C421" s="9" t="s">
        <v>745</v>
      </c>
    </row>
    <row r="422" spans="1:3" x14ac:dyDescent="0.25">
      <c r="A422" s="10" t="s">
        <v>746</v>
      </c>
      <c r="B422" s="9" t="s">
        <v>638</v>
      </c>
      <c r="C422" s="9" t="s">
        <v>747</v>
      </c>
    </row>
    <row r="423" spans="1:3" x14ac:dyDescent="0.25">
      <c r="A423" s="10" t="s">
        <v>748</v>
      </c>
      <c r="B423" s="9" t="s">
        <v>638</v>
      </c>
      <c r="C423" s="9" t="s">
        <v>749</v>
      </c>
    </row>
    <row r="424" spans="1:3" x14ac:dyDescent="0.25">
      <c r="A424" s="10" t="s">
        <v>750</v>
      </c>
      <c r="B424" s="9" t="s">
        <v>638</v>
      </c>
      <c r="C424" s="9">
        <v>0</v>
      </c>
    </row>
    <row r="425" spans="1:3" x14ac:dyDescent="0.25">
      <c r="A425" s="10" t="s">
        <v>751</v>
      </c>
      <c r="B425" s="9" t="s">
        <v>638</v>
      </c>
      <c r="C425" s="9">
        <v>0</v>
      </c>
    </row>
    <row r="426" spans="1:3" x14ac:dyDescent="0.25">
      <c r="A426" s="10" t="s">
        <v>752</v>
      </c>
      <c r="B426" s="9" t="s">
        <v>638</v>
      </c>
      <c r="C426" s="9">
        <v>0</v>
      </c>
    </row>
    <row r="427" spans="1:3" x14ac:dyDescent="0.25">
      <c r="A427" s="10" t="s">
        <v>753</v>
      </c>
      <c r="B427" s="9" t="s">
        <v>638</v>
      </c>
      <c r="C427" s="9" t="s">
        <v>754</v>
      </c>
    </row>
    <row r="428" spans="1:3" x14ac:dyDescent="0.25">
      <c r="A428" s="10" t="s">
        <v>755</v>
      </c>
      <c r="B428" s="9" t="s">
        <v>638</v>
      </c>
      <c r="C428" s="9" t="s">
        <v>756</v>
      </c>
    </row>
    <row r="429" spans="1:3" x14ac:dyDescent="0.25">
      <c r="A429" s="10" t="s">
        <v>757</v>
      </c>
      <c r="B429" s="9" t="s">
        <v>638</v>
      </c>
      <c r="C429" s="9">
        <v>0</v>
      </c>
    </row>
    <row r="430" spans="1:3" x14ac:dyDescent="0.25">
      <c r="A430" s="10" t="s">
        <v>758</v>
      </c>
      <c r="B430" s="9" t="s">
        <v>638</v>
      </c>
      <c r="C430" s="9" t="s">
        <v>759</v>
      </c>
    </row>
    <row r="431" spans="1:3" x14ac:dyDescent="0.25">
      <c r="A431" s="10" t="s">
        <v>760</v>
      </c>
      <c r="B431" s="9" t="s">
        <v>638</v>
      </c>
      <c r="C431" s="9">
        <v>0</v>
      </c>
    </row>
    <row r="432" spans="1:3" x14ac:dyDescent="0.25">
      <c r="A432" s="10" t="s">
        <v>761</v>
      </c>
      <c r="B432" s="9" t="s">
        <v>638</v>
      </c>
      <c r="C432" s="9">
        <v>0</v>
      </c>
    </row>
    <row r="433" spans="1:3" x14ac:dyDescent="0.25">
      <c r="A433" s="10" t="s">
        <v>762</v>
      </c>
      <c r="B433" s="9" t="s">
        <v>638</v>
      </c>
      <c r="C433" s="9" t="s">
        <v>763</v>
      </c>
    </row>
    <row r="434" spans="1:3" x14ac:dyDescent="0.25">
      <c r="A434" s="10" t="s">
        <v>764</v>
      </c>
      <c r="B434" s="9" t="s">
        <v>638</v>
      </c>
      <c r="C434" s="9" t="s">
        <v>765</v>
      </c>
    </row>
    <row r="435" spans="1:3" x14ac:dyDescent="0.25">
      <c r="A435" s="10" t="s">
        <v>766</v>
      </c>
      <c r="B435" s="9" t="s">
        <v>638</v>
      </c>
      <c r="C435" s="9" t="s">
        <v>767</v>
      </c>
    </row>
    <row r="436" spans="1:3" x14ac:dyDescent="0.25">
      <c r="A436" s="10" t="s">
        <v>768</v>
      </c>
      <c r="B436" s="9" t="s">
        <v>638</v>
      </c>
      <c r="C436" s="9" t="s">
        <v>769</v>
      </c>
    </row>
    <row r="437" spans="1:3" x14ac:dyDescent="0.25">
      <c r="A437" s="10" t="s">
        <v>770</v>
      </c>
      <c r="B437" s="9" t="s">
        <v>638</v>
      </c>
      <c r="C437" s="9" t="s">
        <v>771</v>
      </c>
    </row>
    <row r="438" spans="1:3" x14ac:dyDescent="0.25">
      <c r="A438" s="10" t="s">
        <v>772</v>
      </c>
      <c r="B438" s="9" t="s">
        <v>638</v>
      </c>
      <c r="C438" s="9" t="s">
        <v>773</v>
      </c>
    </row>
    <row r="439" spans="1:3" x14ac:dyDescent="0.25">
      <c r="A439" s="10" t="s">
        <v>774</v>
      </c>
      <c r="B439" s="9" t="s">
        <v>638</v>
      </c>
      <c r="C439" s="9" t="s">
        <v>775</v>
      </c>
    </row>
    <row r="440" spans="1:3" x14ac:dyDescent="0.25">
      <c r="A440" s="10" t="s">
        <v>776</v>
      </c>
      <c r="B440" s="9" t="s">
        <v>638</v>
      </c>
      <c r="C440" s="9" t="s">
        <v>777</v>
      </c>
    </row>
    <row r="441" spans="1:3" x14ac:dyDescent="0.25">
      <c r="A441" s="10" t="s">
        <v>778</v>
      </c>
      <c r="B441" s="9" t="s">
        <v>638</v>
      </c>
      <c r="C441" s="9" t="s">
        <v>779</v>
      </c>
    </row>
    <row r="442" spans="1:3" x14ac:dyDescent="0.25">
      <c r="A442" s="10" t="s">
        <v>780</v>
      </c>
      <c r="B442" s="9" t="s">
        <v>638</v>
      </c>
      <c r="C442" s="9">
        <v>0</v>
      </c>
    </row>
    <row r="443" spans="1:3" x14ac:dyDescent="0.25">
      <c r="A443" s="10" t="s">
        <v>781</v>
      </c>
      <c r="B443" s="9" t="s">
        <v>638</v>
      </c>
      <c r="C443" s="9">
        <v>0</v>
      </c>
    </row>
    <row r="444" spans="1:3" x14ac:dyDescent="0.25">
      <c r="A444" s="10" t="s">
        <v>782</v>
      </c>
      <c r="B444" s="9" t="s">
        <v>638</v>
      </c>
      <c r="C444" s="9">
        <v>0</v>
      </c>
    </row>
    <row r="445" spans="1:3" x14ac:dyDescent="0.25">
      <c r="A445" s="10" t="s">
        <v>783</v>
      </c>
      <c r="B445" s="9" t="s">
        <v>638</v>
      </c>
      <c r="C445" s="9">
        <v>0</v>
      </c>
    </row>
    <row r="446" spans="1:3" x14ac:dyDescent="0.25">
      <c r="A446" s="10" t="s">
        <v>784</v>
      </c>
      <c r="B446" s="9" t="s">
        <v>638</v>
      </c>
      <c r="C446" s="9">
        <v>0</v>
      </c>
    </row>
    <row r="447" spans="1:3" x14ac:dyDescent="0.25">
      <c r="A447" s="10" t="s">
        <v>785</v>
      </c>
      <c r="B447" s="9" t="s">
        <v>638</v>
      </c>
      <c r="C447" s="9">
        <v>0</v>
      </c>
    </row>
    <row r="448" spans="1:3" x14ac:dyDescent="0.25">
      <c r="A448" s="10" t="s">
        <v>786</v>
      </c>
      <c r="B448" s="9" t="s">
        <v>638</v>
      </c>
      <c r="C448" s="9">
        <v>0</v>
      </c>
    </row>
    <row r="449" spans="1:3" x14ac:dyDescent="0.25">
      <c r="A449" s="10" t="s">
        <v>787</v>
      </c>
      <c r="B449" s="9" t="s">
        <v>638</v>
      </c>
      <c r="C449" s="9" t="s">
        <v>788</v>
      </c>
    </row>
    <row r="450" spans="1:3" x14ac:dyDescent="0.25">
      <c r="A450" s="10" t="s">
        <v>789</v>
      </c>
      <c r="B450" s="9" t="s">
        <v>638</v>
      </c>
      <c r="C450" s="9">
        <v>0</v>
      </c>
    </row>
    <row r="451" spans="1:3" x14ac:dyDescent="0.25">
      <c r="A451" s="10" t="s">
        <v>790</v>
      </c>
      <c r="B451" s="9" t="s">
        <v>638</v>
      </c>
      <c r="C451" s="9">
        <v>0</v>
      </c>
    </row>
    <row r="452" spans="1:3" x14ac:dyDescent="0.25">
      <c r="A452" s="10" t="s">
        <v>791</v>
      </c>
      <c r="B452" s="9" t="s">
        <v>638</v>
      </c>
      <c r="C452" s="9">
        <v>0</v>
      </c>
    </row>
    <row r="453" spans="1:3" x14ac:dyDescent="0.25">
      <c r="A453" s="10" t="s">
        <v>792</v>
      </c>
      <c r="B453" s="9" t="s">
        <v>638</v>
      </c>
      <c r="C453" s="9">
        <v>0</v>
      </c>
    </row>
    <row r="454" spans="1:3" x14ac:dyDescent="0.25">
      <c r="A454" s="10" t="s">
        <v>793</v>
      </c>
      <c r="B454" s="9" t="s">
        <v>638</v>
      </c>
      <c r="C454" s="9">
        <v>0</v>
      </c>
    </row>
    <row r="455" spans="1:3" x14ac:dyDescent="0.25">
      <c r="A455" s="10" t="s">
        <v>794</v>
      </c>
      <c r="B455" s="9" t="s">
        <v>638</v>
      </c>
      <c r="C455" s="9">
        <v>0</v>
      </c>
    </row>
    <row r="456" spans="1:3" x14ac:dyDescent="0.25">
      <c r="A456" s="10" t="s">
        <v>795</v>
      </c>
      <c r="B456" s="9" t="s">
        <v>638</v>
      </c>
      <c r="C456" s="9">
        <v>0</v>
      </c>
    </row>
    <row r="457" spans="1:3" x14ac:dyDescent="0.25">
      <c r="A457" s="10" t="s">
        <v>796</v>
      </c>
      <c r="B457" s="9" t="s">
        <v>638</v>
      </c>
      <c r="C457" s="9">
        <v>0</v>
      </c>
    </row>
    <row r="458" spans="1:3" x14ac:dyDescent="0.25">
      <c r="A458" s="10" t="s">
        <v>797</v>
      </c>
      <c r="B458" s="9" t="s">
        <v>638</v>
      </c>
      <c r="C458" s="9">
        <v>0</v>
      </c>
    </row>
    <row r="459" spans="1:3" x14ac:dyDescent="0.25">
      <c r="A459" s="10" t="s">
        <v>798</v>
      </c>
      <c r="B459" s="9" t="s">
        <v>799</v>
      </c>
      <c r="C459" s="9" t="s">
        <v>800</v>
      </c>
    </row>
    <row r="460" spans="1:3" x14ac:dyDescent="0.25">
      <c r="A460" s="10" t="s">
        <v>801</v>
      </c>
      <c r="B460" s="9" t="s">
        <v>799</v>
      </c>
      <c r="C460" s="9" t="s">
        <v>802</v>
      </c>
    </row>
    <row r="461" spans="1:3" x14ac:dyDescent="0.25">
      <c r="A461" s="10" t="s">
        <v>803</v>
      </c>
      <c r="B461" s="9" t="s">
        <v>799</v>
      </c>
      <c r="C461" s="9" t="s">
        <v>804</v>
      </c>
    </row>
    <row r="462" spans="1:3" x14ac:dyDescent="0.25">
      <c r="A462" s="10" t="s">
        <v>805</v>
      </c>
      <c r="B462" s="9" t="s">
        <v>799</v>
      </c>
      <c r="C462" s="9" t="s">
        <v>806</v>
      </c>
    </row>
    <row r="463" spans="1:3" x14ac:dyDescent="0.25">
      <c r="A463" s="10" t="s">
        <v>807</v>
      </c>
      <c r="B463" s="9" t="s">
        <v>799</v>
      </c>
      <c r="C463" s="9" t="s">
        <v>808</v>
      </c>
    </row>
    <row r="464" spans="1:3" x14ac:dyDescent="0.25">
      <c r="A464" s="10" t="s">
        <v>809</v>
      </c>
      <c r="B464" s="9" t="s">
        <v>799</v>
      </c>
      <c r="C464" s="9" t="s">
        <v>810</v>
      </c>
    </row>
    <row r="465" spans="1:3" x14ac:dyDescent="0.25">
      <c r="A465" s="10" t="s">
        <v>811</v>
      </c>
      <c r="B465" s="9" t="s">
        <v>799</v>
      </c>
      <c r="C465" s="9" t="s">
        <v>812</v>
      </c>
    </row>
    <row r="466" spans="1:3" x14ac:dyDescent="0.25">
      <c r="A466" s="10" t="s">
        <v>813</v>
      </c>
      <c r="B466" s="9" t="s">
        <v>799</v>
      </c>
      <c r="C466" s="9" t="s">
        <v>814</v>
      </c>
    </row>
    <row r="467" spans="1:3" x14ac:dyDescent="0.25">
      <c r="A467" s="10" t="s">
        <v>815</v>
      </c>
      <c r="B467" s="9" t="s">
        <v>799</v>
      </c>
      <c r="C467" s="9" t="s">
        <v>816</v>
      </c>
    </row>
    <row r="468" spans="1:3" x14ac:dyDescent="0.25">
      <c r="A468" s="10" t="s">
        <v>817</v>
      </c>
      <c r="B468" s="9" t="s">
        <v>799</v>
      </c>
      <c r="C468" s="9" t="s">
        <v>818</v>
      </c>
    </row>
    <row r="469" spans="1:3" x14ac:dyDescent="0.25">
      <c r="A469" s="10" t="s">
        <v>819</v>
      </c>
      <c r="B469" s="9" t="s">
        <v>799</v>
      </c>
      <c r="C469" s="9" t="s">
        <v>820</v>
      </c>
    </row>
    <row r="470" spans="1:3" x14ac:dyDescent="0.25">
      <c r="A470" s="10" t="s">
        <v>821</v>
      </c>
      <c r="B470" s="9" t="s">
        <v>799</v>
      </c>
      <c r="C470" s="9" t="s">
        <v>822</v>
      </c>
    </row>
    <row r="471" spans="1:3" x14ac:dyDescent="0.25">
      <c r="A471" s="10" t="s">
        <v>823</v>
      </c>
      <c r="B471" s="9" t="s">
        <v>799</v>
      </c>
      <c r="C471" s="9" t="s">
        <v>824</v>
      </c>
    </row>
    <row r="472" spans="1:3" x14ac:dyDescent="0.25">
      <c r="A472" s="10" t="s">
        <v>825</v>
      </c>
      <c r="B472" s="9" t="s">
        <v>799</v>
      </c>
      <c r="C472" s="9" t="s">
        <v>826</v>
      </c>
    </row>
    <row r="473" spans="1:3" x14ac:dyDescent="0.25">
      <c r="A473" s="10" t="s">
        <v>827</v>
      </c>
      <c r="B473" s="9" t="s">
        <v>799</v>
      </c>
      <c r="C473" s="9" t="s">
        <v>828</v>
      </c>
    </row>
    <row r="474" spans="1:3" x14ac:dyDescent="0.25">
      <c r="A474" s="10" t="s">
        <v>829</v>
      </c>
      <c r="B474" s="9" t="s">
        <v>799</v>
      </c>
      <c r="C474" s="9" t="s">
        <v>830</v>
      </c>
    </row>
    <row r="475" spans="1:3" x14ac:dyDescent="0.25">
      <c r="A475" s="10" t="s">
        <v>831</v>
      </c>
      <c r="B475" s="9" t="s">
        <v>799</v>
      </c>
      <c r="C475" s="9" t="s">
        <v>832</v>
      </c>
    </row>
    <row r="476" spans="1:3" x14ac:dyDescent="0.25">
      <c r="A476" s="10" t="s">
        <v>833</v>
      </c>
      <c r="B476" s="9" t="s">
        <v>799</v>
      </c>
      <c r="C476" s="9" t="s">
        <v>834</v>
      </c>
    </row>
    <row r="477" spans="1:3" x14ac:dyDescent="0.25">
      <c r="A477" s="10" t="s">
        <v>835</v>
      </c>
      <c r="B477" s="9" t="s">
        <v>799</v>
      </c>
      <c r="C477" s="9" t="s">
        <v>836</v>
      </c>
    </row>
    <row r="478" spans="1:3" x14ac:dyDescent="0.25">
      <c r="A478" s="10" t="s">
        <v>837</v>
      </c>
      <c r="B478" s="9" t="s">
        <v>799</v>
      </c>
      <c r="C478" s="9" t="s">
        <v>838</v>
      </c>
    </row>
    <row r="479" spans="1:3" x14ac:dyDescent="0.25">
      <c r="A479" s="10" t="s">
        <v>839</v>
      </c>
      <c r="B479" s="9" t="s">
        <v>799</v>
      </c>
      <c r="C479" s="9" t="s">
        <v>840</v>
      </c>
    </row>
    <row r="480" spans="1:3" x14ac:dyDescent="0.25">
      <c r="A480" s="10" t="s">
        <v>841</v>
      </c>
      <c r="B480" s="9" t="s">
        <v>799</v>
      </c>
      <c r="C480" s="9" t="s">
        <v>842</v>
      </c>
    </row>
    <row r="481" spans="1:3" x14ac:dyDescent="0.25">
      <c r="A481" s="10" t="s">
        <v>843</v>
      </c>
      <c r="B481" s="9" t="s">
        <v>844</v>
      </c>
      <c r="C481" s="9" t="s">
        <v>845</v>
      </c>
    </row>
    <row r="482" spans="1:3" x14ac:dyDescent="0.25">
      <c r="A482" s="10" t="s">
        <v>846</v>
      </c>
      <c r="B482" s="9" t="s">
        <v>846</v>
      </c>
      <c r="C482" s="9" t="s">
        <v>847</v>
      </c>
    </row>
    <row r="483" spans="1:3" x14ac:dyDescent="0.25">
      <c r="A483" s="10" t="s">
        <v>849</v>
      </c>
      <c r="B483" s="9" t="s">
        <v>849</v>
      </c>
      <c r="C483" s="9" t="s">
        <v>850</v>
      </c>
    </row>
    <row r="484" spans="1:3" x14ac:dyDescent="0.25">
      <c r="A484" s="10" t="s">
        <v>851</v>
      </c>
      <c r="B484" s="9" t="s">
        <v>851</v>
      </c>
      <c r="C484" s="9" t="s">
        <v>852</v>
      </c>
    </row>
    <row r="485" spans="1:3" x14ac:dyDescent="0.25">
      <c r="A485" s="10" t="s">
        <v>853</v>
      </c>
      <c r="B485" s="10" t="s">
        <v>853</v>
      </c>
      <c r="C485" s="9" t="s">
        <v>854</v>
      </c>
    </row>
    <row r="486" spans="1:3" x14ac:dyDescent="0.25">
      <c r="A486" s="10" t="s">
        <v>855</v>
      </c>
      <c r="B486" s="9" t="s">
        <v>856</v>
      </c>
      <c r="C486" s="9" t="s">
        <v>857</v>
      </c>
    </row>
    <row r="487" spans="1:3" x14ac:dyDescent="0.25">
      <c r="A487" s="10" t="s">
        <v>858</v>
      </c>
      <c r="B487" s="9" t="s">
        <v>856</v>
      </c>
      <c r="C487" s="9" t="s">
        <v>859</v>
      </c>
    </row>
    <row r="488" spans="1:3" x14ac:dyDescent="0.25">
      <c r="A488" s="10" t="s">
        <v>860</v>
      </c>
      <c r="B488" s="9" t="s">
        <v>856</v>
      </c>
      <c r="C488" s="9" t="s">
        <v>861</v>
      </c>
    </row>
    <row r="489" spans="1:3" x14ac:dyDescent="0.25">
      <c r="A489" s="10" t="s">
        <v>862</v>
      </c>
      <c r="B489" s="9" t="s">
        <v>856</v>
      </c>
      <c r="C489" s="9" t="s">
        <v>863</v>
      </c>
    </row>
    <row r="490" spans="1:3" x14ac:dyDescent="0.25">
      <c r="A490" s="10" t="s">
        <v>864</v>
      </c>
      <c r="B490" s="9" t="s">
        <v>865</v>
      </c>
      <c r="C490" s="9" t="s">
        <v>866</v>
      </c>
    </row>
    <row r="491" spans="1:3" x14ac:dyDescent="0.25">
      <c r="A491" s="10" t="s">
        <v>867</v>
      </c>
      <c r="B491" s="9" t="s">
        <v>865</v>
      </c>
      <c r="C491" s="9" t="s">
        <v>868</v>
      </c>
    </row>
    <row r="492" spans="1:3" x14ac:dyDescent="0.25">
      <c r="A492" s="10" t="s">
        <v>869</v>
      </c>
      <c r="B492" s="9" t="s">
        <v>865</v>
      </c>
      <c r="C492" s="9" t="s">
        <v>870</v>
      </c>
    </row>
    <row r="493" spans="1:3" x14ac:dyDescent="0.25">
      <c r="A493" s="10" t="s">
        <v>871</v>
      </c>
      <c r="B493" s="9" t="s">
        <v>865</v>
      </c>
      <c r="C493" s="9" t="s">
        <v>872</v>
      </c>
    </row>
    <row r="494" spans="1:3" x14ac:dyDescent="0.25">
      <c r="A494" s="10" t="s">
        <v>873</v>
      </c>
      <c r="B494" s="9" t="s">
        <v>865</v>
      </c>
      <c r="C494" s="9" t="s">
        <v>874</v>
      </c>
    </row>
    <row r="495" spans="1:3" x14ac:dyDescent="0.25">
      <c r="A495" s="10" t="s">
        <v>875</v>
      </c>
      <c r="B495" s="9" t="s">
        <v>865</v>
      </c>
      <c r="C495" s="9" t="s">
        <v>876</v>
      </c>
    </row>
    <row r="496" spans="1:3" x14ac:dyDescent="0.25">
      <c r="A496" s="10" t="s">
        <v>877</v>
      </c>
      <c r="B496" s="9" t="s">
        <v>865</v>
      </c>
      <c r="C496" s="9" t="s">
        <v>878</v>
      </c>
    </row>
    <row r="497" spans="1:3" x14ac:dyDescent="0.25">
      <c r="A497" s="10" t="s">
        <v>879</v>
      </c>
      <c r="B497" s="9" t="s">
        <v>865</v>
      </c>
      <c r="C497" s="9" t="s">
        <v>880</v>
      </c>
    </row>
    <row r="498" spans="1:3" x14ac:dyDescent="0.25">
      <c r="A498" s="10" t="s">
        <v>881</v>
      </c>
      <c r="B498" s="9" t="s">
        <v>865</v>
      </c>
      <c r="C498" s="9" t="s">
        <v>882</v>
      </c>
    </row>
    <row r="499" spans="1:3" x14ac:dyDescent="0.25">
      <c r="A499" s="10" t="s">
        <v>883</v>
      </c>
      <c r="B499" s="9" t="s">
        <v>865</v>
      </c>
      <c r="C499" s="9" t="s">
        <v>884</v>
      </c>
    </row>
    <row r="500" spans="1:3" x14ac:dyDescent="0.25">
      <c r="A500" s="10" t="s">
        <v>885</v>
      </c>
      <c r="B500" s="9" t="s">
        <v>865</v>
      </c>
      <c r="C500" s="9" t="s">
        <v>886</v>
      </c>
    </row>
    <row r="501" spans="1:3" x14ac:dyDescent="0.25">
      <c r="A501" s="10" t="s">
        <v>887</v>
      </c>
      <c r="B501" s="9" t="s">
        <v>865</v>
      </c>
      <c r="C501" s="9" t="s">
        <v>888</v>
      </c>
    </row>
    <row r="502" spans="1:3" x14ac:dyDescent="0.25">
      <c r="A502" s="10" t="s">
        <v>889</v>
      </c>
      <c r="B502" s="9" t="s">
        <v>865</v>
      </c>
      <c r="C502" s="9" t="s">
        <v>890</v>
      </c>
    </row>
    <row r="503" spans="1:3" x14ac:dyDescent="0.25">
      <c r="A503" s="10" t="s">
        <v>891</v>
      </c>
      <c r="B503" s="9" t="s">
        <v>865</v>
      </c>
      <c r="C503" s="9" t="s">
        <v>892</v>
      </c>
    </row>
    <row r="504" spans="1:3" x14ac:dyDescent="0.25">
      <c r="A504" s="10" t="s">
        <v>893</v>
      </c>
      <c r="B504" s="9" t="s">
        <v>865</v>
      </c>
      <c r="C504" s="9" t="s">
        <v>894</v>
      </c>
    </row>
    <row r="505" spans="1:3" x14ac:dyDescent="0.25">
      <c r="A505" s="10" t="s">
        <v>895</v>
      </c>
      <c r="B505" s="9" t="s">
        <v>865</v>
      </c>
      <c r="C505" s="9" t="s">
        <v>896</v>
      </c>
    </row>
    <row r="506" spans="1:3" x14ac:dyDescent="0.25">
      <c r="A506" s="10" t="s">
        <v>897</v>
      </c>
      <c r="B506" s="9" t="s">
        <v>865</v>
      </c>
      <c r="C506" s="9" t="s">
        <v>898</v>
      </c>
    </row>
    <row r="507" spans="1:3" x14ac:dyDescent="0.25">
      <c r="A507" s="10" t="s">
        <v>899</v>
      </c>
      <c r="B507" s="9" t="s">
        <v>865</v>
      </c>
      <c r="C507" s="9" t="s">
        <v>900</v>
      </c>
    </row>
    <row r="508" spans="1:3" x14ac:dyDescent="0.25">
      <c r="A508" s="10" t="s">
        <v>901</v>
      </c>
      <c r="B508" s="9" t="s">
        <v>865</v>
      </c>
      <c r="C508" s="9" t="s">
        <v>902</v>
      </c>
    </row>
    <row r="509" spans="1:3" x14ac:dyDescent="0.25">
      <c r="A509" s="10" t="s">
        <v>903</v>
      </c>
      <c r="B509" s="9" t="s">
        <v>865</v>
      </c>
      <c r="C509" s="9" t="s">
        <v>904</v>
      </c>
    </row>
    <row r="510" spans="1:3" x14ac:dyDescent="0.25">
      <c r="A510" s="10" t="s">
        <v>905</v>
      </c>
      <c r="B510" s="9" t="s">
        <v>865</v>
      </c>
      <c r="C510" s="9" t="s">
        <v>906</v>
      </c>
    </row>
    <row r="511" spans="1:3" x14ac:dyDescent="0.25">
      <c r="A511" s="10" t="s">
        <v>907</v>
      </c>
      <c r="B511" s="9" t="s">
        <v>865</v>
      </c>
      <c r="C511" s="9" t="s">
        <v>908</v>
      </c>
    </row>
    <row r="512" spans="1:3" x14ac:dyDescent="0.25">
      <c r="A512" s="10" t="s">
        <v>909</v>
      </c>
      <c r="B512" s="9" t="s">
        <v>865</v>
      </c>
      <c r="C512" s="9" t="s">
        <v>910</v>
      </c>
    </row>
    <row r="513" spans="1:3" x14ac:dyDescent="0.25">
      <c r="A513" s="10" t="s">
        <v>911</v>
      </c>
      <c r="B513" s="9" t="s">
        <v>865</v>
      </c>
      <c r="C513" s="9" t="s">
        <v>912</v>
      </c>
    </row>
    <row r="514" spans="1:3" x14ac:dyDescent="0.25">
      <c r="A514" s="10" t="s">
        <v>913</v>
      </c>
      <c r="B514" s="9" t="s">
        <v>865</v>
      </c>
      <c r="C514" s="9" t="s">
        <v>914</v>
      </c>
    </row>
    <row r="515" spans="1:3" x14ac:dyDescent="0.25">
      <c r="A515" s="10" t="s">
        <v>915</v>
      </c>
      <c r="B515" s="9" t="s">
        <v>865</v>
      </c>
      <c r="C515" s="9" t="s">
        <v>916</v>
      </c>
    </row>
    <row r="516" spans="1:3" x14ac:dyDescent="0.25">
      <c r="A516" s="10" t="s">
        <v>917</v>
      </c>
      <c r="B516" s="9" t="s">
        <v>865</v>
      </c>
      <c r="C516" s="9" t="s">
        <v>918</v>
      </c>
    </row>
    <row r="517" spans="1:3" x14ac:dyDescent="0.25">
      <c r="A517" s="10" t="s">
        <v>919</v>
      </c>
      <c r="B517" s="9" t="s">
        <v>865</v>
      </c>
      <c r="C517" s="9" t="s">
        <v>920</v>
      </c>
    </row>
    <row r="518" spans="1:3" x14ac:dyDescent="0.25">
      <c r="A518" s="10" t="s">
        <v>921</v>
      </c>
      <c r="B518" s="9" t="s">
        <v>865</v>
      </c>
      <c r="C518" s="9" t="s">
        <v>922</v>
      </c>
    </row>
    <row r="519" spans="1:3" x14ac:dyDescent="0.25">
      <c r="A519" s="10" t="s">
        <v>923</v>
      </c>
      <c r="B519" s="9" t="s">
        <v>865</v>
      </c>
      <c r="C519" s="9" t="s">
        <v>924</v>
      </c>
    </row>
    <row r="520" spans="1:3" x14ac:dyDescent="0.25">
      <c r="A520" s="10" t="s">
        <v>925</v>
      </c>
      <c r="B520" s="9" t="s">
        <v>865</v>
      </c>
      <c r="C520" s="9" t="s">
        <v>926</v>
      </c>
    </row>
    <row r="521" spans="1:3" x14ac:dyDescent="0.25">
      <c r="A521" s="10" t="s">
        <v>927</v>
      </c>
      <c r="B521" s="9" t="s">
        <v>865</v>
      </c>
      <c r="C521" s="9" t="s">
        <v>928</v>
      </c>
    </row>
    <row r="522" spans="1:3" x14ac:dyDescent="0.25">
      <c r="A522" s="10" t="s">
        <v>929</v>
      </c>
      <c r="B522" s="9" t="s">
        <v>865</v>
      </c>
      <c r="C522" s="9" t="s">
        <v>930</v>
      </c>
    </row>
    <row r="523" spans="1:3" x14ac:dyDescent="0.25">
      <c r="A523" s="10" t="s">
        <v>931</v>
      </c>
      <c r="B523" s="9" t="s">
        <v>865</v>
      </c>
      <c r="C523" s="9" t="s">
        <v>932</v>
      </c>
    </row>
    <row r="524" spans="1:3" x14ac:dyDescent="0.25">
      <c r="A524" s="10" t="s">
        <v>933</v>
      </c>
      <c r="B524" s="9" t="s">
        <v>865</v>
      </c>
      <c r="C524" s="9" t="s">
        <v>934</v>
      </c>
    </row>
    <row r="525" spans="1:3" x14ac:dyDescent="0.25">
      <c r="A525" s="10" t="s">
        <v>937</v>
      </c>
      <c r="B525" s="9" t="s">
        <v>865</v>
      </c>
      <c r="C525" s="9" t="s">
        <v>938</v>
      </c>
    </row>
    <row r="526" spans="1:3" x14ac:dyDescent="0.25">
      <c r="A526" s="10" t="s">
        <v>939</v>
      </c>
      <c r="B526" s="9" t="s">
        <v>865</v>
      </c>
      <c r="C526" s="9" t="s">
        <v>940</v>
      </c>
    </row>
    <row r="527" spans="1:3" ht="15" x14ac:dyDescent="0.25">
      <c r="A527" t="s">
        <v>945</v>
      </c>
      <c r="B527" t="s">
        <v>865</v>
      </c>
      <c r="C527" s="2" t="s">
        <v>946</v>
      </c>
    </row>
    <row r="528" spans="1:3" x14ac:dyDescent="0.25">
      <c r="A528" s="10" t="s">
        <v>941</v>
      </c>
      <c r="B528" s="9" t="s">
        <v>865</v>
      </c>
      <c r="C528" s="9" t="s">
        <v>942</v>
      </c>
    </row>
    <row r="529" spans="1:3" x14ac:dyDescent="0.25">
      <c r="A529" s="10" t="s">
        <v>943</v>
      </c>
      <c r="B529" s="9" t="s">
        <v>865</v>
      </c>
      <c r="C529" s="9" t="s">
        <v>944</v>
      </c>
    </row>
    <row r="530" spans="1:3" x14ac:dyDescent="0.25">
      <c r="A530" s="10" t="s">
        <v>947</v>
      </c>
      <c r="B530" s="9" t="s">
        <v>865</v>
      </c>
      <c r="C530" s="9" t="s">
        <v>948</v>
      </c>
    </row>
    <row r="531" spans="1:3" x14ac:dyDescent="0.25">
      <c r="A531" s="10" t="s">
        <v>949</v>
      </c>
      <c r="B531" s="9" t="s">
        <v>865</v>
      </c>
      <c r="C531" s="9" t="s">
        <v>950</v>
      </c>
    </row>
    <row r="532" spans="1:3" x14ac:dyDescent="0.25">
      <c r="A532" s="10" t="s">
        <v>951</v>
      </c>
      <c r="B532" s="9" t="s">
        <v>865</v>
      </c>
      <c r="C532" s="9" t="s">
        <v>952</v>
      </c>
    </row>
    <row r="533" spans="1:3" x14ac:dyDescent="0.25">
      <c r="A533" s="10" t="s">
        <v>953</v>
      </c>
      <c r="B533" s="9" t="s">
        <v>865</v>
      </c>
      <c r="C533" s="9" t="s">
        <v>954</v>
      </c>
    </row>
    <row r="534" spans="1:3" x14ac:dyDescent="0.25">
      <c r="A534" s="10" t="s">
        <v>955</v>
      </c>
      <c r="B534" s="9" t="s">
        <v>865</v>
      </c>
      <c r="C534" s="9" t="s">
        <v>956</v>
      </c>
    </row>
    <row r="535" spans="1:3" x14ac:dyDescent="0.25">
      <c r="A535" s="10" t="s">
        <v>957</v>
      </c>
      <c r="B535" s="9" t="s">
        <v>865</v>
      </c>
      <c r="C535" s="9" t="s">
        <v>958</v>
      </c>
    </row>
    <row r="536" spans="1:3" x14ac:dyDescent="0.25">
      <c r="A536" s="10" t="s">
        <v>959</v>
      </c>
      <c r="B536" s="9" t="s">
        <v>865</v>
      </c>
      <c r="C536" s="9" t="s">
        <v>960</v>
      </c>
    </row>
    <row r="537" spans="1:3" x14ac:dyDescent="0.25">
      <c r="A537" s="10" t="s">
        <v>961</v>
      </c>
      <c r="B537" s="9" t="s">
        <v>865</v>
      </c>
      <c r="C537" s="9" t="s">
        <v>962</v>
      </c>
    </row>
    <row r="538" spans="1:3" x14ac:dyDescent="0.25">
      <c r="A538" s="10" t="s">
        <v>963</v>
      </c>
      <c r="B538" s="9" t="s">
        <v>865</v>
      </c>
      <c r="C538" s="9" t="s">
        <v>964</v>
      </c>
    </row>
    <row r="539" spans="1:3" x14ac:dyDescent="0.25">
      <c r="A539" s="10" t="s">
        <v>965</v>
      </c>
      <c r="B539" s="9" t="s">
        <v>865</v>
      </c>
      <c r="C539" s="9" t="s">
        <v>966</v>
      </c>
    </row>
    <row r="540" spans="1:3" x14ac:dyDescent="0.25">
      <c r="A540" s="10" t="s">
        <v>967</v>
      </c>
      <c r="B540" s="9" t="s">
        <v>865</v>
      </c>
      <c r="C540" s="9" t="s">
        <v>968</v>
      </c>
    </row>
    <row r="541" spans="1:3" x14ac:dyDescent="0.25">
      <c r="A541" t="s">
        <v>1558</v>
      </c>
      <c r="B541" t="s">
        <v>865</v>
      </c>
      <c r="C541" s="17" t="s">
        <v>1524</v>
      </c>
    </row>
    <row r="542" spans="1:3" x14ac:dyDescent="0.25">
      <c r="A542" s="10" t="s">
        <v>969</v>
      </c>
      <c r="B542" s="9" t="s">
        <v>865</v>
      </c>
      <c r="C542" s="9" t="s">
        <v>970</v>
      </c>
    </row>
    <row r="543" spans="1:3" x14ac:dyDescent="0.25">
      <c r="A543" s="10" t="s">
        <v>971</v>
      </c>
      <c r="B543" s="9" t="s">
        <v>865</v>
      </c>
      <c r="C543" s="9" t="s">
        <v>972</v>
      </c>
    </row>
    <row r="544" spans="1:3" x14ac:dyDescent="0.25">
      <c r="A544" s="10" t="s">
        <v>973</v>
      </c>
      <c r="B544" s="9" t="s">
        <v>865</v>
      </c>
      <c r="C544" s="9" t="s">
        <v>974</v>
      </c>
    </row>
    <row r="545" spans="1:3" x14ac:dyDescent="0.25">
      <c r="A545" s="10" t="s">
        <v>975</v>
      </c>
      <c r="B545" s="9" t="s">
        <v>865</v>
      </c>
      <c r="C545" s="9" t="s">
        <v>976</v>
      </c>
    </row>
    <row r="546" spans="1:3" x14ac:dyDescent="0.25">
      <c r="A546" s="10" t="s">
        <v>977</v>
      </c>
      <c r="B546" s="9" t="s">
        <v>865</v>
      </c>
      <c r="C546" s="9" t="s">
        <v>978</v>
      </c>
    </row>
    <row r="547" spans="1:3" x14ac:dyDescent="0.25">
      <c r="A547" s="10" t="s">
        <v>979</v>
      </c>
      <c r="B547" s="9" t="s">
        <v>865</v>
      </c>
      <c r="C547" s="9" t="s">
        <v>980</v>
      </c>
    </row>
    <row r="548" spans="1:3" x14ac:dyDescent="0.25">
      <c r="A548" s="10" t="s">
        <v>981</v>
      </c>
      <c r="B548" s="9" t="s">
        <v>865</v>
      </c>
      <c r="C548" s="9" t="s">
        <v>982</v>
      </c>
    </row>
    <row r="549" spans="1:3" x14ac:dyDescent="0.25">
      <c r="A549" s="10" t="s">
        <v>983</v>
      </c>
      <c r="B549" s="9" t="s">
        <v>865</v>
      </c>
      <c r="C549" s="9" t="s">
        <v>984</v>
      </c>
    </row>
    <row r="550" spans="1:3" x14ac:dyDescent="0.25">
      <c r="A550" s="10" t="s">
        <v>985</v>
      </c>
      <c r="B550" s="9" t="s">
        <v>865</v>
      </c>
      <c r="C550" s="9" t="s">
        <v>986</v>
      </c>
    </row>
    <row r="551" spans="1:3" x14ac:dyDescent="0.25">
      <c r="A551" s="9" t="s">
        <v>987</v>
      </c>
      <c r="B551" s="9" t="s">
        <v>865</v>
      </c>
      <c r="C551" s="9" t="s">
        <v>988</v>
      </c>
    </row>
    <row r="552" spans="1:3" x14ac:dyDescent="0.25">
      <c r="A552" s="9" t="s">
        <v>989</v>
      </c>
      <c r="B552" s="9" t="s">
        <v>865</v>
      </c>
      <c r="C552" s="9" t="s">
        <v>990</v>
      </c>
    </row>
    <row r="553" spans="1:3" x14ac:dyDescent="0.25">
      <c r="A553" s="9" t="s">
        <v>991</v>
      </c>
      <c r="B553" s="9" t="s">
        <v>865</v>
      </c>
      <c r="C553" s="9" t="s">
        <v>992</v>
      </c>
    </row>
    <row r="554" spans="1:3" x14ac:dyDescent="0.25">
      <c r="A554" s="9" t="s">
        <v>993</v>
      </c>
      <c r="B554" s="9" t="s">
        <v>865</v>
      </c>
      <c r="C554" s="9" t="s">
        <v>994</v>
      </c>
    </row>
    <row r="555" spans="1:3" x14ac:dyDescent="0.25">
      <c r="A555" s="9" t="s">
        <v>995</v>
      </c>
      <c r="B555" s="9" t="s">
        <v>865</v>
      </c>
      <c r="C555" s="9" t="s">
        <v>996</v>
      </c>
    </row>
    <row r="556" spans="1:3" x14ac:dyDescent="0.25">
      <c r="A556" s="9" t="s">
        <v>997</v>
      </c>
      <c r="B556" s="9" t="s">
        <v>865</v>
      </c>
      <c r="C556" s="9" t="s">
        <v>998</v>
      </c>
    </row>
    <row r="557" spans="1:3" x14ac:dyDescent="0.25">
      <c r="A557" s="9" t="s">
        <v>999</v>
      </c>
      <c r="B557" s="9" t="s">
        <v>865</v>
      </c>
      <c r="C557" s="9" t="s">
        <v>1000</v>
      </c>
    </row>
    <row r="558" spans="1:3" x14ac:dyDescent="0.25">
      <c r="A558" s="9" t="s">
        <v>1001</v>
      </c>
      <c r="B558" s="9" t="s">
        <v>865</v>
      </c>
      <c r="C558" s="9" t="s">
        <v>1002</v>
      </c>
    </row>
    <row r="559" spans="1:3" x14ac:dyDescent="0.25">
      <c r="A559" s="9" t="s">
        <v>1003</v>
      </c>
      <c r="B559" s="9" t="s">
        <v>865</v>
      </c>
      <c r="C559" s="9" t="s">
        <v>1004</v>
      </c>
    </row>
    <row r="560" spans="1:3" x14ac:dyDescent="0.25">
      <c r="A560" s="9" t="s">
        <v>1005</v>
      </c>
      <c r="B560" s="9" t="s">
        <v>865</v>
      </c>
      <c r="C560" s="9" t="s">
        <v>1006</v>
      </c>
    </row>
    <row r="561" spans="1:3" x14ac:dyDescent="0.25">
      <c r="A561" s="9" t="s">
        <v>1007</v>
      </c>
      <c r="B561" s="9" t="s">
        <v>865</v>
      </c>
      <c r="C561" s="9" t="s">
        <v>1008</v>
      </c>
    </row>
    <row r="562" spans="1:3" x14ac:dyDescent="0.25">
      <c r="A562" s="9" t="s">
        <v>1009</v>
      </c>
      <c r="B562" s="9" t="s">
        <v>865</v>
      </c>
      <c r="C562" s="9" t="s">
        <v>1010</v>
      </c>
    </row>
    <row r="563" spans="1:3" x14ac:dyDescent="0.25">
      <c r="A563" s="9" t="s">
        <v>1011</v>
      </c>
      <c r="B563" s="9" t="s">
        <v>865</v>
      </c>
      <c r="C563" s="9" t="s">
        <v>1012</v>
      </c>
    </row>
    <row r="564" spans="1:3" x14ac:dyDescent="0.25">
      <c r="A564" s="9" t="s">
        <v>1013</v>
      </c>
      <c r="B564" s="9" t="s">
        <v>865</v>
      </c>
      <c r="C564" s="9" t="s">
        <v>1014</v>
      </c>
    </row>
    <row r="565" spans="1:3" x14ac:dyDescent="0.25">
      <c r="A565" s="9" t="s">
        <v>1015</v>
      </c>
      <c r="B565" s="9" t="s">
        <v>865</v>
      </c>
      <c r="C565" s="9" t="s">
        <v>1016</v>
      </c>
    </row>
    <row r="566" spans="1:3" x14ac:dyDescent="0.25">
      <c r="A566" s="9" t="s">
        <v>1017</v>
      </c>
      <c r="B566" s="9" t="s">
        <v>865</v>
      </c>
      <c r="C566" s="9" t="s">
        <v>1018</v>
      </c>
    </row>
    <row r="567" spans="1:3" x14ac:dyDescent="0.25">
      <c r="A567" s="9" t="s">
        <v>1019</v>
      </c>
      <c r="B567" s="9" t="s">
        <v>865</v>
      </c>
      <c r="C567" s="9" t="s">
        <v>1020</v>
      </c>
    </row>
    <row r="568" spans="1:3" x14ac:dyDescent="0.25">
      <c r="A568" s="9" t="s">
        <v>1021</v>
      </c>
      <c r="B568" s="9" t="s">
        <v>865</v>
      </c>
      <c r="C568" s="9" t="s">
        <v>1022</v>
      </c>
    </row>
    <row r="569" spans="1:3" x14ac:dyDescent="0.25">
      <c r="A569" s="9" t="s">
        <v>1023</v>
      </c>
      <c r="B569" s="9" t="s">
        <v>865</v>
      </c>
      <c r="C569" s="9" t="s">
        <v>1024</v>
      </c>
    </row>
    <row r="570" spans="1:3" x14ac:dyDescent="0.25">
      <c r="A570" s="9" t="s">
        <v>1025</v>
      </c>
      <c r="B570" s="9" t="s">
        <v>865</v>
      </c>
      <c r="C570" s="9" t="s">
        <v>1026</v>
      </c>
    </row>
    <row r="571" spans="1:3" x14ac:dyDescent="0.25">
      <c r="A571" s="9" t="s">
        <v>1027</v>
      </c>
      <c r="B571" s="9" t="s">
        <v>865</v>
      </c>
      <c r="C571" s="9" t="s">
        <v>1028</v>
      </c>
    </row>
    <row r="572" spans="1:3" x14ac:dyDescent="0.25">
      <c r="A572" s="9" t="s">
        <v>1029</v>
      </c>
      <c r="B572" s="9" t="s">
        <v>865</v>
      </c>
      <c r="C572" s="9" t="s">
        <v>1030</v>
      </c>
    </row>
    <row r="573" spans="1:3" x14ac:dyDescent="0.25">
      <c r="A573" s="9" t="s">
        <v>1031</v>
      </c>
      <c r="B573" s="9" t="s">
        <v>865</v>
      </c>
      <c r="C573" s="9" t="s">
        <v>1032</v>
      </c>
    </row>
    <row r="574" spans="1:3" x14ac:dyDescent="0.25">
      <c r="A574" s="9" t="s">
        <v>1033</v>
      </c>
      <c r="B574" s="9" t="s">
        <v>865</v>
      </c>
      <c r="C574" s="9" t="s">
        <v>1034</v>
      </c>
    </row>
    <row r="575" spans="1:3" x14ac:dyDescent="0.25">
      <c r="A575" s="9" t="s">
        <v>1035</v>
      </c>
      <c r="B575" s="9" t="s">
        <v>865</v>
      </c>
      <c r="C575" s="9" t="s">
        <v>1036</v>
      </c>
    </row>
    <row r="576" spans="1:3" x14ac:dyDescent="0.25">
      <c r="A576" s="9" t="s">
        <v>1037</v>
      </c>
      <c r="B576" s="9" t="s">
        <v>865</v>
      </c>
      <c r="C576" s="9" t="s">
        <v>1038</v>
      </c>
    </row>
    <row r="577" spans="1:3" x14ac:dyDescent="0.25">
      <c r="A577" s="9" t="s">
        <v>1039</v>
      </c>
      <c r="B577" s="9" t="s">
        <v>865</v>
      </c>
      <c r="C577" s="9" t="s">
        <v>1040</v>
      </c>
    </row>
    <row r="578" spans="1:3" x14ac:dyDescent="0.25">
      <c r="A578" s="9" t="s">
        <v>1041</v>
      </c>
      <c r="B578" s="9" t="s">
        <v>865</v>
      </c>
      <c r="C578" s="9" t="s">
        <v>1042</v>
      </c>
    </row>
    <row r="579" spans="1:3" x14ac:dyDescent="0.25">
      <c r="A579" s="9" t="s">
        <v>1043</v>
      </c>
      <c r="B579" s="9" t="s">
        <v>865</v>
      </c>
      <c r="C579" s="9" t="s">
        <v>1044</v>
      </c>
    </row>
    <row r="580" spans="1:3" x14ac:dyDescent="0.25">
      <c r="A580" s="9" t="s">
        <v>1045</v>
      </c>
      <c r="B580" s="9" t="s">
        <v>865</v>
      </c>
      <c r="C580" s="9" t="s">
        <v>1046</v>
      </c>
    </row>
    <row r="581" spans="1:3" x14ac:dyDescent="0.25">
      <c r="A581" s="9" t="s">
        <v>1047</v>
      </c>
      <c r="B581" s="9" t="s">
        <v>865</v>
      </c>
      <c r="C581" s="9" t="s">
        <v>1048</v>
      </c>
    </row>
    <row r="582" spans="1:3" x14ac:dyDescent="0.25">
      <c r="A582" s="9" t="s">
        <v>1049</v>
      </c>
      <c r="B582" s="9" t="s">
        <v>865</v>
      </c>
      <c r="C582" s="9" t="s">
        <v>1050</v>
      </c>
    </row>
    <row r="583" spans="1:3" x14ac:dyDescent="0.25">
      <c r="A583" s="9" t="s">
        <v>1051</v>
      </c>
      <c r="B583" s="9" t="s">
        <v>865</v>
      </c>
      <c r="C583" s="9" t="s">
        <v>1052</v>
      </c>
    </row>
    <row r="584" spans="1:3" x14ac:dyDescent="0.25">
      <c r="A584" s="9" t="s">
        <v>1053</v>
      </c>
      <c r="B584" s="9" t="s">
        <v>865</v>
      </c>
      <c r="C584" s="9" t="s">
        <v>1054</v>
      </c>
    </row>
    <row r="585" spans="1:3" x14ac:dyDescent="0.25">
      <c r="A585" s="9" t="s">
        <v>1055</v>
      </c>
      <c r="B585" s="9" t="s">
        <v>865</v>
      </c>
      <c r="C585" s="9" t="s">
        <v>1056</v>
      </c>
    </row>
    <row r="586" spans="1:3" x14ac:dyDescent="0.25">
      <c r="A586" s="9" t="s">
        <v>1057</v>
      </c>
      <c r="B586" s="9" t="s">
        <v>865</v>
      </c>
      <c r="C586" s="9" t="s">
        <v>1058</v>
      </c>
    </row>
    <row r="587" spans="1:3" x14ac:dyDescent="0.25">
      <c r="A587" s="9" t="s">
        <v>1059</v>
      </c>
      <c r="B587" s="9" t="s">
        <v>865</v>
      </c>
      <c r="C587" s="9" t="s">
        <v>1060</v>
      </c>
    </row>
    <row r="588" spans="1:3" x14ac:dyDescent="0.25">
      <c r="A588" s="9" t="s">
        <v>1061</v>
      </c>
      <c r="B588" s="9" t="s">
        <v>865</v>
      </c>
      <c r="C588" s="9" t="s">
        <v>1062</v>
      </c>
    </row>
    <row r="589" spans="1:3" x14ac:dyDescent="0.25">
      <c r="A589" s="9" t="s">
        <v>1063</v>
      </c>
      <c r="B589" s="9" t="s">
        <v>865</v>
      </c>
      <c r="C589" s="9" t="s">
        <v>1064</v>
      </c>
    </row>
    <row r="590" spans="1:3" x14ac:dyDescent="0.25">
      <c r="A590" s="9" t="s">
        <v>1065</v>
      </c>
      <c r="B590" s="9" t="s">
        <v>865</v>
      </c>
      <c r="C590" s="9" t="s">
        <v>1066</v>
      </c>
    </row>
    <row r="591" spans="1:3" x14ac:dyDescent="0.25">
      <c r="A591" s="9" t="s">
        <v>1067</v>
      </c>
      <c r="B591" s="9" t="s">
        <v>865</v>
      </c>
      <c r="C591" s="9" t="s">
        <v>1068</v>
      </c>
    </row>
    <row r="592" spans="1:3" x14ac:dyDescent="0.25">
      <c r="A592" s="9" t="s">
        <v>1069</v>
      </c>
      <c r="B592" s="9" t="s">
        <v>865</v>
      </c>
      <c r="C592" s="9" t="s">
        <v>1070</v>
      </c>
    </row>
    <row r="593" spans="1:3" x14ac:dyDescent="0.25">
      <c r="A593" s="9" t="s">
        <v>1071</v>
      </c>
      <c r="B593" s="9" t="s">
        <v>865</v>
      </c>
      <c r="C593" s="9" t="s">
        <v>1072</v>
      </c>
    </row>
    <row r="594" spans="1:3" x14ac:dyDescent="0.25">
      <c r="A594" s="9" t="s">
        <v>1073</v>
      </c>
      <c r="B594" s="9" t="s">
        <v>865</v>
      </c>
      <c r="C594" s="9" t="s">
        <v>1074</v>
      </c>
    </row>
    <row r="595" spans="1:3" x14ac:dyDescent="0.25">
      <c r="A595" s="9" t="s">
        <v>1075</v>
      </c>
      <c r="B595" s="9" t="s">
        <v>865</v>
      </c>
      <c r="C595" s="9" t="s">
        <v>1076</v>
      </c>
    </row>
    <row r="596" spans="1:3" x14ac:dyDescent="0.25">
      <c r="A596" s="9" t="s">
        <v>1077</v>
      </c>
      <c r="B596" s="9" t="s">
        <v>865</v>
      </c>
      <c r="C596" s="9" t="s">
        <v>1078</v>
      </c>
    </row>
    <row r="597" spans="1:3" x14ac:dyDescent="0.25">
      <c r="A597" s="9" t="s">
        <v>1079</v>
      </c>
      <c r="B597" s="9" t="s">
        <v>865</v>
      </c>
      <c r="C597" s="9" t="s">
        <v>1080</v>
      </c>
    </row>
    <row r="598" spans="1:3" x14ac:dyDescent="0.25">
      <c r="A598" s="9" t="s">
        <v>1081</v>
      </c>
      <c r="B598" s="9" t="s">
        <v>865</v>
      </c>
      <c r="C598" s="9" t="s">
        <v>1082</v>
      </c>
    </row>
    <row r="599" spans="1:3" x14ac:dyDescent="0.25">
      <c r="A599" s="9" t="s">
        <v>1083</v>
      </c>
      <c r="B599" s="9" t="s">
        <v>865</v>
      </c>
      <c r="C599" s="9" t="s">
        <v>1084</v>
      </c>
    </row>
    <row r="600" spans="1:3" x14ac:dyDescent="0.25">
      <c r="A600" s="9" t="s">
        <v>1085</v>
      </c>
      <c r="B600" s="9" t="s">
        <v>865</v>
      </c>
      <c r="C600" s="9" t="s">
        <v>1086</v>
      </c>
    </row>
    <row r="601" spans="1:3" x14ac:dyDescent="0.25">
      <c r="A601" s="9" t="s">
        <v>1087</v>
      </c>
      <c r="B601" s="9" t="s">
        <v>865</v>
      </c>
      <c r="C601" s="9" t="s">
        <v>1088</v>
      </c>
    </row>
    <row r="602" spans="1:3" x14ac:dyDescent="0.25">
      <c r="A602" s="9" t="s">
        <v>1089</v>
      </c>
      <c r="B602" s="9" t="s">
        <v>865</v>
      </c>
      <c r="C602" s="9" t="s">
        <v>1090</v>
      </c>
    </row>
    <row r="603" spans="1:3" x14ac:dyDescent="0.25">
      <c r="A603" s="9" t="s">
        <v>1091</v>
      </c>
      <c r="B603" s="9" t="s">
        <v>865</v>
      </c>
      <c r="C603" s="9" t="s">
        <v>1092</v>
      </c>
    </row>
    <row r="604" spans="1:3" x14ac:dyDescent="0.25">
      <c r="A604" s="9" t="s">
        <v>1093</v>
      </c>
      <c r="B604" s="9" t="s">
        <v>865</v>
      </c>
      <c r="C604" s="9" t="s">
        <v>1094</v>
      </c>
    </row>
    <row r="605" spans="1:3" x14ac:dyDescent="0.25">
      <c r="A605" s="9" t="s">
        <v>1095</v>
      </c>
      <c r="B605" s="9" t="s">
        <v>865</v>
      </c>
      <c r="C605" s="9" t="s">
        <v>1096</v>
      </c>
    </row>
    <row r="606" spans="1:3" x14ac:dyDescent="0.25">
      <c r="A606" s="9" t="s">
        <v>1097</v>
      </c>
      <c r="B606" s="9" t="s">
        <v>865</v>
      </c>
      <c r="C606" s="9" t="s">
        <v>1098</v>
      </c>
    </row>
    <row r="607" spans="1:3" x14ac:dyDescent="0.25">
      <c r="A607" s="9" t="s">
        <v>1099</v>
      </c>
      <c r="B607" s="9" t="s">
        <v>865</v>
      </c>
      <c r="C607" s="9" t="s">
        <v>1100</v>
      </c>
    </row>
    <row r="608" spans="1:3" x14ac:dyDescent="0.25">
      <c r="A608" s="9" t="s">
        <v>1101</v>
      </c>
      <c r="B608" s="9" t="s">
        <v>865</v>
      </c>
      <c r="C608" s="9" t="s">
        <v>1102</v>
      </c>
    </row>
    <row r="609" spans="1:3" x14ac:dyDescent="0.25">
      <c r="A609" s="9" t="s">
        <v>1103</v>
      </c>
      <c r="B609" s="9" t="s">
        <v>865</v>
      </c>
      <c r="C609" s="9" t="s">
        <v>1104</v>
      </c>
    </row>
    <row r="610" spans="1:3" x14ac:dyDescent="0.25">
      <c r="A610" s="9" t="s">
        <v>1105</v>
      </c>
      <c r="B610" s="9" t="s">
        <v>865</v>
      </c>
      <c r="C610" s="9" t="s">
        <v>1106</v>
      </c>
    </row>
    <row r="611" spans="1:3" x14ac:dyDescent="0.25">
      <c r="A611" s="9" t="s">
        <v>1107</v>
      </c>
      <c r="B611" s="9" t="s">
        <v>865</v>
      </c>
      <c r="C611" s="9" t="s">
        <v>1108</v>
      </c>
    </row>
    <row r="612" spans="1:3" x14ac:dyDescent="0.25">
      <c r="A612" s="9" t="s">
        <v>1109</v>
      </c>
      <c r="B612" s="9" t="s">
        <v>865</v>
      </c>
      <c r="C612" s="9" t="s">
        <v>1110</v>
      </c>
    </row>
    <row r="613" spans="1:3" x14ac:dyDescent="0.25">
      <c r="A613" s="9" t="s">
        <v>1111</v>
      </c>
      <c r="B613" s="9" t="s">
        <v>865</v>
      </c>
      <c r="C613" s="9" t="s">
        <v>1112</v>
      </c>
    </row>
    <row r="614" spans="1:3" x14ac:dyDescent="0.25">
      <c r="A614" s="9" t="s">
        <v>1113</v>
      </c>
      <c r="B614" s="9" t="s">
        <v>865</v>
      </c>
      <c r="C614" s="9" t="s">
        <v>1114</v>
      </c>
    </row>
    <row r="615" spans="1:3" x14ac:dyDescent="0.25">
      <c r="A615" s="9" t="s">
        <v>1115</v>
      </c>
      <c r="B615" s="9" t="s">
        <v>865</v>
      </c>
      <c r="C615" s="9" t="s">
        <v>1116</v>
      </c>
    </row>
    <row r="616" spans="1:3" x14ac:dyDescent="0.25">
      <c r="A616" s="9" t="s">
        <v>1117</v>
      </c>
      <c r="B616" s="9" t="s">
        <v>865</v>
      </c>
      <c r="C616" s="9" t="s">
        <v>1118</v>
      </c>
    </row>
    <row r="617" spans="1:3" x14ac:dyDescent="0.25">
      <c r="A617" s="9" t="s">
        <v>1119</v>
      </c>
      <c r="B617" s="9" t="s">
        <v>865</v>
      </c>
      <c r="C617" s="9" t="s">
        <v>1120</v>
      </c>
    </row>
    <row r="618" spans="1:3" x14ac:dyDescent="0.25">
      <c r="A618" s="9" t="s">
        <v>1121</v>
      </c>
      <c r="B618" s="9" t="s">
        <v>865</v>
      </c>
      <c r="C618" s="9" t="s">
        <v>1122</v>
      </c>
    </row>
    <row r="619" spans="1:3" x14ac:dyDescent="0.25">
      <c r="A619" s="9" t="s">
        <v>1123</v>
      </c>
      <c r="B619" s="9" t="s">
        <v>865</v>
      </c>
      <c r="C619" s="9" t="s">
        <v>1124</v>
      </c>
    </row>
    <row r="620" spans="1:3" x14ac:dyDescent="0.25">
      <c r="A620" s="9" t="s">
        <v>1125</v>
      </c>
      <c r="B620" s="9" t="s">
        <v>865</v>
      </c>
      <c r="C620" s="9" t="s">
        <v>1126</v>
      </c>
    </row>
    <row r="621" spans="1:3" x14ac:dyDescent="0.25">
      <c r="A621" s="9" t="s">
        <v>1127</v>
      </c>
      <c r="B621" s="9" t="s">
        <v>865</v>
      </c>
      <c r="C621" s="9" t="s">
        <v>1128</v>
      </c>
    </row>
    <row r="622" spans="1:3" x14ac:dyDescent="0.25">
      <c r="A622" s="9" t="s">
        <v>1129</v>
      </c>
      <c r="B622" s="9" t="s">
        <v>865</v>
      </c>
      <c r="C622" s="9" t="s">
        <v>1130</v>
      </c>
    </row>
    <row r="623" spans="1:3" x14ac:dyDescent="0.25">
      <c r="A623" s="9" t="s">
        <v>1131</v>
      </c>
      <c r="B623" s="9" t="s">
        <v>865</v>
      </c>
      <c r="C623" s="9" t="s">
        <v>1132</v>
      </c>
    </row>
    <row r="624" spans="1:3" x14ac:dyDescent="0.25">
      <c r="A624" s="9" t="s">
        <v>1133</v>
      </c>
      <c r="B624" s="9" t="s">
        <v>865</v>
      </c>
      <c r="C624" s="9" t="s">
        <v>1134</v>
      </c>
    </row>
    <row r="625" spans="1:3" x14ac:dyDescent="0.25">
      <c r="A625" s="9" t="s">
        <v>1135</v>
      </c>
      <c r="B625" s="9" t="s">
        <v>865</v>
      </c>
      <c r="C625" s="9" t="s">
        <v>1136</v>
      </c>
    </row>
    <row r="626" spans="1:3" x14ac:dyDescent="0.25">
      <c r="A626" s="9" t="s">
        <v>1137</v>
      </c>
      <c r="B626" s="9" t="s">
        <v>865</v>
      </c>
      <c r="C626" s="9" t="s">
        <v>1138</v>
      </c>
    </row>
    <row r="627" spans="1:3" x14ac:dyDescent="0.25">
      <c r="A627" s="9" t="s">
        <v>1139</v>
      </c>
      <c r="B627" s="9" t="s">
        <v>865</v>
      </c>
      <c r="C627" s="9" t="s">
        <v>1140</v>
      </c>
    </row>
    <row r="628" spans="1:3" x14ac:dyDescent="0.25">
      <c r="A628" s="9" t="s">
        <v>1141</v>
      </c>
      <c r="B628" s="9" t="s">
        <v>865</v>
      </c>
      <c r="C628" s="9" t="s">
        <v>1142</v>
      </c>
    </row>
    <row r="629" spans="1:3" x14ac:dyDescent="0.25">
      <c r="A629" s="9" t="s">
        <v>1143</v>
      </c>
      <c r="B629" s="9" t="s">
        <v>865</v>
      </c>
      <c r="C629" s="9" t="s">
        <v>1144</v>
      </c>
    </row>
    <row r="630" spans="1:3" x14ac:dyDescent="0.25">
      <c r="A630" s="9" t="s">
        <v>1145</v>
      </c>
      <c r="B630" s="9" t="s">
        <v>865</v>
      </c>
      <c r="C630" s="9" t="s">
        <v>1146</v>
      </c>
    </row>
    <row r="631" spans="1:3" x14ac:dyDescent="0.25">
      <c r="A631" s="9" t="s">
        <v>1147</v>
      </c>
      <c r="B631" s="9" t="s">
        <v>865</v>
      </c>
      <c r="C631" s="9" t="s">
        <v>1148</v>
      </c>
    </row>
    <row r="632" spans="1:3" x14ac:dyDescent="0.25">
      <c r="A632" s="9" t="s">
        <v>1149</v>
      </c>
      <c r="B632" s="9" t="s">
        <v>865</v>
      </c>
      <c r="C632" s="9" t="s">
        <v>1150</v>
      </c>
    </row>
    <row r="633" spans="1:3" x14ac:dyDescent="0.25">
      <c r="A633" s="9" t="s">
        <v>1151</v>
      </c>
      <c r="B633" s="9" t="s">
        <v>865</v>
      </c>
      <c r="C633" s="9" t="s">
        <v>1152</v>
      </c>
    </row>
    <row r="634" spans="1:3" x14ac:dyDescent="0.25">
      <c r="A634" s="9" t="s">
        <v>1153</v>
      </c>
      <c r="B634" s="9" t="s">
        <v>865</v>
      </c>
      <c r="C634" s="9" t="s">
        <v>1154</v>
      </c>
    </row>
    <row r="635" spans="1:3" x14ac:dyDescent="0.25">
      <c r="A635" s="9" t="s">
        <v>1155</v>
      </c>
      <c r="B635" s="9" t="s">
        <v>865</v>
      </c>
      <c r="C635" s="9" t="s">
        <v>1156</v>
      </c>
    </row>
    <row r="636" spans="1:3" x14ac:dyDescent="0.25">
      <c r="A636" s="9" t="s">
        <v>1157</v>
      </c>
      <c r="B636" s="9" t="s">
        <v>865</v>
      </c>
      <c r="C636" s="9" t="s">
        <v>1158</v>
      </c>
    </row>
    <row r="637" spans="1:3" x14ac:dyDescent="0.25">
      <c r="A637" s="9" t="s">
        <v>1159</v>
      </c>
      <c r="B637" s="9" t="s">
        <v>865</v>
      </c>
      <c r="C637" s="9" t="s">
        <v>1160</v>
      </c>
    </row>
    <row r="638" spans="1:3" x14ac:dyDescent="0.25">
      <c r="A638" s="9" t="s">
        <v>1161</v>
      </c>
      <c r="B638" s="9" t="s">
        <v>865</v>
      </c>
      <c r="C638" s="9" t="s">
        <v>1162</v>
      </c>
    </row>
    <row r="639" spans="1:3" x14ac:dyDescent="0.25">
      <c r="A639" s="9" t="s">
        <v>1163</v>
      </c>
      <c r="B639" s="9" t="s">
        <v>865</v>
      </c>
      <c r="C639" s="9" t="s">
        <v>1164</v>
      </c>
    </row>
    <row r="640" spans="1:3" x14ac:dyDescent="0.25">
      <c r="A640" s="9" t="s">
        <v>1165</v>
      </c>
      <c r="B640" s="9" t="s">
        <v>865</v>
      </c>
      <c r="C640" s="9" t="s">
        <v>1166</v>
      </c>
    </row>
    <row r="641" spans="1:3" x14ac:dyDescent="0.25">
      <c r="A641" s="9" t="s">
        <v>1167</v>
      </c>
      <c r="B641" s="9" t="s">
        <v>865</v>
      </c>
      <c r="C641" s="9" t="s">
        <v>1168</v>
      </c>
    </row>
    <row r="642" spans="1:3" x14ac:dyDescent="0.25">
      <c r="A642" s="9" t="s">
        <v>1169</v>
      </c>
      <c r="B642" s="9" t="s">
        <v>865</v>
      </c>
      <c r="C642" s="9" t="s">
        <v>1170</v>
      </c>
    </row>
    <row r="643" spans="1:3" x14ac:dyDescent="0.25">
      <c r="A643" s="9" t="s">
        <v>1171</v>
      </c>
      <c r="B643" s="9" t="s">
        <v>865</v>
      </c>
      <c r="C643" s="9" t="s">
        <v>1172</v>
      </c>
    </row>
    <row r="644" spans="1:3" x14ac:dyDescent="0.25">
      <c r="A644" s="9" t="s">
        <v>1173</v>
      </c>
      <c r="B644" s="9" t="s">
        <v>865</v>
      </c>
      <c r="C644" s="9" t="s">
        <v>1174</v>
      </c>
    </row>
    <row r="645" spans="1:3" x14ac:dyDescent="0.25">
      <c r="A645" s="9" t="s">
        <v>1175</v>
      </c>
      <c r="B645" s="9" t="s">
        <v>865</v>
      </c>
      <c r="C645" s="9" t="s">
        <v>1176</v>
      </c>
    </row>
    <row r="646" spans="1:3" x14ac:dyDescent="0.25">
      <c r="A646" s="9" t="s">
        <v>1177</v>
      </c>
      <c r="B646" s="9" t="s">
        <v>865</v>
      </c>
      <c r="C646" s="9" t="s">
        <v>1178</v>
      </c>
    </row>
    <row r="647" spans="1:3" x14ac:dyDescent="0.25">
      <c r="A647" s="9" t="s">
        <v>1179</v>
      </c>
      <c r="B647" s="9" t="s">
        <v>865</v>
      </c>
      <c r="C647" s="9" t="s">
        <v>1180</v>
      </c>
    </row>
    <row r="648" spans="1:3" x14ac:dyDescent="0.25">
      <c r="A648" s="9" t="s">
        <v>1181</v>
      </c>
      <c r="B648" s="9" t="s">
        <v>865</v>
      </c>
      <c r="C648" s="9" t="s">
        <v>1182</v>
      </c>
    </row>
    <row r="649" spans="1:3" x14ac:dyDescent="0.25">
      <c r="A649" s="9" t="s">
        <v>1183</v>
      </c>
      <c r="B649" s="9" t="s">
        <v>865</v>
      </c>
      <c r="C649" s="9" t="s">
        <v>1184</v>
      </c>
    </row>
    <row r="650" spans="1:3" x14ac:dyDescent="0.25">
      <c r="A650" s="9" t="s">
        <v>1185</v>
      </c>
      <c r="B650" s="9" t="s">
        <v>865</v>
      </c>
      <c r="C650" s="9" t="s">
        <v>1186</v>
      </c>
    </row>
    <row r="651" spans="1:3" x14ac:dyDescent="0.25">
      <c r="A651" s="9" t="s">
        <v>1187</v>
      </c>
      <c r="B651" s="9" t="s">
        <v>865</v>
      </c>
      <c r="C651" s="9" t="s">
        <v>1188</v>
      </c>
    </row>
    <row r="652" spans="1:3" x14ac:dyDescent="0.25">
      <c r="A652" s="9" t="s">
        <v>1189</v>
      </c>
      <c r="B652" s="9" t="s">
        <v>865</v>
      </c>
      <c r="C652" s="9" t="s">
        <v>1190</v>
      </c>
    </row>
    <row r="653" spans="1:3" x14ac:dyDescent="0.25">
      <c r="A653" s="9" t="s">
        <v>1191</v>
      </c>
      <c r="B653" s="9" t="s">
        <v>865</v>
      </c>
      <c r="C653" s="9" t="s">
        <v>1192</v>
      </c>
    </row>
    <row r="654" spans="1:3" x14ac:dyDescent="0.25">
      <c r="A654" s="9" t="s">
        <v>1193</v>
      </c>
      <c r="B654" s="9" t="s">
        <v>865</v>
      </c>
      <c r="C654" s="9" t="s">
        <v>1194</v>
      </c>
    </row>
    <row r="655" spans="1:3" x14ac:dyDescent="0.25">
      <c r="A655" s="9" t="s">
        <v>1195</v>
      </c>
      <c r="B655" s="9" t="s">
        <v>865</v>
      </c>
      <c r="C655" s="9" t="s">
        <v>1196</v>
      </c>
    </row>
    <row r="656" spans="1:3" x14ac:dyDescent="0.25">
      <c r="A656" s="9" t="s">
        <v>1197</v>
      </c>
      <c r="B656" s="9" t="s">
        <v>865</v>
      </c>
      <c r="C656" s="9" t="s">
        <v>1198</v>
      </c>
    </row>
    <row r="657" spans="1:3" x14ac:dyDescent="0.25">
      <c r="A657" s="9" t="s">
        <v>1199</v>
      </c>
      <c r="B657" s="9" t="s">
        <v>865</v>
      </c>
      <c r="C657" s="9" t="s">
        <v>1200</v>
      </c>
    </row>
    <row r="658" spans="1:3" x14ac:dyDescent="0.25">
      <c r="A658" s="9" t="s">
        <v>1201</v>
      </c>
      <c r="B658" s="9" t="s">
        <v>865</v>
      </c>
      <c r="C658" s="9" t="s">
        <v>1202</v>
      </c>
    </row>
    <row r="659" spans="1:3" x14ac:dyDescent="0.25">
      <c r="A659" s="9" t="s">
        <v>1203</v>
      </c>
      <c r="B659" s="9" t="s">
        <v>865</v>
      </c>
      <c r="C659" s="9" t="s">
        <v>1204</v>
      </c>
    </row>
    <row r="660" spans="1:3" x14ac:dyDescent="0.25">
      <c r="A660" s="9" t="s">
        <v>1205</v>
      </c>
      <c r="B660" s="9" t="s">
        <v>865</v>
      </c>
      <c r="C660" s="9" t="s">
        <v>1206</v>
      </c>
    </row>
    <row r="661" spans="1:3" x14ac:dyDescent="0.25">
      <c r="A661" s="9" t="s">
        <v>1207</v>
      </c>
      <c r="B661" s="9" t="s">
        <v>865</v>
      </c>
      <c r="C661" s="9" t="s">
        <v>1208</v>
      </c>
    </row>
    <row r="662" spans="1:3" x14ac:dyDescent="0.25">
      <c r="A662" s="9" t="s">
        <v>1209</v>
      </c>
      <c r="B662" s="9" t="s">
        <v>865</v>
      </c>
      <c r="C662" s="9" t="s">
        <v>1210</v>
      </c>
    </row>
    <row r="663" spans="1:3" x14ac:dyDescent="0.25">
      <c r="A663" s="9" t="s">
        <v>1211</v>
      </c>
      <c r="B663" s="9" t="s">
        <v>865</v>
      </c>
      <c r="C663" s="9" t="s">
        <v>1212</v>
      </c>
    </row>
    <row r="664" spans="1:3" x14ac:dyDescent="0.25">
      <c r="A664" s="9" t="s">
        <v>1213</v>
      </c>
      <c r="B664" s="9" t="s">
        <v>865</v>
      </c>
      <c r="C664" s="9" t="s">
        <v>1214</v>
      </c>
    </row>
    <row r="665" spans="1:3" x14ac:dyDescent="0.25">
      <c r="A665" s="9" t="s">
        <v>1215</v>
      </c>
      <c r="B665" s="9" t="s">
        <v>865</v>
      </c>
      <c r="C665" s="9" t="s">
        <v>1216</v>
      </c>
    </row>
    <row r="666" spans="1:3" x14ac:dyDescent="0.25">
      <c r="A666" s="9" t="s">
        <v>1217</v>
      </c>
      <c r="B666" s="9" t="s">
        <v>865</v>
      </c>
      <c r="C666" s="9" t="s">
        <v>1218</v>
      </c>
    </row>
    <row r="667" spans="1:3" x14ac:dyDescent="0.25">
      <c r="A667" s="9" t="s">
        <v>1219</v>
      </c>
      <c r="B667" s="9" t="s">
        <v>865</v>
      </c>
      <c r="C667" s="9" t="s">
        <v>1220</v>
      </c>
    </row>
    <row r="668" spans="1:3" x14ac:dyDescent="0.25">
      <c r="A668" s="9" t="s">
        <v>1221</v>
      </c>
      <c r="B668" s="9" t="s">
        <v>865</v>
      </c>
      <c r="C668" s="9" t="s">
        <v>1222</v>
      </c>
    </row>
    <row r="669" spans="1:3" x14ac:dyDescent="0.25">
      <c r="A669" s="9" t="s">
        <v>1223</v>
      </c>
      <c r="B669" s="9" t="s">
        <v>865</v>
      </c>
      <c r="C669" s="9" t="s">
        <v>1224</v>
      </c>
    </row>
    <row r="670" spans="1:3" x14ac:dyDescent="0.25">
      <c r="A670" s="9" t="s">
        <v>1225</v>
      </c>
      <c r="B670" s="9" t="s">
        <v>865</v>
      </c>
      <c r="C670" s="9" t="s">
        <v>1226</v>
      </c>
    </row>
    <row r="671" spans="1:3" x14ac:dyDescent="0.25">
      <c r="A671" s="9" t="s">
        <v>1227</v>
      </c>
      <c r="B671" s="9" t="s">
        <v>865</v>
      </c>
      <c r="C671" s="9" t="s">
        <v>1228</v>
      </c>
    </row>
    <row r="672" spans="1:3" x14ac:dyDescent="0.25">
      <c r="A672" s="9" t="s">
        <v>1229</v>
      </c>
      <c r="B672" s="9" t="s">
        <v>865</v>
      </c>
      <c r="C672" s="9" t="s">
        <v>1230</v>
      </c>
    </row>
    <row r="673" spans="1:3" x14ac:dyDescent="0.25">
      <c r="A673" s="9" t="s">
        <v>1231</v>
      </c>
      <c r="B673" s="9" t="s">
        <v>865</v>
      </c>
      <c r="C673" s="9" t="s">
        <v>1232</v>
      </c>
    </row>
    <row r="674" spans="1:3" x14ac:dyDescent="0.25">
      <c r="A674" s="9" t="s">
        <v>1233</v>
      </c>
      <c r="B674" s="9" t="s">
        <v>865</v>
      </c>
      <c r="C674" s="9" t="s">
        <v>1234</v>
      </c>
    </row>
    <row r="675" spans="1:3" x14ac:dyDescent="0.25">
      <c r="A675" s="9" t="s">
        <v>1235</v>
      </c>
      <c r="B675" s="9" t="s">
        <v>865</v>
      </c>
      <c r="C675" s="9" t="s">
        <v>1236</v>
      </c>
    </row>
    <row r="676" spans="1:3" x14ac:dyDescent="0.25">
      <c r="A676" s="9" t="s">
        <v>1237</v>
      </c>
      <c r="B676" s="9" t="s">
        <v>865</v>
      </c>
      <c r="C676" s="9" t="s">
        <v>1238</v>
      </c>
    </row>
    <row r="677" spans="1:3" x14ac:dyDescent="0.25">
      <c r="A677" s="9" t="s">
        <v>1239</v>
      </c>
      <c r="B677" s="9" t="s">
        <v>865</v>
      </c>
      <c r="C677" s="9" t="s">
        <v>1524</v>
      </c>
    </row>
    <row r="678" spans="1:3" x14ac:dyDescent="0.25">
      <c r="A678" s="9" t="s">
        <v>1240</v>
      </c>
      <c r="B678" s="9" t="s">
        <v>865</v>
      </c>
      <c r="C678" s="9" t="s">
        <v>1241</v>
      </c>
    </row>
    <row r="679" spans="1:3" x14ac:dyDescent="0.25">
      <c r="A679" s="9" t="s">
        <v>1242</v>
      </c>
      <c r="B679" s="9" t="s">
        <v>865</v>
      </c>
      <c r="C679" s="9" t="s">
        <v>1243</v>
      </c>
    </row>
    <row r="680" spans="1:3" x14ac:dyDescent="0.25">
      <c r="A680" s="9" t="s">
        <v>1244</v>
      </c>
      <c r="B680" s="9" t="s">
        <v>865</v>
      </c>
      <c r="C680" s="9" t="s">
        <v>1245</v>
      </c>
    </row>
    <row r="681" spans="1:3" x14ac:dyDescent="0.25">
      <c r="A681" s="9" t="s">
        <v>1246</v>
      </c>
      <c r="B681" s="9" t="s">
        <v>865</v>
      </c>
      <c r="C681" s="9" t="s">
        <v>1247</v>
      </c>
    </row>
    <row r="682" spans="1:3" x14ac:dyDescent="0.25">
      <c r="A682" s="9" t="s">
        <v>1248</v>
      </c>
      <c r="B682" s="9" t="s">
        <v>865</v>
      </c>
      <c r="C682" s="9" t="s">
        <v>1249</v>
      </c>
    </row>
    <row r="683" spans="1:3" x14ac:dyDescent="0.25">
      <c r="A683" s="9" t="s">
        <v>1250</v>
      </c>
      <c r="B683" s="9" t="s">
        <v>865</v>
      </c>
      <c r="C683" s="9" t="s">
        <v>1251</v>
      </c>
    </row>
    <row r="684" spans="1:3" x14ac:dyDescent="0.25">
      <c r="A684" s="9" t="s">
        <v>1252</v>
      </c>
      <c r="B684" s="9" t="s">
        <v>865</v>
      </c>
      <c r="C684" s="9" t="s">
        <v>1253</v>
      </c>
    </row>
    <row r="685" spans="1:3" x14ac:dyDescent="0.25">
      <c r="A685" s="9" t="s">
        <v>1254</v>
      </c>
      <c r="B685" s="9" t="s">
        <v>865</v>
      </c>
      <c r="C685" s="9" t="s">
        <v>1255</v>
      </c>
    </row>
    <row r="686" spans="1:3" x14ac:dyDescent="0.25">
      <c r="A686" s="9" t="s">
        <v>1256</v>
      </c>
      <c r="B686" s="9" t="s">
        <v>865</v>
      </c>
      <c r="C686" s="9" t="s">
        <v>1257</v>
      </c>
    </row>
    <row r="687" spans="1:3" x14ac:dyDescent="0.25">
      <c r="A687" s="9" t="s">
        <v>1258</v>
      </c>
      <c r="B687" s="9" t="s">
        <v>865</v>
      </c>
      <c r="C687" s="9" t="s">
        <v>1259</v>
      </c>
    </row>
    <row r="688" spans="1:3" x14ac:dyDescent="0.25">
      <c r="A688" s="9" t="s">
        <v>1260</v>
      </c>
      <c r="B688" s="9" t="s">
        <v>865</v>
      </c>
      <c r="C688" s="9" t="s">
        <v>1261</v>
      </c>
    </row>
    <row r="689" spans="1:3" x14ac:dyDescent="0.25">
      <c r="A689" s="9" t="s">
        <v>1262</v>
      </c>
      <c r="B689" s="9" t="s">
        <v>865</v>
      </c>
      <c r="C689" s="9" t="s">
        <v>1263</v>
      </c>
    </row>
    <row r="690" spans="1:3" x14ac:dyDescent="0.25">
      <c r="A690" s="9" t="s">
        <v>1264</v>
      </c>
      <c r="B690" s="9" t="s">
        <v>865</v>
      </c>
      <c r="C690" s="9" t="s">
        <v>1265</v>
      </c>
    </row>
    <row r="691" spans="1:3" x14ac:dyDescent="0.25">
      <c r="A691" s="9" t="s">
        <v>1266</v>
      </c>
      <c r="B691" s="9" t="s">
        <v>865</v>
      </c>
      <c r="C691" s="9" t="s">
        <v>1267</v>
      </c>
    </row>
    <row r="692" spans="1:3" x14ac:dyDescent="0.25">
      <c r="A692" s="9" t="s">
        <v>1268</v>
      </c>
      <c r="B692" s="9" t="s">
        <v>865</v>
      </c>
      <c r="C692" s="9" t="s">
        <v>1269</v>
      </c>
    </row>
    <row r="693" spans="1:3" x14ac:dyDescent="0.25">
      <c r="A693" s="9" t="s">
        <v>1270</v>
      </c>
      <c r="B693" s="9" t="s">
        <v>865</v>
      </c>
      <c r="C693" s="9" t="s">
        <v>1271</v>
      </c>
    </row>
    <row r="694" spans="1:3" x14ac:dyDescent="0.25">
      <c r="A694" s="9" t="s">
        <v>1272</v>
      </c>
      <c r="B694" s="9" t="s">
        <v>865</v>
      </c>
      <c r="C694" s="9" t="s">
        <v>1273</v>
      </c>
    </row>
    <row r="695" spans="1:3" x14ac:dyDescent="0.25">
      <c r="A695" s="9" t="s">
        <v>1527</v>
      </c>
      <c r="B695" s="9" t="s">
        <v>865</v>
      </c>
      <c r="C695" s="9" t="s">
        <v>1275</v>
      </c>
    </row>
    <row r="696" spans="1:3" x14ac:dyDescent="0.25">
      <c r="A696" s="9" t="s">
        <v>1276</v>
      </c>
      <c r="B696" s="9" t="s">
        <v>865</v>
      </c>
      <c r="C696" s="9" t="s">
        <v>1277</v>
      </c>
    </row>
    <row r="697" spans="1:3" x14ac:dyDescent="0.25">
      <c r="A697" s="9" t="s">
        <v>1278</v>
      </c>
      <c r="B697" s="9" t="s">
        <v>865</v>
      </c>
      <c r="C697" s="9" t="s">
        <v>1279</v>
      </c>
    </row>
    <row r="698" spans="1:3" x14ac:dyDescent="0.25">
      <c r="A698" s="9" t="s">
        <v>1280</v>
      </c>
      <c r="B698" s="9" t="s">
        <v>1280</v>
      </c>
      <c r="C698" s="9" t="s">
        <v>1281</v>
      </c>
    </row>
    <row r="699" spans="1:3" x14ac:dyDescent="0.25">
      <c r="A699" s="9" t="s">
        <v>1282</v>
      </c>
      <c r="B699" s="9" t="s">
        <v>1282</v>
      </c>
      <c r="C699" s="9" t="s">
        <v>1283</v>
      </c>
    </row>
    <row r="700" spans="1:3" x14ac:dyDescent="0.25">
      <c r="A700" s="9" t="s">
        <v>1284</v>
      </c>
      <c r="B700" s="9" t="s">
        <v>1285</v>
      </c>
      <c r="C700" s="9" t="s">
        <v>1286</v>
      </c>
    </row>
    <row r="701" spans="1:3" x14ac:dyDescent="0.25">
      <c r="A701" s="9" t="s">
        <v>1287</v>
      </c>
      <c r="B701" s="9" t="s">
        <v>1285</v>
      </c>
      <c r="C701" s="9" t="s">
        <v>1288</v>
      </c>
    </row>
    <row r="702" spans="1:3" x14ac:dyDescent="0.25">
      <c r="A702" s="9" t="s">
        <v>1289</v>
      </c>
      <c r="B702" s="9" t="s">
        <v>1285</v>
      </c>
      <c r="C702" s="9" t="s">
        <v>1290</v>
      </c>
    </row>
    <row r="703" spans="1:3" x14ac:dyDescent="0.25">
      <c r="A703" s="9" t="s">
        <v>1291</v>
      </c>
      <c r="B703" s="9" t="s">
        <v>1285</v>
      </c>
      <c r="C703" s="9" t="s">
        <v>1292</v>
      </c>
    </row>
    <row r="704" spans="1:3" x14ac:dyDescent="0.25">
      <c r="A704" s="9" t="s">
        <v>1293</v>
      </c>
      <c r="B704" s="9" t="s">
        <v>1285</v>
      </c>
      <c r="C704" s="9" t="s">
        <v>1294</v>
      </c>
    </row>
    <row r="705" spans="1:3" x14ac:dyDescent="0.25">
      <c r="A705" s="9" t="s">
        <v>1295</v>
      </c>
      <c r="B705" s="9" t="s">
        <v>1285</v>
      </c>
      <c r="C705" s="11" t="s">
        <v>1296</v>
      </c>
    </row>
    <row r="706" spans="1:3" x14ac:dyDescent="0.25">
      <c r="A706" s="9" t="s">
        <v>1297</v>
      </c>
      <c r="B706" s="9" t="s">
        <v>1285</v>
      </c>
      <c r="C706" s="9" t="s">
        <v>1298</v>
      </c>
    </row>
    <row r="707" spans="1:3" x14ac:dyDescent="0.25">
      <c r="A707" s="9" t="s">
        <v>1299</v>
      </c>
      <c r="B707" s="9" t="s">
        <v>1285</v>
      </c>
      <c r="C707" s="9" t="s">
        <v>1300</v>
      </c>
    </row>
    <row r="708" spans="1:3" x14ac:dyDescent="0.25">
      <c r="A708" s="9" t="s">
        <v>1301</v>
      </c>
      <c r="B708" s="9" t="s">
        <v>1285</v>
      </c>
      <c r="C708" s="5" t="s">
        <v>1302</v>
      </c>
    </row>
    <row r="709" spans="1:3" ht="15" x14ac:dyDescent="0.25">
      <c r="A709" t="s">
        <v>1582</v>
      </c>
      <c r="B709" t="s">
        <v>1583</v>
      </c>
      <c r="C709" s="18" t="s">
        <v>1578</v>
      </c>
    </row>
    <row r="710" spans="1:3" ht="15" x14ac:dyDescent="0.25">
      <c r="A710" t="s">
        <v>1584</v>
      </c>
      <c r="B710" t="s">
        <v>1585</v>
      </c>
      <c r="C710" s="18" t="s">
        <v>1579</v>
      </c>
    </row>
    <row r="711" spans="1:3" ht="15" x14ac:dyDescent="0.25">
      <c r="A711" t="s">
        <v>1586</v>
      </c>
      <c r="B711" t="s">
        <v>263</v>
      </c>
      <c r="C711" s="18" t="s">
        <v>1580</v>
      </c>
    </row>
    <row r="712" spans="1:3" ht="15" x14ac:dyDescent="0.25">
      <c r="A712" t="s">
        <v>1587</v>
      </c>
      <c r="B712" t="s">
        <v>138</v>
      </c>
      <c r="C712" s="18" t="s">
        <v>1581</v>
      </c>
    </row>
    <row r="713" spans="1:3" x14ac:dyDescent="0.25">
      <c r="A713" s="9" t="s">
        <v>1303</v>
      </c>
      <c r="B713" s="9" t="s">
        <v>1285</v>
      </c>
      <c r="C713" s="9">
        <v>0</v>
      </c>
    </row>
    <row r="714" spans="1:3" x14ac:dyDescent="0.25">
      <c r="A714" s="9" t="s">
        <v>1304</v>
      </c>
      <c r="B714" s="9" t="s">
        <v>1285</v>
      </c>
      <c r="C714" s="9" t="s">
        <v>1305</v>
      </c>
    </row>
    <row r="715" spans="1:3" x14ac:dyDescent="0.25">
      <c r="A715" s="9" t="s">
        <v>1306</v>
      </c>
      <c r="B715" s="9" t="s">
        <v>1285</v>
      </c>
      <c r="C715" s="9" t="s">
        <v>1307</v>
      </c>
    </row>
    <row r="716" spans="1:3" x14ac:dyDescent="0.25">
      <c r="A716" s="9" t="s">
        <v>1308</v>
      </c>
      <c r="B716" s="9" t="s">
        <v>1285</v>
      </c>
      <c r="C716" s="9">
        <v>0</v>
      </c>
    </row>
    <row r="717" spans="1:3" x14ac:dyDescent="0.25">
      <c r="A717" s="9" t="s">
        <v>1309</v>
      </c>
      <c r="B717" s="9" t="s">
        <v>1285</v>
      </c>
      <c r="C717" s="9" t="s">
        <v>1310</v>
      </c>
    </row>
    <row r="718" spans="1:3" x14ac:dyDescent="0.25">
      <c r="A718" s="9" t="s">
        <v>1311</v>
      </c>
      <c r="B718" s="9" t="s">
        <v>1285</v>
      </c>
      <c r="C718" s="9" t="s">
        <v>1312</v>
      </c>
    </row>
    <row r="719" spans="1:3" x14ac:dyDescent="0.25">
      <c r="A719" s="9" t="s">
        <v>1313</v>
      </c>
      <c r="B719" s="9" t="s">
        <v>1285</v>
      </c>
      <c r="C719" s="9" t="s">
        <v>1314</v>
      </c>
    </row>
    <row r="720" spans="1:3" x14ac:dyDescent="0.25">
      <c r="A720" s="9" t="s">
        <v>1315</v>
      </c>
      <c r="B720" s="9" t="s">
        <v>1285</v>
      </c>
      <c r="C720" s="9" t="s">
        <v>1316</v>
      </c>
    </row>
    <row r="721" spans="1:3" x14ac:dyDescent="0.25">
      <c r="A721" s="9" t="s">
        <v>1317</v>
      </c>
      <c r="B721" s="9" t="s">
        <v>1285</v>
      </c>
      <c r="C721" s="9" t="s">
        <v>1318</v>
      </c>
    </row>
    <row r="722" spans="1:3" x14ac:dyDescent="0.25">
      <c r="A722" s="9" t="s">
        <v>1319</v>
      </c>
      <c r="B722" s="9" t="s">
        <v>1285</v>
      </c>
      <c r="C722" s="9" t="s">
        <v>1320</v>
      </c>
    </row>
    <row r="723" spans="1:3" x14ac:dyDescent="0.25">
      <c r="A723" s="9" t="s">
        <v>1321</v>
      </c>
      <c r="B723" s="9" t="s">
        <v>1285</v>
      </c>
      <c r="C723" s="9" t="s">
        <v>1322</v>
      </c>
    </row>
    <row r="724" spans="1:3" x14ac:dyDescent="0.25">
      <c r="A724" s="9" t="s">
        <v>1323</v>
      </c>
      <c r="B724" s="9" t="s">
        <v>1285</v>
      </c>
      <c r="C724" s="9">
        <v>0</v>
      </c>
    </row>
    <row r="725" spans="1:3" x14ac:dyDescent="0.25">
      <c r="A725" s="9" t="s">
        <v>1324</v>
      </c>
      <c r="B725" s="9" t="s">
        <v>1285</v>
      </c>
      <c r="C725" s="9" t="s">
        <v>1325</v>
      </c>
    </row>
    <row r="726" spans="1:3" x14ac:dyDescent="0.25">
      <c r="A726" s="9" t="s">
        <v>1326</v>
      </c>
      <c r="B726" s="9" t="s">
        <v>1285</v>
      </c>
      <c r="C726" s="9" t="s">
        <v>1327</v>
      </c>
    </row>
    <row r="727" spans="1:3" x14ac:dyDescent="0.25">
      <c r="A727" s="9" t="s">
        <v>1328</v>
      </c>
      <c r="B727" s="9" t="s">
        <v>1285</v>
      </c>
      <c r="C727" s="9" t="s">
        <v>1329</v>
      </c>
    </row>
    <row r="728" spans="1:3" x14ac:dyDescent="0.25">
      <c r="A728" s="9" t="s">
        <v>1330</v>
      </c>
      <c r="B728" s="9" t="s">
        <v>1285</v>
      </c>
      <c r="C728" s="9">
        <v>0</v>
      </c>
    </row>
    <row r="729" spans="1:3" x14ac:dyDescent="0.25">
      <c r="A729" s="9" t="s">
        <v>1331</v>
      </c>
      <c r="B729" s="9" t="s">
        <v>1285</v>
      </c>
      <c r="C729" s="9" t="s">
        <v>1332</v>
      </c>
    </row>
    <row r="730" spans="1:3" x14ac:dyDescent="0.25">
      <c r="A730" s="9" t="s">
        <v>1333</v>
      </c>
      <c r="B730" s="9" t="s">
        <v>1285</v>
      </c>
      <c r="C730" s="9">
        <v>0</v>
      </c>
    </row>
    <row r="731" spans="1:3" x14ac:dyDescent="0.25">
      <c r="A731" s="9" t="s">
        <v>1334</v>
      </c>
      <c r="B731" s="9" t="s">
        <v>1285</v>
      </c>
      <c r="C731" s="9" t="s">
        <v>1335</v>
      </c>
    </row>
    <row r="732" spans="1:3" x14ac:dyDescent="0.25">
      <c r="A732" s="9" t="s">
        <v>1336</v>
      </c>
      <c r="B732" s="9" t="s">
        <v>1285</v>
      </c>
      <c r="C732" s="9" t="s">
        <v>1337</v>
      </c>
    </row>
    <row r="733" spans="1:3" x14ac:dyDescent="0.25">
      <c r="A733" s="9" t="s">
        <v>1338</v>
      </c>
      <c r="B733" s="9" t="s">
        <v>1285</v>
      </c>
      <c r="C733" s="9" t="s">
        <v>1339</v>
      </c>
    </row>
    <row r="734" spans="1:3" x14ac:dyDescent="0.25">
      <c r="A734" s="9" t="s">
        <v>1340</v>
      </c>
      <c r="B734" s="9" t="s">
        <v>1285</v>
      </c>
      <c r="C734" s="9" t="s">
        <v>1341</v>
      </c>
    </row>
    <row r="735" spans="1:3" x14ac:dyDescent="0.25">
      <c r="A735" s="9" t="s">
        <v>1342</v>
      </c>
      <c r="B735" s="9" t="s">
        <v>1285</v>
      </c>
      <c r="C735" s="9">
        <v>0</v>
      </c>
    </row>
    <row r="736" spans="1:3" x14ac:dyDescent="0.25">
      <c r="A736" s="9" t="s">
        <v>1343</v>
      </c>
      <c r="B736" s="9" t="s">
        <v>1285</v>
      </c>
      <c r="C736" s="9" t="s">
        <v>1344</v>
      </c>
    </row>
    <row r="737" spans="1:3" x14ac:dyDescent="0.25">
      <c r="A737" s="9" t="s">
        <v>1345</v>
      </c>
      <c r="B737" s="9" t="s">
        <v>1285</v>
      </c>
      <c r="C737" s="9" t="s">
        <v>1346</v>
      </c>
    </row>
    <row r="738" spans="1:3" x14ac:dyDescent="0.25">
      <c r="A738" s="9" t="s">
        <v>1347</v>
      </c>
      <c r="B738" s="9" t="s">
        <v>1285</v>
      </c>
      <c r="C738" s="9" t="s">
        <v>1348</v>
      </c>
    </row>
    <row r="739" spans="1:3" x14ac:dyDescent="0.25">
      <c r="A739" s="9" t="s">
        <v>1349</v>
      </c>
      <c r="B739" s="9" t="s">
        <v>1285</v>
      </c>
      <c r="C739" s="9" t="s">
        <v>1350</v>
      </c>
    </row>
    <row r="740" spans="1:3" x14ac:dyDescent="0.25">
      <c r="A740" s="9" t="s">
        <v>1351</v>
      </c>
      <c r="B740" s="9" t="s">
        <v>1285</v>
      </c>
      <c r="C740" s="9" t="s">
        <v>1352</v>
      </c>
    </row>
    <row r="741" spans="1:3" x14ac:dyDescent="0.25">
      <c r="A741" s="9" t="s">
        <v>1353</v>
      </c>
      <c r="B741" s="9" t="s">
        <v>1285</v>
      </c>
      <c r="C741" s="9">
        <v>0</v>
      </c>
    </row>
    <row r="742" spans="1:3" x14ac:dyDescent="0.25">
      <c r="A742" s="9" t="s">
        <v>1354</v>
      </c>
      <c r="B742" s="9" t="s">
        <v>1285</v>
      </c>
      <c r="C742" s="9" t="s">
        <v>1355</v>
      </c>
    </row>
    <row r="743" spans="1:3" x14ac:dyDescent="0.25">
      <c r="A743" s="9" t="s">
        <v>1356</v>
      </c>
      <c r="B743" s="9" t="s">
        <v>1285</v>
      </c>
      <c r="C743" s="9" t="s">
        <v>1357</v>
      </c>
    </row>
    <row r="744" spans="1:3" x14ac:dyDescent="0.25">
      <c r="A744" s="9" t="s">
        <v>1358</v>
      </c>
      <c r="B744" s="9" t="s">
        <v>1285</v>
      </c>
      <c r="C744" s="9" t="s">
        <v>1359</v>
      </c>
    </row>
    <row r="745" spans="1:3" x14ac:dyDescent="0.25">
      <c r="A745" s="9" t="s">
        <v>1360</v>
      </c>
      <c r="B745" s="9" t="s">
        <v>1285</v>
      </c>
      <c r="C745" s="9" t="s">
        <v>1361</v>
      </c>
    </row>
    <row r="746" spans="1:3" x14ac:dyDescent="0.25">
      <c r="A746" s="9" t="s">
        <v>1362</v>
      </c>
      <c r="B746" s="9" t="s">
        <v>1285</v>
      </c>
      <c r="C746" s="9" t="s">
        <v>1363</v>
      </c>
    </row>
    <row r="747" spans="1:3" x14ac:dyDescent="0.25">
      <c r="A747" s="9" t="s">
        <v>1364</v>
      </c>
      <c r="B747" s="9" t="s">
        <v>1285</v>
      </c>
      <c r="C747" s="9">
        <v>0</v>
      </c>
    </row>
    <row r="748" spans="1:3" x14ac:dyDescent="0.25">
      <c r="A748" s="9" t="s">
        <v>1365</v>
      </c>
      <c r="B748" s="9" t="s">
        <v>1285</v>
      </c>
      <c r="C748" s="9" t="s">
        <v>1366</v>
      </c>
    </row>
    <row r="749" spans="1:3" x14ac:dyDescent="0.25">
      <c r="A749" s="9" t="s">
        <v>1367</v>
      </c>
      <c r="B749" s="9" t="s">
        <v>1285</v>
      </c>
      <c r="C749" s="9" t="s">
        <v>1368</v>
      </c>
    </row>
    <row r="750" spans="1:3" x14ac:dyDescent="0.25">
      <c r="A750" s="9" t="s">
        <v>1369</v>
      </c>
      <c r="B750" s="9" t="s">
        <v>1285</v>
      </c>
      <c r="C750" s="9" t="s">
        <v>1370</v>
      </c>
    </row>
    <row r="751" spans="1:3" x14ac:dyDescent="0.25">
      <c r="A751" s="9" t="s">
        <v>1371</v>
      </c>
      <c r="B751" s="9" t="s">
        <v>1285</v>
      </c>
      <c r="C751" s="9" t="s">
        <v>1372</v>
      </c>
    </row>
    <row r="752" spans="1:3" x14ac:dyDescent="0.25">
      <c r="A752" s="9" t="s">
        <v>1373</v>
      </c>
      <c r="B752" s="9" t="s">
        <v>1285</v>
      </c>
      <c r="C752" s="9" t="s">
        <v>1374</v>
      </c>
    </row>
    <row r="753" spans="1:3" x14ac:dyDescent="0.25">
      <c r="A753" s="9" t="s">
        <v>1375</v>
      </c>
      <c r="B753" s="9" t="s">
        <v>1285</v>
      </c>
      <c r="C753" s="9" t="s">
        <v>1376</v>
      </c>
    </row>
    <row r="754" spans="1:3" x14ac:dyDescent="0.25">
      <c r="A754" s="9" t="s">
        <v>1377</v>
      </c>
      <c r="B754" s="9" t="s">
        <v>1285</v>
      </c>
      <c r="C754" s="9">
        <v>0</v>
      </c>
    </row>
    <row r="755" spans="1:3" x14ac:dyDescent="0.25">
      <c r="A755" s="9" t="s">
        <v>1378</v>
      </c>
      <c r="B755" s="9" t="s">
        <v>1285</v>
      </c>
      <c r="C755" s="9" t="s">
        <v>1379</v>
      </c>
    </row>
    <row r="756" spans="1:3" x14ac:dyDescent="0.25">
      <c r="A756" s="9" t="s">
        <v>1380</v>
      </c>
      <c r="B756" s="9" t="s">
        <v>1285</v>
      </c>
      <c r="C756" s="9" t="s">
        <v>1381</v>
      </c>
    </row>
    <row r="757" spans="1:3" x14ac:dyDescent="0.25">
      <c r="A757" s="9" t="s">
        <v>1382</v>
      </c>
      <c r="B757" s="9" t="s">
        <v>1285</v>
      </c>
      <c r="C757" s="9" t="s">
        <v>1383</v>
      </c>
    </row>
    <row r="758" spans="1:3" x14ac:dyDescent="0.25">
      <c r="A758" s="9" t="s">
        <v>1384</v>
      </c>
      <c r="B758" s="9" t="s">
        <v>1285</v>
      </c>
      <c r="C758" s="9" t="s">
        <v>1385</v>
      </c>
    </row>
    <row r="759" spans="1:3" x14ac:dyDescent="0.25">
      <c r="A759" s="9" t="s">
        <v>1386</v>
      </c>
      <c r="B759" s="9" t="s">
        <v>1285</v>
      </c>
      <c r="C759" s="9" t="s">
        <v>1387</v>
      </c>
    </row>
    <row r="760" spans="1:3" x14ac:dyDescent="0.25">
      <c r="A760" s="9" t="s">
        <v>1388</v>
      </c>
      <c r="B760" s="9" t="s">
        <v>1389</v>
      </c>
      <c r="C760" s="9" t="s">
        <v>1390</v>
      </c>
    </row>
    <row r="761" spans="1:3" x14ac:dyDescent="0.25">
      <c r="A761" s="9" t="s">
        <v>1391</v>
      </c>
      <c r="B761" s="9" t="s">
        <v>1389</v>
      </c>
      <c r="C761" s="9" t="s">
        <v>1392</v>
      </c>
    </row>
    <row r="762" spans="1:3" x14ac:dyDescent="0.25">
      <c r="A762" s="9" t="s">
        <v>1393</v>
      </c>
      <c r="B762" s="9" t="s">
        <v>1389</v>
      </c>
      <c r="C762" s="9" t="s">
        <v>1394</v>
      </c>
    </row>
    <row r="763" spans="1:3" x14ac:dyDescent="0.25">
      <c r="A763" s="9" t="s">
        <v>1528</v>
      </c>
      <c r="B763" s="9" t="s">
        <v>1396</v>
      </c>
      <c r="C763" s="9" t="s">
        <v>1445</v>
      </c>
    </row>
    <row r="764" spans="1:3" x14ac:dyDescent="0.25">
      <c r="A764" s="9" t="s">
        <v>1395</v>
      </c>
      <c r="B764" s="9" t="s">
        <v>1396</v>
      </c>
      <c r="C764" s="9" t="s">
        <v>1397</v>
      </c>
    </row>
    <row r="765" spans="1:3" x14ac:dyDescent="0.25">
      <c r="A765" s="9" t="s">
        <v>1395</v>
      </c>
      <c r="B765" s="9" t="s">
        <v>1396</v>
      </c>
      <c r="C765" s="9" t="s">
        <v>1398</v>
      </c>
    </row>
    <row r="766" spans="1:3" x14ac:dyDescent="0.25">
      <c r="A766" s="9" t="s">
        <v>1399</v>
      </c>
      <c r="B766" s="9" t="s">
        <v>1396</v>
      </c>
      <c r="C766" s="9" t="s">
        <v>1400</v>
      </c>
    </row>
    <row r="767" spans="1:3" ht="15" x14ac:dyDescent="0.25">
      <c r="A767" t="s">
        <v>1593</v>
      </c>
      <c r="B767" t="s">
        <v>1396</v>
      </c>
      <c r="C767" s="18" t="s">
        <v>1592</v>
      </c>
    </row>
    <row r="768" spans="1:3" x14ac:dyDescent="0.25">
      <c r="A768" s="9" t="s">
        <v>1403</v>
      </c>
      <c r="B768" s="9" t="s">
        <v>1396</v>
      </c>
      <c r="C768" s="9" t="s">
        <v>1404</v>
      </c>
    </row>
    <row r="769" spans="1:3" x14ac:dyDescent="0.25">
      <c r="A769" s="9" t="s">
        <v>1405</v>
      </c>
      <c r="B769" s="9" t="s">
        <v>1396</v>
      </c>
      <c r="C769" s="9" t="s">
        <v>1406</v>
      </c>
    </row>
    <row r="770" spans="1:3" ht="15" x14ac:dyDescent="0.25">
      <c r="A770" t="s">
        <v>1562</v>
      </c>
      <c r="B770" t="s">
        <v>1396</v>
      </c>
      <c r="C770" s="19" t="s">
        <v>1561</v>
      </c>
    </row>
    <row r="771" spans="1:3" ht="15" x14ac:dyDescent="0.25">
      <c r="A771" t="s">
        <v>1439</v>
      </c>
      <c r="B771" t="s">
        <v>1396</v>
      </c>
      <c r="C771" s="2" t="s">
        <v>1440</v>
      </c>
    </row>
    <row r="772" spans="1:3" x14ac:dyDescent="0.25">
      <c r="A772" s="9" t="s">
        <v>1407</v>
      </c>
      <c r="B772" s="9" t="s">
        <v>1396</v>
      </c>
      <c r="C772" s="9" t="s">
        <v>1408</v>
      </c>
    </row>
    <row r="773" spans="1:3" x14ac:dyDescent="0.25">
      <c r="A773" s="9" t="s">
        <v>1409</v>
      </c>
      <c r="B773" s="9" t="s">
        <v>1396</v>
      </c>
      <c r="C773" s="9" t="s">
        <v>1410</v>
      </c>
    </row>
    <row r="774" spans="1:3" x14ac:dyDescent="0.25">
      <c r="A774" s="9" t="s">
        <v>1411</v>
      </c>
      <c r="B774" s="9" t="s">
        <v>1396</v>
      </c>
      <c r="C774" s="9" t="s">
        <v>1412</v>
      </c>
    </row>
    <row r="775" spans="1:3" x14ac:dyDescent="0.25">
      <c r="A775" s="9" t="s">
        <v>1413</v>
      </c>
      <c r="B775" s="9" t="s">
        <v>1396</v>
      </c>
      <c r="C775" s="9" t="s">
        <v>1414</v>
      </c>
    </row>
    <row r="776" spans="1:3" x14ac:dyDescent="0.25">
      <c r="A776" s="9" t="s">
        <v>1415</v>
      </c>
      <c r="B776" s="9" t="s">
        <v>1396</v>
      </c>
      <c r="C776" s="9" t="s">
        <v>1416</v>
      </c>
    </row>
    <row r="777" spans="1:3" x14ac:dyDescent="0.25">
      <c r="A777" s="9" t="s">
        <v>1417</v>
      </c>
      <c r="B777" s="9" t="s">
        <v>1396</v>
      </c>
      <c r="C777" s="9" t="s">
        <v>1418</v>
      </c>
    </row>
    <row r="778" spans="1:3" x14ac:dyDescent="0.25">
      <c r="A778" s="9" t="s">
        <v>1419</v>
      </c>
      <c r="B778" s="9" t="s">
        <v>1396</v>
      </c>
      <c r="C778" s="9" t="s">
        <v>1420</v>
      </c>
    </row>
    <row r="779" spans="1:3" x14ac:dyDescent="0.25">
      <c r="A779" s="9" t="s">
        <v>1421</v>
      </c>
      <c r="B779" s="9" t="s">
        <v>1396</v>
      </c>
      <c r="C779" s="9" t="s">
        <v>1422</v>
      </c>
    </row>
    <row r="780" spans="1:3" x14ac:dyDescent="0.25">
      <c r="A780" s="9" t="s">
        <v>1423</v>
      </c>
      <c r="B780" s="9" t="s">
        <v>1396</v>
      </c>
      <c r="C780" s="9" t="s">
        <v>1424</v>
      </c>
    </row>
    <row r="781" spans="1:3" x14ac:dyDescent="0.25">
      <c r="A781" s="9" t="s">
        <v>1425</v>
      </c>
      <c r="B781" s="9" t="s">
        <v>1396</v>
      </c>
      <c r="C781" s="9" t="s">
        <v>1426</v>
      </c>
    </row>
    <row r="782" spans="1:3" x14ac:dyDescent="0.25">
      <c r="A782" s="9" t="s">
        <v>1427</v>
      </c>
      <c r="B782" s="9" t="s">
        <v>1396</v>
      </c>
      <c r="C782" s="9" t="s">
        <v>1428</v>
      </c>
    </row>
    <row r="783" spans="1:3" x14ac:dyDescent="0.25">
      <c r="A783" s="9" t="s">
        <v>1429</v>
      </c>
      <c r="B783" s="9" t="s">
        <v>1396</v>
      </c>
      <c r="C783" s="9" t="s">
        <v>1430</v>
      </c>
    </row>
    <row r="784" spans="1:3" x14ac:dyDescent="0.25">
      <c r="A784" s="9" t="s">
        <v>1431</v>
      </c>
      <c r="B784" s="9" t="s">
        <v>1396</v>
      </c>
      <c r="C784" s="9" t="s">
        <v>1432</v>
      </c>
    </row>
    <row r="785" spans="1:3" x14ac:dyDescent="0.25">
      <c r="A785" s="9" t="s">
        <v>1433</v>
      </c>
      <c r="B785" s="9" t="s">
        <v>1396</v>
      </c>
      <c r="C785" s="9" t="s">
        <v>1434</v>
      </c>
    </row>
    <row r="786" spans="1:3" x14ac:dyDescent="0.25">
      <c r="A786" s="9" t="s">
        <v>1435</v>
      </c>
      <c r="B786" s="9" t="s">
        <v>1396</v>
      </c>
      <c r="C786" s="9" t="s">
        <v>1436</v>
      </c>
    </row>
    <row r="787" spans="1:3" x14ac:dyDescent="0.25">
      <c r="A787" s="9" t="s">
        <v>1437</v>
      </c>
      <c r="B787" s="9" t="s">
        <v>1396</v>
      </c>
      <c r="C787" s="9" t="s">
        <v>1438</v>
      </c>
    </row>
    <row r="788" spans="1:3" ht="15" x14ac:dyDescent="0.25">
      <c r="A788" t="s">
        <v>1443</v>
      </c>
      <c r="B788" t="s">
        <v>1396</v>
      </c>
      <c r="C788" s="3" t="s">
        <v>1444</v>
      </c>
    </row>
    <row r="789" spans="1:3" x14ac:dyDescent="0.25">
      <c r="A789" s="9" t="s">
        <v>1441</v>
      </c>
      <c r="B789" s="9" t="s">
        <v>1396</v>
      </c>
      <c r="C789" s="9" t="s">
        <v>1442</v>
      </c>
    </row>
    <row r="790" spans="1:3" ht="15" x14ac:dyDescent="0.25">
      <c r="A790" t="s">
        <v>1565</v>
      </c>
      <c r="B790" t="s">
        <v>1396</v>
      </c>
      <c r="C790" s="20" t="s">
        <v>1564</v>
      </c>
    </row>
    <row r="791" spans="1:3" x14ac:dyDescent="0.25">
      <c r="A791" s="9" t="s">
        <v>1446</v>
      </c>
      <c r="B791" s="9" t="s">
        <v>1447</v>
      </c>
      <c r="C791" s="9" t="s">
        <v>1448</v>
      </c>
    </row>
    <row r="792" spans="1:3" x14ac:dyDescent="0.25">
      <c r="A792" s="9" t="s">
        <v>1451</v>
      </c>
      <c r="B792" s="9" t="s">
        <v>1447</v>
      </c>
      <c r="C792" s="9" t="s">
        <v>1452</v>
      </c>
    </row>
    <row r="793" spans="1:3" x14ac:dyDescent="0.25">
      <c r="A793" s="9" t="s">
        <v>1449</v>
      </c>
      <c r="B793" s="9" t="s">
        <v>1447</v>
      </c>
      <c r="C793" s="9" t="s">
        <v>1450</v>
      </c>
    </row>
    <row r="794" spans="1:3" x14ac:dyDescent="0.25">
      <c r="A794" s="9" t="s">
        <v>1451</v>
      </c>
      <c r="B794" s="9" t="s">
        <v>1447</v>
      </c>
      <c r="C794" s="9" t="s">
        <v>1463</v>
      </c>
    </row>
    <row r="795" spans="1:3" x14ac:dyDescent="0.25">
      <c r="A795" s="9" t="s">
        <v>1453</v>
      </c>
      <c r="B795" s="9" t="s">
        <v>1447</v>
      </c>
      <c r="C795" s="9" t="s">
        <v>1454</v>
      </c>
    </row>
    <row r="796" spans="1:3" x14ac:dyDescent="0.25">
      <c r="A796" s="9" t="s">
        <v>1455</v>
      </c>
      <c r="B796" s="9" t="s">
        <v>1447</v>
      </c>
      <c r="C796" s="9" t="s">
        <v>1456</v>
      </c>
    </row>
    <row r="797" spans="1:3" x14ac:dyDescent="0.25">
      <c r="A797" s="9" t="s">
        <v>1457</v>
      </c>
      <c r="B797" s="9" t="s">
        <v>1447</v>
      </c>
      <c r="C797" s="9" t="s">
        <v>1458</v>
      </c>
    </row>
    <row r="798" spans="1:3" x14ac:dyDescent="0.25">
      <c r="A798" s="9" t="s">
        <v>1459</v>
      </c>
      <c r="B798" s="9" t="s">
        <v>1447</v>
      </c>
      <c r="C798" s="9" t="s">
        <v>1460</v>
      </c>
    </row>
    <row r="799" spans="1:3" x14ac:dyDescent="0.25">
      <c r="A799" s="9" t="s">
        <v>1461</v>
      </c>
      <c r="B799" s="9" t="s">
        <v>1447</v>
      </c>
      <c r="C799" s="9" t="s">
        <v>1462</v>
      </c>
    </row>
    <row r="800" spans="1:3" x14ac:dyDescent="0.25">
      <c r="A800" s="9" t="s">
        <v>1464</v>
      </c>
      <c r="B800" s="9" t="s">
        <v>1447</v>
      </c>
      <c r="C800" s="9" t="s">
        <v>1465</v>
      </c>
    </row>
    <row r="801" spans="1:3" x14ac:dyDescent="0.25">
      <c r="A801" s="9" t="s">
        <v>1466</v>
      </c>
      <c r="B801" s="9" t="s">
        <v>1447</v>
      </c>
      <c r="C801" s="9" t="s">
        <v>1467</v>
      </c>
    </row>
    <row r="802" spans="1:3" x14ac:dyDescent="0.25">
      <c r="A802" s="9" t="s">
        <v>1468</v>
      </c>
      <c r="B802" s="9" t="s">
        <v>1469</v>
      </c>
      <c r="C802" s="9" t="s">
        <v>1470</v>
      </c>
    </row>
    <row r="803" spans="1:3" x14ac:dyDescent="0.25">
      <c r="A803" s="9" t="s">
        <v>1471</v>
      </c>
      <c r="B803" s="9" t="s">
        <v>1469</v>
      </c>
      <c r="C803" s="9" t="s">
        <v>1472</v>
      </c>
    </row>
    <row r="804" spans="1:3" x14ac:dyDescent="0.25">
      <c r="A804" s="9" t="s">
        <v>1473</v>
      </c>
      <c r="B804" s="9" t="s">
        <v>1469</v>
      </c>
      <c r="C804" s="9" t="s">
        <v>1474</v>
      </c>
    </row>
    <row r="805" spans="1:3" x14ac:dyDescent="0.25">
      <c r="A805" s="9" t="s">
        <v>1475</v>
      </c>
      <c r="B805" s="9" t="s">
        <v>1469</v>
      </c>
      <c r="C805" s="9" t="s">
        <v>1476</v>
      </c>
    </row>
    <row r="806" spans="1:3" x14ac:dyDescent="0.25">
      <c r="A806" s="9" t="s">
        <v>1477</v>
      </c>
      <c r="B806" s="9" t="s">
        <v>1469</v>
      </c>
      <c r="C806" s="9" t="s">
        <v>1478</v>
      </c>
    </row>
    <row r="807" spans="1:3" x14ac:dyDescent="0.25">
      <c r="A807" s="9" t="s">
        <v>1479</v>
      </c>
      <c r="B807" s="9" t="s">
        <v>1469</v>
      </c>
      <c r="C807" s="9" t="s">
        <v>1480</v>
      </c>
    </row>
    <row r="808" spans="1:3" x14ac:dyDescent="0.25">
      <c r="A808" s="9" t="s">
        <v>1481</v>
      </c>
      <c r="B808" s="9" t="s">
        <v>1469</v>
      </c>
      <c r="C808" s="9" t="s">
        <v>1482</v>
      </c>
    </row>
    <row r="809" spans="1:3" x14ac:dyDescent="0.25">
      <c r="A809" s="9" t="s">
        <v>1483</v>
      </c>
      <c r="B809" s="9" t="s">
        <v>1469</v>
      </c>
      <c r="C809" s="9" t="s">
        <v>1484</v>
      </c>
    </row>
    <row r="810" spans="1:3" x14ac:dyDescent="0.25">
      <c r="A810" s="9" t="s">
        <v>1485</v>
      </c>
      <c r="B810" s="9" t="s">
        <v>1486</v>
      </c>
      <c r="C810" s="9" t="s">
        <v>1487</v>
      </c>
    </row>
    <row r="811" spans="1:3" x14ac:dyDescent="0.25">
      <c r="A811" s="9" t="s">
        <v>1488</v>
      </c>
      <c r="B811" s="9" t="s">
        <v>1486</v>
      </c>
      <c r="C811" s="9" t="s">
        <v>1489</v>
      </c>
    </row>
    <row r="812" spans="1:3" x14ac:dyDescent="0.25">
      <c r="A812" s="9" t="s">
        <v>1490</v>
      </c>
      <c r="B812" s="9" t="s">
        <v>1486</v>
      </c>
      <c r="C812" s="9" t="s">
        <v>1491</v>
      </c>
    </row>
    <row r="813" spans="1:3" x14ac:dyDescent="0.25">
      <c r="A813" s="9" t="s">
        <v>1492</v>
      </c>
      <c r="B813" s="9" t="s">
        <v>1486</v>
      </c>
      <c r="C813" s="9" t="s">
        <v>1493</v>
      </c>
    </row>
    <row r="814" spans="1:3" x14ac:dyDescent="0.25">
      <c r="A814" s="9" t="s">
        <v>1494</v>
      </c>
      <c r="B814" s="9" t="s">
        <v>1486</v>
      </c>
      <c r="C814" s="9" t="s">
        <v>1495</v>
      </c>
    </row>
    <row r="815" spans="1:3" x14ac:dyDescent="0.25">
      <c r="A815" s="9" t="s">
        <v>1496</v>
      </c>
      <c r="B815" s="9" t="s">
        <v>1497</v>
      </c>
      <c r="C815" s="9" t="s">
        <v>1498</v>
      </c>
    </row>
    <row r="816" spans="1:3" x14ac:dyDescent="0.25">
      <c r="A816" s="9" t="s">
        <v>1499</v>
      </c>
      <c r="B816" s="9" t="s">
        <v>1497</v>
      </c>
      <c r="C816" s="9" t="s">
        <v>1500</v>
      </c>
    </row>
    <row r="817" spans="1:3" x14ac:dyDescent="0.25">
      <c r="A817" s="9" t="s">
        <v>1501</v>
      </c>
      <c r="B817" s="9" t="s">
        <v>1497</v>
      </c>
      <c r="C817" s="9" t="s">
        <v>1502</v>
      </c>
    </row>
    <row r="818" spans="1:3" x14ac:dyDescent="0.25">
      <c r="A818" s="9" t="s">
        <v>1503</v>
      </c>
      <c r="B818" s="9" t="s">
        <v>1497</v>
      </c>
      <c r="C818" s="9" t="s">
        <v>1504</v>
      </c>
    </row>
    <row r="819" spans="1:3" x14ac:dyDescent="0.25">
      <c r="A819" s="9" t="s">
        <v>1505</v>
      </c>
      <c r="B819" s="9" t="s">
        <v>1497</v>
      </c>
      <c r="C819" s="9" t="s">
        <v>1506</v>
      </c>
    </row>
    <row r="820" spans="1:3" x14ac:dyDescent="0.25">
      <c r="A820" s="9" t="s">
        <v>1507</v>
      </c>
      <c r="B820" s="9" t="s">
        <v>1497</v>
      </c>
      <c r="C820" s="9" t="s">
        <v>1508</v>
      </c>
    </row>
    <row r="821" spans="1:3" x14ac:dyDescent="0.25">
      <c r="A821" s="9" t="s">
        <v>1509</v>
      </c>
      <c r="B821" s="9" t="s">
        <v>1497</v>
      </c>
      <c r="C821" s="9" t="s">
        <v>1510</v>
      </c>
    </row>
  </sheetData>
  <autoFilter ref="A1:C821" xr:uid="{00000000-0009-0000-0000-000004000000}"/>
  <conditionalFormatting sqref="A5">
    <cfRule type="duplicateValues" dxfId="257" priority="115"/>
  </conditionalFormatting>
  <conditionalFormatting sqref="A6">
    <cfRule type="duplicateValues" dxfId="256" priority="145"/>
  </conditionalFormatting>
  <conditionalFormatting sqref="A7">
    <cfRule type="duplicateValues" dxfId="255" priority="139"/>
  </conditionalFormatting>
  <conditionalFormatting sqref="A8:A12 A16">
    <cfRule type="duplicateValues" dxfId="254" priority="65"/>
  </conditionalFormatting>
  <conditionalFormatting sqref="A13:A15">
    <cfRule type="duplicateValues" dxfId="253" priority="60"/>
  </conditionalFormatting>
  <conditionalFormatting sqref="A17:A18">
    <cfRule type="duplicateValues" dxfId="252" priority="62"/>
  </conditionalFormatting>
  <conditionalFormatting sqref="A19">
    <cfRule type="duplicateValues" dxfId="251" priority="58"/>
  </conditionalFormatting>
  <conditionalFormatting sqref="A20:A21 A28">
    <cfRule type="duplicateValues" dxfId="250" priority="14"/>
  </conditionalFormatting>
  <conditionalFormatting sqref="A22:A24">
    <cfRule type="duplicateValues" dxfId="249" priority="9"/>
  </conditionalFormatting>
  <conditionalFormatting sqref="A25:A27">
    <cfRule type="duplicateValues" dxfId="248" priority="6"/>
  </conditionalFormatting>
  <conditionalFormatting sqref="A29:A33">
    <cfRule type="duplicateValues" dxfId="247" priority="12"/>
  </conditionalFormatting>
  <conditionalFormatting sqref="A34:A35">
    <cfRule type="duplicateValues" dxfId="246" priority="55"/>
  </conditionalFormatting>
  <conditionalFormatting sqref="A36">
    <cfRule type="duplicateValues" dxfId="245" priority="51"/>
  </conditionalFormatting>
  <conditionalFormatting sqref="A37">
    <cfRule type="duplicateValues" dxfId="244" priority="47"/>
  </conditionalFormatting>
  <conditionalFormatting sqref="A38">
    <cfRule type="duplicateValues" dxfId="243" priority="43"/>
  </conditionalFormatting>
  <conditionalFormatting sqref="A39">
    <cfRule type="duplicateValues" dxfId="242" priority="39"/>
  </conditionalFormatting>
  <conditionalFormatting sqref="A40">
    <cfRule type="duplicateValues" dxfId="241" priority="35"/>
  </conditionalFormatting>
  <conditionalFormatting sqref="A41">
    <cfRule type="duplicateValues" dxfId="240" priority="31"/>
  </conditionalFormatting>
  <conditionalFormatting sqref="A42">
    <cfRule type="duplicateValues" dxfId="239" priority="27"/>
  </conditionalFormatting>
  <conditionalFormatting sqref="A43">
    <cfRule type="duplicateValues" dxfId="238" priority="24"/>
  </conditionalFormatting>
  <conditionalFormatting sqref="A44">
    <cfRule type="duplicateValues" dxfId="237" priority="22"/>
  </conditionalFormatting>
  <conditionalFormatting sqref="A45">
    <cfRule type="duplicateValues" dxfId="236" priority="20"/>
  </conditionalFormatting>
  <conditionalFormatting sqref="A46">
    <cfRule type="duplicateValues" dxfId="235" priority="18"/>
  </conditionalFormatting>
  <conditionalFormatting sqref="A47:A50">
    <cfRule type="duplicateValues" dxfId="234" priority="2"/>
  </conditionalFormatting>
  <conditionalFormatting sqref="A51:A52">
    <cfRule type="duplicateValues" dxfId="233" priority="4"/>
  </conditionalFormatting>
  <conditionalFormatting sqref="A53">
    <cfRule type="duplicateValues" dxfId="232" priority="16"/>
  </conditionalFormatting>
  <conditionalFormatting sqref="A54">
    <cfRule type="duplicateValues" dxfId="231" priority="137"/>
  </conditionalFormatting>
  <conditionalFormatting sqref="A55">
    <cfRule type="duplicateValues" dxfId="230" priority="126"/>
  </conditionalFormatting>
  <conditionalFormatting sqref="A92 A97">
    <cfRule type="duplicateValues" dxfId="229" priority="93"/>
  </conditionalFormatting>
  <conditionalFormatting sqref="A93">
    <cfRule type="duplicateValues" dxfId="228" priority="68"/>
  </conditionalFormatting>
  <conditionalFormatting sqref="A94:A95">
    <cfRule type="duplicateValues" dxfId="227" priority="90"/>
  </conditionalFormatting>
  <conditionalFormatting sqref="A96">
    <cfRule type="duplicateValues" dxfId="226" priority="83"/>
  </conditionalFormatting>
  <conditionalFormatting sqref="A98 A106:A111">
    <cfRule type="duplicateValues" dxfId="225" priority="214"/>
  </conditionalFormatting>
  <conditionalFormatting sqref="A99:A100 A103:A105">
    <cfRule type="duplicateValues" dxfId="224" priority="201"/>
  </conditionalFormatting>
  <conditionalFormatting sqref="A101:A102">
    <cfRule type="duplicateValues" dxfId="223" priority="199"/>
  </conditionalFormatting>
  <conditionalFormatting sqref="A116:A117">
    <cfRule type="duplicateValues" dxfId="222" priority="261"/>
  </conditionalFormatting>
  <conditionalFormatting sqref="A122">
    <cfRule type="duplicateValues" dxfId="221" priority="191"/>
  </conditionalFormatting>
  <conditionalFormatting sqref="A123">
    <cfRule type="duplicateValues" dxfId="220" priority="100"/>
  </conditionalFormatting>
  <conditionalFormatting sqref="A124">
    <cfRule type="duplicateValues" dxfId="219" priority="197"/>
  </conditionalFormatting>
  <conditionalFormatting sqref="A167 A169">
    <cfRule type="duplicateValues" dxfId="218" priority="135"/>
  </conditionalFormatting>
  <conditionalFormatting sqref="A168">
    <cfRule type="duplicateValues" dxfId="217" priority="131"/>
  </conditionalFormatting>
  <conditionalFormatting sqref="A170">
    <cfRule type="duplicateValues" dxfId="216" priority="132"/>
  </conditionalFormatting>
  <conditionalFormatting sqref="A171">
    <cfRule type="duplicateValues" dxfId="215" priority="71"/>
  </conditionalFormatting>
  <conditionalFormatting sqref="A178:A179">
    <cfRule type="duplicateValues" dxfId="214" priority="70"/>
  </conditionalFormatting>
  <conditionalFormatting sqref="A351">
    <cfRule type="duplicateValues" dxfId="213" priority="177"/>
  </conditionalFormatting>
  <conditionalFormatting sqref="A527">
    <cfRule type="duplicateValues" dxfId="212" priority="185"/>
  </conditionalFormatting>
  <conditionalFormatting sqref="A541">
    <cfRule type="duplicateValues" dxfId="211" priority="110"/>
  </conditionalFormatting>
  <conditionalFormatting sqref="A709:A712">
    <cfRule type="duplicateValues" dxfId="210" priority="81"/>
  </conditionalFormatting>
  <conditionalFormatting sqref="A767">
    <cfRule type="duplicateValues" dxfId="209" priority="75"/>
  </conditionalFormatting>
  <conditionalFormatting sqref="A770">
    <cfRule type="duplicateValues" dxfId="208" priority="104"/>
  </conditionalFormatting>
  <conditionalFormatting sqref="A771">
    <cfRule type="duplicateValues" dxfId="207" priority="179"/>
  </conditionalFormatting>
  <conditionalFormatting sqref="A788">
    <cfRule type="duplicateValues" dxfId="206" priority="167"/>
  </conditionalFormatting>
  <conditionalFormatting sqref="A790">
    <cfRule type="duplicateValues" dxfId="205" priority="95"/>
  </conditionalFormatting>
  <conditionalFormatting sqref="A118:C118">
    <cfRule type="duplicateValues" dxfId="204" priority="154"/>
  </conditionalFormatting>
  <conditionalFormatting sqref="B5">
    <cfRule type="duplicateValues" dxfId="203" priority="116"/>
  </conditionalFormatting>
  <conditionalFormatting sqref="B7">
    <cfRule type="duplicateValues" dxfId="202" priority="138"/>
  </conditionalFormatting>
  <conditionalFormatting sqref="B8:B9 B11">
    <cfRule type="duplicateValues" dxfId="201" priority="66"/>
  </conditionalFormatting>
  <conditionalFormatting sqref="B22:B24">
    <cfRule type="duplicateValues" dxfId="200" priority="10"/>
  </conditionalFormatting>
  <conditionalFormatting sqref="B25:B27">
    <cfRule type="duplicateValues" dxfId="199" priority="7"/>
  </conditionalFormatting>
  <conditionalFormatting sqref="B94:B95">
    <cfRule type="duplicateValues" dxfId="198" priority="88"/>
  </conditionalFormatting>
  <conditionalFormatting sqref="B97">
    <cfRule type="duplicateValues" dxfId="197" priority="91"/>
  </conditionalFormatting>
  <conditionalFormatting sqref="B98 B106:B111">
    <cfRule type="duplicateValues" dxfId="196" priority="213"/>
  </conditionalFormatting>
  <conditionalFormatting sqref="B123">
    <cfRule type="duplicateValues" dxfId="195" priority="101"/>
  </conditionalFormatting>
  <conditionalFormatting sqref="B169:B170">
    <cfRule type="duplicateValues" dxfId="194" priority="133"/>
  </conditionalFormatting>
  <conditionalFormatting sqref="B171">
    <cfRule type="duplicateValues" dxfId="193" priority="72"/>
  </conditionalFormatting>
  <conditionalFormatting sqref="C3:C4">
    <cfRule type="duplicateValues" dxfId="192" priority="235"/>
  </conditionalFormatting>
  <conditionalFormatting sqref="C5">
    <cfRule type="duplicateValues" dxfId="191" priority="117"/>
  </conditionalFormatting>
  <conditionalFormatting sqref="C6">
    <cfRule type="duplicateValues" dxfId="190" priority="150"/>
    <cfRule type="duplicateValues" dxfId="189" priority="149"/>
    <cfRule type="duplicateValues" dxfId="188" priority="148"/>
    <cfRule type="duplicateValues" dxfId="187" priority="147"/>
    <cfRule type="duplicateValues" dxfId="186" priority="146"/>
  </conditionalFormatting>
  <conditionalFormatting sqref="C7">
    <cfRule type="duplicateValues" dxfId="185" priority="141"/>
    <cfRule type="duplicateValues" dxfId="184" priority="144"/>
    <cfRule type="duplicateValues" dxfId="183" priority="143"/>
    <cfRule type="duplicateValues" dxfId="182" priority="142"/>
    <cfRule type="duplicateValues" dxfId="181" priority="140"/>
  </conditionalFormatting>
  <conditionalFormatting sqref="C8:C12 C16">
    <cfRule type="duplicateValues" dxfId="180" priority="64"/>
  </conditionalFormatting>
  <conditionalFormatting sqref="C13:C15">
    <cfRule type="duplicateValues" dxfId="179" priority="59"/>
  </conditionalFormatting>
  <conditionalFormatting sqref="C17:C18">
    <cfRule type="duplicateValues" dxfId="178" priority="61"/>
  </conditionalFormatting>
  <conditionalFormatting sqref="C19">
    <cfRule type="duplicateValues" dxfId="177" priority="57"/>
  </conditionalFormatting>
  <conditionalFormatting sqref="C20:C21 C28">
    <cfRule type="duplicateValues" dxfId="176" priority="13"/>
  </conditionalFormatting>
  <conditionalFormatting sqref="C22:C24">
    <cfRule type="duplicateValues" dxfId="175" priority="8"/>
  </conditionalFormatting>
  <conditionalFormatting sqref="C25:C27">
    <cfRule type="duplicateValues" dxfId="174" priority="5"/>
  </conditionalFormatting>
  <conditionalFormatting sqref="C29:C33">
    <cfRule type="duplicateValues" dxfId="173" priority="11"/>
  </conditionalFormatting>
  <conditionalFormatting sqref="C34:C35">
    <cfRule type="duplicateValues" dxfId="172" priority="54"/>
    <cfRule type="duplicateValues" dxfId="171" priority="56"/>
    <cfRule type="duplicateValues" dxfId="170" priority="53"/>
  </conditionalFormatting>
  <conditionalFormatting sqref="C36">
    <cfRule type="duplicateValues" dxfId="169" priority="52"/>
    <cfRule type="duplicateValues" dxfId="168" priority="49"/>
    <cfRule type="duplicateValues" dxfId="167" priority="50"/>
  </conditionalFormatting>
  <conditionalFormatting sqref="C37">
    <cfRule type="duplicateValues" dxfId="166" priority="45"/>
    <cfRule type="duplicateValues" dxfId="165" priority="46"/>
    <cfRule type="duplicateValues" dxfId="164" priority="48"/>
  </conditionalFormatting>
  <conditionalFormatting sqref="C38">
    <cfRule type="duplicateValues" dxfId="163" priority="41"/>
    <cfRule type="duplicateValues" dxfId="162" priority="42"/>
    <cfRule type="duplicateValues" dxfId="161" priority="44"/>
  </conditionalFormatting>
  <conditionalFormatting sqref="C39">
    <cfRule type="duplicateValues" dxfId="160" priority="38"/>
    <cfRule type="duplicateValues" dxfId="159" priority="40"/>
    <cfRule type="duplicateValues" dxfId="158" priority="37"/>
  </conditionalFormatting>
  <conditionalFormatting sqref="C40">
    <cfRule type="duplicateValues" dxfId="157" priority="34"/>
    <cfRule type="duplicateValues" dxfId="156" priority="36"/>
    <cfRule type="duplicateValues" dxfId="155" priority="33"/>
  </conditionalFormatting>
  <conditionalFormatting sqref="C41">
    <cfRule type="duplicateValues" dxfId="154" priority="32"/>
    <cfRule type="duplicateValues" dxfId="153" priority="29"/>
    <cfRule type="duplicateValues" dxfId="152" priority="30"/>
  </conditionalFormatting>
  <conditionalFormatting sqref="C42">
    <cfRule type="duplicateValues" dxfId="151" priority="25"/>
    <cfRule type="duplicateValues" dxfId="150" priority="26"/>
    <cfRule type="duplicateValues" dxfId="149" priority="28"/>
  </conditionalFormatting>
  <conditionalFormatting sqref="C43">
    <cfRule type="duplicateValues" dxfId="148" priority="23"/>
  </conditionalFormatting>
  <conditionalFormatting sqref="C44">
    <cfRule type="duplicateValues" dxfId="147" priority="21"/>
  </conditionalFormatting>
  <conditionalFormatting sqref="C45">
    <cfRule type="duplicateValues" dxfId="146" priority="19"/>
  </conditionalFormatting>
  <conditionalFormatting sqref="C46">
    <cfRule type="duplicateValues" dxfId="145" priority="17"/>
  </conditionalFormatting>
  <conditionalFormatting sqref="C47:C50">
    <cfRule type="duplicateValues" dxfId="144" priority="1"/>
  </conditionalFormatting>
  <conditionalFormatting sqref="C51:C52">
    <cfRule type="duplicateValues" dxfId="143" priority="3"/>
  </conditionalFormatting>
  <conditionalFormatting sqref="C53">
    <cfRule type="duplicateValues" dxfId="142" priority="15"/>
  </conditionalFormatting>
  <conditionalFormatting sqref="C54">
    <cfRule type="duplicateValues" dxfId="141" priority="136"/>
  </conditionalFormatting>
  <conditionalFormatting sqref="C55">
    <cfRule type="duplicateValues" dxfId="140" priority="121"/>
    <cfRule type="duplicateValues" dxfId="139" priority="122"/>
    <cfRule type="duplicateValues" dxfId="138" priority="123"/>
    <cfRule type="duplicateValues" dxfId="137" priority="124"/>
    <cfRule type="duplicateValues" dxfId="136" priority="125"/>
  </conditionalFormatting>
  <conditionalFormatting sqref="C59">
    <cfRule type="duplicateValues" dxfId="135" priority="237"/>
  </conditionalFormatting>
  <conditionalFormatting sqref="C84:C85">
    <cfRule type="duplicateValues" dxfId="134" priority="250"/>
  </conditionalFormatting>
  <conditionalFormatting sqref="C86">
    <cfRule type="duplicateValues" dxfId="133" priority="249"/>
  </conditionalFormatting>
  <conditionalFormatting sqref="C92 C97">
    <cfRule type="duplicateValues" dxfId="132" priority="92"/>
  </conditionalFormatting>
  <conditionalFormatting sqref="C93">
    <cfRule type="duplicateValues" dxfId="131" priority="67"/>
  </conditionalFormatting>
  <conditionalFormatting sqref="C94:C95">
    <cfRule type="duplicateValues" dxfId="130" priority="89"/>
  </conditionalFormatting>
  <conditionalFormatting sqref="C96">
    <cfRule type="duplicateValues" dxfId="129" priority="82"/>
    <cfRule type="duplicateValues" dxfId="128" priority="84"/>
    <cfRule type="duplicateValues" dxfId="127" priority="85"/>
    <cfRule type="duplicateValues" dxfId="126" priority="86"/>
    <cfRule type="duplicateValues" dxfId="125" priority="87"/>
  </conditionalFormatting>
  <conditionalFormatting sqref="C98 C108 C106">
    <cfRule type="duplicateValues" dxfId="124" priority="212"/>
  </conditionalFormatting>
  <conditionalFormatting sqref="C99:C100 C103:C104">
    <cfRule type="duplicateValues" dxfId="123" priority="202"/>
  </conditionalFormatting>
  <conditionalFormatting sqref="C101:C102">
    <cfRule type="duplicateValues" dxfId="122" priority="200"/>
  </conditionalFormatting>
  <conditionalFormatting sqref="C105">
    <cfRule type="duplicateValues" dxfId="121" priority="198"/>
  </conditionalFormatting>
  <conditionalFormatting sqref="C107">
    <cfRule type="duplicateValues" dxfId="120" priority="211"/>
  </conditionalFormatting>
  <conditionalFormatting sqref="C109:C110">
    <cfRule type="duplicateValues" dxfId="119" priority="204"/>
  </conditionalFormatting>
  <conditionalFormatting sqref="C111">
    <cfRule type="duplicateValues" dxfId="118" priority="203"/>
  </conditionalFormatting>
  <conditionalFormatting sqref="C113">
    <cfRule type="duplicateValues" dxfId="117" priority="231"/>
  </conditionalFormatting>
  <conditionalFormatting sqref="C114">
    <cfRule type="duplicateValues" dxfId="116" priority="228"/>
  </conditionalFormatting>
  <conditionalFormatting sqref="C115">
    <cfRule type="duplicateValues" dxfId="115" priority="224"/>
  </conditionalFormatting>
  <conditionalFormatting sqref="C116:C117">
    <cfRule type="duplicateValues" dxfId="114" priority="260"/>
  </conditionalFormatting>
  <conditionalFormatting sqref="C119 A119">
    <cfRule type="duplicateValues" dxfId="113" priority="153"/>
  </conditionalFormatting>
  <conditionalFormatting sqref="C120:C121 A120:A121">
    <cfRule type="duplicateValues" dxfId="112" priority="129"/>
  </conditionalFormatting>
  <conditionalFormatting sqref="C122">
    <cfRule type="duplicateValues" dxfId="111" priority="190"/>
    <cfRule type="duplicateValues" dxfId="110" priority="192"/>
    <cfRule type="duplicateValues" dxfId="109" priority="193"/>
    <cfRule type="duplicateValues" dxfId="108" priority="194"/>
    <cfRule type="duplicateValues" dxfId="107" priority="195"/>
  </conditionalFormatting>
  <conditionalFormatting sqref="C123">
    <cfRule type="duplicateValues" dxfId="106" priority="102"/>
  </conditionalFormatting>
  <conditionalFormatting sqref="C124">
    <cfRule type="duplicateValues" dxfId="105" priority="196"/>
  </conditionalFormatting>
  <conditionalFormatting sqref="C129">
    <cfRule type="duplicateValues" dxfId="104" priority="248"/>
  </conditionalFormatting>
  <conditionalFormatting sqref="C138">
    <cfRule type="duplicateValues" dxfId="103" priority="255"/>
  </conditionalFormatting>
  <conditionalFormatting sqref="C156">
    <cfRule type="duplicateValues" dxfId="102" priority="247"/>
  </conditionalFormatting>
  <conditionalFormatting sqref="C167 C169:C170">
    <cfRule type="duplicateValues" dxfId="101" priority="134"/>
  </conditionalFormatting>
  <conditionalFormatting sqref="C168">
    <cfRule type="duplicateValues" dxfId="100" priority="130"/>
  </conditionalFormatting>
  <conditionalFormatting sqref="C171">
    <cfRule type="duplicateValues" dxfId="99" priority="73"/>
  </conditionalFormatting>
  <conditionalFormatting sqref="C178:C179">
    <cfRule type="duplicateValues" dxfId="98" priority="69"/>
  </conditionalFormatting>
  <conditionalFormatting sqref="C185">
    <cfRule type="duplicateValues" dxfId="97" priority="210"/>
  </conditionalFormatting>
  <conditionalFormatting sqref="C229">
    <cfRule type="duplicateValues" dxfId="96" priority="242"/>
  </conditionalFormatting>
  <conditionalFormatting sqref="C230">
    <cfRule type="duplicateValues" dxfId="95" priority="223"/>
  </conditionalFormatting>
  <conditionalFormatting sqref="C232">
    <cfRule type="duplicateValues" dxfId="94" priority="254"/>
  </conditionalFormatting>
  <conditionalFormatting sqref="C237">
    <cfRule type="duplicateValues" dxfId="93" priority="241"/>
  </conditionalFormatting>
  <conditionalFormatting sqref="C238">
    <cfRule type="duplicateValues" dxfId="92" priority="253"/>
  </conditionalFormatting>
  <conditionalFormatting sqref="C298">
    <cfRule type="duplicateValues" dxfId="91" priority="220"/>
  </conditionalFormatting>
  <conditionalFormatting sqref="C317">
    <cfRule type="duplicateValues" dxfId="90" priority="127"/>
  </conditionalFormatting>
  <conditionalFormatting sqref="C323">
    <cfRule type="duplicateValues" dxfId="89" priority="243"/>
  </conditionalFormatting>
  <conditionalFormatting sqref="C324">
    <cfRule type="duplicateValues" dxfId="88" priority="221"/>
  </conditionalFormatting>
  <conditionalFormatting sqref="C325">
    <cfRule type="duplicateValues" dxfId="87" priority="128"/>
  </conditionalFormatting>
  <conditionalFormatting sqref="C341">
    <cfRule type="duplicateValues" dxfId="86" priority="227"/>
  </conditionalFormatting>
  <conditionalFormatting sqref="C342">
    <cfRule type="duplicateValues" dxfId="85" priority="164"/>
    <cfRule type="duplicateValues" dxfId="84" priority="160"/>
    <cfRule type="duplicateValues" dxfId="83" priority="165"/>
    <cfRule type="duplicateValues" dxfId="82" priority="161"/>
    <cfRule type="duplicateValues" dxfId="81" priority="162"/>
    <cfRule type="duplicateValues" dxfId="80" priority="163"/>
  </conditionalFormatting>
  <conditionalFormatting sqref="C346">
    <cfRule type="duplicateValues" dxfId="79" priority="232"/>
  </conditionalFormatting>
  <conditionalFormatting sqref="C347">
    <cfRule type="duplicateValues" dxfId="78" priority="244"/>
  </conditionalFormatting>
  <conditionalFormatting sqref="C350">
    <cfRule type="duplicateValues" dxfId="77" priority="209"/>
    <cfRule type="duplicateValues" dxfId="76" priority="205"/>
    <cfRule type="duplicateValues" dxfId="75" priority="206"/>
    <cfRule type="duplicateValues" dxfId="74" priority="207"/>
    <cfRule type="duplicateValues" dxfId="73" priority="208"/>
  </conditionalFormatting>
  <conditionalFormatting sqref="C351">
    <cfRule type="duplicateValues" dxfId="72" priority="174"/>
    <cfRule type="duplicateValues" dxfId="71" priority="175"/>
    <cfRule type="duplicateValues" dxfId="70" priority="176"/>
    <cfRule type="duplicateValues" dxfId="69" priority="172"/>
    <cfRule type="duplicateValues" dxfId="68" priority="173"/>
  </conditionalFormatting>
  <conditionalFormatting sqref="C404">
    <cfRule type="duplicateValues" dxfId="67" priority="226"/>
  </conditionalFormatting>
  <conditionalFormatting sqref="C485">
    <cfRule type="duplicateValues" dxfId="66" priority="222"/>
  </conditionalFormatting>
  <conditionalFormatting sqref="C527">
    <cfRule type="duplicateValues" dxfId="65" priority="187"/>
    <cfRule type="duplicateValues" dxfId="64" priority="188"/>
    <cfRule type="duplicateValues" dxfId="63" priority="189"/>
    <cfRule type="duplicateValues" dxfId="62" priority="184"/>
    <cfRule type="duplicateValues" dxfId="61" priority="186"/>
  </conditionalFormatting>
  <conditionalFormatting sqref="C541">
    <cfRule type="duplicateValues" dxfId="60" priority="111"/>
    <cfRule type="duplicateValues" dxfId="59" priority="114"/>
    <cfRule type="duplicateValues" dxfId="58" priority="113"/>
    <cfRule type="duplicateValues" dxfId="57" priority="109"/>
    <cfRule type="duplicateValues" dxfId="56" priority="112"/>
  </conditionalFormatting>
  <conditionalFormatting sqref="C592">
    <cfRule type="duplicateValues" dxfId="55" priority="256"/>
  </conditionalFormatting>
  <conditionalFormatting sqref="C696">
    <cfRule type="duplicateValues" dxfId="54" priority="252"/>
  </conditionalFormatting>
  <conditionalFormatting sqref="C697">
    <cfRule type="duplicateValues" dxfId="53" priority="225"/>
  </conditionalFormatting>
  <conditionalFormatting sqref="C705">
    <cfRule type="duplicateValues" dxfId="52" priority="219"/>
    <cfRule type="duplicateValues" dxfId="51" priority="215"/>
    <cfRule type="duplicateValues" dxfId="50" priority="216"/>
    <cfRule type="duplicateValues" dxfId="49" priority="217"/>
    <cfRule type="duplicateValues" dxfId="48" priority="218"/>
  </conditionalFormatting>
  <conditionalFormatting sqref="C709:C712">
    <cfRule type="duplicateValues" dxfId="47" priority="80"/>
  </conditionalFormatting>
  <conditionalFormatting sqref="C755">
    <cfRule type="duplicateValues" dxfId="46" priority="251"/>
  </conditionalFormatting>
  <conditionalFormatting sqref="C763">
    <cfRule type="duplicateValues" dxfId="45" priority="159"/>
    <cfRule type="duplicateValues" dxfId="44" priority="158"/>
    <cfRule type="duplicateValues" dxfId="43" priority="155"/>
    <cfRule type="duplicateValues" dxfId="42" priority="156"/>
    <cfRule type="duplicateValues" dxfId="41" priority="157"/>
  </conditionalFormatting>
  <conditionalFormatting sqref="C765">
    <cfRule type="duplicateValues" dxfId="40" priority="257"/>
  </conditionalFormatting>
  <conditionalFormatting sqref="C767">
    <cfRule type="duplicateValues" dxfId="39" priority="78"/>
    <cfRule type="duplicateValues" dxfId="38" priority="74"/>
    <cfRule type="duplicateValues" dxfId="37" priority="77"/>
    <cfRule type="duplicateValues" dxfId="36" priority="79"/>
    <cfRule type="duplicateValues" dxfId="35" priority="76"/>
  </conditionalFormatting>
  <conditionalFormatting sqref="C770">
    <cfRule type="duplicateValues" dxfId="34" priority="107"/>
    <cfRule type="duplicateValues" dxfId="33" priority="103"/>
    <cfRule type="duplicateValues" dxfId="32" priority="108"/>
    <cfRule type="duplicateValues" dxfId="31" priority="105"/>
    <cfRule type="duplicateValues" dxfId="30" priority="106"/>
  </conditionalFormatting>
  <conditionalFormatting sqref="C771">
    <cfRule type="duplicateValues" dxfId="29" priority="182"/>
    <cfRule type="duplicateValues" dxfId="28" priority="183"/>
    <cfRule type="duplicateValues" dxfId="27" priority="181"/>
    <cfRule type="duplicateValues" dxfId="26" priority="180"/>
    <cfRule type="duplicateValues" dxfId="25" priority="178"/>
  </conditionalFormatting>
  <conditionalFormatting sqref="C775">
    <cfRule type="duplicateValues" dxfId="24" priority="239"/>
  </conditionalFormatting>
  <conditionalFormatting sqref="C776">
    <cfRule type="duplicateValues" dxfId="23" priority="234"/>
  </conditionalFormatting>
  <conditionalFormatting sqref="C777">
    <cfRule type="duplicateValues" dxfId="22" priority="233"/>
  </conditionalFormatting>
  <conditionalFormatting sqref="C780">
    <cfRule type="duplicateValues" dxfId="21" priority="238"/>
  </conditionalFormatting>
  <conditionalFormatting sqref="C788">
    <cfRule type="duplicateValues" dxfId="20" priority="168"/>
    <cfRule type="duplicateValues" dxfId="19" priority="169"/>
    <cfRule type="duplicateValues" dxfId="18" priority="171"/>
    <cfRule type="duplicateValues" dxfId="17" priority="166"/>
    <cfRule type="duplicateValues" dxfId="16" priority="170"/>
  </conditionalFormatting>
  <conditionalFormatting sqref="C790">
    <cfRule type="duplicateValues" dxfId="15" priority="99"/>
    <cfRule type="duplicateValues" dxfId="14" priority="96"/>
    <cfRule type="duplicateValues" dxfId="13" priority="94"/>
    <cfRule type="duplicateValues" dxfId="12" priority="98"/>
    <cfRule type="duplicateValues" dxfId="11" priority="97"/>
  </conditionalFormatting>
  <conditionalFormatting sqref="C791">
    <cfRule type="duplicateValues" dxfId="10" priority="230"/>
  </conditionalFormatting>
  <conditionalFormatting sqref="C795">
    <cfRule type="duplicateValues" dxfId="9" priority="259"/>
  </conditionalFormatting>
  <conditionalFormatting sqref="C799">
    <cfRule type="duplicateValues" dxfId="8" priority="246"/>
  </conditionalFormatting>
  <conditionalFormatting sqref="C806">
    <cfRule type="duplicateValues" dxfId="7" priority="236"/>
  </conditionalFormatting>
  <conditionalFormatting sqref="C816:C817">
    <cfRule type="duplicateValues" dxfId="6" priority="245"/>
  </conditionalFormatting>
  <conditionalFormatting sqref="C818:C819">
    <cfRule type="duplicateValues" dxfId="5" priority="240"/>
  </conditionalFormatting>
  <conditionalFormatting sqref="C820:C821">
    <cfRule type="duplicateValues" dxfId="4" priority="229"/>
  </conditionalFormatting>
  <conditionalFormatting sqref="C822:C1048576 C1:C2 C593:C695 C139:C155 C233:C236 C239:C297 C698:C699 C87:C91 C130:C137 C157:C166 C796:C798 C800:C805 C348:C349 C326:C340 C231 C778:C779 C756:C762 C781:C787 C60:C61 C807:C815 C56:C58 C125:C128 C792:C794 C766 C343:C345 C405:C484 C486:C526 C299:C316 C706:C708 C63:C83 C112 C186:C228 C352:C403 C528:C540 C772:C774 C789 C764 C172:C177 C318:C322 C542:C591 C704 C713:C754 C768:C769 C180:C184">
    <cfRule type="duplicateValues" dxfId="3" priority="258"/>
  </conditionalFormatting>
  <conditionalFormatting sqref="G7:G18">
    <cfRule type="duplicateValues" dxfId="2" priority="118"/>
  </conditionalFormatting>
  <conditionalFormatting sqref="H7:H18">
    <cfRule type="duplicateValues" dxfId="1" priority="119"/>
  </conditionalFormatting>
  <conditionalFormatting sqref="I7:I18">
    <cfRule type="duplicateValues" dxfId="0" priority="120"/>
  </conditionalFormatting>
  <hyperlinks>
    <hyperlink ref="C705" r:id="rId1" xr:uid="{00000000-0004-0000-0400-000000000000}"/>
    <hyperlink ref="C62" r:id="rId2" xr:uid="{00000000-0004-0000-0400-000001000000}"/>
    <hyperlink ref="C184" r:id="rId3" xr:uid="{00000000-0004-0000-0400-000002000000}"/>
    <hyperlink ref="C294" r:id="rId4" xr:uid="{00000000-0004-0000-0400-000003000000}"/>
    <hyperlink ref="C98" r:id="rId5" xr:uid="{00000000-0004-0000-0400-000004000000}"/>
    <hyperlink ref="C106" r:id="rId6" xr:uid="{00000000-0004-0000-0400-000005000000}"/>
    <hyperlink ref="C107" r:id="rId7" xr:uid="{00000000-0004-0000-0400-000006000000}"/>
    <hyperlink ref="C108" r:id="rId8" xr:uid="{00000000-0004-0000-0400-000007000000}"/>
    <hyperlink ref="C185" r:id="rId9" xr:uid="{00000000-0004-0000-0400-000008000000}"/>
    <hyperlink ref="C350" r:id="rId10" xr:uid="{00000000-0004-0000-0400-000009000000}"/>
    <hyperlink ref="C708" r:id="rId11" xr:uid="{00000000-0004-0000-0400-00000A000000}"/>
    <hyperlink ref="C99" r:id="rId12" xr:uid="{00000000-0004-0000-0400-00000B000000}"/>
    <hyperlink ref="C100" r:id="rId13" xr:uid="{00000000-0004-0000-0400-00000C000000}"/>
    <hyperlink ref="C103" r:id="rId14" xr:uid="{00000000-0004-0000-0400-00000D000000}"/>
    <hyperlink ref="C104" r:id="rId15" xr:uid="{00000000-0004-0000-0400-00000E000000}"/>
    <hyperlink ref="C101" r:id="rId16" xr:uid="{00000000-0004-0000-0400-00000F000000}"/>
    <hyperlink ref="C102" r:id="rId17" xr:uid="{00000000-0004-0000-0400-000010000000}"/>
    <hyperlink ref="C116" r:id="rId18" xr:uid="{00000000-0004-0000-0400-000011000000}"/>
    <hyperlink ref="C117" r:id="rId19" xr:uid="{00000000-0004-0000-0400-000012000000}"/>
    <hyperlink ref="C351" r:id="rId20" xr:uid="{00000000-0004-0000-0400-000013000000}"/>
    <hyperlink ref="C788" r:id="rId21" xr:uid="{00000000-0004-0000-0400-000014000000}"/>
    <hyperlink ref="C119" r:id="rId22" xr:uid="{00000000-0004-0000-0400-000015000000}"/>
    <hyperlink ref="C233" r:id="rId23" xr:uid="{00000000-0004-0000-0400-000016000000}"/>
    <hyperlink ref="C6" r:id="rId24" xr:uid="{00000000-0004-0000-0400-000017000000}"/>
    <hyperlink ref="C7" r:id="rId25" xr:uid="{00000000-0004-0000-0400-000018000000}"/>
    <hyperlink ref="C54" r:id="rId26" xr:uid="{00000000-0004-0000-0400-000019000000}"/>
    <hyperlink ref="C169" r:id="rId27" xr:uid="{00000000-0004-0000-0400-00001A000000}"/>
    <hyperlink ref="C170" r:id="rId28" xr:uid="{00000000-0004-0000-0400-00001B000000}"/>
    <hyperlink ref="C120" r:id="rId29" xr:uid="{00000000-0004-0000-0400-00001C000000}"/>
    <hyperlink ref="C121" r:id="rId30" xr:uid="{00000000-0004-0000-0400-00001D000000}"/>
    <hyperlink ref="C325" r:id="rId31" xr:uid="{00000000-0004-0000-0400-00001E000000}"/>
    <hyperlink ref="C317" r:id="rId32" xr:uid="{00000000-0004-0000-0400-00001F000000}"/>
    <hyperlink ref="C55" r:id="rId33" xr:uid="{00000000-0004-0000-0400-000020000000}"/>
    <hyperlink ref="C5" r:id="rId34" xr:uid="{00000000-0004-0000-0400-000021000000}"/>
    <hyperlink ref="C541" r:id="rId35" xr:uid="{00000000-0004-0000-0400-000022000000}"/>
    <hyperlink ref="C168" r:id="rId36" xr:uid="{00000000-0004-0000-0400-000023000000}"/>
    <hyperlink ref="C167" r:id="rId37" xr:uid="{00000000-0004-0000-0400-000024000000}"/>
    <hyperlink ref="C123" r:id="rId38" xr:uid="{00000000-0004-0000-0400-000025000000}"/>
    <hyperlink ref="C92" r:id="rId39" xr:uid="{00000000-0004-0000-0400-000026000000}"/>
    <hyperlink ref="C97" r:id="rId40" xr:uid="{00000000-0004-0000-0400-000027000000}"/>
    <hyperlink ref="C94" r:id="rId41" xr:uid="{00000000-0004-0000-0400-000028000000}"/>
    <hyperlink ref="C95" r:id="rId42" xr:uid="{00000000-0004-0000-0400-000029000000}"/>
    <hyperlink ref="C96" r:id="rId43" xr:uid="{00000000-0004-0000-0400-00002A000000}"/>
    <hyperlink ref="C709" r:id="rId44" xr:uid="{00000000-0004-0000-0400-00002B000000}"/>
    <hyperlink ref="C710" r:id="rId45" xr:uid="{00000000-0004-0000-0400-00002C000000}"/>
    <hyperlink ref="C711" r:id="rId46" xr:uid="{00000000-0004-0000-0400-00002D000000}"/>
    <hyperlink ref="C712" r:id="rId47" xr:uid="{00000000-0004-0000-0400-00002E000000}"/>
    <hyperlink ref="C767" r:id="rId48" xr:uid="{00000000-0004-0000-0400-00002F000000}"/>
    <hyperlink ref="C171" r:id="rId49" xr:uid="{00000000-0004-0000-0400-000030000000}"/>
    <hyperlink ref="A178" r:id="rId50" display="COOP_MDUC" xr:uid="{00000000-0004-0000-0400-000031000000}"/>
    <hyperlink ref="A179" r:id="rId51" display="COOP_QLO50" xr:uid="{00000000-0004-0000-0400-000032000000}"/>
    <hyperlink ref="C178" r:id="rId52" xr:uid="{00000000-0004-0000-0400-000033000000}"/>
    <hyperlink ref="C179" r:id="rId53" xr:uid="{00000000-0004-0000-0400-000034000000}"/>
    <hyperlink ref="C93" r:id="rId54" xr:uid="{00000000-0004-0000-0400-000035000000}"/>
    <hyperlink ref="C8" r:id="rId55" xr:uid="{00000000-0004-0000-0400-000036000000}"/>
    <hyperlink ref="C9" r:id="rId56" xr:uid="{00000000-0004-0000-0400-000037000000}"/>
    <hyperlink ref="C10" r:id="rId57" xr:uid="{00000000-0004-0000-0400-000038000000}"/>
    <hyperlink ref="C11" r:id="rId58" xr:uid="{00000000-0004-0000-0400-000039000000}"/>
    <hyperlink ref="C12" r:id="rId59" xr:uid="{00000000-0004-0000-0400-00003A000000}"/>
    <hyperlink ref="A17" r:id="rId60" xr:uid="{00000000-0004-0000-0400-00003B000000}"/>
    <hyperlink ref="A18" r:id="rId61" xr:uid="{00000000-0004-0000-0400-00003C000000}"/>
    <hyperlink ref="C13" r:id="rId62" xr:uid="{00000000-0004-0000-0400-00003D000000}"/>
    <hyperlink ref="C14" r:id="rId63" xr:uid="{00000000-0004-0000-0400-00003E000000}"/>
    <hyperlink ref="C15" r:id="rId64" xr:uid="{00000000-0004-0000-0400-00003F000000}"/>
    <hyperlink ref="C19" r:id="rId65" xr:uid="{00000000-0004-0000-0400-000040000000}"/>
    <hyperlink ref="C34" r:id="rId66" xr:uid="{00000000-0004-0000-0400-000041000000}"/>
    <hyperlink ref="C35" r:id="rId67" xr:uid="{00000000-0004-0000-0400-000042000000}"/>
    <hyperlink ref="C36" r:id="rId68" xr:uid="{00000000-0004-0000-0400-000043000000}"/>
    <hyperlink ref="C37" r:id="rId69" xr:uid="{00000000-0004-0000-0400-000044000000}"/>
    <hyperlink ref="C38" r:id="rId70" xr:uid="{00000000-0004-0000-0400-000045000000}"/>
    <hyperlink ref="C39" r:id="rId71" xr:uid="{00000000-0004-0000-0400-000046000000}"/>
    <hyperlink ref="C40" r:id="rId72" xr:uid="{00000000-0004-0000-0400-000047000000}"/>
    <hyperlink ref="C41" r:id="rId73" xr:uid="{00000000-0004-0000-0400-000048000000}"/>
    <hyperlink ref="A42" r:id="rId74" display="LC_HCM" xr:uid="{00000000-0004-0000-0400-000049000000}"/>
    <hyperlink ref="C42" r:id="rId75" xr:uid="{00000000-0004-0000-0400-00004A000000}"/>
    <hyperlink ref="A43" r:id="rId76" display="HD_AUCO" xr:uid="{00000000-0004-0000-0400-00004B000000}"/>
    <hyperlink ref="C43" r:id="rId77" xr:uid="{00000000-0004-0000-0400-00004C000000}"/>
    <hyperlink ref="C44" r:id="rId78" xr:uid="{00000000-0004-0000-0400-00004D000000}"/>
    <hyperlink ref="C45" r:id="rId79" xr:uid="{00000000-0004-0000-0400-00004E000000}"/>
    <hyperlink ref="A46" r:id="rId80" display="TNH_VINCOMVTRI" xr:uid="{00000000-0004-0000-0400-00004F000000}"/>
    <hyperlink ref="C46" r:id="rId81" xr:uid="{00000000-0004-0000-0400-000050000000}"/>
    <hyperlink ref="C53" r:id="rId82" xr:uid="{00000000-0004-0000-0400-000051000000}"/>
    <hyperlink ref="C20" r:id="rId83" xr:uid="{00000000-0004-0000-0400-000052000000}"/>
    <hyperlink ref="C21" r:id="rId84" xr:uid="{00000000-0004-0000-0400-000053000000}"/>
    <hyperlink ref="C28" r:id="rId85" xr:uid="{00000000-0004-0000-0400-000054000000}"/>
    <hyperlink ref="C29" r:id="rId86" xr:uid="{00000000-0004-0000-0400-000055000000}"/>
    <hyperlink ref="A30" r:id="rId87" display="KOHNAN_NTT" xr:uid="{00000000-0004-0000-0400-000056000000}"/>
    <hyperlink ref="C31" r:id="rId88" xr:uid="{00000000-0004-0000-0400-000057000000}"/>
    <hyperlink ref="C32" r:id="rId89" xr:uid="{00000000-0004-0000-0400-000058000000}"/>
    <hyperlink ref="C33" r:id="rId90" xr:uid="{00000000-0004-0000-0400-000059000000}"/>
    <hyperlink ref="C30" r:id="rId91" xr:uid="{00000000-0004-0000-0400-00005A000000}"/>
    <hyperlink ref="C22" r:id="rId92" xr:uid="{00000000-0004-0000-0400-00005B000000}"/>
    <hyperlink ref="C23" r:id="rId93" xr:uid="{00000000-0004-0000-0400-00005C000000}"/>
    <hyperlink ref="C24" r:id="rId94" xr:uid="{00000000-0004-0000-0400-00005D000000}"/>
    <hyperlink ref="A25" r:id="rId95" display="SD_LBIEN" xr:uid="{00000000-0004-0000-0400-00005E000000}"/>
    <hyperlink ref="A26" r:id="rId96" display="BIGC_GO_PMY" xr:uid="{00000000-0004-0000-0400-00005F000000}"/>
    <hyperlink ref="A27" r:id="rId97" display="COOP_NLB" xr:uid="{00000000-0004-0000-0400-000060000000}"/>
    <hyperlink ref="C25" r:id="rId98" xr:uid="{00000000-0004-0000-0400-000061000000}"/>
    <hyperlink ref="C26" r:id="rId99" xr:uid="{00000000-0004-0000-0400-000062000000}"/>
    <hyperlink ref="C27" r:id="rId100" xr:uid="{00000000-0004-0000-0400-000063000000}"/>
    <hyperlink ref="C51" r:id="rId101" xr:uid="{00000000-0004-0000-0400-000064000000}"/>
    <hyperlink ref="C52" r:id="rId102" xr:uid="{00000000-0004-0000-0400-000065000000}"/>
    <hyperlink ref="C47" r:id="rId103" xr:uid="{00000000-0004-0000-0400-000066000000}"/>
    <hyperlink ref="C48" r:id="rId104" xr:uid="{00000000-0004-0000-0400-000067000000}"/>
    <hyperlink ref="C49" r:id="rId105" xr:uid="{00000000-0004-0000-0400-000068000000}"/>
    <hyperlink ref="C50" r:id="rId106" xr:uid="{00000000-0004-0000-0400-000069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4931-D70F-4B8D-856D-77EE2D78ECD0}">
  <dimension ref="A2:Z35"/>
  <sheetViews>
    <sheetView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15" sqref="H15"/>
    </sheetView>
  </sheetViews>
  <sheetFormatPr defaultRowHeight="15" x14ac:dyDescent="0.25"/>
  <cols>
    <col min="1" max="1" width="11" bestFit="1" customWidth="1"/>
    <col min="2" max="2" width="16.85546875" style="15" customWidth="1"/>
    <col min="3" max="3" width="17.85546875" style="15" customWidth="1"/>
    <col min="4" max="4" width="18.5703125" style="15" customWidth="1"/>
    <col min="5" max="5" width="17.85546875" style="15" customWidth="1"/>
    <col min="6" max="6" width="19.7109375" style="15" customWidth="1"/>
    <col min="7" max="7" width="18.28515625" style="15" customWidth="1"/>
    <col min="8" max="8" width="9.42578125" style="16" customWidth="1"/>
    <col min="9" max="9" width="15.7109375" style="16" customWidth="1"/>
    <col min="10" max="10" width="15.28515625" style="16" customWidth="1"/>
    <col min="11" max="11" width="16.28515625" style="16" customWidth="1"/>
    <col min="12" max="13" width="15.28515625" style="16" customWidth="1"/>
    <col min="14" max="16" width="14.85546875" style="16" customWidth="1"/>
    <col min="17" max="17" width="16.42578125" style="16" customWidth="1"/>
    <col min="18" max="18" width="16.140625" style="16" customWidth="1"/>
    <col min="19" max="19" width="16.7109375" style="16" customWidth="1"/>
    <col min="20" max="21" width="16.28515625" style="16" customWidth="1"/>
    <col min="22" max="22" width="15.28515625" style="16" customWidth="1"/>
    <col min="23" max="23" width="16.85546875" style="16" customWidth="1"/>
    <col min="24" max="25" width="15.85546875" customWidth="1"/>
    <col min="26" max="26" width="16.5703125" customWidth="1"/>
  </cols>
  <sheetData>
    <row r="2" spans="1:26" ht="15" customHeight="1" x14ac:dyDescent="0.25">
      <c r="A2" s="96" t="s">
        <v>1537</v>
      </c>
      <c r="B2" s="98" t="s">
        <v>1529</v>
      </c>
      <c r="C2" s="100"/>
      <c r="D2" s="100"/>
      <c r="E2" s="100"/>
      <c r="F2" s="37"/>
      <c r="G2" s="98" t="s">
        <v>1517</v>
      </c>
      <c r="H2" s="101" t="s">
        <v>1516</v>
      </c>
      <c r="I2" s="94" t="s">
        <v>1697</v>
      </c>
      <c r="J2" s="94" t="s">
        <v>1693</v>
      </c>
      <c r="K2" s="59" t="s">
        <v>1702</v>
      </c>
      <c r="L2" s="59" t="s">
        <v>1702</v>
      </c>
      <c r="M2" s="59" t="s">
        <v>1702</v>
      </c>
      <c r="N2" s="59" t="s">
        <v>1702</v>
      </c>
      <c r="O2" s="59" t="s">
        <v>1702</v>
      </c>
      <c r="P2" s="59" t="s">
        <v>1702</v>
      </c>
      <c r="Q2" s="53" t="s">
        <v>1694</v>
      </c>
      <c r="R2" s="89" t="s">
        <v>1694</v>
      </c>
      <c r="S2" s="53" t="s">
        <v>1694</v>
      </c>
      <c r="T2" s="89" t="s">
        <v>1694</v>
      </c>
      <c r="U2" s="53" t="s">
        <v>1694</v>
      </c>
      <c r="V2" s="53" t="s">
        <v>1710</v>
      </c>
      <c r="W2" s="53" t="s">
        <v>1694</v>
      </c>
      <c r="X2" s="53" t="s">
        <v>1694</v>
      </c>
      <c r="Y2" s="53" t="s">
        <v>1694</v>
      </c>
      <c r="Z2" s="53" t="s">
        <v>1694</v>
      </c>
    </row>
    <row r="3" spans="1:26" x14ac:dyDescent="0.25">
      <c r="A3" s="97"/>
      <c r="B3" s="99"/>
      <c r="C3" s="38" t="s">
        <v>1519</v>
      </c>
      <c r="D3" s="38" t="s">
        <v>1712</v>
      </c>
      <c r="E3" s="38" t="s">
        <v>1726</v>
      </c>
      <c r="F3" s="38" t="s">
        <v>1520</v>
      </c>
      <c r="G3" s="99"/>
      <c r="H3" s="95"/>
      <c r="I3" s="95"/>
      <c r="J3" s="95"/>
      <c r="K3" s="58" t="s">
        <v>1703</v>
      </c>
      <c r="L3" s="58" t="s">
        <v>1704</v>
      </c>
      <c r="M3" s="58" t="s">
        <v>1717</v>
      </c>
      <c r="N3" s="58" t="s">
        <v>1705</v>
      </c>
      <c r="O3" s="58" t="s">
        <v>1706</v>
      </c>
      <c r="P3" s="58" t="s">
        <v>1715</v>
      </c>
      <c r="Q3" s="55" t="s">
        <v>1695</v>
      </c>
      <c r="R3" s="90" t="s">
        <v>1696</v>
      </c>
      <c r="S3" s="55" t="s">
        <v>1698</v>
      </c>
      <c r="T3" s="90" t="s">
        <v>1699</v>
      </c>
      <c r="U3" s="55" t="s">
        <v>1716</v>
      </c>
      <c r="V3" s="55" t="s">
        <v>1711</v>
      </c>
      <c r="W3" s="55" t="s">
        <v>1708</v>
      </c>
      <c r="X3" s="55" t="s">
        <v>1719</v>
      </c>
      <c r="Y3" s="55" t="s">
        <v>1725</v>
      </c>
      <c r="Z3" s="55" t="s">
        <v>1720</v>
      </c>
    </row>
    <row r="4" spans="1:26" x14ac:dyDescent="0.25">
      <c r="A4" s="39" t="s">
        <v>1540</v>
      </c>
      <c r="B4" s="40">
        <v>5000000000</v>
      </c>
      <c r="C4" s="40">
        <v>640876385.60000002</v>
      </c>
      <c r="D4" s="40">
        <v>64101400</v>
      </c>
      <c r="E4" s="40"/>
      <c r="F4" s="40">
        <v>1360174586.0999999</v>
      </c>
      <c r="G4" s="40">
        <f>SUM(C4:F4)</f>
        <v>2065152371.6999998</v>
      </c>
      <c r="H4" s="35">
        <f>G4/B4</f>
        <v>0.41303047433999995</v>
      </c>
      <c r="I4" s="43">
        <v>310868800</v>
      </c>
      <c r="J4" s="41">
        <v>74646000</v>
      </c>
      <c r="K4" s="43">
        <v>95000000</v>
      </c>
      <c r="L4" s="43"/>
      <c r="M4" s="43"/>
      <c r="N4" s="43">
        <v>51367800</v>
      </c>
      <c r="O4" s="43">
        <v>6187500</v>
      </c>
      <c r="P4" s="43">
        <v>68035000</v>
      </c>
      <c r="Q4" s="41">
        <v>199964160</v>
      </c>
      <c r="R4" s="43">
        <v>283166400</v>
      </c>
      <c r="S4" s="43">
        <v>205000000</v>
      </c>
      <c r="T4" s="43">
        <v>169158000</v>
      </c>
      <c r="U4" s="43">
        <v>39688704</v>
      </c>
      <c r="V4" s="43">
        <v>98618520</v>
      </c>
      <c r="W4" s="43">
        <v>284454720</v>
      </c>
      <c r="X4" s="40">
        <v>29752925.399999999</v>
      </c>
      <c r="Y4" s="40">
        <v>26620579.700000003</v>
      </c>
      <c r="Z4" s="40">
        <v>5561820</v>
      </c>
    </row>
    <row r="5" spans="1:26" x14ac:dyDescent="0.25">
      <c r="A5" s="39" t="s">
        <v>1541</v>
      </c>
      <c r="B5" s="40">
        <v>4200000000</v>
      </c>
      <c r="C5" s="42">
        <v>732429804.70000005</v>
      </c>
      <c r="D5" s="42">
        <v>41661730</v>
      </c>
      <c r="E5" s="40"/>
      <c r="F5" s="40">
        <v>1338996371.9000001</v>
      </c>
      <c r="G5" s="40">
        <f t="shared" ref="G5:G15" si="0">SUM(C5:F5)</f>
        <v>2113087906.6000001</v>
      </c>
      <c r="H5" s="35">
        <f t="shared" ref="H5:H15" si="1">G5/B5</f>
        <v>0.50311616823809524</v>
      </c>
      <c r="I5" s="43">
        <v>314734200</v>
      </c>
      <c r="J5" s="41">
        <v>68880240</v>
      </c>
      <c r="K5" s="43">
        <v>109000000</v>
      </c>
      <c r="L5" s="43"/>
      <c r="M5" s="43"/>
      <c r="N5" s="43">
        <v>49375920</v>
      </c>
      <c r="O5" s="43">
        <v>21064120</v>
      </c>
      <c r="P5" s="43">
        <v>48653000</v>
      </c>
      <c r="Q5" s="41">
        <v>300000000</v>
      </c>
      <c r="R5" s="43">
        <v>238972800</v>
      </c>
      <c r="S5" s="43">
        <v>126000000</v>
      </c>
      <c r="T5" s="43">
        <v>202000000</v>
      </c>
      <c r="U5" s="43">
        <v>51264576</v>
      </c>
      <c r="V5" s="43">
        <v>65313600</v>
      </c>
      <c r="W5" s="43">
        <v>285532500</v>
      </c>
      <c r="X5" s="40">
        <v>44641319.800000004</v>
      </c>
      <c r="Y5" s="40">
        <v>26675607.199999999</v>
      </c>
      <c r="Z5" s="40">
        <v>12612488.9</v>
      </c>
    </row>
    <row r="6" spans="1:26" x14ac:dyDescent="0.25">
      <c r="A6" s="39" t="s">
        <v>1542</v>
      </c>
      <c r="B6" s="40">
        <v>5500000000</v>
      </c>
      <c r="C6" s="42">
        <v>384786595.60000002</v>
      </c>
      <c r="D6" s="46">
        <v>54248095</v>
      </c>
      <c r="E6" s="40">
        <v>209444400</v>
      </c>
      <c r="F6" s="40">
        <v>1277852743.2</v>
      </c>
      <c r="G6" s="40">
        <f t="shared" si="0"/>
        <v>1926331833.8000002</v>
      </c>
      <c r="H6" s="35">
        <f t="shared" si="1"/>
        <v>0.35024215160000005</v>
      </c>
      <c r="I6" s="43">
        <v>229766900</v>
      </c>
      <c r="J6" s="41">
        <v>31680000</v>
      </c>
      <c r="K6" s="43">
        <v>20000000</v>
      </c>
      <c r="L6" s="43"/>
      <c r="M6" s="43"/>
      <c r="N6" s="92">
        <v>30090500</v>
      </c>
      <c r="O6" s="43">
        <v>20447900</v>
      </c>
      <c r="P6" s="43">
        <v>28226000</v>
      </c>
      <c r="Q6" s="41">
        <v>90478080</v>
      </c>
      <c r="R6" s="43">
        <v>379737600</v>
      </c>
      <c r="S6" s="43">
        <v>222000000</v>
      </c>
      <c r="T6" s="43">
        <v>153620280</v>
      </c>
      <c r="U6" s="43">
        <v>44649792.000000007</v>
      </c>
      <c r="V6" s="43">
        <v>58740000</v>
      </c>
      <c r="W6" s="43">
        <v>226036800</v>
      </c>
      <c r="X6" s="40">
        <v>43931686.700000003</v>
      </c>
      <c r="Y6" s="40">
        <v>22993800.5</v>
      </c>
      <c r="Z6" s="40">
        <v>10421362.6</v>
      </c>
    </row>
    <row r="7" spans="1:26" x14ac:dyDescent="0.25">
      <c r="A7" s="19" t="s">
        <v>1543</v>
      </c>
      <c r="B7" s="40">
        <v>6000000000</v>
      </c>
      <c r="C7" s="42">
        <v>506557848.5</v>
      </c>
      <c r="D7" s="40">
        <v>15151400</v>
      </c>
      <c r="E7" s="40">
        <v>36019500</v>
      </c>
      <c r="F7" s="40">
        <v>1533335156.0999999</v>
      </c>
      <c r="G7" s="40">
        <f t="shared" si="0"/>
        <v>2091063904.5999999</v>
      </c>
      <c r="H7" s="35">
        <f t="shared" si="1"/>
        <v>0.34851065076666665</v>
      </c>
      <c r="I7" s="43">
        <v>281023600</v>
      </c>
      <c r="J7" s="41">
        <v>47520000</v>
      </c>
      <c r="K7" s="61">
        <v>62000000</v>
      </c>
      <c r="L7" s="61"/>
      <c r="M7" s="61"/>
      <c r="N7" s="61">
        <v>20500000</v>
      </c>
      <c r="O7" s="61">
        <v>20800000</v>
      </c>
      <c r="P7" s="43">
        <v>42053000</v>
      </c>
      <c r="Q7" s="41">
        <v>188112672</v>
      </c>
      <c r="R7" s="43">
        <v>419020800</v>
      </c>
      <c r="S7" s="43">
        <v>245000000</v>
      </c>
      <c r="T7" s="43">
        <v>133702800</v>
      </c>
      <c r="U7" s="43">
        <v>140541434.00000003</v>
      </c>
      <c r="V7" s="43">
        <v>47982000</v>
      </c>
      <c r="W7" s="43">
        <v>263340000</v>
      </c>
      <c r="X7" s="40">
        <v>33273073.899999999</v>
      </c>
      <c r="Y7" s="40">
        <v>26488431.200000003</v>
      </c>
      <c r="Z7" s="40">
        <v>9600686.6999999993</v>
      </c>
    </row>
    <row r="8" spans="1:26" x14ac:dyDescent="0.25">
      <c r="A8" s="19" t="s">
        <v>1544</v>
      </c>
      <c r="B8" s="40">
        <v>6000000000</v>
      </c>
      <c r="C8" s="42">
        <v>458154671.69999999</v>
      </c>
      <c r="D8" s="40">
        <v>79932408.599999994</v>
      </c>
      <c r="E8" s="93">
        <v>42562740</v>
      </c>
      <c r="F8" s="40">
        <v>1233422927</v>
      </c>
      <c r="G8" s="40">
        <f t="shared" si="0"/>
        <v>1814072747.3</v>
      </c>
      <c r="H8" s="35">
        <f t="shared" si="1"/>
        <v>0.30234545788333334</v>
      </c>
      <c r="I8" s="43">
        <v>232777600</v>
      </c>
      <c r="J8" s="41">
        <v>49896000</v>
      </c>
      <c r="K8" s="61">
        <v>53000000</v>
      </c>
      <c r="L8" s="61"/>
      <c r="M8" s="61"/>
      <c r="N8" s="61">
        <v>27282200</v>
      </c>
      <c r="O8" s="61">
        <v>22701800</v>
      </c>
      <c r="P8" s="43"/>
      <c r="Q8" s="41">
        <v>113762880</v>
      </c>
      <c r="R8" s="43">
        <v>151895040</v>
      </c>
      <c r="S8" s="43">
        <v>224000000</v>
      </c>
      <c r="T8" s="43">
        <v>216057600</v>
      </c>
      <c r="U8" s="43">
        <v>140003600</v>
      </c>
      <c r="V8" s="43">
        <v>77919600</v>
      </c>
      <c r="W8" s="43">
        <v>204807900</v>
      </c>
      <c r="X8" s="40">
        <v>52223377.799999997</v>
      </c>
      <c r="Y8" s="40">
        <v>25866094.100000001</v>
      </c>
      <c r="Z8" s="40">
        <v>9248272</v>
      </c>
    </row>
    <row r="9" spans="1:26" x14ac:dyDescent="0.25">
      <c r="A9" s="19" t="s">
        <v>1545</v>
      </c>
      <c r="B9" s="40">
        <v>5500000000</v>
      </c>
      <c r="C9" s="42">
        <v>372800494</v>
      </c>
      <c r="D9" s="40">
        <v>25000000</v>
      </c>
      <c r="E9" s="93">
        <v>5131500</v>
      </c>
      <c r="F9" s="40">
        <v>1670227004.6000001</v>
      </c>
      <c r="G9" s="40">
        <f t="shared" si="0"/>
        <v>2073158998.6000001</v>
      </c>
      <c r="H9" s="35">
        <f t="shared" si="1"/>
        <v>0.37693799974545456</v>
      </c>
      <c r="I9" s="43">
        <v>169571600</v>
      </c>
      <c r="J9" s="41">
        <v>95832000</v>
      </c>
      <c r="K9" s="61">
        <v>27500000</v>
      </c>
      <c r="L9" s="61"/>
      <c r="M9" s="61"/>
      <c r="N9" s="61">
        <v>14572800.000000002</v>
      </c>
      <c r="O9" s="61">
        <v>23867140</v>
      </c>
      <c r="P9" s="43"/>
      <c r="Q9" s="41">
        <v>242922240.00000006</v>
      </c>
      <c r="R9" s="43">
        <v>578788848</v>
      </c>
      <c r="S9" s="43">
        <v>223000000</v>
      </c>
      <c r="T9" s="43">
        <v>139337000</v>
      </c>
      <c r="U9" s="43">
        <v>64732800</v>
      </c>
      <c r="V9" s="43">
        <v>57686640</v>
      </c>
      <c r="W9" s="43">
        <v>292406400</v>
      </c>
      <c r="X9" s="40">
        <v>27559672.800000001</v>
      </c>
      <c r="Y9" s="40">
        <v>21368532.900000002</v>
      </c>
      <c r="Z9" s="40">
        <v>6750214.9000000004</v>
      </c>
    </row>
    <row r="10" spans="1:26" x14ac:dyDescent="0.25">
      <c r="A10" s="19" t="s">
        <v>1546</v>
      </c>
      <c r="B10" s="40">
        <v>5500000000</v>
      </c>
      <c r="C10" s="42">
        <v>559789376.29999995</v>
      </c>
      <c r="D10" s="40">
        <v>61363500</v>
      </c>
      <c r="E10" s="93"/>
      <c r="F10" s="40">
        <v>859240793.39999998</v>
      </c>
      <c r="G10" s="40">
        <f t="shared" si="0"/>
        <v>1480393669.6999998</v>
      </c>
      <c r="H10" s="35">
        <f t="shared" si="1"/>
        <v>0.26916248539999998</v>
      </c>
      <c r="I10" s="43">
        <v>332205500</v>
      </c>
      <c r="J10" s="43">
        <v>96624000</v>
      </c>
      <c r="K10" s="61">
        <v>58000000</v>
      </c>
      <c r="L10" s="61"/>
      <c r="M10" s="61"/>
      <c r="N10" s="61">
        <v>21695300</v>
      </c>
      <c r="O10" s="61">
        <v>25086600</v>
      </c>
      <c r="P10" s="43"/>
      <c r="Q10" s="41">
        <v>40201920.000000007</v>
      </c>
      <c r="R10" s="43">
        <v>64047984</v>
      </c>
      <c r="S10" s="43">
        <v>163000000</v>
      </c>
      <c r="T10" s="43">
        <v>183286400</v>
      </c>
      <c r="U10" s="43">
        <v>146698200</v>
      </c>
      <c r="V10" s="43">
        <v>103950880</v>
      </c>
      <c r="W10" s="43">
        <v>63439200</v>
      </c>
      <c r="X10" s="40">
        <v>56279225.200000003</v>
      </c>
      <c r="Y10" s="40">
        <v>16379359.700000003</v>
      </c>
      <c r="Z10" s="40">
        <v>6121458.2000000002</v>
      </c>
    </row>
    <row r="11" spans="1:26" x14ac:dyDescent="0.25">
      <c r="A11" s="19" t="s">
        <v>1547</v>
      </c>
      <c r="B11" s="40">
        <v>5500000000</v>
      </c>
      <c r="C11" s="42">
        <v>505242665.39999998</v>
      </c>
      <c r="D11" s="40">
        <v>48904240</v>
      </c>
      <c r="E11" s="93">
        <v>7194000</v>
      </c>
      <c r="F11" s="40">
        <v>2405856086.6999998</v>
      </c>
      <c r="G11" s="40">
        <f>SUM(C11:F11)</f>
        <v>2967196992.0999999</v>
      </c>
      <c r="H11" s="35">
        <f t="shared" si="1"/>
        <v>0.53949036220000002</v>
      </c>
      <c r="I11" s="43">
        <v>202988500</v>
      </c>
      <c r="J11" s="43">
        <v>66013200</v>
      </c>
      <c r="K11" s="61">
        <v>48606536</v>
      </c>
      <c r="L11" s="61"/>
      <c r="M11" s="61"/>
      <c r="N11" s="61">
        <v>39022500</v>
      </c>
      <c r="O11" s="61">
        <v>39348100</v>
      </c>
      <c r="P11" s="43"/>
      <c r="Q11" s="41">
        <v>349842240</v>
      </c>
      <c r="R11" s="43">
        <v>554613312</v>
      </c>
      <c r="S11" s="43">
        <v>374000000</v>
      </c>
      <c r="T11" s="43">
        <v>167105840</v>
      </c>
      <c r="U11" s="43">
        <v>217412800</v>
      </c>
      <c r="V11" s="43">
        <v>57458500</v>
      </c>
      <c r="W11" s="43">
        <v>510822400</v>
      </c>
      <c r="X11" s="40">
        <v>30438291.399999999</v>
      </c>
      <c r="Y11" s="40">
        <v>39327076.800000012</v>
      </c>
      <c r="Z11" s="40">
        <v>13822234.800000001</v>
      </c>
    </row>
    <row r="12" spans="1:26" x14ac:dyDescent="0.25">
      <c r="A12" s="19" t="s">
        <v>1548</v>
      </c>
      <c r="B12" s="40">
        <v>5500000000</v>
      </c>
      <c r="C12" s="42">
        <v>501434712.9000001</v>
      </c>
      <c r="D12" s="40">
        <v>45054709.700000003</v>
      </c>
      <c r="E12" s="93">
        <v>4185500</v>
      </c>
      <c r="F12" s="40">
        <v>1293374758.5</v>
      </c>
      <c r="G12" s="40">
        <f t="shared" si="0"/>
        <v>1844049681.1000001</v>
      </c>
      <c r="H12" s="35">
        <f>G12/B12</f>
        <v>0.3352817602</v>
      </c>
      <c r="I12" s="43">
        <v>279415400.00000006</v>
      </c>
      <c r="J12" s="43">
        <v>78606000</v>
      </c>
      <c r="K12" s="61">
        <v>26000000</v>
      </c>
      <c r="L12" s="61"/>
      <c r="M12" s="61"/>
      <c r="N12" s="61">
        <v>33739200</v>
      </c>
      <c r="O12" s="61">
        <v>40438200</v>
      </c>
      <c r="P12" s="43">
        <v>35833600</v>
      </c>
      <c r="Q12" s="41">
        <v>183902400.00000003</v>
      </c>
      <c r="R12" s="43">
        <v>439819617.59999979</v>
      </c>
      <c r="S12" s="43">
        <v>208000000</v>
      </c>
      <c r="T12" s="43">
        <v>131601360</v>
      </c>
      <c r="U12" s="43">
        <v>132013200</v>
      </c>
      <c r="V12" s="43">
        <v>66291940</v>
      </c>
      <c r="W12" s="43">
        <v>216935400</v>
      </c>
      <c r="X12" s="40">
        <v>35148996.299999997</v>
      </c>
      <c r="Y12" s="40">
        <v>36709060.300000004</v>
      </c>
      <c r="Z12" s="40">
        <v>11132327.800000001</v>
      </c>
    </row>
    <row r="13" spans="1:26" x14ac:dyDescent="0.25">
      <c r="A13" s="19" t="s">
        <v>1549</v>
      </c>
      <c r="B13" s="40">
        <v>5500000000</v>
      </c>
      <c r="C13" s="42">
        <v>243758180.59999999</v>
      </c>
      <c r="D13" s="40">
        <v>73133500</v>
      </c>
      <c r="E13" s="93"/>
      <c r="F13" s="40">
        <v>2118887122</v>
      </c>
      <c r="G13" s="40">
        <f t="shared" si="0"/>
        <v>2435778802.5999999</v>
      </c>
      <c r="H13" s="35">
        <f t="shared" si="1"/>
        <v>0.44286887319999996</v>
      </c>
      <c r="I13" s="43"/>
      <c r="J13" s="43"/>
      <c r="K13" s="61"/>
      <c r="L13" s="61"/>
      <c r="M13" s="61"/>
      <c r="N13" s="61"/>
      <c r="O13" s="61"/>
      <c r="P13" s="43"/>
      <c r="Q13" s="41">
        <v>177914880</v>
      </c>
      <c r="R13" s="43">
        <v>620350473.60000014</v>
      </c>
      <c r="S13" s="43">
        <v>253000000</v>
      </c>
      <c r="T13" s="43">
        <v>151333600</v>
      </c>
      <c r="U13" s="43">
        <v>182831000</v>
      </c>
      <c r="V13" s="43">
        <v>105565680</v>
      </c>
      <c r="W13" s="43">
        <v>498028080</v>
      </c>
      <c r="X13" s="40">
        <v>41389654.900000006</v>
      </c>
      <c r="Y13" s="40">
        <v>35186608.600000009</v>
      </c>
      <c r="Z13" s="40">
        <v>12360412.9</v>
      </c>
    </row>
    <row r="14" spans="1:26" x14ac:dyDescent="0.25">
      <c r="A14" s="19" t="s">
        <v>1550</v>
      </c>
      <c r="B14" s="40">
        <v>5500000000</v>
      </c>
      <c r="C14" s="42">
        <v>473080142.69999999</v>
      </c>
      <c r="D14" s="40">
        <v>35252800</v>
      </c>
      <c r="E14" s="93">
        <v>18810000</v>
      </c>
      <c r="F14" s="40">
        <v>2703273950.3000002</v>
      </c>
      <c r="G14" s="40">
        <f t="shared" si="0"/>
        <v>3230416893</v>
      </c>
      <c r="H14" s="35">
        <f t="shared" si="1"/>
        <v>0.58734852599999998</v>
      </c>
      <c r="I14" s="43"/>
      <c r="J14" s="43"/>
      <c r="K14" s="61"/>
      <c r="L14" s="61"/>
      <c r="M14" s="61"/>
      <c r="N14" s="61"/>
      <c r="O14" s="61"/>
      <c r="P14" s="43"/>
      <c r="Q14" s="41">
        <v>266016960</v>
      </c>
      <c r="R14" s="43">
        <v>1129432238</v>
      </c>
      <c r="S14" s="43">
        <v>293000000</v>
      </c>
      <c r="T14" s="43">
        <v>190183840</v>
      </c>
      <c r="U14" s="43">
        <v>157042380</v>
      </c>
      <c r="V14" s="43">
        <v>101487320</v>
      </c>
      <c r="W14" s="43">
        <v>433548280</v>
      </c>
      <c r="X14" s="40">
        <v>35758355.600000001</v>
      </c>
      <c r="Y14" s="40">
        <v>39473302</v>
      </c>
      <c r="Z14" s="40"/>
    </row>
    <row r="15" spans="1:26" x14ac:dyDescent="0.25">
      <c r="A15" s="19" t="s">
        <v>1551</v>
      </c>
      <c r="B15" s="40">
        <v>5500000000</v>
      </c>
      <c r="C15" s="42"/>
      <c r="D15" s="40"/>
      <c r="E15" s="93"/>
      <c r="F15" s="40"/>
      <c r="G15" s="40">
        <f t="shared" si="0"/>
        <v>0</v>
      </c>
      <c r="H15" s="35">
        <f t="shared" si="1"/>
        <v>0</v>
      </c>
      <c r="I15" s="43"/>
      <c r="J15" s="43"/>
      <c r="K15" s="61"/>
      <c r="L15" s="61"/>
      <c r="M15" s="61"/>
      <c r="N15" s="61"/>
      <c r="O15" s="61"/>
      <c r="P15" s="43"/>
      <c r="Q15" s="41"/>
      <c r="R15" s="43"/>
      <c r="S15" s="43"/>
      <c r="T15" s="43"/>
      <c r="U15" s="43"/>
      <c r="V15" s="43"/>
      <c r="W15" s="43"/>
      <c r="X15" s="40"/>
      <c r="Y15" s="40"/>
      <c r="Z15" s="40"/>
    </row>
    <row r="16" spans="1:26" s="64" customFormat="1" ht="20.25" customHeight="1" x14ac:dyDescent="0.25">
      <c r="A16" s="62" t="s">
        <v>1522</v>
      </c>
      <c r="B16" s="63">
        <f>SUM(B4:B15)</f>
        <v>65200000000</v>
      </c>
      <c r="C16" s="63">
        <f t="shared" ref="C16:Z16" si="2">SUM(C4:C15)</f>
        <v>5378910878</v>
      </c>
      <c r="D16" s="63">
        <f t="shared" si="2"/>
        <v>543803783.29999995</v>
      </c>
      <c r="E16" s="63">
        <f t="shared" si="2"/>
        <v>323347640</v>
      </c>
      <c r="F16" s="63">
        <f>SUM(F4:F15)</f>
        <v>17794641499.799999</v>
      </c>
      <c r="G16" s="63">
        <f t="shared" si="2"/>
        <v>24040703801.099998</v>
      </c>
      <c r="H16" s="73">
        <f>G16/G17</f>
        <v>1.0744239895836694</v>
      </c>
      <c r="I16" s="63">
        <f t="shared" si="2"/>
        <v>2353352100</v>
      </c>
      <c r="J16" s="63">
        <f t="shared" si="2"/>
        <v>609697440</v>
      </c>
      <c r="K16" s="63">
        <f t="shared" si="2"/>
        <v>499106536</v>
      </c>
      <c r="L16" s="63">
        <f t="shared" si="2"/>
        <v>0</v>
      </c>
      <c r="M16" s="63">
        <f t="shared" si="2"/>
        <v>0</v>
      </c>
      <c r="N16" s="63">
        <f t="shared" si="2"/>
        <v>287646220</v>
      </c>
      <c r="O16" s="63">
        <f t="shared" si="2"/>
        <v>219941360</v>
      </c>
      <c r="P16" s="63">
        <f>SUM(P4:P15)</f>
        <v>222800600</v>
      </c>
      <c r="Q16" s="63">
        <f t="shared" si="2"/>
        <v>2153118432</v>
      </c>
      <c r="R16" s="63">
        <f>SUM(R4:R15)</f>
        <v>4859845113.1999998</v>
      </c>
      <c r="S16" s="63">
        <f t="shared" si="2"/>
        <v>2536000000</v>
      </c>
      <c r="T16" s="63">
        <f t="shared" si="2"/>
        <v>1837386720</v>
      </c>
      <c r="U16" s="63">
        <f t="shared" si="2"/>
        <v>1316878486</v>
      </c>
      <c r="V16" s="63">
        <f t="shared" si="2"/>
        <v>841014680</v>
      </c>
      <c r="W16" s="63">
        <f t="shared" si="2"/>
        <v>3279351680</v>
      </c>
      <c r="X16" s="63">
        <f t="shared" si="2"/>
        <v>430396579.80000007</v>
      </c>
      <c r="Y16" s="63">
        <f t="shared" si="2"/>
        <v>317088453.00000006</v>
      </c>
      <c r="Z16" s="63">
        <f t="shared" si="2"/>
        <v>97631278.800000012</v>
      </c>
    </row>
    <row r="17" spans="2:26" ht="22.5" customHeight="1" x14ac:dyDescent="0.25">
      <c r="B17" s="75" t="s">
        <v>1718</v>
      </c>
      <c r="C17" s="70">
        <v>9455533660.0000019</v>
      </c>
      <c r="D17" s="70">
        <v>1166682988.8999999</v>
      </c>
      <c r="E17" s="70">
        <v>1283728140.8999999</v>
      </c>
      <c r="F17" s="70">
        <v>10469489893.5</v>
      </c>
      <c r="G17" s="76">
        <f>SUM(C17:F17)</f>
        <v>22375434683.300003</v>
      </c>
      <c r="H17" s="91">
        <v>2023</v>
      </c>
      <c r="I17" s="78">
        <v>4207086940</v>
      </c>
      <c r="J17" s="78">
        <v>842087010</v>
      </c>
      <c r="K17" s="78">
        <v>1375052520</v>
      </c>
      <c r="L17" s="78">
        <v>101234455.5</v>
      </c>
      <c r="M17" s="78">
        <v>524633560</v>
      </c>
      <c r="N17" s="78">
        <v>623772975</v>
      </c>
      <c r="O17" s="78">
        <v>561970950</v>
      </c>
      <c r="P17" s="78">
        <v>407672100</v>
      </c>
      <c r="Q17" s="78">
        <v>1093192384</v>
      </c>
      <c r="R17" s="78">
        <v>3549406915.9000001</v>
      </c>
      <c r="S17" s="78">
        <v>1135500000</v>
      </c>
      <c r="T17" s="78">
        <v>1383914340</v>
      </c>
      <c r="U17" s="78">
        <v>316720800</v>
      </c>
      <c r="V17" s="78">
        <v>422489560</v>
      </c>
      <c r="W17" s="78">
        <v>1788406500</v>
      </c>
      <c r="X17" s="78">
        <v>134138572.7</v>
      </c>
      <c r="Y17" s="78"/>
      <c r="Z17" s="78">
        <v>105698835</v>
      </c>
    </row>
    <row r="18" spans="2:26" ht="22.5" customHeight="1" x14ac:dyDescent="0.25">
      <c r="B18" s="75" t="s">
        <v>1724</v>
      </c>
      <c r="C18" s="70">
        <v>6712110597.500001</v>
      </c>
      <c r="D18" s="70">
        <v>677671487.89999998</v>
      </c>
      <c r="E18" s="70">
        <v>47590400</v>
      </c>
      <c r="F18" s="70">
        <v>11966648520.199999</v>
      </c>
      <c r="G18" s="76">
        <f>SUM(C18:F18)</f>
        <v>19404021005.599998</v>
      </c>
      <c r="H18" s="91">
        <v>2024</v>
      </c>
      <c r="I18" s="78">
        <v>2783562320</v>
      </c>
      <c r="J18" s="78">
        <v>754142400</v>
      </c>
      <c r="K18" s="78">
        <v>1073205550</v>
      </c>
      <c r="L18" s="78">
        <v>0</v>
      </c>
      <c r="M18" s="78">
        <v>100817200</v>
      </c>
      <c r="N18" s="78">
        <v>469723760</v>
      </c>
      <c r="O18" s="78">
        <v>483015566.20689654</v>
      </c>
      <c r="P18" s="78">
        <v>500542168.5</v>
      </c>
      <c r="Q18" s="78">
        <v>1568540080</v>
      </c>
      <c r="R18" s="78">
        <v>2691750072</v>
      </c>
      <c r="S18" s="78">
        <v>1919563000</v>
      </c>
      <c r="T18" s="78">
        <v>1717397060</v>
      </c>
      <c r="U18" s="78">
        <v>553561910.4000001</v>
      </c>
      <c r="V18" s="78">
        <v>715616100</v>
      </c>
      <c r="W18" s="78">
        <v>1951888880</v>
      </c>
      <c r="X18" s="78">
        <v>307312419.89999998</v>
      </c>
      <c r="Y18" s="78">
        <v>0</v>
      </c>
      <c r="Z18" s="78">
        <v>123680077.40000001</v>
      </c>
    </row>
    <row r="19" spans="2:26" ht="23.25" customHeight="1" x14ac:dyDescent="0.25">
      <c r="C19" s="68">
        <f>C16-C18</f>
        <v>-1333199719.500001</v>
      </c>
      <c r="D19" s="68">
        <f>D16-D18</f>
        <v>-133867704.60000002</v>
      </c>
      <c r="E19" s="68">
        <f>E16-E18</f>
        <v>275757240</v>
      </c>
      <c r="F19" s="68">
        <f>F16-F18</f>
        <v>5827992979.6000004</v>
      </c>
      <c r="G19" s="68">
        <f>G16-G18</f>
        <v>4636682795.5</v>
      </c>
      <c r="H19" s="77"/>
      <c r="I19" s="50">
        <f>I16-I18</f>
        <v>-430210220</v>
      </c>
      <c r="J19" s="50">
        <f t="shared" ref="J19:W19" si="3">J16-J18</f>
        <v>-144444960</v>
      </c>
      <c r="K19" s="50">
        <f t="shared" si="3"/>
        <v>-574099014</v>
      </c>
      <c r="L19" s="50">
        <f t="shared" si="3"/>
        <v>0</v>
      </c>
      <c r="M19" s="50">
        <f t="shared" si="3"/>
        <v>-100817200</v>
      </c>
      <c r="N19" s="50">
        <f t="shared" si="3"/>
        <v>-182077540</v>
      </c>
      <c r="O19" s="50">
        <f t="shared" si="3"/>
        <v>-263074206.20689654</v>
      </c>
      <c r="P19" s="50">
        <f t="shared" si="3"/>
        <v>-277741568.5</v>
      </c>
      <c r="Q19" s="50">
        <f t="shared" si="3"/>
        <v>584578352</v>
      </c>
      <c r="R19" s="50">
        <f t="shared" si="3"/>
        <v>2168095041.1999998</v>
      </c>
      <c r="S19" s="50">
        <f t="shared" si="3"/>
        <v>616437000</v>
      </c>
      <c r="T19" s="50">
        <f>T16-T18</f>
        <v>119989660</v>
      </c>
      <c r="U19" s="50">
        <f t="shared" si="3"/>
        <v>763316575.5999999</v>
      </c>
      <c r="V19" s="50">
        <f t="shared" si="3"/>
        <v>125398580</v>
      </c>
      <c r="W19" s="50">
        <f t="shared" si="3"/>
        <v>1327462800</v>
      </c>
      <c r="X19" s="50">
        <f>X16-X17</f>
        <v>296258007.10000008</v>
      </c>
      <c r="Y19" s="50"/>
      <c r="Z19" s="50">
        <f>Z16-Z17</f>
        <v>-8067556.1999999881</v>
      </c>
    </row>
    <row r="20" spans="2:26" ht="15.75" x14ac:dyDescent="0.25">
      <c r="B20" s="15" t="s">
        <v>1714</v>
      </c>
      <c r="C20" s="81">
        <v>18000000000</v>
      </c>
      <c r="D20" s="81">
        <v>2000000000</v>
      </c>
      <c r="E20" s="81"/>
      <c r="F20" s="81">
        <v>30000000000</v>
      </c>
      <c r="G20" s="82">
        <f>SUM(C20:F20)</f>
        <v>50000000000</v>
      </c>
      <c r="I20" s="79">
        <f>I16/I18</f>
        <v>0.84544616913768256</v>
      </c>
      <c r="J20" s="79">
        <f t="shared" ref="J20:Z20" si="4">J16/J18</f>
        <v>0.80846460827557232</v>
      </c>
      <c r="K20" s="79">
        <f t="shared" si="4"/>
        <v>0.46506145630722839</v>
      </c>
      <c r="L20" s="79" t="e">
        <f t="shared" si="4"/>
        <v>#DIV/0!</v>
      </c>
      <c r="M20" s="79">
        <f t="shared" si="4"/>
        <v>0</v>
      </c>
      <c r="N20" s="88">
        <f t="shared" si="4"/>
        <v>0.61237315310598728</v>
      </c>
      <c r="O20" s="79">
        <f t="shared" si="4"/>
        <v>0.45535045946281072</v>
      </c>
      <c r="P20" s="79">
        <f t="shared" si="4"/>
        <v>0.44511854149606978</v>
      </c>
      <c r="Q20" s="79">
        <f t="shared" si="4"/>
        <v>1.3726894578301116</v>
      </c>
      <c r="R20" s="79">
        <f t="shared" si="4"/>
        <v>1.805459267467979</v>
      </c>
      <c r="S20" s="79">
        <f t="shared" si="4"/>
        <v>1.321134028943046</v>
      </c>
      <c r="T20" s="79">
        <f t="shared" si="4"/>
        <v>1.0698671628097465</v>
      </c>
      <c r="U20" s="79">
        <f t="shared" si="4"/>
        <v>2.3789181684275071</v>
      </c>
      <c r="V20" s="79">
        <f t="shared" si="4"/>
        <v>1.1752316360685569</v>
      </c>
      <c r="W20" s="79">
        <f t="shared" si="4"/>
        <v>1.6800913789723522</v>
      </c>
      <c r="X20" s="79">
        <f t="shared" si="4"/>
        <v>1.4005180133625965</v>
      </c>
      <c r="Y20" s="79"/>
      <c r="Z20" s="79">
        <f t="shared" si="4"/>
        <v>0.78938565411990924</v>
      </c>
    </row>
    <row r="21" spans="2:26" ht="15.75" x14ac:dyDescent="0.25">
      <c r="C21" s="81">
        <f>C16-C20</f>
        <v>-12621089122</v>
      </c>
      <c r="D21" s="81">
        <f>D16-D20</f>
        <v>-1456196216.7</v>
      </c>
      <c r="E21" s="81">
        <f>E16-E20</f>
        <v>323347640</v>
      </c>
      <c r="F21" s="81">
        <f>F16-F20</f>
        <v>-12205358500.200001</v>
      </c>
      <c r="G21" s="82">
        <f>SUM(C21:F21)</f>
        <v>-25959296198.900002</v>
      </c>
      <c r="I21" s="50">
        <f>I18/12</f>
        <v>231963526.66666666</v>
      </c>
      <c r="J21" s="85">
        <f t="shared" ref="J21:Z21" si="5">J18/12</f>
        <v>62845200</v>
      </c>
      <c r="K21" s="85">
        <f t="shared" si="5"/>
        <v>89433795.833333328</v>
      </c>
      <c r="L21" s="85">
        <f t="shared" si="5"/>
        <v>0</v>
      </c>
      <c r="M21" s="85">
        <f t="shared" si="5"/>
        <v>8401433.333333334</v>
      </c>
      <c r="N21" s="85">
        <f t="shared" si="5"/>
        <v>39143646.666666664</v>
      </c>
      <c r="O21" s="85">
        <f t="shared" si="5"/>
        <v>40251297.183908045</v>
      </c>
      <c r="P21" s="85">
        <f t="shared" si="5"/>
        <v>41711847.375</v>
      </c>
      <c r="Q21" s="85">
        <f t="shared" si="5"/>
        <v>130711673.33333333</v>
      </c>
      <c r="R21" s="85">
        <f t="shared" si="5"/>
        <v>224312506</v>
      </c>
      <c r="S21" s="85">
        <f t="shared" si="5"/>
        <v>159963583.33333334</v>
      </c>
      <c r="T21" s="85">
        <f t="shared" si="5"/>
        <v>143116421.66666666</v>
      </c>
      <c r="U21" s="85">
        <f t="shared" si="5"/>
        <v>46130159.20000001</v>
      </c>
      <c r="V21" s="85">
        <f t="shared" si="5"/>
        <v>59634675</v>
      </c>
      <c r="W21" s="85">
        <f t="shared" si="5"/>
        <v>162657406.66666666</v>
      </c>
      <c r="X21" s="85">
        <f t="shared" si="5"/>
        <v>25609368.324999999</v>
      </c>
      <c r="Y21" s="85"/>
      <c r="Z21" s="85">
        <f t="shared" si="5"/>
        <v>10306673.116666667</v>
      </c>
    </row>
    <row r="22" spans="2:26" x14ac:dyDescent="0.25">
      <c r="C22" s="79">
        <f>C16/C18</f>
        <v>0.80137399404643817</v>
      </c>
      <c r="D22" s="79">
        <f>D16/D18</f>
        <v>0.80245929334457389</v>
      </c>
      <c r="E22" s="79"/>
      <c r="F22" s="79">
        <f>F16/F18</f>
        <v>1.4870196504695701</v>
      </c>
      <c r="G22" s="79">
        <f>G16/G18</f>
        <v>1.2389547400593852</v>
      </c>
    </row>
    <row r="29" spans="2:26" x14ac:dyDescent="0.25">
      <c r="D29" s="87">
        <v>0.05</v>
      </c>
    </row>
    <row r="30" spans="2:26" x14ac:dyDescent="0.25">
      <c r="D30" s="86"/>
    </row>
    <row r="31" spans="2:26" x14ac:dyDescent="0.25">
      <c r="D31" s="15">
        <v>140000000000</v>
      </c>
    </row>
    <row r="33" spans="4:4" x14ac:dyDescent="0.25">
      <c r="D33" s="15">
        <f>D29*D31</f>
        <v>7000000000</v>
      </c>
    </row>
    <row r="35" spans="4:4" x14ac:dyDescent="0.25">
      <c r="D35" s="15">
        <f>D33/12</f>
        <v>583333333.33333337</v>
      </c>
    </row>
  </sheetData>
  <mergeCells count="7">
    <mergeCell ref="J2:J3"/>
    <mergeCell ref="A2:A3"/>
    <mergeCell ref="B2:B3"/>
    <mergeCell ref="C2:E2"/>
    <mergeCell ref="G2:G3"/>
    <mergeCell ref="H2:H3"/>
    <mergeCell ref="I2:I3"/>
  </mergeCells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E3BC-4AC1-4E80-91C4-7D46B151B2AA}">
  <dimension ref="A2:Z35"/>
  <sheetViews>
    <sheetView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20" sqref="G20"/>
    </sheetView>
  </sheetViews>
  <sheetFormatPr defaultRowHeight="15" x14ac:dyDescent="0.25"/>
  <cols>
    <col min="1" max="1" width="11" bestFit="1" customWidth="1"/>
    <col min="2" max="2" width="16.85546875" style="15" customWidth="1"/>
    <col min="3" max="3" width="17.85546875" style="15" customWidth="1"/>
    <col min="4" max="4" width="18.5703125" style="15" customWidth="1"/>
    <col min="5" max="5" width="17.85546875" style="15" customWidth="1"/>
    <col min="6" max="6" width="19.7109375" style="15" customWidth="1"/>
    <col min="7" max="7" width="18.28515625" style="15" customWidth="1"/>
    <col min="8" max="8" width="9.42578125" style="16" customWidth="1"/>
    <col min="9" max="9" width="15.7109375" style="16" customWidth="1"/>
    <col min="10" max="10" width="15.28515625" style="16" customWidth="1"/>
    <col min="11" max="11" width="16.28515625" style="16" customWidth="1"/>
    <col min="12" max="13" width="15.28515625" style="16" customWidth="1"/>
    <col min="14" max="16" width="14.85546875" style="16" customWidth="1"/>
    <col min="17" max="17" width="16.42578125" style="16" customWidth="1"/>
    <col min="18" max="18" width="16.140625" style="16" customWidth="1"/>
    <col min="19" max="19" width="16.7109375" style="16" customWidth="1"/>
    <col min="20" max="21" width="16.28515625" style="16" customWidth="1"/>
    <col min="22" max="22" width="13.85546875" style="16" customWidth="1"/>
    <col min="23" max="23" width="16.85546875" style="16" customWidth="1"/>
    <col min="24" max="25" width="15.85546875" customWidth="1"/>
    <col min="26" max="26" width="16.5703125" customWidth="1"/>
  </cols>
  <sheetData>
    <row r="2" spans="1:26" ht="15" customHeight="1" x14ac:dyDescent="0.25">
      <c r="A2" s="96" t="s">
        <v>1537</v>
      </c>
      <c r="B2" s="98" t="s">
        <v>1529</v>
      </c>
      <c r="C2" s="100"/>
      <c r="D2" s="100"/>
      <c r="E2" s="100"/>
      <c r="F2" s="37"/>
      <c r="G2" s="98" t="s">
        <v>1517</v>
      </c>
      <c r="H2" s="101" t="s">
        <v>1516</v>
      </c>
      <c r="I2" s="94" t="s">
        <v>1697</v>
      </c>
      <c r="J2" s="94" t="s">
        <v>1693</v>
      </c>
      <c r="K2" s="59" t="s">
        <v>1702</v>
      </c>
      <c r="L2" s="59" t="s">
        <v>1702</v>
      </c>
      <c r="M2" s="59" t="s">
        <v>1702</v>
      </c>
      <c r="N2" s="59" t="s">
        <v>1702</v>
      </c>
      <c r="O2" s="59" t="s">
        <v>1702</v>
      </c>
      <c r="P2" s="59" t="s">
        <v>1702</v>
      </c>
      <c r="Q2" s="53" t="s">
        <v>1694</v>
      </c>
      <c r="R2" s="89" t="s">
        <v>1694</v>
      </c>
      <c r="S2" s="53" t="s">
        <v>1694</v>
      </c>
      <c r="T2" s="89" t="s">
        <v>1694</v>
      </c>
      <c r="U2" s="53" t="s">
        <v>1694</v>
      </c>
      <c r="V2" s="53" t="s">
        <v>1710</v>
      </c>
      <c r="W2" s="53" t="s">
        <v>1694</v>
      </c>
      <c r="X2" s="53" t="s">
        <v>1694</v>
      </c>
      <c r="Y2" s="53" t="s">
        <v>1694</v>
      </c>
      <c r="Z2" s="53" t="s">
        <v>1694</v>
      </c>
    </row>
    <row r="3" spans="1:26" x14ac:dyDescent="0.25">
      <c r="A3" s="97"/>
      <c r="B3" s="99"/>
      <c r="C3" s="38" t="s">
        <v>1519</v>
      </c>
      <c r="D3" s="38" t="s">
        <v>1712</v>
      </c>
      <c r="E3" s="38" t="s">
        <v>1518</v>
      </c>
      <c r="F3" s="38" t="s">
        <v>1520</v>
      </c>
      <c r="G3" s="99"/>
      <c r="H3" s="95"/>
      <c r="I3" s="95"/>
      <c r="J3" s="95"/>
      <c r="K3" s="58" t="s">
        <v>1703</v>
      </c>
      <c r="L3" s="58" t="s">
        <v>1704</v>
      </c>
      <c r="M3" s="58" t="s">
        <v>1717</v>
      </c>
      <c r="N3" s="58" t="s">
        <v>1705</v>
      </c>
      <c r="O3" s="58" t="s">
        <v>1706</v>
      </c>
      <c r="P3" s="58" t="s">
        <v>1715</v>
      </c>
      <c r="Q3" s="55" t="s">
        <v>1695</v>
      </c>
      <c r="R3" s="90" t="s">
        <v>1696</v>
      </c>
      <c r="S3" s="55" t="s">
        <v>1698</v>
      </c>
      <c r="T3" s="90" t="s">
        <v>1699</v>
      </c>
      <c r="U3" s="55" t="s">
        <v>1716</v>
      </c>
      <c r="V3" s="55" t="s">
        <v>1711</v>
      </c>
      <c r="W3" s="55" t="s">
        <v>1708</v>
      </c>
      <c r="X3" s="55" t="s">
        <v>1719</v>
      </c>
      <c r="Y3" s="55" t="s">
        <v>1723</v>
      </c>
      <c r="Z3" s="55" t="s">
        <v>1720</v>
      </c>
    </row>
    <row r="4" spans="1:26" x14ac:dyDescent="0.25">
      <c r="A4" s="39" t="s">
        <v>1540</v>
      </c>
      <c r="B4" s="40">
        <v>5000000000</v>
      </c>
      <c r="C4" s="40">
        <v>861717452.20000005</v>
      </c>
      <c r="D4" s="40">
        <v>26842196.699999999</v>
      </c>
      <c r="E4" s="40">
        <v>23051600</v>
      </c>
      <c r="F4" s="40">
        <v>1659870141.5999999</v>
      </c>
      <c r="G4" s="40">
        <f>SUM(C4:F4)</f>
        <v>2571481390.5</v>
      </c>
      <c r="H4" s="35">
        <f>G4/B4</f>
        <v>0.5142962781</v>
      </c>
      <c r="I4" s="43">
        <v>223951200.00000003</v>
      </c>
      <c r="J4" s="41">
        <v>93060000</v>
      </c>
      <c r="K4" s="43">
        <v>203000000</v>
      </c>
      <c r="L4" s="43"/>
      <c r="M4" s="43">
        <v>35633400</v>
      </c>
      <c r="N4" s="43">
        <v>86384100</v>
      </c>
      <c r="O4" s="43">
        <v>75324920</v>
      </c>
      <c r="P4" s="43">
        <v>57876500</v>
      </c>
      <c r="Q4" s="41">
        <v>290442240</v>
      </c>
      <c r="R4" s="43">
        <v>560112960</v>
      </c>
      <c r="S4" s="43">
        <v>290000000</v>
      </c>
      <c r="T4" s="43">
        <v>201880800</v>
      </c>
      <c r="U4" s="43">
        <v>60482400.000000007</v>
      </c>
      <c r="V4" s="43">
        <v>61261200</v>
      </c>
      <c r="W4" s="43">
        <v>115397700</v>
      </c>
      <c r="X4" s="40">
        <v>25687447.5</v>
      </c>
      <c r="Y4" s="40"/>
      <c r="Z4" s="40">
        <v>13361700</v>
      </c>
    </row>
    <row r="5" spans="1:26" x14ac:dyDescent="0.25">
      <c r="A5" s="39" t="s">
        <v>1541</v>
      </c>
      <c r="B5" s="40">
        <v>6000000000</v>
      </c>
      <c r="C5" s="42">
        <v>789679412.5</v>
      </c>
      <c r="D5" s="42">
        <v>92835050</v>
      </c>
      <c r="E5" s="40">
        <v>15615600</v>
      </c>
      <c r="F5" s="40">
        <v>802084211.5</v>
      </c>
      <c r="G5" s="40">
        <f t="shared" ref="G5:G15" si="0">SUM(C5:F5)</f>
        <v>1700214274</v>
      </c>
      <c r="H5" s="35">
        <f t="shared" ref="H5:H15" si="1">G5/B5</f>
        <v>0.28336904566666665</v>
      </c>
      <c r="I5" s="43">
        <v>530519000.00000006</v>
      </c>
      <c r="J5" s="41">
        <v>43362000</v>
      </c>
      <c r="K5" s="43">
        <v>72000000</v>
      </c>
      <c r="L5" s="43"/>
      <c r="M5" s="43">
        <v>34373900</v>
      </c>
      <c r="N5" s="43">
        <v>14500200.000000002</v>
      </c>
      <c r="O5" s="43">
        <v>62637586.206896536</v>
      </c>
      <c r="P5" s="43">
        <v>32995968.5</v>
      </c>
      <c r="Q5" s="41">
        <v>133816320.00000001</v>
      </c>
      <c r="R5" s="43">
        <v>119813760</v>
      </c>
      <c r="S5" s="43">
        <v>94000000</v>
      </c>
      <c r="T5" s="43">
        <v>121000000</v>
      </c>
      <c r="U5" s="43">
        <v>19905600</v>
      </c>
      <c r="V5" s="43">
        <v>50727600</v>
      </c>
      <c r="W5" s="43">
        <v>229851600</v>
      </c>
      <c r="X5" s="40">
        <v>7976067</v>
      </c>
      <c r="Y5" s="40"/>
      <c r="Z5" s="40">
        <v>4217400</v>
      </c>
    </row>
    <row r="6" spans="1:26" x14ac:dyDescent="0.25">
      <c r="A6" s="39" t="s">
        <v>1542</v>
      </c>
      <c r="B6" s="40">
        <v>6000000000</v>
      </c>
      <c r="C6" s="42">
        <v>597995611.39999998</v>
      </c>
      <c r="D6" s="46">
        <v>32890990</v>
      </c>
      <c r="E6" s="40">
        <v>8923200.0000000019</v>
      </c>
      <c r="F6" s="40">
        <v>826612707.79999995</v>
      </c>
      <c r="G6" s="40">
        <f t="shared" si="0"/>
        <v>1466422509.1999998</v>
      </c>
      <c r="H6" s="35">
        <f t="shared" si="1"/>
        <v>0.2444037515333333</v>
      </c>
      <c r="I6" s="43">
        <v>316086100</v>
      </c>
      <c r="J6" s="41">
        <v>74566800</v>
      </c>
      <c r="K6" s="43">
        <v>24387550</v>
      </c>
      <c r="L6" s="43"/>
      <c r="M6" s="43">
        <v>15011700</v>
      </c>
      <c r="N6" s="83">
        <v>15796000</v>
      </c>
      <c r="O6" s="43">
        <v>32923000</v>
      </c>
      <c r="P6" s="43">
        <v>60687000</v>
      </c>
      <c r="Q6" s="41">
        <v>28892160</v>
      </c>
      <c r="R6" s="43">
        <v>226533120</v>
      </c>
      <c r="S6" s="43">
        <v>113000000</v>
      </c>
      <c r="T6" s="43">
        <v>143668800</v>
      </c>
      <c r="U6" s="43">
        <v>30624000</v>
      </c>
      <c r="V6" s="43">
        <v>27997200</v>
      </c>
      <c r="W6" s="43">
        <v>176490600</v>
      </c>
      <c r="X6" s="40">
        <v>13231300.500000002</v>
      </c>
      <c r="Y6" s="40"/>
      <c r="Z6" s="40">
        <v>12283834.199999999</v>
      </c>
    </row>
    <row r="7" spans="1:26" x14ac:dyDescent="0.25">
      <c r="A7" s="19" t="s">
        <v>1543</v>
      </c>
      <c r="B7" s="40">
        <v>6000000000</v>
      </c>
      <c r="C7" s="42">
        <v>998250981.20000005</v>
      </c>
      <c r="D7" s="40">
        <v>32421400</v>
      </c>
      <c r="E7" s="40"/>
      <c r="F7" s="40">
        <v>1066391901.3</v>
      </c>
      <c r="G7" s="40">
        <f t="shared" si="0"/>
        <v>2097064282.5</v>
      </c>
      <c r="H7" s="35">
        <f t="shared" si="1"/>
        <v>0.34951071374999998</v>
      </c>
      <c r="I7" s="43">
        <v>647880200</v>
      </c>
      <c r="J7" s="41">
        <v>65290500</v>
      </c>
      <c r="K7" s="61">
        <v>104000000</v>
      </c>
      <c r="L7" s="61"/>
      <c r="M7" s="61">
        <v>15798200</v>
      </c>
      <c r="N7" s="61">
        <v>59358200</v>
      </c>
      <c r="O7" s="61">
        <v>19888000</v>
      </c>
      <c r="P7" s="43">
        <v>47960000</v>
      </c>
      <c r="Q7" s="41">
        <v>119370240</v>
      </c>
      <c r="R7" s="43">
        <v>237794304</v>
      </c>
      <c r="S7" s="43">
        <v>131000000</v>
      </c>
      <c r="T7" s="43">
        <v>191000000</v>
      </c>
      <c r="U7" s="43">
        <v>32920800</v>
      </c>
      <c r="V7" s="43">
        <v>103848360.00000001</v>
      </c>
      <c r="W7" s="43">
        <v>169702500</v>
      </c>
      <c r="X7" s="40">
        <v>37561810</v>
      </c>
      <c r="Y7" s="40"/>
      <c r="Z7" s="40">
        <v>10890000</v>
      </c>
    </row>
    <row r="8" spans="1:26" x14ac:dyDescent="0.25">
      <c r="A8" s="19" t="s">
        <v>1544</v>
      </c>
      <c r="B8" s="40">
        <v>6000000000</v>
      </c>
      <c r="C8" s="42">
        <v>459309228.39999998</v>
      </c>
      <c r="D8" s="40">
        <v>55294800</v>
      </c>
      <c r="E8" s="40"/>
      <c r="F8" s="40">
        <v>722533362.10000002</v>
      </c>
      <c r="G8" s="40">
        <f t="shared" si="0"/>
        <v>1237137390.5</v>
      </c>
      <c r="H8" s="35">
        <f t="shared" si="1"/>
        <v>0.20618956508333333</v>
      </c>
      <c r="I8" s="43">
        <v>107263200</v>
      </c>
      <c r="J8" s="41">
        <v>64171800</v>
      </c>
      <c r="K8" s="61">
        <v>125000000</v>
      </c>
      <c r="L8" s="61"/>
      <c r="M8" s="61"/>
      <c r="N8" s="61">
        <v>38603400</v>
      </c>
      <c r="O8" s="61">
        <v>34233100</v>
      </c>
      <c r="P8" s="43">
        <v>38313000</v>
      </c>
      <c r="Q8" s="41">
        <v>53982720</v>
      </c>
      <c r="R8" s="43">
        <v>69203904</v>
      </c>
      <c r="S8" s="43">
        <v>145000000</v>
      </c>
      <c r="T8" s="43">
        <v>148000000</v>
      </c>
      <c r="U8" s="43">
        <v>35646336</v>
      </c>
      <c r="V8" s="43">
        <v>54873720</v>
      </c>
      <c r="W8" s="43">
        <v>187235400</v>
      </c>
      <c r="X8" s="40">
        <v>18235580</v>
      </c>
      <c r="Y8" s="40"/>
      <c r="Z8" s="40">
        <v>7467900</v>
      </c>
    </row>
    <row r="9" spans="1:26" x14ac:dyDescent="0.25">
      <c r="A9" s="19" t="s">
        <v>1545</v>
      </c>
      <c r="B9" s="40">
        <v>6000000000</v>
      </c>
      <c r="C9" s="42">
        <v>362876544.80000001</v>
      </c>
      <c r="D9" s="40">
        <v>58993206.800000004</v>
      </c>
      <c r="E9" s="47"/>
      <c r="F9" s="40">
        <v>850070900.79999995</v>
      </c>
      <c r="G9" s="40">
        <f t="shared" si="0"/>
        <v>1271940652.4000001</v>
      </c>
      <c r="H9" s="35">
        <f t="shared" si="1"/>
        <v>0.21199010873333335</v>
      </c>
      <c r="I9" s="43">
        <v>130152000.00000001</v>
      </c>
      <c r="J9" s="41">
        <v>43560000</v>
      </c>
      <c r="K9" s="61">
        <v>37000000</v>
      </c>
      <c r="L9" s="61"/>
      <c r="M9" s="61"/>
      <c r="N9" s="61">
        <v>36280200</v>
      </c>
      <c r="O9" s="61">
        <v>27805140</v>
      </c>
      <c r="P9" s="43">
        <v>49874000</v>
      </c>
      <c r="Q9" s="41">
        <v>91998720.000000015</v>
      </c>
      <c r="R9" s="43">
        <v>240936960</v>
      </c>
      <c r="S9" s="43">
        <v>128000000</v>
      </c>
      <c r="T9" s="43">
        <v>90446400</v>
      </c>
      <c r="U9" s="43">
        <v>28112832.000000004</v>
      </c>
      <c r="V9" s="43">
        <v>63866880</v>
      </c>
      <c r="W9" s="43">
        <v>146361600</v>
      </c>
      <c r="X9" s="40">
        <v>16086227.300000001</v>
      </c>
      <c r="Y9" s="40"/>
      <c r="Z9" s="40">
        <v>8360348.7000000002</v>
      </c>
    </row>
    <row r="10" spans="1:26" x14ac:dyDescent="0.25">
      <c r="A10" s="19" t="s">
        <v>1546</v>
      </c>
      <c r="B10" s="40">
        <v>6000000000</v>
      </c>
      <c r="C10" s="42">
        <v>487833447.20000005</v>
      </c>
      <c r="D10" s="40">
        <v>66036833.5</v>
      </c>
      <c r="E10" s="42"/>
      <c r="F10" s="40">
        <v>969805337.60000002</v>
      </c>
      <c r="G10" s="40">
        <f t="shared" si="0"/>
        <v>1523675618.3000002</v>
      </c>
      <c r="H10" s="35">
        <f t="shared" si="1"/>
        <v>0.25394593638333335</v>
      </c>
      <c r="I10" s="43">
        <v>109021000</v>
      </c>
      <c r="J10" s="43">
        <v>63023400.000000007</v>
      </c>
      <c r="K10" s="61">
        <v>148918000</v>
      </c>
      <c r="L10" s="61"/>
      <c r="M10" s="61"/>
      <c r="N10" s="61">
        <v>56980550</v>
      </c>
      <c r="O10" s="61">
        <v>33636460</v>
      </c>
      <c r="P10" s="43">
        <v>27445000</v>
      </c>
      <c r="Q10" s="41">
        <v>109486000</v>
      </c>
      <c r="R10" s="43">
        <v>216843000</v>
      </c>
      <c r="S10" s="43">
        <v>150563000</v>
      </c>
      <c r="T10" s="43">
        <v>205000000</v>
      </c>
      <c r="U10" s="43">
        <v>51264000</v>
      </c>
      <c r="V10" s="43">
        <v>41403000</v>
      </c>
      <c r="W10" s="43">
        <v>128000000</v>
      </c>
      <c r="X10" s="40">
        <v>22673000</v>
      </c>
      <c r="Y10" s="40"/>
      <c r="Z10" s="40">
        <v>12991000</v>
      </c>
    </row>
    <row r="11" spans="1:26" x14ac:dyDescent="0.25">
      <c r="A11" s="19" t="s">
        <v>1547</v>
      </c>
      <c r="B11" s="40">
        <v>6000000000</v>
      </c>
      <c r="C11" s="42">
        <v>336335135.39999998</v>
      </c>
      <c r="D11" s="40">
        <v>56895850</v>
      </c>
      <c r="E11" s="45"/>
      <c r="F11" s="40">
        <v>1009491023.2</v>
      </c>
      <c r="G11" s="40">
        <f>SUM(C11:F11)</f>
        <v>1402722008.5999999</v>
      </c>
      <c r="H11" s="35">
        <f t="shared" si="1"/>
        <v>0.23378700143333331</v>
      </c>
      <c r="I11" s="43">
        <v>51612000.000000007</v>
      </c>
      <c r="J11" s="43">
        <v>56826000.000000007</v>
      </c>
      <c r="K11" s="61">
        <v>62000000</v>
      </c>
      <c r="L11" s="61"/>
      <c r="M11" s="61"/>
      <c r="N11" s="61">
        <v>40576800.000000007</v>
      </c>
      <c r="O11" s="61">
        <v>55000000</v>
      </c>
      <c r="P11" s="43">
        <v>37581500</v>
      </c>
      <c r="Q11" s="41">
        <v>140659200</v>
      </c>
      <c r="R11" s="43">
        <v>205254720</v>
      </c>
      <c r="S11" s="43">
        <v>158000000</v>
      </c>
      <c r="T11" s="43">
        <v>130480020</v>
      </c>
      <c r="U11" s="43">
        <v>57052512</v>
      </c>
      <c r="V11" s="43">
        <v>75862380</v>
      </c>
      <c r="W11" s="43">
        <v>150486600</v>
      </c>
      <c r="X11" s="40">
        <v>39686565.600000001</v>
      </c>
      <c r="Y11" s="40"/>
      <c r="Z11" s="40">
        <v>8313626.2000000011</v>
      </c>
    </row>
    <row r="12" spans="1:26" x14ac:dyDescent="0.25">
      <c r="A12" s="19" t="s">
        <v>1548</v>
      </c>
      <c r="B12" s="40">
        <v>6000000000</v>
      </c>
      <c r="C12" s="42">
        <v>301515024.80000001</v>
      </c>
      <c r="D12" s="40">
        <v>53136235.899999999</v>
      </c>
      <c r="E12" s="40"/>
      <c r="F12" s="40">
        <v>994200802.10000002</v>
      </c>
      <c r="G12" s="40">
        <f t="shared" si="0"/>
        <v>1348852062.8</v>
      </c>
      <c r="H12" s="35">
        <f>G12/B12</f>
        <v>0.22480867713333333</v>
      </c>
      <c r="I12" s="43">
        <v>57633400.000000007</v>
      </c>
      <c r="J12" s="43">
        <v>28809000.000000004</v>
      </c>
      <c r="K12" s="61">
        <v>90500000</v>
      </c>
      <c r="L12" s="61"/>
      <c r="M12" s="61"/>
      <c r="N12" s="61">
        <v>32641510</v>
      </c>
      <c r="O12" s="61">
        <v>23886500</v>
      </c>
      <c r="P12" s="43">
        <v>30575600.000000004</v>
      </c>
      <c r="Q12" s="41">
        <v>105684480.00000001</v>
      </c>
      <c r="R12" s="43">
        <v>169572480</v>
      </c>
      <c r="S12" s="43">
        <v>175000000</v>
      </c>
      <c r="T12" s="43">
        <v>106015140</v>
      </c>
      <c r="U12" s="43">
        <v>51264576.000000007</v>
      </c>
      <c r="V12" s="43">
        <v>47266560</v>
      </c>
      <c r="W12" s="43">
        <v>242932800</v>
      </c>
      <c r="X12" s="40">
        <v>27667283.600000001</v>
      </c>
      <c r="Y12" s="40"/>
      <c r="Z12" s="40">
        <v>10046484.800000001</v>
      </c>
    </row>
    <row r="13" spans="1:26" x14ac:dyDescent="0.25">
      <c r="A13" s="19" t="s">
        <v>1549</v>
      </c>
      <c r="B13" s="40">
        <v>6000000000</v>
      </c>
      <c r="C13" s="42">
        <v>595806973.29999995</v>
      </c>
      <c r="D13" s="40">
        <v>86663170</v>
      </c>
      <c r="E13" s="40"/>
      <c r="F13" s="40">
        <v>1033216386.4</v>
      </c>
      <c r="G13" s="40">
        <f t="shared" si="0"/>
        <v>1715686529.6999998</v>
      </c>
      <c r="H13" s="35">
        <f t="shared" si="1"/>
        <v>0.28594775494999997</v>
      </c>
      <c r="I13" s="43">
        <v>316030000</v>
      </c>
      <c r="J13" s="43">
        <v>62568000</v>
      </c>
      <c r="K13" s="61">
        <v>90400000</v>
      </c>
      <c r="L13" s="61"/>
      <c r="M13" s="61"/>
      <c r="N13" s="61">
        <v>30404000</v>
      </c>
      <c r="O13" s="61">
        <v>36532980</v>
      </c>
      <c r="P13" s="43">
        <v>23232000</v>
      </c>
      <c r="Q13" s="41">
        <v>206046720</v>
      </c>
      <c r="R13" s="43">
        <v>239431104</v>
      </c>
      <c r="S13" s="43">
        <v>182000000</v>
      </c>
      <c r="T13" s="43">
        <v>121363440</v>
      </c>
      <c r="U13" s="43">
        <v>38861856.000000007</v>
      </c>
      <c r="V13" s="43">
        <v>62010960</v>
      </c>
      <c r="W13" s="43">
        <v>99475200</v>
      </c>
      <c r="X13" s="40">
        <v>32044232</v>
      </c>
      <c r="Y13" s="40"/>
      <c r="Z13" s="40">
        <v>14532224.300000001</v>
      </c>
    </row>
    <row r="14" spans="1:26" x14ac:dyDescent="0.25">
      <c r="A14" s="19" t="s">
        <v>1550</v>
      </c>
      <c r="B14" s="40">
        <v>6000000000</v>
      </c>
      <c r="C14" s="42">
        <v>462759294.80000001</v>
      </c>
      <c r="D14" s="40">
        <v>73878255</v>
      </c>
      <c r="E14" s="40"/>
      <c r="F14" s="40">
        <v>1027273379</v>
      </c>
      <c r="G14" s="40">
        <f t="shared" si="0"/>
        <v>1563910928.8</v>
      </c>
      <c r="H14" s="35">
        <f t="shared" si="1"/>
        <v>0.26065182146666666</v>
      </c>
      <c r="I14" s="43">
        <v>103990700.00000001</v>
      </c>
      <c r="J14" s="43">
        <v>98148600</v>
      </c>
      <c r="K14" s="61">
        <v>90000000</v>
      </c>
      <c r="L14" s="61"/>
      <c r="M14" s="61"/>
      <c r="N14" s="61">
        <v>32487400</v>
      </c>
      <c r="O14" s="61">
        <v>20660200</v>
      </c>
      <c r="P14" s="43">
        <v>69108600</v>
      </c>
      <c r="Q14" s="41">
        <v>203765760</v>
      </c>
      <c r="R14" s="43">
        <v>198511104</v>
      </c>
      <c r="S14" s="43">
        <v>155000000</v>
      </c>
      <c r="T14" s="43">
        <v>123422640</v>
      </c>
      <c r="U14" s="43">
        <v>58871577.600000009</v>
      </c>
      <c r="V14" s="43">
        <v>66010560</v>
      </c>
      <c r="W14" s="43">
        <v>147457200</v>
      </c>
      <c r="X14" s="40">
        <v>34292632</v>
      </c>
      <c r="Y14" s="40"/>
      <c r="Z14" s="40">
        <v>8777144.1999999993</v>
      </c>
    </row>
    <row r="15" spans="1:26" x14ac:dyDescent="0.25">
      <c r="A15" s="19" t="s">
        <v>1551</v>
      </c>
      <c r="B15" s="40">
        <v>6000000000</v>
      </c>
      <c r="C15" s="42">
        <v>458031491.5</v>
      </c>
      <c r="D15" s="40">
        <v>41783500</v>
      </c>
      <c r="E15" s="40"/>
      <c r="F15" s="40">
        <v>1005098366.8</v>
      </c>
      <c r="G15" s="40">
        <f t="shared" si="0"/>
        <v>1504913358.3</v>
      </c>
      <c r="H15" s="35">
        <f t="shared" si="1"/>
        <v>0.25081889304999999</v>
      </c>
      <c r="I15" s="43">
        <v>189423520</v>
      </c>
      <c r="J15" s="43">
        <v>60756300</v>
      </c>
      <c r="K15" s="61">
        <v>26000000</v>
      </c>
      <c r="L15" s="61"/>
      <c r="M15" s="61"/>
      <c r="N15" s="61">
        <v>25711400</v>
      </c>
      <c r="O15" s="61">
        <v>60487680</v>
      </c>
      <c r="P15" s="43">
        <v>24893000</v>
      </c>
      <c r="Q15" s="41">
        <v>84395520</v>
      </c>
      <c r="R15" s="43">
        <v>207742656</v>
      </c>
      <c r="S15" s="43">
        <v>198000000</v>
      </c>
      <c r="T15" s="43">
        <v>135119820</v>
      </c>
      <c r="U15" s="43">
        <v>88555420.800000012</v>
      </c>
      <c r="V15" s="43">
        <v>60487680</v>
      </c>
      <c r="W15" s="43">
        <v>158497680</v>
      </c>
      <c r="X15" s="40">
        <v>32170274.400000002</v>
      </c>
      <c r="Y15" s="40"/>
      <c r="Z15" s="40">
        <v>12438415</v>
      </c>
    </row>
    <row r="16" spans="1:26" s="64" customFormat="1" ht="20.25" customHeight="1" x14ac:dyDescent="0.25">
      <c r="A16" s="62" t="s">
        <v>1522</v>
      </c>
      <c r="B16" s="63">
        <f>SUM(B4:B15)</f>
        <v>71000000000</v>
      </c>
      <c r="C16" s="63">
        <f t="shared" ref="C16:Z16" si="2">SUM(C4:C15)</f>
        <v>6712110597.500001</v>
      </c>
      <c r="D16" s="63">
        <f t="shared" si="2"/>
        <v>677671487.89999998</v>
      </c>
      <c r="E16" s="63">
        <f t="shared" si="2"/>
        <v>47590400</v>
      </c>
      <c r="F16" s="63">
        <f>SUM(F4:F15)</f>
        <v>11966648520.199999</v>
      </c>
      <c r="G16" s="63">
        <f t="shared" si="2"/>
        <v>19404021005.599998</v>
      </c>
      <c r="H16" s="73">
        <f>G16/G17</f>
        <v>0.7485318711950929</v>
      </c>
      <c r="I16" s="63">
        <f t="shared" si="2"/>
        <v>2783562320</v>
      </c>
      <c r="J16" s="63">
        <f t="shared" si="2"/>
        <v>754142400</v>
      </c>
      <c r="K16" s="63">
        <f t="shared" si="2"/>
        <v>1073205550</v>
      </c>
      <c r="L16" s="63">
        <f t="shared" si="2"/>
        <v>0</v>
      </c>
      <c r="M16" s="63">
        <f t="shared" si="2"/>
        <v>100817200</v>
      </c>
      <c r="N16" s="63">
        <f t="shared" si="2"/>
        <v>469723760</v>
      </c>
      <c r="O16" s="63">
        <f t="shared" si="2"/>
        <v>483015566.20689654</v>
      </c>
      <c r="P16" s="63">
        <f>SUM(P4:P15)</f>
        <v>500542168.5</v>
      </c>
      <c r="Q16" s="63">
        <f t="shared" si="2"/>
        <v>1568540080</v>
      </c>
      <c r="R16" s="63">
        <f t="shared" si="2"/>
        <v>2691750072</v>
      </c>
      <c r="S16" s="63">
        <f t="shared" si="2"/>
        <v>1919563000</v>
      </c>
      <c r="T16" s="63">
        <f t="shared" si="2"/>
        <v>1717397060</v>
      </c>
      <c r="U16" s="63">
        <f t="shared" si="2"/>
        <v>553561910.4000001</v>
      </c>
      <c r="V16" s="63">
        <f t="shared" si="2"/>
        <v>715616100</v>
      </c>
      <c r="W16" s="63">
        <f t="shared" si="2"/>
        <v>1951888880</v>
      </c>
      <c r="X16" s="63">
        <f t="shared" si="2"/>
        <v>307312419.89999998</v>
      </c>
      <c r="Y16" s="63">
        <f t="shared" si="2"/>
        <v>0</v>
      </c>
      <c r="Z16" s="63">
        <f t="shared" si="2"/>
        <v>123680077.40000001</v>
      </c>
    </row>
    <row r="17" spans="2:26" ht="22.5" customHeight="1" x14ac:dyDescent="0.25">
      <c r="B17" s="75" t="s">
        <v>1713</v>
      </c>
      <c r="C17" s="70">
        <v>10526963373</v>
      </c>
      <c r="D17" s="70">
        <v>1600000000</v>
      </c>
      <c r="E17" s="70">
        <v>6705553771.6999998</v>
      </c>
      <c r="F17" s="70">
        <v>7090254820.3999977</v>
      </c>
      <c r="G17" s="76">
        <f>SUM(C17:F17)</f>
        <v>25922771965.099998</v>
      </c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>
        <v>1051686120</v>
      </c>
      <c r="U17" s="78"/>
      <c r="V17" s="78"/>
      <c r="W17" s="78"/>
      <c r="X17" s="78"/>
      <c r="Y17" s="78"/>
      <c r="Z17" s="78"/>
    </row>
    <row r="18" spans="2:26" ht="22.5" customHeight="1" x14ac:dyDescent="0.25">
      <c r="B18" s="75" t="s">
        <v>1718</v>
      </c>
      <c r="C18" s="70">
        <v>9455533660.0000019</v>
      </c>
      <c r="D18" s="70">
        <v>1166682988.8999999</v>
      </c>
      <c r="E18" s="70">
        <v>1283728140.8999999</v>
      </c>
      <c r="F18" s="70">
        <v>10469489893.5</v>
      </c>
      <c r="G18" s="76">
        <v>22375434683.299999</v>
      </c>
      <c r="I18" s="78">
        <v>4207086940</v>
      </c>
      <c r="J18" s="78">
        <v>842087010</v>
      </c>
      <c r="K18" s="78">
        <v>1375052520</v>
      </c>
      <c r="L18" s="78">
        <v>101234455.5</v>
      </c>
      <c r="M18" s="78">
        <v>524633560</v>
      </c>
      <c r="N18" s="78">
        <v>623772975</v>
      </c>
      <c r="O18" s="78">
        <v>561970950</v>
      </c>
      <c r="P18" s="78">
        <v>407672100</v>
      </c>
      <c r="Q18" s="78">
        <v>1093192384</v>
      </c>
      <c r="R18" s="78">
        <v>3549406915.9000001</v>
      </c>
      <c r="S18" s="78">
        <v>1135500000</v>
      </c>
      <c r="T18" s="78">
        <v>1383914340</v>
      </c>
      <c r="U18" s="78">
        <v>316720800</v>
      </c>
      <c r="V18" s="78">
        <v>422489560</v>
      </c>
      <c r="W18" s="78">
        <v>1788406500</v>
      </c>
      <c r="X18" s="78">
        <v>134138572.7</v>
      </c>
      <c r="Y18" s="78"/>
      <c r="Z18" s="78">
        <v>105698835</v>
      </c>
    </row>
    <row r="19" spans="2:26" ht="23.25" customHeight="1" x14ac:dyDescent="0.25">
      <c r="C19" s="68">
        <f>C16-C18</f>
        <v>-2743423062.500001</v>
      </c>
      <c r="D19" s="68">
        <f>D16-D18</f>
        <v>-489011500.99999988</v>
      </c>
      <c r="E19" s="68">
        <f>E16-E18</f>
        <v>-1236137740.8999999</v>
      </c>
      <c r="F19" s="68">
        <f>F16-F18</f>
        <v>1497158626.6999989</v>
      </c>
      <c r="G19" s="68">
        <f>G16-G18</f>
        <v>-2971413677.7000008</v>
      </c>
      <c r="H19" s="77"/>
      <c r="I19" s="50">
        <f>I16-I18</f>
        <v>-1423524620</v>
      </c>
      <c r="J19" s="50">
        <f t="shared" ref="J19:W19" si="3">J16-J18</f>
        <v>-87944610</v>
      </c>
      <c r="K19" s="50">
        <f t="shared" si="3"/>
        <v>-301846970</v>
      </c>
      <c r="L19" s="50">
        <f t="shared" si="3"/>
        <v>-101234455.5</v>
      </c>
      <c r="M19" s="50">
        <f t="shared" si="3"/>
        <v>-423816360</v>
      </c>
      <c r="N19" s="50">
        <f t="shared" si="3"/>
        <v>-154049215</v>
      </c>
      <c r="O19" s="50">
        <f t="shared" si="3"/>
        <v>-78955383.793103456</v>
      </c>
      <c r="P19" s="50">
        <f t="shared" si="3"/>
        <v>92870068.5</v>
      </c>
      <c r="Q19" s="50">
        <f t="shared" si="3"/>
        <v>475347696</v>
      </c>
      <c r="R19" s="50">
        <f t="shared" si="3"/>
        <v>-857656843.9000001</v>
      </c>
      <c r="S19" s="50">
        <f t="shared" si="3"/>
        <v>784063000</v>
      </c>
      <c r="T19" s="50">
        <f>T16-T18</f>
        <v>333482720</v>
      </c>
      <c r="U19" s="50">
        <f t="shared" si="3"/>
        <v>236841110.4000001</v>
      </c>
      <c r="V19" s="50">
        <f t="shared" si="3"/>
        <v>293126540</v>
      </c>
      <c r="W19" s="50">
        <f t="shared" si="3"/>
        <v>163482380</v>
      </c>
      <c r="X19" s="50">
        <f>X16-X17</f>
        <v>307312419.89999998</v>
      </c>
      <c r="Y19" s="50"/>
      <c r="Z19" s="50">
        <f>Z16-Z17</f>
        <v>123680077.40000001</v>
      </c>
    </row>
    <row r="20" spans="2:26" ht="15.75" x14ac:dyDescent="0.25">
      <c r="B20" s="15" t="s">
        <v>1714</v>
      </c>
      <c r="C20" s="81">
        <v>18000000000</v>
      </c>
      <c r="D20" s="81">
        <v>2000000000</v>
      </c>
      <c r="E20" s="81"/>
      <c r="F20" s="81">
        <v>30000000000</v>
      </c>
      <c r="G20" s="82">
        <f>SUM(C20:F20)</f>
        <v>50000000000</v>
      </c>
      <c r="I20" s="79">
        <f>I16/I18</f>
        <v>0.6616365099410092</v>
      </c>
      <c r="J20" s="79">
        <f t="shared" ref="J20:Z20" si="4">J16/J18</f>
        <v>0.89556351189884764</v>
      </c>
      <c r="K20" s="79">
        <f t="shared" si="4"/>
        <v>0.78048331564819062</v>
      </c>
      <c r="L20" s="79">
        <f t="shared" si="4"/>
        <v>0</v>
      </c>
      <c r="M20" s="79">
        <f t="shared" si="4"/>
        <v>0.19216689073417262</v>
      </c>
      <c r="N20" s="88">
        <f t="shared" si="4"/>
        <v>0.75303640719606357</v>
      </c>
      <c r="O20" s="79">
        <f t="shared" si="4"/>
        <v>0.85950273089186646</v>
      </c>
      <c r="P20" s="79">
        <f t="shared" si="4"/>
        <v>1.2278057990723428</v>
      </c>
      <c r="Q20" s="79">
        <f t="shared" si="4"/>
        <v>1.4348252905501397</v>
      </c>
      <c r="R20" s="79">
        <f t="shared" si="4"/>
        <v>0.75836615405857755</v>
      </c>
      <c r="S20" s="79">
        <f t="shared" si="4"/>
        <v>1.6905002201673272</v>
      </c>
      <c r="T20" s="79">
        <f t="shared" si="4"/>
        <v>1.2409706369543074</v>
      </c>
      <c r="U20" s="79">
        <f t="shared" si="4"/>
        <v>1.7477914630172697</v>
      </c>
      <c r="V20" s="79">
        <f t="shared" si="4"/>
        <v>1.6938077712500161</v>
      </c>
      <c r="W20" s="79">
        <f t="shared" si="4"/>
        <v>1.0914123159360023</v>
      </c>
      <c r="X20" s="79">
        <f t="shared" si="4"/>
        <v>2.2910070810675918</v>
      </c>
      <c r="Y20" s="79"/>
      <c r="Z20" s="79">
        <f t="shared" si="4"/>
        <v>1.1701176971345049</v>
      </c>
    </row>
    <row r="21" spans="2:26" ht="15.75" x14ac:dyDescent="0.25">
      <c r="C21" s="81">
        <f>C16-C20</f>
        <v>-11287889402.5</v>
      </c>
      <c r="D21" s="81">
        <f>D16-D20</f>
        <v>-1322328512.0999999</v>
      </c>
      <c r="E21" s="81">
        <f>E16-E20</f>
        <v>47590400</v>
      </c>
      <c r="F21" s="81">
        <f>F16-F20</f>
        <v>-18033351479.800003</v>
      </c>
      <c r="G21" s="82">
        <f>SUM(C21:F21)</f>
        <v>-30595978994.400002</v>
      </c>
      <c r="I21" s="50">
        <f>I18/12</f>
        <v>350590578.33333331</v>
      </c>
      <c r="J21" s="85">
        <f t="shared" ref="J21:Z21" si="5">J18/12</f>
        <v>70173917.5</v>
      </c>
      <c r="K21" s="85">
        <f t="shared" si="5"/>
        <v>114587710</v>
      </c>
      <c r="L21" s="85">
        <f t="shared" si="5"/>
        <v>8436204.625</v>
      </c>
      <c r="M21" s="85">
        <f t="shared" si="5"/>
        <v>43719463.333333336</v>
      </c>
      <c r="N21" s="85">
        <f t="shared" si="5"/>
        <v>51981081.25</v>
      </c>
      <c r="O21" s="85">
        <f t="shared" si="5"/>
        <v>46830912.5</v>
      </c>
      <c r="P21" s="85">
        <f t="shared" si="5"/>
        <v>33972675</v>
      </c>
      <c r="Q21" s="85">
        <f t="shared" si="5"/>
        <v>91099365.333333328</v>
      </c>
      <c r="R21" s="85">
        <f t="shared" si="5"/>
        <v>295783909.65833336</v>
      </c>
      <c r="S21" s="85">
        <f t="shared" si="5"/>
        <v>94625000</v>
      </c>
      <c r="T21" s="85">
        <f t="shared" si="5"/>
        <v>115326195</v>
      </c>
      <c r="U21" s="85">
        <f t="shared" si="5"/>
        <v>26393400</v>
      </c>
      <c r="V21" s="85">
        <f t="shared" si="5"/>
        <v>35207463.333333336</v>
      </c>
      <c r="W21" s="85">
        <f t="shared" si="5"/>
        <v>149033875</v>
      </c>
      <c r="X21" s="85">
        <f t="shared" si="5"/>
        <v>11178214.391666668</v>
      </c>
      <c r="Y21" s="85"/>
      <c r="Z21" s="85">
        <f t="shared" si="5"/>
        <v>8808236.25</v>
      </c>
    </row>
    <row r="22" spans="2:26" x14ac:dyDescent="0.25">
      <c r="C22" s="79">
        <f>C16/C18</f>
        <v>0.70986057887926757</v>
      </c>
      <c r="D22" s="79">
        <f>D16/D18</f>
        <v>0.58085314892517503</v>
      </c>
      <c r="E22" s="79"/>
      <c r="F22" s="79">
        <f>F16/F18</f>
        <v>1.1430020604565951</v>
      </c>
      <c r="G22" s="79">
        <f>G16/G18</f>
        <v>0.86720196859828036</v>
      </c>
    </row>
    <row r="29" spans="2:26" x14ac:dyDescent="0.25">
      <c r="D29" s="87">
        <v>0.05</v>
      </c>
    </row>
    <row r="30" spans="2:26" x14ac:dyDescent="0.25">
      <c r="D30" s="86"/>
    </row>
    <row r="31" spans="2:26" x14ac:dyDescent="0.25">
      <c r="D31" s="15">
        <v>140000000000</v>
      </c>
    </row>
    <row r="33" spans="4:4" x14ac:dyDescent="0.25">
      <c r="D33" s="15">
        <f>D29*D31</f>
        <v>7000000000</v>
      </c>
    </row>
    <row r="35" spans="4:4" x14ac:dyDescent="0.25">
      <c r="D35" s="15">
        <f>D33/12</f>
        <v>583333333.33333337</v>
      </c>
    </row>
  </sheetData>
  <mergeCells count="7">
    <mergeCell ref="J2:J3"/>
    <mergeCell ref="A2:A3"/>
    <mergeCell ref="B2:B3"/>
    <mergeCell ref="C2:E2"/>
    <mergeCell ref="G2:G3"/>
    <mergeCell ref="H2:H3"/>
    <mergeCell ref="I2:I3"/>
  </mergeCells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A21"/>
  <sheetViews>
    <sheetView tabSelected="1" zoomScale="97" zoomScaleNormal="97" workbookViewId="0">
      <pane xSplit="2" ySplit="3" topLeftCell="M4" activePane="bottomRight" state="frozen"/>
      <selection pane="topRight" activeCell="C1" sqref="C1"/>
      <selection pane="bottomLeft" activeCell="A4" sqref="A4"/>
      <selection pane="bottomRight" activeCell="X23" sqref="X23"/>
    </sheetView>
  </sheetViews>
  <sheetFormatPr defaultRowHeight="15" x14ac:dyDescent="0.25"/>
  <cols>
    <col min="1" max="1" width="11" bestFit="1" customWidth="1"/>
    <col min="2" max="2" width="16.85546875" style="15" customWidth="1"/>
    <col min="3" max="3" width="19.28515625" style="15" customWidth="1"/>
    <col min="4" max="4" width="18.5703125" style="15" customWidth="1"/>
    <col min="5" max="5" width="19.140625" style="15" customWidth="1"/>
    <col min="6" max="6" width="19.7109375" style="15" customWidth="1"/>
    <col min="7" max="7" width="19.42578125" style="15" customWidth="1"/>
    <col min="8" max="8" width="9.42578125" style="16" customWidth="1"/>
    <col min="9" max="9" width="15.7109375" style="16" customWidth="1"/>
    <col min="10" max="10" width="15.28515625" style="16" customWidth="1"/>
    <col min="11" max="11" width="16.28515625" style="16" customWidth="1"/>
    <col min="12" max="13" width="15.28515625" style="16" customWidth="1"/>
    <col min="14" max="16" width="14.85546875" style="16" customWidth="1"/>
    <col min="17" max="18" width="16.140625" style="16" customWidth="1"/>
    <col min="19" max="19" width="15.5703125" style="16" customWidth="1"/>
    <col min="20" max="21" width="16.28515625" style="16" customWidth="1"/>
    <col min="22" max="22" width="13.85546875" style="16" customWidth="1"/>
    <col min="23" max="25" width="16.85546875" style="16" customWidth="1"/>
    <col min="26" max="26" width="15.85546875" customWidth="1"/>
    <col min="27" max="27" width="16.5703125" customWidth="1"/>
  </cols>
  <sheetData>
    <row r="2" spans="1:27" x14ac:dyDescent="0.25">
      <c r="A2" s="96" t="s">
        <v>1537</v>
      </c>
      <c r="B2" s="98" t="s">
        <v>1529</v>
      </c>
      <c r="C2" s="100"/>
      <c r="D2" s="100"/>
      <c r="E2" s="100"/>
      <c r="F2" s="37"/>
      <c r="G2" s="98" t="s">
        <v>1517</v>
      </c>
      <c r="H2" s="101" t="s">
        <v>1516</v>
      </c>
      <c r="I2" s="94" t="s">
        <v>1697</v>
      </c>
      <c r="J2" s="94" t="s">
        <v>1693</v>
      </c>
      <c r="K2" s="59" t="s">
        <v>1702</v>
      </c>
      <c r="L2" s="59" t="s">
        <v>1702</v>
      </c>
      <c r="M2" s="59" t="s">
        <v>1702</v>
      </c>
      <c r="N2" s="59" t="s">
        <v>1702</v>
      </c>
      <c r="O2" s="59" t="s">
        <v>1702</v>
      </c>
      <c r="P2" s="59" t="s">
        <v>1702</v>
      </c>
      <c r="Q2" s="53" t="s">
        <v>1694</v>
      </c>
      <c r="R2" s="53" t="s">
        <v>1694</v>
      </c>
      <c r="S2" s="53" t="s">
        <v>1694</v>
      </c>
      <c r="T2" s="53" t="s">
        <v>1694</v>
      </c>
      <c r="U2" s="53" t="s">
        <v>1694</v>
      </c>
      <c r="V2" s="53" t="s">
        <v>1710</v>
      </c>
      <c r="W2" s="53" t="s">
        <v>1694</v>
      </c>
      <c r="X2" s="53" t="s">
        <v>1694</v>
      </c>
      <c r="Y2" s="53" t="s">
        <v>1694</v>
      </c>
      <c r="Z2" s="102" t="s">
        <v>1707</v>
      </c>
      <c r="AA2" s="104" t="s">
        <v>1538</v>
      </c>
    </row>
    <row r="3" spans="1:27" x14ac:dyDescent="0.25">
      <c r="A3" s="97"/>
      <c r="B3" s="99"/>
      <c r="C3" s="38" t="s">
        <v>1519</v>
      </c>
      <c r="D3" s="38" t="s">
        <v>1712</v>
      </c>
      <c r="E3" s="38" t="s">
        <v>1518</v>
      </c>
      <c r="F3" s="38" t="s">
        <v>1520</v>
      </c>
      <c r="G3" s="99"/>
      <c r="H3" s="95"/>
      <c r="I3" s="95"/>
      <c r="J3" s="95"/>
      <c r="K3" s="58" t="s">
        <v>1703</v>
      </c>
      <c r="L3" s="58" t="s">
        <v>1704</v>
      </c>
      <c r="M3" s="58" t="s">
        <v>1717</v>
      </c>
      <c r="N3" s="58" t="s">
        <v>1705</v>
      </c>
      <c r="O3" s="58" t="s">
        <v>1706</v>
      </c>
      <c r="P3" s="58" t="s">
        <v>1715</v>
      </c>
      <c r="Q3" s="55" t="s">
        <v>1695</v>
      </c>
      <c r="R3" s="55" t="s">
        <v>1696</v>
      </c>
      <c r="S3" s="55" t="s">
        <v>1698</v>
      </c>
      <c r="T3" s="55" t="s">
        <v>1699</v>
      </c>
      <c r="U3" s="55" t="s">
        <v>1716</v>
      </c>
      <c r="V3" s="55" t="s">
        <v>1711</v>
      </c>
      <c r="W3" s="55" t="s">
        <v>1708</v>
      </c>
      <c r="X3" s="55" t="s">
        <v>1721</v>
      </c>
      <c r="Y3" s="55" t="s">
        <v>1722</v>
      </c>
      <c r="Z3" s="103"/>
      <c r="AA3" s="103"/>
    </row>
    <row r="4" spans="1:27" x14ac:dyDescent="0.25">
      <c r="A4" s="39" t="s">
        <v>1540</v>
      </c>
      <c r="B4" s="40">
        <v>5000000000</v>
      </c>
      <c r="C4" s="40">
        <v>710462562.70000005</v>
      </c>
      <c r="D4" s="40">
        <v>66958437.700000003</v>
      </c>
      <c r="E4" s="40">
        <v>159846171.09999999</v>
      </c>
      <c r="F4" s="40">
        <v>729657259.10000002</v>
      </c>
      <c r="G4" s="40">
        <f>SUM(C4:F4)</f>
        <v>1666924430.6000001</v>
      </c>
      <c r="H4" s="35">
        <f>G4/B4</f>
        <v>0.33338488612</v>
      </c>
      <c r="I4" s="43">
        <v>160652800</v>
      </c>
      <c r="J4" s="41">
        <v>112788720</v>
      </c>
      <c r="K4" s="43">
        <v>160658520</v>
      </c>
      <c r="L4" s="43">
        <v>26234455.5</v>
      </c>
      <c r="M4" s="43">
        <v>50266700</v>
      </c>
      <c r="N4" s="43">
        <v>53966000</v>
      </c>
      <c r="O4" s="43">
        <v>66514800</v>
      </c>
      <c r="P4" s="43">
        <v>2629000</v>
      </c>
      <c r="Q4" s="41">
        <v>83635200</v>
      </c>
      <c r="R4" s="43">
        <v>205091040</v>
      </c>
      <c r="S4" s="43">
        <v>68000000</v>
      </c>
      <c r="T4" s="43">
        <v>152750400</v>
      </c>
      <c r="U4" s="43">
        <v>7656000.0000000009</v>
      </c>
      <c r="V4" s="43">
        <v>56284800</v>
      </c>
      <c r="W4" s="43">
        <v>110536800</v>
      </c>
      <c r="X4" s="43">
        <v>7229142.7999999998</v>
      </c>
      <c r="Y4" s="43">
        <v>1203015</v>
      </c>
      <c r="Z4" s="40"/>
      <c r="AA4" s="40">
        <v>78258584.799999982</v>
      </c>
    </row>
    <row r="5" spans="1:27" x14ac:dyDescent="0.25">
      <c r="A5" s="39" t="s">
        <v>1541</v>
      </c>
      <c r="B5" s="40">
        <v>6000000000</v>
      </c>
      <c r="C5" s="42">
        <v>683000000</v>
      </c>
      <c r="D5" s="42">
        <v>52000000</v>
      </c>
      <c r="E5" s="40">
        <v>259000000</v>
      </c>
      <c r="F5" s="40">
        <v>836000000</v>
      </c>
      <c r="G5" s="40">
        <f t="shared" ref="G5:G15" si="0">SUM(C5:F5)</f>
        <v>1830000000</v>
      </c>
      <c r="H5" s="35">
        <f t="shared" ref="H5:H15" si="1">G5/B5</f>
        <v>0.30499999999999999</v>
      </c>
      <c r="I5" s="43">
        <v>133000000</v>
      </c>
      <c r="J5" s="41">
        <v>88500000</v>
      </c>
      <c r="K5" s="43">
        <v>146000000</v>
      </c>
      <c r="L5" s="43">
        <v>75000000</v>
      </c>
      <c r="M5" s="43">
        <v>22772200</v>
      </c>
      <c r="N5" s="43">
        <v>56000000</v>
      </c>
      <c r="O5" s="43">
        <v>46000000</v>
      </c>
      <c r="P5" s="43">
        <v>26158000.000000004</v>
      </c>
      <c r="Q5" s="41">
        <v>31000000</v>
      </c>
      <c r="R5" s="43">
        <v>364000000</v>
      </c>
      <c r="S5" s="43">
        <v>58000000</v>
      </c>
      <c r="T5" s="43">
        <v>127000000</v>
      </c>
      <c r="U5" s="43">
        <v>13015200</v>
      </c>
      <c r="V5" s="43">
        <v>34531000</v>
      </c>
      <c r="W5" s="43">
        <v>144000000</v>
      </c>
      <c r="X5" s="43">
        <v>4684838.4000000004</v>
      </c>
      <c r="Y5" s="43">
        <v>9929700</v>
      </c>
      <c r="Z5" s="40"/>
      <c r="AA5" s="40">
        <v>89765394.399999976</v>
      </c>
    </row>
    <row r="6" spans="1:27" x14ac:dyDescent="0.25">
      <c r="A6" s="39" t="s">
        <v>1542</v>
      </c>
      <c r="B6" s="40">
        <v>6000000000</v>
      </c>
      <c r="C6" s="45">
        <v>639554773</v>
      </c>
      <c r="D6" s="46">
        <v>105495299.8</v>
      </c>
      <c r="E6" s="40">
        <v>198484834.90000001</v>
      </c>
      <c r="F6" s="40">
        <v>652255650.20000005</v>
      </c>
      <c r="G6" s="40">
        <f t="shared" si="0"/>
        <v>1595790557.9000001</v>
      </c>
      <c r="H6" s="35">
        <f t="shared" si="1"/>
        <v>0.26596509298333337</v>
      </c>
      <c r="I6" s="43">
        <v>299538800</v>
      </c>
      <c r="J6" s="41">
        <v>56849760</v>
      </c>
      <c r="K6" s="43">
        <v>93894000</v>
      </c>
      <c r="L6" s="43">
        <v>0</v>
      </c>
      <c r="M6" s="43">
        <v>32751400</v>
      </c>
      <c r="N6" s="83">
        <v>14113000</v>
      </c>
      <c r="O6" s="43">
        <v>31481780</v>
      </c>
      <c r="P6" s="43">
        <v>31570000.000000004</v>
      </c>
      <c r="Q6" s="41">
        <v>57277440.000000007</v>
      </c>
      <c r="R6" s="43">
        <v>264261360</v>
      </c>
      <c r="S6" s="43">
        <v>82000000</v>
      </c>
      <c r="T6" s="43">
        <v>67623600</v>
      </c>
      <c r="U6" s="43">
        <v>4356000.0000000009</v>
      </c>
      <c r="V6" s="43">
        <v>6652800</v>
      </c>
      <c r="W6" s="43">
        <v>107929800</v>
      </c>
      <c r="X6" s="43">
        <v>5358467.4000000004</v>
      </c>
      <c r="Y6" s="43">
        <v>4468200</v>
      </c>
      <c r="Z6" s="40"/>
      <c r="AA6" s="40">
        <v>64237931.999999993</v>
      </c>
    </row>
    <row r="7" spans="1:27" x14ac:dyDescent="0.25">
      <c r="A7" s="19" t="s">
        <v>1543</v>
      </c>
      <c r="B7" s="40">
        <v>6000000000</v>
      </c>
      <c r="C7" s="45">
        <v>664410932.89999998</v>
      </c>
      <c r="D7" s="40">
        <v>77656100.5</v>
      </c>
      <c r="E7" s="40">
        <v>156713119.19999996</v>
      </c>
      <c r="F7" s="40">
        <v>943459385</v>
      </c>
      <c r="G7" s="40">
        <f t="shared" si="0"/>
        <v>1842239537.5999999</v>
      </c>
      <c r="H7" s="35">
        <f t="shared" si="1"/>
        <v>0.30703992293333332</v>
      </c>
      <c r="I7" s="43">
        <v>233798400</v>
      </c>
      <c r="J7" s="43">
        <v>80942400</v>
      </c>
      <c r="K7" s="61">
        <v>102000000</v>
      </c>
      <c r="L7" s="61"/>
      <c r="M7" s="61">
        <v>66385440</v>
      </c>
      <c r="N7" s="61">
        <v>27698000</v>
      </c>
      <c r="O7" s="61">
        <v>48121700</v>
      </c>
      <c r="P7" s="43">
        <v>41096000</v>
      </c>
      <c r="Q7" s="41">
        <v>127733760</v>
      </c>
      <c r="R7" s="43">
        <v>345037440</v>
      </c>
      <c r="S7" s="43">
        <v>73000000</v>
      </c>
      <c r="T7" s="43">
        <v>128324460</v>
      </c>
      <c r="U7" s="43">
        <v>27561600.000000004</v>
      </c>
      <c r="V7" s="43">
        <v>53042880</v>
      </c>
      <c r="W7" s="43">
        <v>122357400</v>
      </c>
      <c r="X7" s="43">
        <v>10540842.4</v>
      </c>
      <c r="Y7" s="43">
        <v>6918120</v>
      </c>
      <c r="Z7" s="40"/>
      <c r="AA7" s="40">
        <v>59291399.199999996</v>
      </c>
    </row>
    <row r="8" spans="1:27" x14ac:dyDescent="0.25">
      <c r="A8" s="19" t="s">
        <v>1544</v>
      </c>
      <c r="B8" s="40">
        <v>6000000000</v>
      </c>
      <c r="C8" s="45">
        <v>1163870939</v>
      </c>
      <c r="D8" s="40">
        <v>106226840.5</v>
      </c>
      <c r="E8" s="40">
        <v>189530122.10000002</v>
      </c>
      <c r="F8" s="40">
        <v>935099856.9000001</v>
      </c>
      <c r="G8" s="40">
        <f t="shared" si="0"/>
        <v>2394727758.5</v>
      </c>
      <c r="H8" s="35">
        <f t="shared" si="1"/>
        <v>0.39912129308333333</v>
      </c>
      <c r="I8" s="43">
        <v>672546600</v>
      </c>
      <c r="J8" s="43">
        <v>93931200</v>
      </c>
      <c r="K8" s="61">
        <v>160000000</v>
      </c>
      <c r="L8" s="61"/>
      <c r="M8" s="61">
        <v>66289520.000000007</v>
      </c>
      <c r="N8" s="61">
        <v>44251900</v>
      </c>
      <c r="O8" s="61">
        <v>53350000</v>
      </c>
      <c r="P8" s="43">
        <v>18128000</v>
      </c>
      <c r="Q8" s="41">
        <v>78312960.000000015</v>
      </c>
      <c r="R8" s="43">
        <v>186881640</v>
      </c>
      <c r="S8" s="43">
        <v>79000000</v>
      </c>
      <c r="T8" s="43">
        <v>98326800</v>
      </c>
      <c r="U8" s="43">
        <v>20671200</v>
      </c>
      <c r="V8" s="43">
        <v>34837440</v>
      </c>
      <c r="W8" s="43">
        <v>363201300</v>
      </c>
      <c r="X8" s="43">
        <v>12328417.200000001</v>
      </c>
      <c r="Y8" s="43">
        <v>15195510</v>
      </c>
      <c r="Z8" s="43"/>
      <c r="AA8" s="40">
        <v>53548659.999999978</v>
      </c>
    </row>
    <row r="9" spans="1:27" x14ac:dyDescent="0.25">
      <c r="A9" s="19" t="s">
        <v>1545</v>
      </c>
      <c r="B9" s="40">
        <v>6000000000</v>
      </c>
      <c r="C9" s="45">
        <v>760942490</v>
      </c>
      <c r="D9" s="40">
        <v>315945309.89999998</v>
      </c>
      <c r="E9" s="47">
        <v>137608209.20000002</v>
      </c>
      <c r="F9" s="40">
        <v>756904377.89999998</v>
      </c>
      <c r="G9" s="40">
        <f t="shared" si="0"/>
        <v>1971400387</v>
      </c>
      <c r="H9" s="35">
        <f t="shared" si="1"/>
        <v>0.32856673116666668</v>
      </c>
      <c r="I9" s="43">
        <v>395401600</v>
      </c>
      <c r="J9" s="43">
        <v>74606400</v>
      </c>
      <c r="K9" s="61">
        <v>68500000</v>
      </c>
      <c r="L9" s="61"/>
      <c r="M9" s="61">
        <v>20676700</v>
      </c>
      <c r="N9" s="61">
        <v>79349600</v>
      </c>
      <c r="O9" s="61">
        <v>27464800</v>
      </c>
      <c r="P9" s="43">
        <v>21109000</v>
      </c>
      <c r="Q9" s="41">
        <v>36267264</v>
      </c>
      <c r="R9" s="43">
        <v>288526920</v>
      </c>
      <c r="S9" s="43">
        <v>81500000</v>
      </c>
      <c r="T9" s="43">
        <v>119087100</v>
      </c>
      <c r="U9" s="43">
        <v>42108000</v>
      </c>
      <c r="V9" s="43">
        <v>30866880</v>
      </c>
      <c r="W9" s="43">
        <v>105372300</v>
      </c>
      <c r="X9" s="43">
        <v>8596222.8000000007</v>
      </c>
      <c r="Y9" s="43">
        <v>5735400</v>
      </c>
      <c r="Z9" s="43"/>
      <c r="AA9" s="40">
        <v>15037378.4</v>
      </c>
    </row>
    <row r="10" spans="1:27" x14ac:dyDescent="0.25">
      <c r="A10" s="19" t="s">
        <v>1546</v>
      </c>
      <c r="B10" s="40">
        <v>6000000000</v>
      </c>
      <c r="C10" s="45">
        <v>626173532.60000002</v>
      </c>
      <c r="D10" s="40">
        <v>13442170.5</v>
      </c>
      <c r="E10" s="42">
        <v>58623879.600000009</v>
      </c>
      <c r="F10" s="40">
        <v>798174086.60000002</v>
      </c>
      <c r="G10" s="40">
        <f t="shared" si="0"/>
        <v>1496413669.3000002</v>
      </c>
      <c r="H10" s="35">
        <f t="shared" si="1"/>
        <v>0.24940227821666669</v>
      </c>
      <c r="I10" s="43">
        <v>207143200</v>
      </c>
      <c r="J10" s="43">
        <v>107664480</v>
      </c>
      <c r="K10" s="61">
        <v>132000000</v>
      </c>
      <c r="L10" s="61"/>
      <c r="M10" s="61">
        <v>46964500</v>
      </c>
      <c r="N10" s="61">
        <v>23101650</v>
      </c>
      <c r="O10" s="61">
        <v>39376315</v>
      </c>
      <c r="P10" s="43">
        <v>26956600</v>
      </c>
      <c r="Q10" s="41">
        <v>132295680</v>
      </c>
      <c r="R10" s="43">
        <v>250966056</v>
      </c>
      <c r="S10" s="43">
        <v>109000000</v>
      </c>
      <c r="T10" s="43">
        <v>121664400</v>
      </c>
      <c r="U10" s="43">
        <v>22202400</v>
      </c>
      <c r="V10" s="43">
        <v>28300800</v>
      </c>
      <c r="W10" s="43">
        <v>66610500</v>
      </c>
      <c r="X10" s="43">
        <v>12153384.100000001</v>
      </c>
      <c r="Y10" s="43">
        <v>6534000</v>
      </c>
      <c r="Z10" s="40"/>
      <c r="AA10" s="40">
        <v>16359200</v>
      </c>
    </row>
    <row r="11" spans="1:27" x14ac:dyDescent="0.25">
      <c r="A11" s="19" t="s">
        <v>1547</v>
      </c>
      <c r="B11" s="40">
        <v>6000000000</v>
      </c>
      <c r="C11" s="45">
        <v>1355373273.0999999</v>
      </c>
      <c r="D11" s="40">
        <v>72212000</v>
      </c>
      <c r="E11" s="45">
        <v>64000000</v>
      </c>
      <c r="F11" s="40">
        <v>1151681180.0999999</v>
      </c>
      <c r="G11" s="40">
        <f t="shared" si="0"/>
        <v>2643266453.1999998</v>
      </c>
      <c r="H11" s="35">
        <f t="shared" si="1"/>
        <v>0.44054440886666663</v>
      </c>
      <c r="I11" s="43">
        <v>780239240</v>
      </c>
      <c r="J11" s="43">
        <v>105811200</v>
      </c>
      <c r="K11" s="61">
        <v>160000000</v>
      </c>
      <c r="L11" s="61"/>
      <c r="M11" s="61">
        <v>36844500</v>
      </c>
      <c r="N11" s="61">
        <v>60009950</v>
      </c>
      <c r="O11" s="61">
        <v>76945825</v>
      </c>
      <c r="P11" s="43">
        <v>46552000</v>
      </c>
      <c r="Q11" s="41">
        <v>119370240</v>
      </c>
      <c r="R11" s="43">
        <v>366495096</v>
      </c>
      <c r="S11" s="43">
        <v>107000000</v>
      </c>
      <c r="T11" s="43">
        <v>126628920</v>
      </c>
      <c r="U11" s="43">
        <v>45936000.000000007</v>
      </c>
      <c r="V11" s="43">
        <v>41215680</v>
      </c>
      <c r="W11" s="43">
        <v>274428000</v>
      </c>
      <c r="X11" s="43">
        <v>18515349.600000001</v>
      </c>
      <c r="Y11" s="43">
        <v>9312600</v>
      </c>
      <c r="Z11" s="40"/>
      <c r="AA11" s="40">
        <v>21564400</v>
      </c>
    </row>
    <row r="12" spans="1:27" x14ac:dyDescent="0.25">
      <c r="A12" s="19" t="s">
        <v>1548</v>
      </c>
      <c r="B12" s="40">
        <v>6000000000</v>
      </c>
      <c r="C12" s="45">
        <v>466587789.80000001</v>
      </c>
      <c r="D12" s="40">
        <v>62009281.399999999</v>
      </c>
      <c r="E12" s="40">
        <v>18280204.800000001</v>
      </c>
      <c r="F12" s="40">
        <v>885399557.89999998</v>
      </c>
      <c r="G12" s="40">
        <f t="shared" si="0"/>
        <v>1432276833.9000001</v>
      </c>
      <c r="H12" s="35">
        <f>G12/B12</f>
        <v>0.23871280565000003</v>
      </c>
      <c r="I12" s="43">
        <v>195342400</v>
      </c>
      <c r="J12" s="43">
        <v>19008000</v>
      </c>
      <c r="K12" s="61">
        <v>38000000</v>
      </c>
      <c r="L12" s="61"/>
      <c r="M12" s="61">
        <v>32404900</v>
      </c>
      <c r="N12" s="61">
        <v>58845380</v>
      </c>
      <c r="O12" s="61">
        <v>51560630</v>
      </c>
      <c r="P12" s="43">
        <v>28347000</v>
      </c>
      <c r="Q12" s="41">
        <v>110246400</v>
      </c>
      <c r="R12" s="43">
        <v>291577324.5</v>
      </c>
      <c r="S12" s="43">
        <v>116000000</v>
      </c>
      <c r="T12" s="43">
        <v>122296680</v>
      </c>
      <c r="U12" s="43">
        <v>33686400.000000007</v>
      </c>
      <c r="V12" s="43">
        <v>32862720</v>
      </c>
      <c r="W12" s="43">
        <v>114127200</v>
      </c>
      <c r="X12" s="43">
        <v>15392124</v>
      </c>
      <c r="Y12" s="43">
        <v>6468000</v>
      </c>
      <c r="Z12" s="40"/>
      <c r="AA12" s="40">
        <v>16731000</v>
      </c>
    </row>
    <row r="13" spans="1:27" x14ac:dyDescent="0.25">
      <c r="A13" s="19" t="s">
        <v>1549</v>
      </c>
      <c r="B13" s="40">
        <v>6000000000</v>
      </c>
      <c r="C13" s="45">
        <v>779795558.29999995</v>
      </c>
      <c r="D13" s="40">
        <v>45825022.100000001</v>
      </c>
      <c r="E13" s="40">
        <v>10782200</v>
      </c>
      <c r="F13" s="40">
        <v>1040451756.3</v>
      </c>
      <c r="G13" s="40">
        <f t="shared" si="0"/>
        <v>1876854536.6999998</v>
      </c>
      <c r="H13" s="35">
        <f t="shared" si="1"/>
        <v>0.31280908944999997</v>
      </c>
      <c r="I13" s="43">
        <v>385762300</v>
      </c>
      <c r="J13" s="43">
        <v>31363200</v>
      </c>
      <c r="K13" s="61">
        <v>128000000</v>
      </c>
      <c r="L13" s="61"/>
      <c r="M13" s="61">
        <v>44862400.000000007</v>
      </c>
      <c r="N13" s="61">
        <v>49753000</v>
      </c>
      <c r="O13" s="61">
        <v>49753000</v>
      </c>
      <c r="P13" s="43">
        <v>31331300</v>
      </c>
      <c r="Q13" s="41">
        <v>103403520</v>
      </c>
      <c r="R13" s="43">
        <v>376330079.39999998</v>
      </c>
      <c r="S13" s="43">
        <v>102000000</v>
      </c>
      <c r="T13" s="43">
        <v>81527600</v>
      </c>
      <c r="U13" s="43">
        <v>34452000.000000007</v>
      </c>
      <c r="V13" s="43">
        <v>35426160</v>
      </c>
      <c r="W13" s="43">
        <v>235478100</v>
      </c>
      <c r="X13" s="43">
        <v>15100888</v>
      </c>
      <c r="Y13" s="43">
        <v>8929800</v>
      </c>
      <c r="Z13" s="40"/>
      <c r="AA13" s="40">
        <v>7064200</v>
      </c>
    </row>
    <row r="14" spans="1:27" x14ac:dyDescent="0.25">
      <c r="A14" s="19" t="s">
        <v>1550</v>
      </c>
      <c r="B14" s="40">
        <v>6000000000</v>
      </c>
      <c r="C14" s="45">
        <v>917745252.60000002</v>
      </c>
      <c r="D14" s="40">
        <v>38208580.299999997</v>
      </c>
      <c r="E14" s="40">
        <v>17102800</v>
      </c>
      <c r="F14" s="40">
        <v>923188633.39999998</v>
      </c>
      <c r="G14" s="40">
        <f t="shared" si="0"/>
        <v>1896245266.3</v>
      </c>
      <c r="H14" s="35">
        <f t="shared" si="1"/>
        <v>0.31604087771666667</v>
      </c>
      <c r="I14" s="43">
        <v>499252600</v>
      </c>
      <c r="J14" s="43">
        <v>34981650</v>
      </c>
      <c r="K14" s="61">
        <v>100000000</v>
      </c>
      <c r="L14" s="61"/>
      <c r="M14" s="61">
        <v>57663100</v>
      </c>
      <c r="N14" s="61">
        <v>65395880</v>
      </c>
      <c r="O14" s="61">
        <v>31205900</v>
      </c>
      <c r="P14" s="43">
        <v>72646200</v>
      </c>
      <c r="Q14" s="41">
        <v>131535360</v>
      </c>
      <c r="R14" s="43">
        <v>356454120</v>
      </c>
      <c r="S14" s="43">
        <v>112000000</v>
      </c>
      <c r="T14" s="43">
        <v>111056880</v>
      </c>
      <c r="U14" s="43">
        <v>35217600.000000007</v>
      </c>
      <c r="V14" s="43">
        <v>35204400</v>
      </c>
      <c r="W14" s="43">
        <v>81638700</v>
      </c>
      <c r="X14" s="43">
        <v>8053188</v>
      </c>
      <c r="Y14" s="43">
        <v>10511820</v>
      </c>
      <c r="Z14" s="40"/>
      <c r="AA14" s="40"/>
    </row>
    <row r="15" spans="1:27" x14ac:dyDescent="0.25">
      <c r="A15" s="19" t="s">
        <v>1551</v>
      </c>
      <c r="B15" s="40">
        <v>6000000000</v>
      </c>
      <c r="C15" s="45">
        <v>687616556</v>
      </c>
      <c r="D15" s="40">
        <v>210703946.19999999</v>
      </c>
      <c r="E15" s="40">
        <v>13756600</v>
      </c>
      <c r="F15" s="40">
        <v>817218150.0999999</v>
      </c>
      <c r="G15" s="40">
        <f t="shared" si="0"/>
        <v>1729295252.3</v>
      </c>
      <c r="H15" s="35">
        <f t="shared" si="1"/>
        <v>0.28821587538333332</v>
      </c>
      <c r="I15" s="43">
        <v>244409000</v>
      </c>
      <c r="J15" s="43">
        <v>35640000.000000007</v>
      </c>
      <c r="K15" s="61">
        <v>86000000</v>
      </c>
      <c r="L15" s="61"/>
      <c r="M15" s="61">
        <v>46752200</v>
      </c>
      <c r="N15" s="61">
        <v>91288615</v>
      </c>
      <c r="O15" s="61">
        <v>40196200</v>
      </c>
      <c r="P15" s="43">
        <v>61149000</v>
      </c>
      <c r="Q15" s="41">
        <v>82114560</v>
      </c>
      <c r="R15" s="43">
        <v>253785840</v>
      </c>
      <c r="S15" s="43">
        <v>148000000</v>
      </c>
      <c r="T15" s="43">
        <v>127627500</v>
      </c>
      <c r="U15" s="43">
        <v>29858400.000000004</v>
      </c>
      <c r="V15" s="43">
        <v>33264000</v>
      </c>
      <c r="W15" s="43">
        <v>62726400</v>
      </c>
      <c r="X15" s="43">
        <v>16185708</v>
      </c>
      <c r="Y15" s="43">
        <v>20492670</v>
      </c>
      <c r="Z15" s="40"/>
      <c r="AA15" s="40"/>
    </row>
    <row r="16" spans="1:27" s="64" customFormat="1" ht="20.25" customHeight="1" x14ac:dyDescent="0.25">
      <c r="A16" s="62" t="s">
        <v>1522</v>
      </c>
      <c r="B16" s="63">
        <f>SUM(B4:B15)</f>
        <v>71000000000</v>
      </c>
      <c r="C16" s="63">
        <f t="shared" ref="C16:AA16" si="2">SUM(C4:C15)</f>
        <v>9455533660.0000019</v>
      </c>
      <c r="D16" s="63">
        <f t="shared" si="2"/>
        <v>1166682988.8999999</v>
      </c>
      <c r="E16" s="63">
        <f t="shared" si="2"/>
        <v>1283728140.8999999</v>
      </c>
      <c r="F16" s="63">
        <f>SUM(F4:F15)</f>
        <v>10469489893.5</v>
      </c>
      <c r="G16" s="63">
        <f t="shared" si="2"/>
        <v>22375434683.299999</v>
      </c>
      <c r="H16" s="73">
        <f>G16/G17</f>
        <v>0.86315748614477639</v>
      </c>
      <c r="I16" s="63">
        <f t="shared" si="2"/>
        <v>4207086940</v>
      </c>
      <c r="J16" s="63">
        <f t="shared" si="2"/>
        <v>842087010</v>
      </c>
      <c r="K16" s="63">
        <f t="shared" si="2"/>
        <v>1375052520</v>
      </c>
      <c r="L16" s="63">
        <f t="shared" si="2"/>
        <v>101234455.5</v>
      </c>
      <c r="M16" s="63">
        <f t="shared" si="2"/>
        <v>524633560</v>
      </c>
      <c r="N16" s="63">
        <f t="shared" si="2"/>
        <v>623772975</v>
      </c>
      <c r="O16" s="63">
        <f t="shared" si="2"/>
        <v>561970950</v>
      </c>
      <c r="P16" s="63">
        <f t="shared" si="2"/>
        <v>407672100</v>
      </c>
      <c r="Q16" s="63">
        <f t="shared" si="2"/>
        <v>1093192384</v>
      </c>
      <c r="R16" s="63">
        <f t="shared" si="2"/>
        <v>3549406915.9000001</v>
      </c>
      <c r="S16" s="63">
        <f t="shared" si="2"/>
        <v>1135500000</v>
      </c>
      <c r="T16" s="63">
        <f t="shared" si="2"/>
        <v>1383914340</v>
      </c>
      <c r="U16" s="63">
        <f t="shared" si="2"/>
        <v>316720800</v>
      </c>
      <c r="V16" s="63">
        <f t="shared" si="2"/>
        <v>422489560</v>
      </c>
      <c r="W16" s="63">
        <f t="shared" si="2"/>
        <v>1788406500</v>
      </c>
      <c r="X16" s="63">
        <f t="shared" si="2"/>
        <v>134138572.7</v>
      </c>
      <c r="Y16" s="63">
        <f t="shared" si="2"/>
        <v>105698835</v>
      </c>
      <c r="Z16" s="63">
        <f t="shared" si="2"/>
        <v>0</v>
      </c>
      <c r="AA16" s="63">
        <f t="shared" si="2"/>
        <v>421858148.79999995</v>
      </c>
    </row>
    <row r="17" spans="2:27" ht="22.5" customHeight="1" x14ac:dyDescent="0.25">
      <c r="B17" s="75" t="s">
        <v>1713</v>
      </c>
      <c r="C17" s="70">
        <v>10526963373</v>
      </c>
      <c r="D17" s="70">
        <v>1600000000</v>
      </c>
      <c r="E17" s="70">
        <v>6705553771.6999998</v>
      </c>
      <c r="F17" s="70">
        <v>7090254820.3999977</v>
      </c>
      <c r="G17" s="76">
        <f>SUM(C17:F17)</f>
        <v>25922771965.099998</v>
      </c>
      <c r="I17" s="78">
        <v>2652598880</v>
      </c>
      <c r="J17" s="78">
        <v>1459088333.7</v>
      </c>
      <c r="K17" s="78">
        <v>1376479000</v>
      </c>
      <c r="L17" s="78">
        <v>925810212.79999995</v>
      </c>
      <c r="M17" s="78"/>
      <c r="N17" s="78">
        <v>569459000</v>
      </c>
      <c r="O17" s="78">
        <v>490776110</v>
      </c>
      <c r="P17" s="78">
        <v>185000000</v>
      </c>
      <c r="Q17" s="78">
        <v>497009040</v>
      </c>
      <c r="R17" s="78">
        <v>3340256396.3999996</v>
      </c>
      <c r="S17" s="78">
        <v>633409000</v>
      </c>
      <c r="T17" s="78">
        <v>1051686120</v>
      </c>
      <c r="U17" s="78"/>
      <c r="V17" s="78"/>
      <c r="W17" s="78">
        <v>274520400</v>
      </c>
      <c r="X17" s="78"/>
      <c r="Y17" s="78"/>
      <c r="Z17" s="78">
        <v>2688112436.9000001</v>
      </c>
      <c r="AA17" s="78">
        <v>1742637399.2000003</v>
      </c>
    </row>
    <row r="18" spans="2:27" ht="23.25" customHeight="1" x14ac:dyDescent="0.25">
      <c r="C18" s="68">
        <f>C16-C17</f>
        <v>-1071429712.9999981</v>
      </c>
      <c r="D18" s="68">
        <f>D16-D17</f>
        <v>-433317011.10000014</v>
      </c>
      <c r="E18" s="80">
        <f>E16-E17</f>
        <v>-5421825630.8000002</v>
      </c>
      <c r="F18" s="68">
        <f>F16-F17</f>
        <v>3379235073.1000023</v>
      </c>
      <c r="G18" s="68">
        <f>G16-G17</f>
        <v>-3547337281.7999992</v>
      </c>
      <c r="H18" s="77"/>
      <c r="I18" s="50">
        <f>I16-I17</f>
        <v>1554488060</v>
      </c>
      <c r="J18" s="50">
        <f t="shared" ref="J18:AA18" si="3">J16-J17</f>
        <v>-617001323.70000005</v>
      </c>
      <c r="K18" s="50">
        <f t="shared" si="3"/>
        <v>-1426480</v>
      </c>
      <c r="L18" s="50">
        <f t="shared" si="3"/>
        <v>-824575757.29999995</v>
      </c>
      <c r="M18" s="50"/>
      <c r="N18" s="50">
        <f t="shared" si="3"/>
        <v>54313975</v>
      </c>
      <c r="O18" s="50">
        <f t="shared" si="3"/>
        <v>71194840</v>
      </c>
      <c r="P18" s="50">
        <f t="shared" si="3"/>
        <v>222672100</v>
      </c>
      <c r="Q18" s="50">
        <f t="shared" si="3"/>
        <v>596183344</v>
      </c>
      <c r="R18" s="50">
        <f t="shared" si="3"/>
        <v>209150519.50000048</v>
      </c>
      <c r="S18" s="50">
        <f t="shared" si="3"/>
        <v>502091000</v>
      </c>
      <c r="T18" s="50">
        <f t="shared" si="3"/>
        <v>332228220</v>
      </c>
      <c r="U18" s="50"/>
      <c r="V18" s="50"/>
      <c r="W18" s="50">
        <f t="shared" si="3"/>
        <v>1513886100</v>
      </c>
      <c r="X18" s="50"/>
      <c r="Y18" s="50"/>
      <c r="Z18" s="50">
        <f t="shared" si="3"/>
        <v>-2688112436.9000001</v>
      </c>
      <c r="AA18" s="50">
        <f t="shared" si="3"/>
        <v>-1320779250.4000003</v>
      </c>
    </row>
    <row r="19" spans="2:27" ht="15.75" x14ac:dyDescent="0.25">
      <c r="B19" s="15" t="s">
        <v>1714</v>
      </c>
      <c r="C19" s="81">
        <v>18000000000</v>
      </c>
      <c r="D19" s="81">
        <v>2000000000</v>
      </c>
      <c r="E19" s="81">
        <v>10000000000</v>
      </c>
      <c r="F19" s="81">
        <v>30000000000</v>
      </c>
      <c r="G19" s="82">
        <f>SUM(C19:F19)</f>
        <v>60000000000</v>
      </c>
      <c r="Q19" s="74"/>
      <c r="R19" s="74"/>
      <c r="S19" s="74"/>
      <c r="T19" s="74"/>
      <c r="U19" s="74"/>
      <c r="V19" s="74"/>
    </row>
    <row r="20" spans="2:27" ht="15.75" x14ac:dyDescent="0.25">
      <c r="C20" s="81">
        <f>C19-C16</f>
        <v>8544466339.9999981</v>
      </c>
      <c r="D20" s="81">
        <f>D19-D16</f>
        <v>833317011.10000014</v>
      </c>
      <c r="E20" s="81">
        <f>E19-E16</f>
        <v>8716271859.1000004</v>
      </c>
      <c r="F20" s="81">
        <f>F19-F16</f>
        <v>19530510106.5</v>
      </c>
      <c r="G20" s="82">
        <f>SUM(C20:F20)</f>
        <v>37624565316.699997</v>
      </c>
    </row>
    <row r="21" spans="2:27" x14ac:dyDescent="0.25">
      <c r="C21" s="79">
        <f>C16/C17</f>
        <v>0.89822043878788005</v>
      </c>
      <c r="D21" s="79">
        <f>D16/D19</f>
        <v>0.58334149444999994</v>
      </c>
      <c r="F21" s="79">
        <f>F16/F17</f>
        <v>1.47660276798195</v>
      </c>
      <c r="G21" s="79">
        <f>G16/G17</f>
        <v>0.86315748614477639</v>
      </c>
    </row>
  </sheetData>
  <mergeCells count="9">
    <mergeCell ref="Z2:Z3"/>
    <mergeCell ref="AA2:AA3"/>
    <mergeCell ref="A2:A3"/>
    <mergeCell ref="B2:B3"/>
    <mergeCell ref="C2:E2"/>
    <mergeCell ref="G2:G3"/>
    <mergeCell ref="H2:H3"/>
    <mergeCell ref="I2:I3"/>
    <mergeCell ref="J2:J3"/>
  </mergeCells>
  <pageMargins left="0.7" right="0.7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1"/>
  <sheetViews>
    <sheetView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21" sqref="F21"/>
    </sheetView>
  </sheetViews>
  <sheetFormatPr defaultRowHeight="15" x14ac:dyDescent="0.25"/>
  <cols>
    <col min="1" max="1" width="11" bestFit="1" customWidth="1"/>
    <col min="2" max="2" width="16.85546875" style="15" customWidth="1"/>
    <col min="3" max="3" width="17.85546875" style="15" customWidth="1"/>
    <col min="4" max="4" width="18.5703125" style="15" customWidth="1"/>
    <col min="5" max="5" width="17.85546875" style="15" customWidth="1"/>
    <col min="6" max="6" width="17.5703125" style="15" customWidth="1"/>
    <col min="7" max="7" width="18.140625" style="15" customWidth="1"/>
    <col min="8" max="8" width="9.42578125" style="16" customWidth="1"/>
    <col min="9" max="9" width="15.7109375" style="16" customWidth="1"/>
    <col min="10" max="10" width="15.28515625" style="16" customWidth="1"/>
    <col min="11" max="14" width="14.85546875" style="16" customWidth="1"/>
    <col min="15" max="15" width="17" style="16" customWidth="1"/>
    <col min="16" max="16" width="16.140625" style="16" customWidth="1"/>
    <col min="17" max="17" width="14.5703125" style="16" customWidth="1"/>
    <col min="18" max="18" width="16.28515625" style="16" customWidth="1"/>
    <col min="19" max="19" width="14.42578125" style="16" customWidth="1"/>
    <col min="20" max="20" width="16.7109375" style="16" customWidth="1"/>
    <col min="21" max="21" width="15.85546875" customWidth="1"/>
    <col min="22" max="22" width="16.5703125" customWidth="1"/>
  </cols>
  <sheetData>
    <row r="1" spans="1:22" ht="14.25" customHeight="1" x14ac:dyDescent="0.25"/>
    <row r="2" spans="1:22" x14ac:dyDescent="0.25">
      <c r="A2" s="96" t="s">
        <v>1537</v>
      </c>
      <c r="B2" s="98" t="s">
        <v>1529</v>
      </c>
      <c r="C2" s="100"/>
      <c r="D2" s="100"/>
      <c r="E2" s="100"/>
      <c r="F2" s="37"/>
      <c r="G2" s="98" t="s">
        <v>1517</v>
      </c>
      <c r="H2" s="101" t="s">
        <v>1516</v>
      </c>
      <c r="I2" s="94" t="s">
        <v>1697</v>
      </c>
      <c r="J2" s="94" t="s">
        <v>1693</v>
      </c>
      <c r="K2" s="59" t="s">
        <v>1702</v>
      </c>
      <c r="L2" s="59" t="s">
        <v>1702</v>
      </c>
      <c r="M2" s="59" t="s">
        <v>1702</v>
      </c>
      <c r="N2" s="59" t="s">
        <v>1702</v>
      </c>
      <c r="O2" s="59" t="s">
        <v>1694</v>
      </c>
      <c r="P2" s="59" t="s">
        <v>1694</v>
      </c>
      <c r="Q2" s="59" t="s">
        <v>1694</v>
      </c>
      <c r="R2" s="59" t="s">
        <v>1694</v>
      </c>
      <c r="S2" s="59" t="s">
        <v>1710</v>
      </c>
      <c r="T2" s="59" t="s">
        <v>1694</v>
      </c>
      <c r="U2" s="105" t="s">
        <v>1707</v>
      </c>
      <c r="V2" s="98" t="s">
        <v>1538</v>
      </c>
    </row>
    <row r="3" spans="1:22" x14ac:dyDescent="0.25">
      <c r="A3" s="97"/>
      <c r="B3" s="99"/>
      <c r="C3" s="38" t="s">
        <v>1519</v>
      </c>
      <c r="D3" s="38" t="s">
        <v>1539</v>
      </c>
      <c r="E3" s="38" t="s">
        <v>1518</v>
      </c>
      <c r="F3" s="38" t="s">
        <v>1520</v>
      </c>
      <c r="G3" s="99"/>
      <c r="H3" s="95"/>
      <c r="I3" s="95"/>
      <c r="J3" s="95"/>
      <c r="K3" s="58" t="s">
        <v>1703</v>
      </c>
      <c r="L3" s="58" t="s">
        <v>1704</v>
      </c>
      <c r="M3" s="58" t="s">
        <v>1705</v>
      </c>
      <c r="N3" s="58" t="s">
        <v>1706</v>
      </c>
      <c r="O3" s="58" t="s">
        <v>1695</v>
      </c>
      <c r="P3" s="58" t="s">
        <v>1696</v>
      </c>
      <c r="Q3" s="58" t="s">
        <v>1698</v>
      </c>
      <c r="R3" s="58" t="s">
        <v>1699</v>
      </c>
      <c r="S3" s="58" t="s">
        <v>1711</v>
      </c>
      <c r="T3" s="58" t="s">
        <v>1708</v>
      </c>
      <c r="U3" s="99"/>
      <c r="V3" s="99"/>
    </row>
    <row r="4" spans="1:22" x14ac:dyDescent="0.25">
      <c r="A4" s="39" t="s">
        <v>1540</v>
      </c>
      <c r="B4" s="40">
        <v>6000000000</v>
      </c>
      <c r="C4" s="40">
        <v>1331459445.8000002</v>
      </c>
      <c r="D4" s="40">
        <v>211835712</v>
      </c>
      <c r="E4" s="40">
        <v>701402686.5999999</v>
      </c>
      <c r="F4" s="40">
        <v>396104295.39999998</v>
      </c>
      <c r="G4" s="40">
        <f>SUM(C4:F4)</f>
        <v>2640802139.8000002</v>
      </c>
      <c r="H4" s="35">
        <v>0.44013368996666669</v>
      </c>
      <c r="I4" s="43">
        <v>220000000</v>
      </c>
      <c r="J4" s="41">
        <v>80000000</v>
      </c>
      <c r="K4" s="43">
        <v>120000000</v>
      </c>
      <c r="L4" s="43">
        <v>80000000</v>
      </c>
      <c r="M4" s="43">
        <v>70000000</v>
      </c>
      <c r="N4" s="43">
        <v>60000000</v>
      </c>
      <c r="O4" s="41">
        <v>100000000</v>
      </c>
      <c r="P4" s="43">
        <v>350000000</v>
      </c>
      <c r="Q4" s="41">
        <v>150000000</v>
      </c>
      <c r="R4" s="43">
        <v>180000000</v>
      </c>
      <c r="S4" s="43">
        <v>100000000</v>
      </c>
      <c r="T4" s="43">
        <v>300000000</v>
      </c>
      <c r="U4" s="40"/>
      <c r="V4" s="40"/>
    </row>
    <row r="5" spans="1:22" x14ac:dyDescent="0.25">
      <c r="A5" s="39" t="s">
        <v>1541</v>
      </c>
      <c r="B5" s="42">
        <v>4800000000</v>
      </c>
      <c r="C5" s="42">
        <v>587563081.60000002</v>
      </c>
      <c r="D5" s="42">
        <v>119943378.5</v>
      </c>
      <c r="E5" s="40">
        <v>923862778.30000043</v>
      </c>
      <c r="F5" s="40">
        <v>747007889.0999999</v>
      </c>
      <c r="G5" s="40">
        <f t="shared" ref="G5:G15" si="0">SUM(C5:F5)</f>
        <v>2378377127.5000005</v>
      </c>
      <c r="H5" s="35">
        <v>0.49549523489583341</v>
      </c>
      <c r="I5" s="43">
        <v>220000000</v>
      </c>
      <c r="J5" s="41">
        <v>80000000</v>
      </c>
      <c r="K5" s="43">
        <v>120000000</v>
      </c>
      <c r="L5" s="43">
        <v>80000000</v>
      </c>
      <c r="M5" s="43">
        <v>70000000</v>
      </c>
      <c r="N5" s="43">
        <v>60000000</v>
      </c>
      <c r="O5" s="41">
        <v>100000000</v>
      </c>
      <c r="P5" s="43">
        <v>350000000</v>
      </c>
      <c r="Q5" s="41">
        <v>150000000</v>
      </c>
      <c r="R5" s="43">
        <v>180000000</v>
      </c>
      <c r="S5" s="43">
        <v>100000000</v>
      </c>
      <c r="T5" s="43">
        <v>300000000</v>
      </c>
      <c r="U5" s="40"/>
      <c r="V5" s="40"/>
    </row>
    <row r="6" spans="1:22" x14ac:dyDescent="0.25">
      <c r="A6" s="39" t="s">
        <v>1542</v>
      </c>
      <c r="B6" s="44">
        <v>6000000000</v>
      </c>
      <c r="C6" s="45">
        <v>1227375910.1999998</v>
      </c>
      <c r="D6" s="46">
        <v>274641230.60000002</v>
      </c>
      <c r="E6" s="40">
        <v>1045087756.8999999</v>
      </c>
      <c r="F6" s="40">
        <v>549865243.39999998</v>
      </c>
      <c r="G6" s="40">
        <f t="shared" si="0"/>
        <v>3096970141.0999999</v>
      </c>
      <c r="H6" s="35">
        <v>0.49549523489583341</v>
      </c>
      <c r="I6" s="43">
        <v>220000000</v>
      </c>
      <c r="J6" s="41">
        <v>80000000</v>
      </c>
      <c r="K6" s="43">
        <v>120000000</v>
      </c>
      <c r="L6" s="43">
        <v>80000000</v>
      </c>
      <c r="M6" s="43">
        <v>70000000</v>
      </c>
      <c r="N6" s="43">
        <v>60000000</v>
      </c>
      <c r="O6" s="41">
        <v>100000000</v>
      </c>
      <c r="P6" s="43">
        <v>350000000</v>
      </c>
      <c r="Q6" s="41">
        <v>150000000</v>
      </c>
      <c r="R6" s="43">
        <v>180000000</v>
      </c>
      <c r="S6" s="43">
        <v>100000000</v>
      </c>
      <c r="T6" s="43">
        <v>300000000</v>
      </c>
      <c r="U6" s="40"/>
      <c r="V6" s="40"/>
    </row>
    <row r="7" spans="1:22" x14ac:dyDescent="0.25">
      <c r="A7" s="19" t="s">
        <v>1543</v>
      </c>
      <c r="B7" s="44">
        <v>6000000000</v>
      </c>
      <c r="C7" s="48">
        <v>623225519.4000001</v>
      </c>
      <c r="D7" s="40">
        <v>268387376.40000001</v>
      </c>
      <c r="E7" s="40">
        <v>779048395.39999998</v>
      </c>
      <c r="F7" s="40">
        <v>382369260.89999783</v>
      </c>
      <c r="G7" s="40">
        <f t="shared" si="0"/>
        <v>2053030552.099998</v>
      </c>
      <c r="H7" s="35">
        <v>0.335652044549763</v>
      </c>
      <c r="I7" s="43">
        <v>220000000</v>
      </c>
      <c r="J7" s="41">
        <v>80000000</v>
      </c>
      <c r="K7" s="43">
        <v>120000000</v>
      </c>
      <c r="L7" s="43">
        <v>80000000</v>
      </c>
      <c r="M7" s="43">
        <v>70000000</v>
      </c>
      <c r="N7" s="43">
        <v>60000000</v>
      </c>
      <c r="O7" s="41">
        <v>100000000</v>
      </c>
      <c r="P7" s="43">
        <v>350000000</v>
      </c>
      <c r="Q7" s="41">
        <v>150000000</v>
      </c>
      <c r="R7" s="43">
        <v>180000000</v>
      </c>
      <c r="S7" s="43">
        <v>100000000</v>
      </c>
      <c r="T7" s="43">
        <v>300000000</v>
      </c>
      <c r="U7" s="40"/>
      <c r="V7" s="40"/>
    </row>
    <row r="8" spans="1:22" x14ac:dyDescent="0.25">
      <c r="A8" s="19" t="s">
        <v>1544</v>
      </c>
      <c r="B8" s="40">
        <v>6000000000</v>
      </c>
      <c r="C8" s="40">
        <v>562544463.79999983</v>
      </c>
      <c r="D8" s="40">
        <v>90323325.400000006</v>
      </c>
      <c r="E8" s="40">
        <v>418193990.50000006</v>
      </c>
      <c r="F8" s="40">
        <v>345093058.20000005</v>
      </c>
      <c r="G8" s="40">
        <f t="shared" si="0"/>
        <v>1416154837.8999999</v>
      </c>
      <c r="H8" s="35">
        <v>0.24</v>
      </c>
      <c r="I8" s="43">
        <v>220000000</v>
      </c>
      <c r="J8" s="41">
        <v>80000000</v>
      </c>
      <c r="K8" s="43">
        <v>120000000</v>
      </c>
      <c r="L8" s="43">
        <v>80000000</v>
      </c>
      <c r="M8" s="43">
        <v>70000000</v>
      </c>
      <c r="N8" s="43">
        <v>60000000</v>
      </c>
      <c r="O8" s="41">
        <v>100000000</v>
      </c>
      <c r="P8" s="43">
        <v>350000000</v>
      </c>
      <c r="Q8" s="41">
        <v>150000000</v>
      </c>
      <c r="R8" s="43">
        <v>180000000</v>
      </c>
      <c r="S8" s="43">
        <v>100000000</v>
      </c>
      <c r="T8" s="43">
        <v>300000000</v>
      </c>
      <c r="U8" s="43"/>
      <c r="V8" s="40"/>
    </row>
    <row r="9" spans="1:22" x14ac:dyDescent="0.25">
      <c r="A9" s="19" t="s">
        <v>1545</v>
      </c>
      <c r="B9" s="40">
        <v>6000000000</v>
      </c>
      <c r="C9" s="40">
        <v>1464940647.5000002</v>
      </c>
      <c r="D9" s="40">
        <v>85741561.400000006</v>
      </c>
      <c r="E9" s="47">
        <v>282475526.29999989</v>
      </c>
      <c r="F9" s="47">
        <v>286747533.60000002</v>
      </c>
      <c r="G9" s="40">
        <f t="shared" si="0"/>
        <v>2119905268.8000002</v>
      </c>
      <c r="H9" s="35">
        <f t="shared" ref="H9:H16" si="1">G9/B9</f>
        <v>0.35331754480000005</v>
      </c>
      <c r="I9" s="43">
        <v>220000000</v>
      </c>
      <c r="J9" s="41">
        <v>80000000</v>
      </c>
      <c r="K9" s="43">
        <v>120000000</v>
      </c>
      <c r="L9" s="43">
        <v>80000000</v>
      </c>
      <c r="M9" s="43">
        <v>70000000</v>
      </c>
      <c r="N9" s="43">
        <v>60000000</v>
      </c>
      <c r="O9" s="41">
        <v>100000000</v>
      </c>
      <c r="P9" s="43">
        <v>350000000</v>
      </c>
      <c r="Q9" s="41">
        <v>150000000</v>
      </c>
      <c r="R9" s="43">
        <v>180000000</v>
      </c>
      <c r="S9" s="43">
        <v>100000000</v>
      </c>
      <c r="T9" s="43">
        <v>300000000</v>
      </c>
      <c r="U9" s="43"/>
      <c r="V9" s="40"/>
    </row>
    <row r="10" spans="1:22" x14ac:dyDescent="0.25">
      <c r="A10" s="19" t="s">
        <v>1546</v>
      </c>
      <c r="B10" s="40">
        <v>6000000000</v>
      </c>
      <c r="C10" s="42">
        <v>794133617.19999993</v>
      </c>
      <c r="D10" s="40">
        <v>100971200</v>
      </c>
      <c r="E10" s="42">
        <v>161354259</v>
      </c>
      <c r="F10" s="40">
        <v>583824709.60000002</v>
      </c>
      <c r="G10" s="40">
        <f t="shared" si="0"/>
        <v>1640283785.8</v>
      </c>
      <c r="H10" s="35">
        <f t="shared" si="1"/>
        <v>0.27338063096666665</v>
      </c>
      <c r="I10" s="43">
        <v>220000000</v>
      </c>
      <c r="J10" s="41">
        <v>80000000</v>
      </c>
      <c r="K10" s="43">
        <v>120000000</v>
      </c>
      <c r="L10" s="43">
        <v>80000000</v>
      </c>
      <c r="M10" s="43">
        <v>70000000</v>
      </c>
      <c r="N10" s="43">
        <v>60000000</v>
      </c>
      <c r="O10" s="41">
        <v>100000000</v>
      </c>
      <c r="P10" s="43">
        <v>350000000</v>
      </c>
      <c r="Q10" s="41">
        <v>150000000</v>
      </c>
      <c r="R10" s="43">
        <v>180000000</v>
      </c>
      <c r="S10" s="43">
        <v>100000000</v>
      </c>
      <c r="T10" s="43">
        <v>300000000</v>
      </c>
      <c r="U10" s="40"/>
      <c r="V10" s="40"/>
    </row>
    <row r="11" spans="1:22" x14ac:dyDescent="0.25">
      <c r="A11" s="19" t="s">
        <v>1547</v>
      </c>
      <c r="B11" s="40">
        <v>6000000000</v>
      </c>
      <c r="C11" s="40">
        <v>1145933220.3000002</v>
      </c>
      <c r="D11" s="40">
        <v>130340243</v>
      </c>
      <c r="E11" s="49">
        <v>920000000</v>
      </c>
      <c r="F11" s="49">
        <v>562874627.70000005</v>
      </c>
      <c r="G11" s="40">
        <f t="shared" si="0"/>
        <v>2759148091</v>
      </c>
      <c r="H11" s="35">
        <f t="shared" si="1"/>
        <v>0.45985801516666669</v>
      </c>
      <c r="I11" s="43">
        <v>220000000</v>
      </c>
      <c r="J11" s="41">
        <v>80000000</v>
      </c>
      <c r="K11" s="43">
        <v>120000000</v>
      </c>
      <c r="L11" s="43">
        <v>80000000</v>
      </c>
      <c r="M11" s="43">
        <v>70000000</v>
      </c>
      <c r="N11" s="43">
        <v>60000000</v>
      </c>
      <c r="O11" s="41">
        <v>100000000</v>
      </c>
      <c r="P11" s="43">
        <v>350000000</v>
      </c>
      <c r="Q11" s="41">
        <v>150000000</v>
      </c>
      <c r="R11" s="43">
        <v>180000000</v>
      </c>
      <c r="S11" s="43">
        <v>100000000</v>
      </c>
      <c r="T11" s="43">
        <v>300000000</v>
      </c>
      <c r="U11" s="40"/>
      <c r="V11" s="40"/>
    </row>
    <row r="12" spans="1:22" x14ac:dyDescent="0.25">
      <c r="A12" s="19" t="s">
        <v>1548</v>
      </c>
      <c r="B12" s="40">
        <v>6000000000</v>
      </c>
      <c r="C12" s="40">
        <v>538000000</v>
      </c>
      <c r="D12" s="40">
        <v>205000000</v>
      </c>
      <c r="E12" s="40">
        <v>408000000</v>
      </c>
      <c r="F12" s="40">
        <v>722000000</v>
      </c>
      <c r="G12" s="40">
        <f t="shared" si="0"/>
        <v>1873000000</v>
      </c>
      <c r="H12" s="35">
        <f t="shared" si="1"/>
        <v>0.31216666666666665</v>
      </c>
      <c r="I12" s="43">
        <v>220000000</v>
      </c>
      <c r="J12" s="41">
        <v>80000000</v>
      </c>
      <c r="K12" s="43">
        <v>120000000</v>
      </c>
      <c r="L12" s="43">
        <v>80000000</v>
      </c>
      <c r="M12" s="43">
        <v>70000000</v>
      </c>
      <c r="N12" s="43">
        <v>60000000</v>
      </c>
      <c r="O12" s="41">
        <v>100000000</v>
      </c>
      <c r="P12" s="43">
        <v>350000000</v>
      </c>
      <c r="Q12" s="41">
        <v>150000000</v>
      </c>
      <c r="R12" s="43">
        <v>180000000</v>
      </c>
      <c r="S12" s="43">
        <v>100000000</v>
      </c>
      <c r="T12" s="43">
        <v>300000000</v>
      </c>
      <c r="U12" s="40"/>
      <c r="V12" s="40"/>
    </row>
    <row r="13" spans="1:22" x14ac:dyDescent="0.25">
      <c r="A13" s="19" t="s">
        <v>1549</v>
      </c>
      <c r="B13" s="40">
        <v>6000000000</v>
      </c>
      <c r="C13" s="40">
        <v>1016000000</v>
      </c>
      <c r="D13" s="40">
        <v>111611736.50000001</v>
      </c>
      <c r="E13" s="40">
        <v>339154556.39999998</v>
      </c>
      <c r="F13" s="40">
        <v>723904789.29999995</v>
      </c>
      <c r="G13" s="40">
        <f t="shared" si="0"/>
        <v>2190671082.1999998</v>
      </c>
      <c r="H13" s="35">
        <f t="shared" si="1"/>
        <v>0.36511184703333333</v>
      </c>
      <c r="I13" s="43">
        <v>220000000</v>
      </c>
      <c r="J13" s="41">
        <v>80000000</v>
      </c>
      <c r="K13" s="43">
        <v>120000000</v>
      </c>
      <c r="L13" s="43">
        <v>80000000</v>
      </c>
      <c r="M13" s="43">
        <v>70000000</v>
      </c>
      <c r="N13" s="43">
        <v>60000000</v>
      </c>
      <c r="O13" s="41">
        <v>100000000</v>
      </c>
      <c r="P13" s="43">
        <v>350000000</v>
      </c>
      <c r="Q13" s="41">
        <v>150000000</v>
      </c>
      <c r="R13" s="43">
        <v>180000000</v>
      </c>
      <c r="S13" s="43">
        <v>100000000</v>
      </c>
      <c r="T13" s="43">
        <v>300000000</v>
      </c>
      <c r="U13" s="40"/>
      <c r="V13" s="40"/>
    </row>
    <row r="14" spans="1:22" x14ac:dyDescent="0.25">
      <c r="A14" s="19" t="s">
        <v>1550</v>
      </c>
      <c r="B14" s="40">
        <v>6000000000</v>
      </c>
      <c r="C14" s="40">
        <v>411916114.5</v>
      </c>
      <c r="D14" s="40">
        <v>185238291.69999999</v>
      </c>
      <c r="E14" s="40">
        <v>165964612</v>
      </c>
      <c r="F14" s="40">
        <v>580063073.70000005</v>
      </c>
      <c r="G14" s="40">
        <f t="shared" si="0"/>
        <v>1343182091.9000001</v>
      </c>
      <c r="H14" s="35">
        <f t="shared" si="1"/>
        <v>0.22386368198333334</v>
      </c>
      <c r="I14" s="43">
        <v>220000000</v>
      </c>
      <c r="J14" s="41">
        <v>80000000</v>
      </c>
      <c r="K14" s="43">
        <v>120000000</v>
      </c>
      <c r="L14" s="43">
        <v>80000000</v>
      </c>
      <c r="M14" s="43">
        <v>70000000</v>
      </c>
      <c r="N14" s="43">
        <v>60000000</v>
      </c>
      <c r="O14" s="41">
        <v>100000000</v>
      </c>
      <c r="P14" s="43">
        <v>350000000</v>
      </c>
      <c r="Q14" s="41">
        <v>150000000</v>
      </c>
      <c r="R14" s="43">
        <v>180000000</v>
      </c>
      <c r="S14" s="43">
        <v>100000000</v>
      </c>
      <c r="T14" s="43">
        <v>300000000</v>
      </c>
      <c r="U14" s="40"/>
      <c r="V14" s="40"/>
    </row>
    <row r="15" spans="1:22" x14ac:dyDescent="0.25">
      <c r="A15" s="19" t="s">
        <v>1551</v>
      </c>
      <c r="B15" s="40">
        <v>6000000000</v>
      </c>
      <c r="C15" s="40">
        <v>823871352.70000005</v>
      </c>
      <c r="D15" s="40">
        <v>151692608.09999999</v>
      </c>
      <c r="E15" s="40">
        <v>561009210.29999995</v>
      </c>
      <c r="F15" s="40">
        <v>1210400339.5</v>
      </c>
      <c r="G15" s="40">
        <f t="shared" si="0"/>
        <v>2746973510.5999999</v>
      </c>
      <c r="H15" s="35">
        <f t="shared" si="1"/>
        <v>0.45782891843333334</v>
      </c>
      <c r="I15" s="43">
        <v>220000000</v>
      </c>
      <c r="J15" s="41">
        <v>80000000</v>
      </c>
      <c r="K15" s="43">
        <v>120000000</v>
      </c>
      <c r="L15" s="43">
        <v>80000000</v>
      </c>
      <c r="M15" s="43">
        <v>70000000</v>
      </c>
      <c r="N15" s="43">
        <v>60000000</v>
      </c>
      <c r="O15" s="41">
        <v>100000000</v>
      </c>
      <c r="P15" s="43">
        <v>350000000</v>
      </c>
      <c r="Q15" s="41">
        <v>150000000</v>
      </c>
      <c r="R15" s="43">
        <v>180000000</v>
      </c>
      <c r="S15" s="43">
        <v>100000000</v>
      </c>
      <c r="T15" s="43">
        <v>300000000</v>
      </c>
      <c r="U15" s="40"/>
      <c r="V15" s="40"/>
    </row>
    <row r="16" spans="1:22" s="64" customFormat="1" ht="20.25" customHeight="1" x14ac:dyDescent="0.25">
      <c r="A16" s="62" t="s">
        <v>1522</v>
      </c>
      <c r="B16" s="63">
        <f>SUM(B4:B15)</f>
        <v>70800000000</v>
      </c>
      <c r="C16" s="63">
        <f t="shared" ref="C16:V16" si="2">SUM(C4:C15)</f>
        <v>10526963373</v>
      </c>
      <c r="D16" s="63">
        <f t="shared" si="2"/>
        <v>1935726663.5999999</v>
      </c>
      <c r="E16" s="63">
        <f t="shared" si="2"/>
        <v>6705553771.6999998</v>
      </c>
      <c r="F16" s="63">
        <f t="shared" si="2"/>
        <v>7090254820.3999977</v>
      </c>
      <c r="G16" s="63">
        <f t="shared" si="2"/>
        <v>26258498628.700001</v>
      </c>
      <c r="H16" s="73">
        <f t="shared" si="1"/>
        <v>0.37088274899293788</v>
      </c>
      <c r="I16" s="63">
        <f t="shared" si="2"/>
        <v>2640000000</v>
      </c>
      <c r="J16" s="63">
        <f t="shared" si="2"/>
        <v>960000000</v>
      </c>
      <c r="K16" s="63">
        <f t="shared" si="2"/>
        <v>1440000000</v>
      </c>
      <c r="L16" s="63">
        <f t="shared" si="2"/>
        <v>960000000</v>
      </c>
      <c r="M16" s="63">
        <f t="shared" si="2"/>
        <v>840000000</v>
      </c>
      <c r="N16" s="63">
        <f t="shared" si="2"/>
        <v>720000000</v>
      </c>
      <c r="O16" s="63">
        <f t="shared" si="2"/>
        <v>1200000000</v>
      </c>
      <c r="P16" s="63">
        <f t="shared" si="2"/>
        <v>4200000000</v>
      </c>
      <c r="Q16" s="63">
        <f t="shared" si="2"/>
        <v>1800000000</v>
      </c>
      <c r="R16" s="63">
        <f t="shared" si="2"/>
        <v>2160000000</v>
      </c>
      <c r="S16" s="63">
        <f t="shared" si="2"/>
        <v>1200000000</v>
      </c>
      <c r="T16" s="63">
        <f t="shared" si="2"/>
        <v>3600000000</v>
      </c>
      <c r="U16" s="63">
        <f t="shared" si="2"/>
        <v>0</v>
      </c>
      <c r="V16" s="63">
        <f t="shared" si="2"/>
        <v>0</v>
      </c>
    </row>
    <row r="17" spans="2:22" ht="22.5" customHeight="1" x14ac:dyDescent="0.25">
      <c r="B17" s="75" t="s">
        <v>1709</v>
      </c>
      <c r="C17" s="70">
        <v>8315605602.6000004</v>
      </c>
      <c r="D17" s="70">
        <v>1698835708.8999999</v>
      </c>
      <c r="E17" s="70">
        <v>7814733537.5999994</v>
      </c>
      <c r="F17" s="70">
        <v>4796553281.3000002</v>
      </c>
      <c r="G17" s="76">
        <f>SUM(C17:F17)</f>
        <v>22625728130.399998</v>
      </c>
      <c r="H17" s="77"/>
      <c r="I17" s="78">
        <v>3802330800</v>
      </c>
      <c r="J17" s="78"/>
      <c r="K17" s="78">
        <v>861461100</v>
      </c>
      <c r="L17" s="78">
        <v>1001582314.7</v>
      </c>
      <c r="M17" s="78">
        <v>589556880</v>
      </c>
      <c r="N17" s="78">
        <v>426862239.10000002</v>
      </c>
      <c r="O17" s="78"/>
      <c r="P17" s="78">
        <v>4362520945.1999998</v>
      </c>
      <c r="Q17" s="78"/>
      <c r="R17" s="78">
        <v>136264920</v>
      </c>
      <c r="S17" s="78"/>
      <c r="T17" s="78"/>
      <c r="U17" s="78">
        <v>2688112436.9000001</v>
      </c>
      <c r="V17" s="78">
        <v>2523169687.5</v>
      </c>
    </row>
    <row r="18" spans="2:22" ht="23.25" customHeight="1" x14ac:dyDescent="0.25">
      <c r="C18" s="68">
        <f>C16-C17</f>
        <v>2211357770.3999996</v>
      </c>
      <c r="D18" s="68">
        <f>D16-D17</f>
        <v>236890954.70000005</v>
      </c>
      <c r="E18" s="69">
        <f>E16-E17</f>
        <v>-1109179765.8999996</v>
      </c>
      <c r="F18" s="68">
        <f>F16-F17</f>
        <v>2293701539.0999975</v>
      </c>
      <c r="G18" s="68">
        <f>G16-G17</f>
        <v>3632770498.3000031</v>
      </c>
      <c r="I18" s="50">
        <f>I16-I17</f>
        <v>-1162330800</v>
      </c>
      <c r="J18" s="50">
        <f t="shared" ref="J18:V18" si="3">J16-J17</f>
        <v>960000000</v>
      </c>
      <c r="K18" s="50">
        <f t="shared" si="3"/>
        <v>578538900</v>
      </c>
      <c r="L18" s="50">
        <f t="shared" si="3"/>
        <v>-41582314.700000048</v>
      </c>
      <c r="M18" s="50">
        <f t="shared" si="3"/>
        <v>250443120</v>
      </c>
      <c r="N18" s="50">
        <f t="shared" si="3"/>
        <v>293137760.89999998</v>
      </c>
      <c r="O18" s="50">
        <f t="shared" si="3"/>
        <v>1200000000</v>
      </c>
      <c r="P18" s="50">
        <f t="shared" si="3"/>
        <v>-162520945.19999981</v>
      </c>
      <c r="Q18" s="50">
        <f t="shared" si="3"/>
        <v>1800000000</v>
      </c>
      <c r="R18" s="50">
        <f t="shared" si="3"/>
        <v>2023735080</v>
      </c>
      <c r="S18" s="50"/>
      <c r="T18" s="50">
        <f t="shared" si="3"/>
        <v>3600000000</v>
      </c>
      <c r="U18" s="50">
        <f t="shared" si="3"/>
        <v>-2688112436.9000001</v>
      </c>
      <c r="V18" s="50">
        <f t="shared" si="3"/>
        <v>-2523169687.5</v>
      </c>
    </row>
    <row r="19" spans="2:22" x14ac:dyDescent="0.25">
      <c r="O19" s="74"/>
      <c r="P19" s="74"/>
      <c r="Q19" s="74"/>
      <c r="R19" s="74"/>
      <c r="S19" s="74"/>
    </row>
    <row r="21" spans="2:22" x14ac:dyDescent="0.25">
      <c r="G21" s="79"/>
    </row>
  </sheetData>
  <mergeCells count="9">
    <mergeCell ref="J2:J3"/>
    <mergeCell ref="U2:U3"/>
    <mergeCell ref="V2:V3"/>
    <mergeCell ref="A2:A3"/>
    <mergeCell ref="B2:B3"/>
    <mergeCell ref="C2:E2"/>
    <mergeCell ref="G2:G3"/>
    <mergeCell ref="H2:H3"/>
    <mergeCell ref="I2:I3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U18"/>
  <sheetViews>
    <sheetView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7" sqref="F17"/>
    </sheetView>
  </sheetViews>
  <sheetFormatPr defaultRowHeight="15" x14ac:dyDescent="0.25"/>
  <cols>
    <col min="1" max="1" width="11" bestFit="1" customWidth="1"/>
    <col min="2" max="2" width="16.85546875" style="15" customWidth="1"/>
    <col min="3" max="3" width="17.85546875" style="15" customWidth="1"/>
    <col min="4" max="4" width="18.5703125" style="15" customWidth="1"/>
    <col min="5" max="5" width="17.85546875" style="15" customWidth="1"/>
    <col min="6" max="6" width="17.5703125" style="15" customWidth="1"/>
    <col min="7" max="7" width="18.140625" style="15" customWidth="1"/>
    <col min="8" max="8" width="9.42578125" style="16" customWidth="1"/>
    <col min="9" max="9" width="14.5703125" style="16" customWidth="1"/>
    <col min="10" max="10" width="14.42578125" style="16" customWidth="1"/>
    <col min="11" max="14" width="14.85546875" style="16" customWidth="1"/>
    <col min="15" max="15" width="13.7109375" style="16" customWidth="1"/>
    <col min="16" max="16" width="14.7109375" style="16" customWidth="1"/>
    <col min="17" max="17" width="14.42578125" style="16" customWidth="1"/>
    <col min="18" max="18" width="16.28515625" style="16" customWidth="1"/>
    <col min="19" max="19" width="14" style="16" customWidth="1"/>
    <col min="20" max="20" width="14.42578125" customWidth="1"/>
    <col min="21" max="21" width="14.7109375" customWidth="1"/>
  </cols>
  <sheetData>
    <row r="2" spans="1:21" x14ac:dyDescent="0.25">
      <c r="A2" s="96" t="s">
        <v>1537</v>
      </c>
      <c r="B2" s="98" t="s">
        <v>1529</v>
      </c>
      <c r="C2" s="100"/>
      <c r="D2" s="100"/>
      <c r="E2" s="100"/>
      <c r="F2" s="37"/>
      <c r="G2" s="98" t="s">
        <v>1517</v>
      </c>
      <c r="H2" s="101" t="s">
        <v>1516</v>
      </c>
      <c r="I2" s="94" t="s">
        <v>1697</v>
      </c>
      <c r="J2" s="94" t="s">
        <v>1693</v>
      </c>
      <c r="K2" s="59" t="s">
        <v>1702</v>
      </c>
      <c r="L2" s="59" t="s">
        <v>1702</v>
      </c>
      <c r="M2" s="59" t="s">
        <v>1702</v>
      </c>
      <c r="N2" s="59" t="s">
        <v>1702</v>
      </c>
      <c r="O2" s="59" t="s">
        <v>1694</v>
      </c>
      <c r="P2" s="59" t="s">
        <v>1694</v>
      </c>
      <c r="Q2" s="59" t="s">
        <v>1694</v>
      </c>
      <c r="R2" s="59" t="s">
        <v>1694</v>
      </c>
      <c r="S2" s="59" t="s">
        <v>1694</v>
      </c>
      <c r="T2" s="105" t="s">
        <v>1707</v>
      </c>
      <c r="U2" s="98" t="s">
        <v>1538</v>
      </c>
    </row>
    <row r="3" spans="1:21" x14ac:dyDescent="0.25">
      <c r="A3" s="97"/>
      <c r="B3" s="99"/>
      <c r="C3" s="38" t="s">
        <v>1519</v>
      </c>
      <c r="D3" s="38" t="s">
        <v>1539</v>
      </c>
      <c r="E3" s="38" t="s">
        <v>1518</v>
      </c>
      <c r="F3" s="38" t="s">
        <v>1520</v>
      </c>
      <c r="G3" s="99"/>
      <c r="H3" s="95"/>
      <c r="I3" s="95"/>
      <c r="J3" s="95"/>
      <c r="K3" s="58" t="s">
        <v>1703</v>
      </c>
      <c r="L3" s="58" t="s">
        <v>1704</v>
      </c>
      <c r="M3" s="58" t="s">
        <v>1705</v>
      </c>
      <c r="N3" s="58" t="s">
        <v>1706</v>
      </c>
      <c r="O3" s="58" t="s">
        <v>1695</v>
      </c>
      <c r="P3" s="58" t="s">
        <v>1696</v>
      </c>
      <c r="Q3" s="58" t="s">
        <v>1698</v>
      </c>
      <c r="R3" s="58" t="s">
        <v>1699</v>
      </c>
      <c r="S3" s="58" t="s">
        <v>1708</v>
      </c>
      <c r="T3" s="99"/>
      <c r="U3" s="99"/>
    </row>
    <row r="4" spans="1:21" x14ac:dyDescent="0.25">
      <c r="A4" s="39" t="s">
        <v>1540</v>
      </c>
      <c r="B4" s="40">
        <v>6000000000</v>
      </c>
      <c r="C4" s="40">
        <v>688586752.70000005</v>
      </c>
      <c r="D4" s="40">
        <v>216057255.70000002</v>
      </c>
      <c r="E4" s="40">
        <v>994204748.89999998</v>
      </c>
      <c r="F4" s="40"/>
      <c r="G4" s="40">
        <f>SUM(C4:F4)</f>
        <v>1898848757.3000002</v>
      </c>
      <c r="H4" s="35"/>
      <c r="I4" s="43">
        <v>70000000</v>
      </c>
      <c r="J4" s="41"/>
      <c r="K4" s="43">
        <v>95122000</v>
      </c>
      <c r="L4" s="43">
        <v>99410218.600000009</v>
      </c>
      <c r="M4" s="43">
        <v>112445080</v>
      </c>
      <c r="N4" s="43">
        <v>59567200</v>
      </c>
      <c r="O4" s="41"/>
      <c r="P4" s="43"/>
      <c r="Q4" s="41"/>
      <c r="R4" s="43"/>
      <c r="S4" s="43"/>
      <c r="T4" s="40">
        <v>234393657.30000001</v>
      </c>
      <c r="U4" s="40">
        <v>416185830.50000006</v>
      </c>
    </row>
    <row r="5" spans="1:21" x14ac:dyDescent="0.25">
      <c r="A5" s="39" t="s">
        <v>1541</v>
      </c>
      <c r="B5" s="42">
        <v>4800000000</v>
      </c>
      <c r="C5" s="42">
        <v>560691624.89999998</v>
      </c>
      <c r="D5" s="42">
        <v>82517936.599999994</v>
      </c>
      <c r="E5" s="40">
        <v>1118987699.4999998</v>
      </c>
      <c r="F5" s="40"/>
      <c r="G5" s="40">
        <f t="shared" ref="G5:G15" si="0">SUM(C5:F5)</f>
        <v>1762197260.9999998</v>
      </c>
      <c r="H5" s="35"/>
      <c r="I5" s="43">
        <v>251497400</v>
      </c>
      <c r="J5" s="43"/>
      <c r="K5" s="43">
        <v>56000000</v>
      </c>
      <c r="L5" s="43">
        <v>58458316.399999999</v>
      </c>
      <c r="M5" s="43">
        <v>55849200</v>
      </c>
      <c r="N5" s="43">
        <v>46625040</v>
      </c>
      <c r="O5" s="43"/>
      <c r="P5" s="43"/>
      <c r="Q5" s="43"/>
      <c r="R5" s="43"/>
      <c r="S5" s="43"/>
      <c r="T5" s="40">
        <v>441716133.10000002</v>
      </c>
      <c r="U5" s="40">
        <v>679833677.60000002</v>
      </c>
    </row>
    <row r="6" spans="1:21" x14ac:dyDescent="0.25">
      <c r="A6" s="39" t="s">
        <v>1542</v>
      </c>
      <c r="B6" s="44">
        <v>6000000000</v>
      </c>
      <c r="C6" s="45">
        <v>575000000</v>
      </c>
      <c r="D6" s="46">
        <v>230285784.30000001</v>
      </c>
      <c r="E6" s="40">
        <v>788731966</v>
      </c>
      <c r="F6" s="40"/>
      <c r="G6" s="40">
        <f t="shared" si="0"/>
        <v>1594017750.3</v>
      </c>
      <c r="H6" s="35"/>
      <c r="I6" s="43">
        <v>248553800</v>
      </c>
      <c r="J6" s="43"/>
      <c r="K6" s="43">
        <v>28000000</v>
      </c>
      <c r="L6" s="43">
        <v>45081469.400000006</v>
      </c>
      <c r="M6" s="43">
        <v>52295100</v>
      </c>
      <c r="N6" s="43">
        <v>32873500</v>
      </c>
      <c r="O6" s="43"/>
      <c r="P6" s="43"/>
      <c r="Q6" s="43"/>
      <c r="R6" s="43"/>
      <c r="S6" s="43"/>
      <c r="T6" s="40">
        <v>169184966.50000003</v>
      </c>
      <c r="U6" s="40">
        <v>243722582.40000001</v>
      </c>
    </row>
    <row r="7" spans="1:21" x14ac:dyDescent="0.25">
      <c r="A7" s="19" t="s">
        <v>1543</v>
      </c>
      <c r="B7" s="44">
        <v>6000000000</v>
      </c>
      <c r="C7" s="48">
        <v>694000000</v>
      </c>
      <c r="D7" s="40">
        <v>287338522.89999998</v>
      </c>
      <c r="E7" s="40">
        <v>611321800.10000014</v>
      </c>
      <c r="F7" s="40"/>
      <c r="G7" s="40">
        <f t="shared" si="0"/>
        <v>1592660323</v>
      </c>
      <c r="H7" s="35"/>
      <c r="I7" s="43">
        <v>317990200</v>
      </c>
      <c r="J7" s="43"/>
      <c r="K7" s="60">
        <v>34156100</v>
      </c>
      <c r="L7" s="61">
        <v>70103522.500000015</v>
      </c>
      <c r="M7" s="61">
        <v>31423700</v>
      </c>
      <c r="N7" s="61">
        <v>42887439.100000001</v>
      </c>
      <c r="O7" s="43"/>
      <c r="P7" s="43"/>
      <c r="Q7" s="43"/>
      <c r="R7" s="43"/>
      <c r="S7" s="43"/>
      <c r="T7" s="40">
        <v>215307090.89999995</v>
      </c>
      <c r="U7" s="40">
        <v>230289892.80000004</v>
      </c>
    </row>
    <row r="8" spans="1:21" x14ac:dyDescent="0.25">
      <c r="A8" s="19" t="s">
        <v>1544</v>
      </c>
      <c r="B8" s="40">
        <v>6000000000</v>
      </c>
      <c r="C8" s="40">
        <v>728000000</v>
      </c>
      <c r="D8" s="40">
        <v>233503628.59999999</v>
      </c>
      <c r="E8" s="40">
        <v>663245163.89999998</v>
      </c>
      <c r="F8" s="40">
        <v>267156448.89999998</v>
      </c>
      <c r="G8" s="40">
        <f t="shared" si="0"/>
        <v>1891905241.4000001</v>
      </c>
      <c r="H8" s="35"/>
      <c r="I8" s="43">
        <v>366557400</v>
      </c>
      <c r="J8" s="43"/>
      <c r="K8" s="60">
        <v>104000000</v>
      </c>
      <c r="L8" s="61">
        <v>59334970.199999996</v>
      </c>
      <c r="M8" s="61">
        <v>31813100</v>
      </c>
      <c r="N8" s="61">
        <v>35380400</v>
      </c>
      <c r="O8" s="43"/>
      <c r="P8" s="43">
        <v>257791564.79999998</v>
      </c>
      <c r="Q8" s="43"/>
      <c r="R8" s="43"/>
      <c r="S8" s="43"/>
      <c r="T8" s="43">
        <v>549264212.20000005</v>
      </c>
      <c r="U8" s="40">
        <v>260667079.19999999</v>
      </c>
    </row>
    <row r="9" spans="1:21" x14ac:dyDescent="0.25">
      <c r="A9" s="19" t="s">
        <v>1545</v>
      </c>
      <c r="B9" s="40">
        <v>6000000000</v>
      </c>
      <c r="C9" s="40">
        <v>683000000</v>
      </c>
      <c r="D9" s="40">
        <v>107504341.99999999</v>
      </c>
      <c r="E9" s="47">
        <v>323253452.5</v>
      </c>
      <c r="F9" s="47">
        <v>398012508.30000007</v>
      </c>
      <c r="G9" s="40">
        <f t="shared" si="0"/>
        <v>1511770302.8000002</v>
      </c>
      <c r="H9" s="35"/>
      <c r="I9" s="43">
        <v>410933600</v>
      </c>
      <c r="J9" s="43"/>
      <c r="K9" s="60">
        <v>77000000</v>
      </c>
      <c r="L9" s="61">
        <v>53600753.800000004</v>
      </c>
      <c r="M9" s="61">
        <v>29825400</v>
      </c>
      <c r="N9" s="61">
        <v>19030000</v>
      </c>
      <c r="O9" s="43"/>
      <c r="P9" s="43">
        <v>373195468.80000007</v>
      </c>
      <c r="Q9" s="43"/>
      <c r="R9" s="43"/>
      <c r="S9" s="43"/>
      <c r="T9" s="43">
        <v>465207872.79999995</v>
      </c>
      <c r="U9" s="40">
        <v>60724686</v>
      </c>
    </row>
    <row r="10" spans="1:21" x14ac:dyDescent="0.25">
      <c r="A10" s="19" t="s">
        <v>1546</v>
      </c>
      <c r="B10" s="40">
        <v>6000000000</v>
      </c>
      <c r="C10" s="42">
        <v>201327225</v>
      </c>
      <c r="D10" s="40">
        <v>59158000</v>
      </c>
      <c r="E10" s="42">
        <v>481148797.80000007</v>
      </c>
      <c r="F10" s="40">
        <v>759326848.5</v>
      </c>
      <c r="G10" s="40">
        <f t="shared" si="0"/>
        <v>1500960871.3000002</v>
      </c>
      <c r="H10" s="35"/>
      <c r="I10" s="43">
        <v>124625600</v>
      </c>
      <c r="J10" s="43"/>
      <c r="K10" s="60">
        <v>20183000</v>
      </c>
      <c r="L10" s="61">
        <v>60045656</v>
      </c>
      <c r="M10" s="61">
        <v>15950000</v>
      </c>
      <c r="N10" s="61">
        <v>24481600</v>
      </c>
      <c r="O10" s="43"/>
      <c r="P10" s="43">
        <v>749945433.60000002</v>
      </c>
      <c r="Q10" s="43"/>
      <c r="R10" s="43"/>
      <c r="S10" s="43"/>
      <c r="T10" s="40">
        <v>337146769.30000001</v>
      </c>
      <c r="U10" s="40">
        <v>90483069.599999994</v>
      </c>
    </row>
    <row r="11" spans="1:21" x14ac:dyDescent="0.25">
      <c r="A11" s="19" t="s">
        <v>1547</v>
      </c>
      <c r="B11" s="40">
        <v>6000000000</v>
      </c>
      <c r="C11" s="40">
        <v>790000000</v>
      </c>
      <c r="D11" s="40">
        <v>47124000.000000007</v>
      </c>
      <c r="E11" s="49">
        <v>280853929.40000004</v>
      </c>
      <c r="F11" s="49">
        <v>1073204510.4000002</v>
      </c>
      <c r="G11" s="40">
        <f t="shared" si="0"/>
        <v>2191182439.8000002</v>
      </c>
      <c r="H11" s="35"/>
      <c r="I11" s="43">
        <v>458761600</v>
      </c>
      <c r="J11" s="43"/>
      <c r="K11" s="60">
        <v>36000000</v>
      </c>
      <c r="L11" s="61">
        <v>55029458</v>
      </c>
      <c r="M11" s="61">
        <v>25071200</v>
      </c>
      <c r="N11" s="61">
        <v>11767800</v>
      </c>
      <c r="O11" s="43"/>
      <c r="P11" s="43">
        <v>1033956211.2000002</v>
      </c>
      <c r="Q11" s="43"/>
      <c r="R11" s="43"/>
      <c r="S11" s="43"/>
      <c r="T11" s="40">
        <v>1955995.8</v>
      </c>
      <c r="U11" s="40">
        <v>99717970</v>
      </c>
    </row>
    <row r="12" spans="1:21" x14ac:dyDescent="0.25">
      <c r="A12" s="19" t="s">
        <v>1548</v>
      </c>
      <c r="B12" s="40">
        <v>6000000000</v>
      </c>
      <c r="C12" s="40">
        <v>363000000</v>
      </c>
      <c r="D12" s="40">
        <v>31554000.5</v>
      </c>
      <c r="E12" s="40">
        <v>171328063.50000003</v>
      </c>
      <c r="F12" s="40">
        <v>1211819111.7999997</v>
      </c>
      <c r="G12" s="40">
        <f t="shared" si="0"/>
        <v>1777701175.7999997</v>
      </c>
      <c r="H12" s="35"/>
      <c r="I12" s="43">
        <v>83107200</v>
      </c>
      <c r="J12" s="43"/>
      <c r="K12" s="60">
        <v>114000000</v>
      </c>
      <c r="L12" s="61">
        <v>54574693.799999997</v>
      </c>
      <c r="M12" s="61">
        <v>28023600</v>
      </c>
      <c r="N12" s="61">
        <v>19096000</v>
      </c>
      <c r="O12" s="43"/>
      <c r="P12" s="43">
        <v>1184613619.1999998</v>
      </c>
      <c r="Q12" s="43"/>
      <c r="R12" s="43"/>
      <c r="S12" s="43"/>
      <c r="T12" s="40">
        <v>17128795.199999999</v>
      </c>
      <c r="U12" s="40">
        <v>21898527.200000003</v>
      </c>
    </row>
    <row r="13" spans="1:21" x14ac:dyDescent="0.25">
      <c r="A13" s="19" t="s">
        <v>1549</v>
      </c>
      <c r="B13" s="40">
        <v>6000000000</v>
      </c>
      <c r="C13" s="40">
        <v>1167000000</v>
      </c>
      <c r="D13" s="40">
        <v>134174168.7</v>
      </c>
      <c r="E13" s="40">
        <v>527048340.5</v>
      </c>
      <c r="F13" s="40">
        <v>107493283.70000002</v>
      </c>
      <c r="G13" s="40">
        <f t="shared" si="0"/>
        <v>1935715792.9000001</v>
      </c>
      <c r="H13" s="35"/>
      <c r="I13" s="43">
        <v>571120000</v>
      </c>
      <c r="J13" s="43"/>
      <c r="K13" s="60">
        <v>90000000</v>
      </c>
      <c r="L13" s="61">
        <v>228380143.20000002</v>
      </c>
      <c r="M13" s="61">
        <v>43225600</v>
      </c>
      <c r="N13" s="61">
        <v>57877600</v>
      </c>
      <c r="O13" s="43"/>
      <c r="P13" s="43">
        <v>79792627.200000018</v>
      </c>
      <c r="Q13" s="43"/>
      <c r="R13" s="43"/>
      <c r="S13" s="67"/>
      <c r="T13" s="40">
        <v>170473875.00000003</v>
      </c>
      <c r="U13" s="40">
        <v>143203057.79999998</v>
      </c>
    </row>
    <row r="14" spans="1:21" x14ac:dyDescent="0.25">
      <c r="A14" s="19" t="s">
        <v>1550</v>
      </c>
      <c r="B14" s="40">
        <v>6000000000</v>
      </c>
      <c r="C14" s="40">
        <v>829000000</v>
      </c>
      <c r="D14" s="40">
        <v>94598879.099999994</v>
      </c>
      <c r="E14" s="40">
        <v>1196987607.2</v>
      </c>
      <c r="F14" s="40">
        <v>772281030.4000001</v>
      </c>
      <c r="G14" s="40">
        <f t="shared" si="0"/>
        <v>2892867516.7000003</v>
      </c>
      <c r="H14" s="35"/>
      <c r="I14" s="43">
        <v>378928000.00000006</v>
      </c>
      <c r="J14" s="43"/>
      <c r="K14" s="60">
        <v>46000000</v>
      </c>
      <c r="L14" s="61">
        <v>148805883.59999996</v>
      </c>
      <c r="M14" s="66">
        <v>56070300</v>
      </c>
      <c r="N14" s="61">
        <v>32463200</v>
      </c>
      <c r="O14" s="43"/>
      <c r="P14" s="43">
        <v>607651545.60000002</v>
      </c>
      <c r="Q14" s="43"/>
      <c r="R14" s="43">
        <v>84018000</v>
      </c>
      <c r="S14" s="43"/>
      <c r="T14" s="40">
        <v>65772913.800000004</v>
      </c>
      <c r="U14" s="40">
        <v>96941099.199999973</v>
      </c>
    </row>
    <row r="15" spans="1:21" x14ac:dyDescent="0.25">
      <c r="A15" s="19" t="s">
        <v>1551</v>
      </c>
      <c r="B15" s="40">
        <v>6000000000</v>
      </c>
      <c r="C15" s="40">
        <v>1036000000</v>
      </c>
      <c r="D15" s="40">
        <v>175019190.50000003</v>
      </c>
      <c r="E15" s="40">
        <v>657621968.29999995</v>
      </c>
      <c r="F15" s="40">
        <v>207259539.30000001</v>
      </c>
      <c r="G15" s="40">
        <f t="shared" si="0"/>
        <v>2075900698.0999999</v>
      </c>
      <c r="H15" s="35"/>
      <c r="I15" s="43">
        <v>520256000</v>
      </c>
      <c r="J15" s="43"/>
      <c r="K15" s="61">
        <v>161000000</v>
      </c>
      <c r="L15" s="61">
        <v>68757229.200000003</v>
      </c>
      <c r="M15" s="61">
        <v>107564600</v>
      </c>
      <c r="N15" s="61">
        <v>44812460</v>
      </c>
      <c r="O15" s="43"/>
      <c r="P15" s="43">
        <v>75574474.800000012</v>
      </c>
      <c r="Q15" s="43"/>
      <c r="R15" s="43">
        <v>52246920</v>
      </c>
      <c r="S15" s="43"/>
      <c r="T15" s="40">
        <v>20560155</v>
      </c>
      <c r="U15" s="40">
        <v>179502215.20000002</v>
      </c>
    </row>
    <row r="16" spans="1:21" s="64" customFormat="1" ht="20.25" customHeight="1" x14ac:dyDescent="0.25">
      <c r="A16" s="62" t="s">
        <v>1522</v>
      </c>
      <c r="B16" s="63">
        <f>SUM(B4:B15)</f>
        <v>70800000000</v>
      </c>
      <c r="C16" s="63">
        <f t="shared" ref="C16:U16" si="1">SUM(C4:C15)</f>
        <v>8315605602.6000004</v>
      </c>
      <c r="D16" s="63">
        <f t="shared" si="1"/>
        <v>1698835708.8999999</v>
      </c>
      <c r="E16" s="63">
        <f t="shared" si="1"/>
        <v>7814733537.5999994</v>
      </c>
      <c r="F16" s="63">
        <f t="shared" si="1"/>
        <v>4796553281.3000002</v>
      </c>
      <c r="G16" s="63">
        <f t="shared" si="1"/>
        <v>22625728130.399998</v>
      </c>
      <c r="H16" s="72">
        <f>G16/B16</f>
        <v>0.31957243122033896</v>
      </c>
      <c r="I16" s="65">
        <f t="shared" si="1"/>
        <v>3802330800</v>
      </c>
      <c r="J16" s="65">
        <f t="shared" si="1"/>
        <v>0</v>
      </c>
      <c r="K16" s="65">
        <f t="shared" si="1"/>
        <v>861461100</v>
      </c>
      <c r="L16" s="65">
        <f t="shared" si="1"/>
        <v>1001582314.7</v>
      </c>
      <c r="M16" s="65">
        <f t="shared" si="1"/>
        <v>589556880</v>
      </c>
      <c r="N16" s="65">
        <f t="shared" si="1"/>
        <v>426862239.10000002</v>
      </c>
      <c r="O16" s="65">
        <f t="shared" si="1"/>
        <v>0</v>
      </c>
      <c r="P16" s="65">
        <f t="shared" si="1"/>
        <v>4362520945.1999998</v>
      </c>
      <c r="Q16" s="65">
        <f t="shared" si="1"/>
        <v>0</v>
      </c>
      <c r="R16" s="65">
        <f t="shared" si="1"/>
        <v>136264920</v>
      </c>
      <c r="S16" s="65">
        <f t="shared" si="1"/>
        <v>0</v>
      </c>
      <c r="T16" s="65">
        <f t="shared" si="1"/>
        <v>2688112436.9000001</v>
      </c>
      <c r="U16" s="65">
        <f t="shared" si="1"/>
        <v>2523169687.5</v>
      </c>
    </row>
    <row r="17" spans="2:17" ht="22.5" customHeight="1" x14ac:dyDescent="0.25">
      <c r="B17" s="70"/>
      <c r="C17" s="70"/>
      <c r="D17" s="70"/>
      <c r="E17" s="70"/>
      <c r="F17" s="70"/>
      <c r="G17" s="71"/>
    </row>
    <row r="18" spans="2:17" ht="23.25" customHeight="1" x14ac:dyDescent="0.25">
      <c r="C18" s="68"/>
      <c r="D18" s="68"/>
      <c r="E18" s="80"/>
      <c r="F18" s="68"/>
      <c r="G18" s="68"/>
      <c r="Q18" s="50"/>
    </row>
  </sheetData>
  <mergeCells count="9">
    <mergeCell ref="J2:J3"/>
    <mergeCell ref="T2:T3"/>
    <mergeCell ref="U2:U3"/>
    <mergeCell ref="A2:A3"/>
    <mergeCell ref="B2:B3"/>
    <mergeCell ref="C2:E2"/>
    <mergeCell ref="G2:G3"/>
    <mergeCell ref="H2:H3"/>
    <mergeCell ref="I2:I3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M1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P20" sqref="P20"/>
    </sheetView>
  </sheetViews>
  <sheetFormatPr defaultRowHeight="15" x14ac:dyDescent="0.25"/>
  <cols>
    <col min="1" max="1" width="15.28515625" customWidth="1"/>
    <col min="2" max="2" width="16.85546875" style="15" hidden="1" customWidth="1"/>
    <col min="3" max="3" width="16.140625" style="15" hidden="1" customWidth="1"/>
    <col min="4" max="4" width="16.28515625" style="15" hidden="1" customWidth="1"/>
    <col min="5" max="5" width="15.85546875" style="15" hidden="1" customWidth="1"/>
    <col min="6" max="6" width="14.5703125" style="15" hidden="1" customWidth="1"/>
    <col min="7" max="7" width="17.140625" style="15" hidden="1" customWidth="1"/>
    <col min="8" max="8" width="11" style="16" hidden="1" customWidth="1"/>
    <col min="9" max="9" width="16" style="16" hidden="1" customWidth="1"/>
    <col min="10" max="10" width="14.85546875" style="16" hidden="1" customWidth="1"/>
    <col min="11" max="11" width="17.140625" style="16" customWidth="1"/>
    <col min="12" max="12" width="13" style="16" customWidth="1"/>
    <col min="13" max="13" width="12.85546875" customWidth="1"/>
  </cols>
  <sheetData>
    <row r="2" spans="1:13" x14ac:dyDescent="0.25">
      <c r="A2" s="111" t="s">
        <v>1537</v>
      </c>
      <c r="B2" s="104" t="s">
        <v>1529</v>
      </c>
      <c r="C2" s="113"/>
      <c r="D2" s="113"/>
      <c r="E2" s="113"/>
      <c r="F2" s="52"/>
      <c r="G2" s="104" t="s">
        <v>1517</v>
      </c>
      <c r="H2" s="114" t="s">
        <v>1516</v>
      </c>
      <c r="I2" s="106" t="s">
        <v>1697</v>
      </c>
      <c r="J2" s="106" t="s">
        <v>1693</v>
      </c>
      <c r="K2" s="53" t="s">
        <v>1694</v>
      </c>
      <c r="L2" s="106" t="s">
        <v>1700</v>
      </c>
      <c r="M2" s="109" t="s">
        <v>1701</v>
      </c>
    </row>
    <row r="3" spans="1:13" x14ac:dyDescent="0.25">
      <c r="A3" s="112"/>
      <c r="B3" s="103"/>
      <c r="C3" s="54" t="s">
        <v>1519</v>
      </c>
      <c r="D3" s="54" t="s">
        <v>1539</v>
      </c>
      <c r="E3" s="54" t="s">
        <v>1518</v>
      </c>
      <c r="F3" s="54" t="s">
        <v>1520</v>
      </c>
      <c r="G3" s="103"/>
      <c r="H3" s="107"/>
      <c r="I3" s="107"/>
      <c r="J3" s="107"/>
      <c r="K3" s="55" t="s">
        <v>1695</v>
      </c>
      <c r="L3" s="108"/>
      <c r="M3" s="110"/>
    </row>
    <row r="4" spans="1:13" x14ac:dyDescent="0.25">
      <c r="A4" s="39" t="s">
        <v>1540</v>
      </c>
      <c r="B4" s="40">
        <v>6000000000</v>
      </c>
      <c r="C4" s="40">
        <v>1331459445.8000002</v>
      </c>
      <c r="D4" s="40">
        <v>211835712</v>
      </c>
      <c r="E4" s="40">
        <v>701402686.5999999</v>
      </c>
      <c r="F4" s="40">
        <v>396104295.39999998</v>
      </c>
      <c r="G4" s="40">
        <f>SUM(C4:F4)</f>
        <v>2640802139.8000002</v>
      </c>
      <c r="H4" s="35">
        <v>0.44013368996666669</v>
      </c>
      <c r="I4" s="43">
        <v>341088000</v>
      </c>
      <c r="J4" s="41"/>
      <c r="K4" s="41"/>
      <c r="L4" s="51"/>
      <c r="M4" s="2"/>
    </row>
    <row r="5" spans="1:13" x14ac:dyDescent="0.25">
      <c r="A5" s="39" t="s">
        <v>1541</v>
      </c>
      <c r="B5" s="42">
        <v>4800000000</v>
      </c>
      <c r="C5" s="42">
        <v>587563081.60000002</v>
      </c>
      <c r="D5" s="42">
        <v>119943378.5</v>
      </c>
      <c r="E5" s="40">
        <v>923862778.30000043</v>
      </c>
      <c r="F5" s="40">
        <v>747007889.0999999</v>
      </c>
      <c r="G5" s="40">
        <f t="shared" ref="G5:G13" si="0">SUM(C5:F5)</f>
        <v>2378377127.5000005</v>
      </c>
      <c r="H5" s="35">
        <v>0.49549523489583341</v>
      </c>
      <c r="I5" s="43">
        <v>319484000</v>
      </c>
      <c r="J5" s="43"/>
      <c r="K5" s="43"/>
      <c r="L5" s="43"/>
      <c r="M5" s="2"/>
    </row>
    <row r="6" spans="1:13" x14ac:dyDescent="0.25">
      <c r="A6" s="39" t="s">
        <v>1542</v>
      </c>
      <c r="B6" s="44">
        <v>6000000000</v>
      </c>
      <c r="C6" s="45">
        <v>1227375910.1999998</v>
      </c>
      <c r="D6" s="46">
        <v>274641230.60000002</v>
      </c>
      <c r="E6" s="40">
        <v>1045087756.8999999</v>
      </c>
      <c r="F6" s="40">
        <v>549865243.39999998</v>
      </c>
      <c r="G6" s="40">
        <f t="shared" si="0"/>
        <v>3096970141.0999999</v>
      </c>
      <c r="H6" s="35">
        <v>0.49549523489583341</v>
      </c>
      <c r="I6" s="43">
        <v>831886000</v>
      </c>
      <c r="J6" s="43"/>
      <c r="K6" s="43"/>
      <c r="L6" s="43"/>
      <c r="M6" s="2"/>
    </row>
    <row r="7" spans="1:13" x14ac:dyDescent="0.25">
      <c r="A7" s="19" t="s">
        <v>1543</v>
      </c>
      <c r="B7" s="44">
        <v>6000000000</v>
      </c>
      <c r="C7" s="48">
        <v>623225519.4000001</v>
      </c>
      <c r="D7" s="40">
        <v>268387376.40000001</v>
      </c>
      <c r="E7" s="40">
        <v>779048395.39999998</v>
      </c>
      <c r="F7" s="40">
        <v>382369260.89999783</v>
      </c>
      <c r="G7" s="40">
        <f t="shared" si="0"/>
        <v>2053030552.099998</v>
      </c>
      <c r="H7" s="35">
        <v>0.335652044549763</v>
      </c>
      <c r="I7" s="43">
        <v>136637600</v>
      </c>
      <c r="J7" s="43"/>
      <c r="K7" s="43"/>
      <c r="L7" s="43"/>
      <c r="M7" s="2"/>
    </row>
    <row r="8" spans="1:13" x14ac:dyDescent="0.25">
      <c r="A8" s="19" t="s">
        <v>1544</v>
      </c>
      <c r="B8" s="40">
        <v>6000000000</v>
      </c>
      <c r="C8" s="40">
        <v>562544463.79999983</v>
      </c>
      <c r="D8" s="40">
        <v>90323325.400000006</v>
      </c>
      <c r="E8" s="40">
        <v>418193990.50000006</v>
      </c>
      <c r="F8" s="40">
        <v>345093058.20000005</v>
      </c>
      <c r="G8" s="40">
        <f t="shared" si="0"/>
        <v>1416154837.8999999</v>
      </c>
      <c r="H8" s="35">
        <v>0.24</v>
      </c>
      <c r="I8" s="43">
        <v>102735600</v>
      </c>
      <c r="J8" s="43"/>
      <c r="K8" s="43"/>
      <c r="L8" s="43"/>
      <c r="M8" s="2"/>
    </row>
    <row r="9" spans="1:13" x14ac:dyDescent="0.25">
      <c r="A9" s="19" t="s">
        <v>1545</v>
      </c>
      <c r="B9" s="40">
        <v>6000000000</v>
      </c>
      <c r="C9" s="40">
        <v>1464940647.5000002</v>
      </c>
      <c r="D9" s="40">
        <v>85741561.400000006</v>
      </c>
      <c r="E9" s="47">
        <v>282475526.29999989</v>
      </c>
      <c r="F9" s="47">
        <v>286747533.60000002</v>
      </c>
      <c r="G9" s="40">
        <f t="shared" si="0"/>
        <v>2119905268.8000002</v>
      </c>
      <c r="H9" s="35">
        <f t="shared" ref="H9:H16" si="1">G9/B9</f>
        <v>0.35331754480000005</v>
      </c>
      <c r="I9" s="43">
        <v>197370800</v>
      </c>
      <c r="J9" s="43">
        <v>467280000</v>
      </c>
      <c r="K9" s="43">
        <v>14446080.000000002</v>
      </c>
      <c r="L9" s="41">
        <f t="shared" ref="L9:L15" si="2">K9/28800</f>
        <v>501.60000000000008</v>
      </c>
      <c r="M9" s="56">
        <f t="shared" ref="M9:M15" si="3">L9/24</f>
        <v>20.900000000000002</v>
      </c>
    </row>
    <row r="10" spans="1:13" x14ac:dyDescent="0.25">
      <c r="A10" s="19" t="s">
        <v>1546</v>
      </c>
      <c r="B10" s="40">
        <v>6000000000</v>
      </c>
      <c r="C10" s="42">
        <v>794133617.19999993</v>
      </c>
      <c r="D10" s="40">
        <v>100971200</v>
      </c>
      <c r="E10" s="42">
        <v>161354259</v>
      </c>
      <c r="F10" s="40">
        <v>583824709.60000002</v>
      </c>
      <c r="G10" s="40">
        <f t="shared" si="0"/>
        <v>1640283785.8</v>
      </c>
      <c r="H10" s="35">
        <f t="shared" si="1"/>
        <v>0.27338063096666665</v>
      </c>
      <c r="I10" s="43">
        <v>49544000</v>
      </c>
      <c r="J10" s="43">
        <v>37382400</v>
      </c>
      <c r="K10" s="43">
        <v>25090560.000000004</v>
      </c>
      <c r="L10" s="41">
        <f t="shared" si="2"/>
        <v>871.20000000000016</v>
      </c>
      <c r="M10" s="56">
        <f t="shared" si="3"/>
        <v>36.300000000000004</v>
      </c>
    </row>
    <row r="11" spans="1:13" x14ac:dyDescent="0.25">
      <c r="A11" s="19" t="s">
        <v>1547</v>
      </c>
      <c r="B11" s="40">
        <v>6000000000</v>
      </c>
      <c r="C11" s="40">
        <v>1145933220.3000002</v>
      </c>
      <c r="D11" s="40">
        <v>130340243</v>
      </c>
      <c r="E11" s="49">
        <v>920000000</v>
      </c>
      <c r="F11" s="49">
        <v>562874627.70000005</v>
      </c>
      <c r="G11" s="40">
        <f t="shared" si="0"/>
        <v>2759148091</v>
      </c>
      <c r="H11" s="35">
        <f t="shared" si="1"/>
        <v>0.45985801516666669</v>
      </c>
      <c r="I11" s="43">
        <v>106268800</v>
      </c>
      <c r="J11" s="43">
        <v>569162880</v>
      </c>
      <c r="K11" s="43">
        <v>45302400</v>
      </c>
      <c r="L11" s="41">
        <f t="shared" si="2"/>
        <v>1573</v>
      </c>
      <c r="M11" s="56">
        <f t="shared" si="3"/>
        <v>65.541666666666671</v>
      </c>
    </row>
    <row r="12" spans="1:13" x14ac:dyDescent="0.25">
      <c r="A12" s="19" t="s">
        <v>1548</v>
      </c>
      <c r="B12" s="40">
        <v>6000000000</v>
      </c>
      <c r="C12" s="40">
        <v>538000000</v>
      </c>
      <c r="D12" s="40">
        <v>205000000</v>
      </c>
      <c r="E12" s="40">
        <v>408000000</v>
      </c>
      <c r="F12" s="40">
        <v>722000000</v>
      </c>
      <c r="G12" s="40">
        <f t="shared" si="0"/>
        <v>1873000000</v>
      </c>
      <c r="H12" s="35">
        <f t="shared" si="1"/>
        <v>0.31216666666666665</v>
      </c>
      <c r="I12" s="43">
        <v>74000000</v>
      </c>
      <c r="J12" s="43">
        <v>124000000</v>
      </c>
      <c r="K12" s="43">
        <v>77172480</v>
      </c>
      <c r="L12" s="41">
        <f>K12/28800</f>
        <v>2679.6</v>
      </c>
      <c r="M12" s="56">
        <f t="shared" si="3"/>
        <v>111.64999999999999</v>
      </c>
    </row>
    <row r="13" spans="1:13" x14ac:dyDescent="0.25">
      <c r="A13" s="19" t="s">
        <v>1549</v>
      </c>
      <c r="B13" s="40">
        <v>6000000000</v>
      </c>
      <c r="C13" s="40">
        <v>1200000000</v>
      </c>
      <c r="D13" s="40">
        <v>150000000</v>
      </c>
      <c r="E13" s="40">
        <v>200000000</v>
      </c>
      <c r="F13" s="40"/>
      <c r="G13" s="40">
        <f t="shared" si="0"/>
        <v>1550000000</v>
      </c>
      <c r="H13" s="35">
        <f t="shared" si="1"/>
        <v>0.25833333333333336</v>
      </c>
      <c r="I13" s="43"/>
      <c r="J13" s="43"/>
      <c r="K13" s="43">
        <v>133816320</v>
      </c>
      <c r="L13" s="41">
        <f t="shared" si="2"/>
        <v>4646.3999999999996</v>
      </c>
      <c r="M13" s="56">
        <f t="shared" si="3"/>
        <v>193.6</v>
      </c>
    </row>
    <row r="14" spans="1:13" x14ac:dyDescent="0.25">
      <c r="A14" s="19" t="s">
        <v>1550</v>
      </c>
      <c r="B14" s="40">
        <v>6000000000</v>
      </c>
      <c r="C14" s="40"/>
      <c r="D14" s="40"/>
      <c r="E14" s="40"/>
      <c r="F14" s="40"/>
      <c r="G14" s="40"/>
      <c r="H14" s="35">
        <f t="shared" si="1"/>
        <v>0</v>
      </c>
      <c r="I14" s="43"/>
      <c r="J14" s="43"/>
      <c r="K14" s="43">
        <v>22809600</v>
      </c>
      <c r="L14" s="41">
        <f t="shared" si="2"/>
        <v>792</v>
      </c>
      <c r="M14" s="56">
        <f t="shared" si="3"/>
        <v>33</v>
      </c>
    </row>
    <row r="15" spans="1:13" x14ac:dyDescent="0.25">
      <c r="A15" s="19" t="s">
        <v>1551</v>
      </c>
      <c r="B15" s="40">
        <v>6000000000</v>
      </c>
      <c r="C15" s="40"/>
      <c r="D15" s="40"/>
      <c r="E15" s="40"/>
      <c r="F15" s="40"/>
      <c r="G15" s="40"/>
      <c r="H15" s="35">
        <f t="shared" si="1"/>
        <v>0</v>
      </c>
      <c r="I15" s="35"/>
      <c r="J15" s="43"/>
      <c r="K15" s="43"/>
      <c r="L15" s="41">
        <f t="shared" si="2"/>
        <v>0</v>
      </c>
      <c r="M15" s="56">
        <f t="shared" si="3"/>
        <v>0</v>
      </c>
    </row>
    <row r="16" spans="1:13" s="36" customFormat="1" ht="12.75" x14ac:dyDescent="0.2">
      <c r="A16" s="33" t="s">
        <v>1522</v>
      </c>
      <c r="B16" s="34">
        <f>SUM(B4:B15)</f>
        <v>70800000000</v>
      </c>
      <c r="C16" s="34">
        <f t="shared" ref="C16:M16" si="4">SUM(C4:C15)</f>
        <v>9475175905.7999992</v>
      </c>
      <c r="D16" s="34">
        <f t="shared" si="4"/>
        <v>1637184027.3</v>
      </c>
      <c r="E16" s="34">
        <f t="shared" si="4"/>
        <v>5839425393</v>
      </c>
      <c r="F16" s="34">
        <f t="shared" si="4"/>
        <v>4575886617.8999977</v>
      </c>
      <c r="G16" s="34">
        <f t="shared" si="4"/>
        <v>21527671944</v>
      </c>
      <c r="H16" s="35">
        <f t="shared" si="1"/>
        <v>0.30406316305084746</v>
      </c>
      <c r="I16" s="34">
        <f t="shared" si="4"/>
        <v>2159014800</v>
      </c>
      <c r="J16" s="34">
        <f t="shared" si="4"/>
        <v>1197825280</v>
      </c>
      <c r="K16" s="34">
        <f t="shared" si="4"/>
        <v>318637440</v>
      </c>
      <c r="L16" s="57">
        <f t="shared" si="4"/>
        <v>11063.8</v>
      </c>
      <c r="M16" s="57">
        <f t="shared" si="4"/>
        <v>460.99166666666667</v>
      </c>
    </row>
    <row r="18" spans="11:12" x14ac:dyDescent="0.25">
      <c r="K18" s="50"/>
      <c r="L18" s="50"/>
    </row>
  </sheetData>
  <mergeCells count="9">
    <mergeCell ref="J2:J3"/>
    <mergeCell ref="L2:L3"/>
    <mergeCell ref="M2:M3"/>
    <mergeCell ref="A2:A3"/>
    <mergeCell ref="B2:B3"/>
    <mergeCell ref="C2:E2"/>
    <mergeCell ref="G2:G3"/>
    <mergeCell ref="H2:H3"/>
    <mergeCell ref="I2:I3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0856-90E4-4C4F-B275-CF50881E53C6}">
  <dimension ref="A2:M1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O23" sqref="O23"/>
    </sheetView>
  </sheetViews>
  <sheetFormatPr defaultRowHeight="15" x14ac:dyDescent="0.25"/>
  <cols>
    <col min="1" max="1" width="15.28515625" customWidth="1"/>
    <col min="2" max="2" width="16.85546875" style="15" hidden="1" customWidth="1"/>
    <col min="3" max="3" width="16.140625" style="15" hidden="1" customWidth="1"/>
    <col min="4" max="4" width="16.28515625" style="15" hidden="1" customWidth="1"/>
    <col min="5" max="5" width="15.85546875" style="15" hidden="1" customWidth="1"/>
    <col min="6" max="6" width="14.5703125" style="15" hidden="1" customWidth="1"/>
    <col min="7" max="7" width="17.140625" style="15" hidden="1" customWidth="1"/>
    <col min="8" max="8" width="11" style="16" hidden="1" customWidth="1"/>
    <col min="9" max="9" width="16" style="16" hidden="1" customWidth="1"/>
    <col min="10" max="10" width="14.85546875" style="16" hidden="1" customWidth="1"/>
    <col min="11" max="11" width="17.140625" style="16" customWidth="1"/>
    <col min="12" max="12" width="13" style="16" customWidth="1"/>
    <col min="13" max="13" width="12.85546875" customWidth="1"/>
  </cols>
  <sheetData>
    <row r="2" spans="1:13" x14ac:dyDescent="0.25">
      <c r="A2" s="111" t="s">
        <v>1537</v>
      </c>
      <c r="B2" s="104" t="s">
        <v>1529</v>
      </c>
      <c r="C2" s="113"/>
      <c r="D2" s="113"/>
      <c r="E2" s="113"/>
      <c r="F2" s="52"/>
      <c r="G2" s="104" t="s">
        <v>1517</v>
      </c>
      <c r="H2" s="114" t="s">
        <v>1516</v>
      </c>
      <c r="I2" s="106" t="s">
        <v>1697</v>
      </c>
      <c r="J2" s="106" t="s">
        <v>1693</v>
      </c>
      <c r="K2" s="53" t="s">
        <v>1694</v>
      </c>
      <c r="L2" s="106" t="s">
        <v>1700</v>
      </c>
      <c r="M2" s="109" t="s">
        <v>1701</v>
      </c>
    </row>
    <row r="3" spans="1:13" x14ac:dyDescent="0.25">
      <c r="A3" s="112"/>
      <c r="B3" s="103"/>
      <c r="C3" s="54" t="s">
        <v>1519</v>
      </c>
      <c r="D3" s="54" t="s">
        <v>1539</v>
      </c>
      <c r="E3" s="54" t="s">
        <v>1518</v>
      </c>
      <c r="F3" s="54" t="s">
        <v>1520</v>
      </c>
      <c r="G3" s="103"/>
      <c r="H3" s="107"/>
      <c r="I3" s="107"/>
      <c r="J3" s="107"/>
      <c r="K3" s="55" t="s">
        <v>1695</v>
      </c>
      <c r="L3" s="108"/>
      <c r="M3" s="110"/>
    </row>
    <row r="4" spans="1:13" x14ac:dyDescent="0.25">
      <c r="A4" s="39" t="s">
        <v>1540</v>
      </c>
      <c r="B4" s="40">
        <v>6000000000</v>
      </c>
      <c r="C4" s="40">
        <v>1331459445.8000002</v>
      </c>
      <c r="D4" s="40">
        <v>211835712</v>
      </c>
      <c r="E4" s="40">
        <v>701402686.5999999</v>
      </c>
      <c r="F4" s="40">
        <v>396104295.39999998</v>
      </c>
      <c r="G4" s="40">
        <f>SUM(C4:F4)</f>
        <v>2640802139.8000002</v>
      </c>
      <c r="H4" s="35">
        <v>0.44013368996666669</v>
      </c>
      <c r="I4" s="43">
        <v>341088000</v>
      </c>
      <c r="J4" s="41"/>
      <c r="K4" s="41">
        <v>83635200</v>
      </c>
      <c r="L4" s="51">
        <f>K4/28800</f>
        <v>2904</v>
      </c>
      <c r="M4" s="84">
        <f>L4/24</f>
        <v>121</v>
      </c>
    </row>
    <row r="5" spans="1:13" x14ac:dyDescent="0.25">
      <c r="A5" s="39" t="s">
        <v>1541</v>
      </c>
      <c r="B5" s="42">
        <v>4800000000</v>
      </c>
      <c r="C5" s="42">
        <v>587563081.60000002</v>
      </c>
      <c r="D5" s="42">
        <v>119943378.5</v>
      </c>
      <c r="E5" s="40">
        <v>923862778.30000043</v>
      </c>
      <c r="F5" s="40">
        <v>747007889.0999999</v>
      </c>
      <c r="G5" s="40">
        <f t="shared" ref="G5:G13" si="0">SUM(C5:F5)</f>
        <v>2378377127.5000005</v>
      </c>
      <c r="H5" s="35">
        <v>0.49549523489583341</v>
      </c>
      <c r="I5" s="43">
        <v>319484000</v>
      </c>
      <c r="J5" s="43"/>
      <c r="K5" s="43">
        <v>31000000</v>
      </c>
      <c r="L5" s="51">
        <f>K5/28800</f>
        <v>1076.3888888888889</v>
      </c>
      <c r="M5" s="84">
        <f t="shared" ref="M5:M15" si="1">L5/24</f>
        <v>44.849537037037038</v>
      </c>
    </row>
    <row r="6" spans="1:13" x14ac:dyDescent="0.25">
      <c r="A6" s="39" t="s">
        <v>1542</v>
      </c>
      <c r="B6" s="44">
        <v>6000000000</v>
      </c>
      <c r="C6" s="45">
        <v>1227375910.1999998</v>
      </c>
      <c r="D6" s="46">
        <v>274641230.60000002</v>
      </c>
      <c r="E6" s="40">
        <v>1045087756.8999999</v>
      </c>
      <c r="F6" s="40">
        <v>549865243.39999998</v>
      </c>
      <c r="G6" s="40">
        <f t="shared" si="0"/>
        <v>3096970141.0999999</v>
      </c>
      <c r="H6" s="35">
        <v>0.49549523489583341</v>
      </c>
      <c r="I6" s="43">
        <v>831886000</v>
      </c>
      <c r="J6" s="43"/>
      <c r="K6" s="43">
        <v>57277440.000000007</v>
      </c>
      <c r="L6" s="51">
        <f>K6/28800</f>
        <v>1988.8000000000002</v>
      </c>
      <c r="M6" s="84">
        <f t="shared" si="1"/>
        <v>82.866666666666674</v>
      </c>
    </row>
    <row r="7" spans="1:13" x14ac:dyDescent="0.25">
      <c r="A7" s="19" t="s">
        <v>1543</v>
      </c>
      <c r="B7" s="44">
        <v>6000000000</v>
      </c>
      <c r="C7" s="48">
        <v>623225519.4000001</v>
      </c>
      <c r="D7" s="40">
        <v>268387376.40000001</v>
      </c>
      <c r="E7" s="40">
        <v>779048395.39999998</v>
      </c>
      <c r="F7" s="40">
        <v>382369260.89999783</v>
      </c>
      <c r="G7" s="40">
        <f t="shared" si="0"/>
        <v>2053030552.099998</v>
      </c>
      <c r="H7" s="35">
        <v>0.335652044549763</v>
      </c>
      <c r="I7" s="43">
        <v>136637600</v>
      </c>
      <c r="J7" s="43"/>
      <c r="K7" s="43">
        <v>127733760</v>
      </c>
      <c r="L7" s="51">
        <f>K7/28800</f>
        <v>4435.2</v>
      </c>
      <c r="M7" s="84">
        <f t="shared" si="1"/>
        <v>184.79999999999998</v>
      </c>
    </row>
    <row r="8" spans="1:13" x14ac:dyDescent="0.25">
      <c r="A8" s="19" t="s">
        <v>1544</v>
      </c>
      <c r="B8" s="40">
        <v>6000000000</v>
      </c>
      <c r="C8" s="40">
        <v>562544463.79999983</v>
      </c>
      <c r="D8" s="40">
        <v>90323325.400000006</v>
      </c>
      <c r="E8" s="40">
        <v>418193990.50000006</v>
      </c>
      <c r="F8" s="40">
        <v>345093058.20000005</v>
      </c>
      <c r="G8" s="40">
        <f t="shared" si="0"/>
        <v>1416154837.8999999</v>
      </c>
      <c r="H8" s="35">
        <v>0.24</v>
      </c>
      <c r="I8" s="43">
        <v>102735600</v>
      </c>
      <c r="J8" s="43"/>
      <c r="K8" s="43">
        <v>78312960.000000015</v>
      </c>
      <c r="L8" s="51">
        <f>K8/28800</f>
        <v>2719.2000000000007</v>
      </c>
      <c r="M8" s="84">
        <f t="shared" si="1"/>
        <v>113.30000000000003</v>
      </c>
    </row>
    <row r="9" spans="1:13" x14ac:dyDescent="0.25">
      <c r="A9" s="19" t="s">
        <v>1545</v>
      </c>
      <c r="B9" s="40">
        <v>6000000000</v>
      </c>
      <c r="C9" s="40">
        <v>1464940647.5000002</v>
      </c>
      <c r="D9" s="40">
        <v>85741561.400000006</v>
      </c>
      <c r="E9" s="47">
        <v>282475526.29999989</v>
      </c>
      <c r="F9" s="47">
        <v>286747533.60000002</v>
      </c>
      <c r="G9" s="40">
        <f t="shared" si="0"/>
        <v>2119905268.8000002</v>
      </c>
      <c r="H9" s="35">
        <f t="shared" ref="H9:H16" si="2">G9/B9</f>
        <v>0.35331754480000005</v>
      </c>
      <c r="I9" s="43">
        <v>197370800</v>
      </c>
      <c r="J9" s="43">
        <v>467280000</v>
      </c>
      <c r="K9" s="43">
        <v>36267264</v>
      </c>
      <c r="L9" s="41">
        <f t="shared" ref="L9:L15" si="3">K9/28800</f>
        <v>1259.28</v>
      </c>
      <c r="M9" s="84">
        <f t="shared" si="1"/>
        <v>52.47</v>
      </c>
    </row>
    <row r="10" spans="1:13" x14ac:dyDescent="0.25">
      <c r="A10" s="19" t="s">
        <v>1546</v>
      </c>
      <c r="B10" s="40">
        <v>6000000000</v>
      </c>
      <c r="C10" s="42">
        <v>794133617.19999993</v>
      </c>
      <c r="D10" s="40">
        <v>100971200</v>
      </c>
      <c r="E10" s="42">
        <v>161354259</v>
      </c>
      <c r="F10" s="40">
        <v>583824709.60000002</v>
      </c>
      <c r="G10" s="40">
        <f t="shared" si="0"/>
        <v>1640283785.8</v>
      </c>
      <c r="H10" s="35">
        <f t="shared" si="2"/>
        <v>0.27338063096666665</v>
      </c>
      <c r="I10" s="43">
        <v>49544000</v>
      </c>
      <c r="J10" s="43">
        <v>37382400</v>
      </c>
      <c r="K10" s="43">
        <v>132295680</v>
      </c>
      <c r="L10" s="41">
        <f t="shared" si="3"/>
        <v>4593.6000000000004</v>
      </c>
      <c r="M10" s="84">
        <f t="shared" si="1"/>
        <v>191.4</v>
      </c>
    </row>
    <row r="11" spans="1:13" x14ac:dyDescent="0.25">
      <c r="A11" s="19" t="s">
        <v>1547</v>
      </c>
      <c r="B11" s="40">
        <v>6000000000</v>
      </c>
      <c r="C11" s="40">
        <v>1145933220.3000002</v>
      </c>
      <c r="D11" s="40">
        <v>130340243</v>
      </c>
      <c r="E11" s="49">
        <v>920000000</v>
      </c>
      <c r="F11" s="49">
        <v>562874627.70000005</v>
      </c>
      <c r="G11" s="40">
        <f t="shared" si="0"/>
        <v>2759148091</v>
      </c>
      <c r="H11" s="35">
        <f t="shared" si="2"/>
        <v>0.45985801516666669</v>
      </c>
      <c r="I11" s="43">
        <v>106268800</v>
      </c>
      <c r="J11" s="43">
        <v>569162880</v>
      </c>
      <c r="K11" s="43">
        <v>119370240</v>
      </c>
      <c r="L11" s="41">
        <f t="shared" si="3"/>
        <v>4144.8</v>
      </c>
      <c r="M11" s="84">
        <f t="shared" si="1"/>
        <v>172.70000000000002</v>
      </c>
    </row>
    <row r="12" spans="1:13" x14ac:dyDescent="0.25">
      <c r="A12" s="19" t="s">
        <v>1548</v>
      </c>
      <c r="B12" s="40">
        <v>6000000000</v>
      </c>
      <c r="C12" s="40">
        <v>538000000</v>
      </c>
      <c r="D12" s="40">
        <v>205000000</v>
      </c>
      <c r="E12" s="40">
        <v>408000000</v>
      </c>
      <c r="F12" s="40">
        <v>722000000</v>
      </c>
      <c r="G12" s="40">
        <f t="shared" si="0"/>
        <v>1873000000</v>
      </c>
      <c r="H12" s="35">
        <f t="shared" si="2"/>
        <v>0.31216666666666665</v>
      </c>
      <c r="I12" s="43">
        <v>74000000</v>
      </c>
      <c r="J12" s="43">
        <v>124000000</v>
      </c>
      <c r="K12" s="43">
        <v>110246400</v>
      </c>
      <c r="L12" s="41">
        <f>K12/28800</f>
        <v>3828</v>
      </c>
      <c r="M12" s="84">
        <f t="shared" si="1"/>
        <v>159.5</v>
      </c>
    </row>
    <row r="13" spans="1:13" x14ac:dyDescent="0.25">
      <c r="A13" s="19" t="s">
        <v>1549</v>
      </c>
      <c r="B13" s="40">
        <v>6000000000</v>
      </c>
      <c r="C13" s="40">
        <v>1200000000</v>
      </c>
      <c r="D13" s="40">
        <v>150000000</v>
      </c>
      <c r="E13" s="40">
        <v>200000000</v>
      </c>
      <c r="F13" s="40"/>
      <c r="G13" s="40">
        <f t="shared" si="0"/>
        <v>1550000000</v>
      </c>
      <c r="H13" s="35">
        <f t="shared" si="2"/>
        <v>0.25833333333333336</v>
      </c>
      <c r="I13" s="43"/>
      <c r="J13" s="43"/>
      <c r="K13" s="43">
        <v>103403520</v>
      </c>
      <c r="L13" s="41">
        <f t="shared" si="3"/>
        <v>3590.4</v>
      </c>
      <c r="M13" s="84">
        <f t="shared" si="1"/>
        <v>149.6</v>
      </c>
    </row>
    <row r="14" spans="1:13" x14ac:dyDescent="0.25">
      <c r="A14" s="19" t="s">
        <v>1550</v>
      </c>
      <c r="B14" s="40">
        <v>6000000000</v>
      </c>
      <c r="C14" s="40"/>
      <c r="D14" s="40"/>
      <c r="E14" s="40"/>
      <c r="F14" s="40"/>
      <c r="G14" s="40"/>
      <c r="H14" s="35">
        <f t="shared" si="2"/>
        <v>0</v>
      </c>
      <c r="I14" s="43"/>
      <c r="J14" s="43"/>
      <c r="K14" s="43">
        <v>131535360</v>
      </c>
      <c r="L14" s="41">
        <f t="shared" si="3"/>
        <v>4567.2</v>
      </c>
      <c r="M14" s="84">
        <f t="shared" si="1"/>
        <v>190.29999999999998</v>
      </c>
    </row>
    <row r="15" spans="1:13" x14ac:dyDescent="0.25">
      <c r="A15" s="19" t="s">
        <v>1551</v>
      </c>
      <c r="B15" s="40">
        <v>6000000000</v>
      </c>
      <c r="C15" s="40"/>
      <c r="D15" s="40"/>
      <c r="E15" s="40"/>
      <c r="F15" s="40"/>
      <c r="G15" s="40"/>
      <c r="H15" s="35">
        <f t="shared" si="2"/>
        <v>0</v>
      </c>
      <c r="I15" s="35"/>
      <c r="J15" s="43"/>
      <c r="K15" s="43">
        <v>82114560</v>
      </c>
      <c r="L15" s="41">
        <f t="shared" si="3"/>
        <v>2851.2</v>
      </c>
      <c r="M15" s="84">
        <f t="shared" si="1"/>
        <v>118.8</v>
      </c>
    </row>
    <row r="16" spans="1:13" s="36" customFormat="1" ht="12.75" x14ac:dyDescent="0.2">
      <c r="A16" s="33" t="s">
        <v>1522</v>
      </c>
      <c r="B16" s="34">
        <f>SUM(B4:B15)</f>
        <v>70800000000</v>
      </c>
      <c r="C16" s="34">
        <f t="shared" ref="C16:M16" si="4">SUM(C4:C15)</f>
        <v>9475175905.7999992</v>
      </c>
      <c r="D16" s="34">
        <f t="shared" si="4"/>
        <v>1637184027.3</v>
      </c>
      <c r="E16" s="34">
        <f t="shared" si="4"/>
        <v>5839425393</v>
      </c>
      <c r="F16" s="34">
        <f t="shared" si="4"/>
        <v>4575886617.8999977</v>
      </c>
      <c r="G16" s="34">
        <f t="shared" si="4"/>
        <v>21527671944</v>
      </c>
      <c r="H16" s="35">
        <f t="shared" si="2"/>
        <v>0.30406316305084746</v>
      </c>
      <c r="I16" s="34">
        <f t="shared" si="4"/>
        <v>2159014800</v>
      </c>
      <c r="J16" s="34">
        <f t="shared" si="4"/>
        <v>1197825280</v>
      </c>
      <c r="K16" s="34">
        <f t="shared" si="4"/>
        <v>1093192384</v>
      </c>
      <c r="L16" s="57">
        <f t="shared" si="4"/>
        <v>37958.068888888891</v>
      </c>
      <c r="M16" s="57">
        <f t="shared" si="4"/>
        <v>1581.5862037037036</v>
      </c>
    </row>
    <row r="18" spans="11:12" x14ac:dyDescent="0.25">
      <c r="K18" s="50"/>
      <c r="L18" s="50"/>
    </row>
  </sheetData>
  <mergeCells count="9">
    <mergeCell ref="J2:J3"/>
    <mergeCell ref="L2:L3"/>
    <mergeCell ref="M2:M3"/>
    <mergeCell ref="A2:A3"/>
    <mergeCell ref="B2:B3"/>
    <mergeCell ref="C2:E2"/>
    <mergeCell ref="G2:G3"/>
    <mergeCell ref="H2:H3"/>
    <mergeCell ref="I2:I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Sheet5</vt:lpstr>
      <vt:lpstr>Sheet6</vt:lpstr>
      <vt:lpstr>2025</vt:lpstr>
      <vt:lpstr>2024</vt:lpstr>
      <vt:lpstr>2023</vt:lpstr>
      <vt:lpstr>2022</vt:lpstr>
      <vt:lpstr>2021</vt:lpstr>
      <vt:lpstr>LC 22</vt:lpstr>
      <vt:lpstr>LC 23</vt:lpstr>
      <vt:lpstr>'2023'!Print_Area</vt:lpstr>
      <vt:lpstr>'2024'!Print_Area</vt:lpstr>
      <vt:lpstr>'2025'!Print_Area</vt:lpstr>
      <vt:lpstr>'LC 22'!Print_Area</vt:lpstr>
      <vt:lpstr>'LC 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sa03</dc:creator>
  <cp:lastModifiedBy>le phuong</cp:lastModifiedBy>
  <cp:lastPrinted>2023-06-12T03:00:43Z</cp:lastPrinted>
  <dcterms:created xsi:type="dcterms:W3CDTF">2021-12-28T06:55:31Z</dcterms:created>
  <dcterms:modified xsi:type="dcterms:W3CDTF">2026-01-16T03:31:27Z</dcterms:modified>
</cp:coreProperties>
</file>